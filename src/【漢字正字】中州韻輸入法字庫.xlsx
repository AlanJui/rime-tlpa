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FB9354C2-8479-4B7F-8065-A9D7569FBFBA}" xr6:coauthVersionLast="47" xr6:coauthVersionMax="47" xr10:uidLastSave="{00000000-0000-0000-0000-000000000000}"/>
  <bookViews>
    <workbookView xWindow="28665" yWindow="1155" windowWidth="33900" windowHeight="11295" xr2:uid="{3310FC1E-612B-486E-8270-486009758CE2}"/>
  </bookViews>
  <sheets>
    <sheet name="RIME_Dict" sheetId="3" r:id="rId1"/>
    <sheet name="ChhoeTaigi_TaioanPehoeKichhooGi" sheetId="1" r:id="rId2"/>
    <sheet name="轉換作業"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 i="3" l="1"/>
  <c r="E4" i="3"/>
  <c r="E3" i="3"/>
  <c r="E22" i="3"/>
  <c r="E7" i="3"/>
  <c r="E24" i="3"/>
  <c r="D4" i="4"/>
  <c r="D5" i="4"/>
  <c r="D6" i="4"/>
  <c r="D7" i="4"/>
  <c r="D2" i="4"/>
  <c r="D3" i="4"/>
</calcChain>
</file>

<file path=xl/sharedStrings.xml><?xml version="1.0" encoding="utf-8"?>
<sst xmlns="http://schemas.openxmlformats.org/spreadsheetml/2006/main" count="42344" uniqueCount="31331">
  <si>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</si>
  <si>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</si>
  <si>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</si>
  <si>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</si>
  <si>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</si>
  <si>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</si>
  <si>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</si>
  <si>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</si>
  <si>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</si>
  <si>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</si>
  <si>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</si>
  <si>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</si>
  <si>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</si>
  <si>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</si>
  <si>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</si>
  <si>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</si>
  <si>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</si>
  <si>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</si>
  <si>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</si>
  <si>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</si>
  <si>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</si>
  <si>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</si>
  <si>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</si>
  <si>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</si>
  <si>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</si>
  <si>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</si>
  <si>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</si>
  <si>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</si>
  <si>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</si>
  <si>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</si>
  <si>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</si>
  <si>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</si>
  <si>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</si>
  <si>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</si>
  <si>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</si>
  <si>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</si>
  <si>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</si>
  <si>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</si>
  <si>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</si>
  <si>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</si>
  <si>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</si>
  <si>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</si>
  <si>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</si>
  <si>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</si>
  <si>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</si>
  <si>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</si>
  <si>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</si>
  <si>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</si>
  <si>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</si>
  <si>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</si>
  <si>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</si>
  <si>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</si>
  <si>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</si>
  <si>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</si>
  <si>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</si>
  <si>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</si>
  <si>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</si>
  <si>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</si>
  <si>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</si>
  <si>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</si>
  <si>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</si>
  <si>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</si>
  <si>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</si>
  <si>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</si>
  <si>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</si>
  <si>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</si>
  <si>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</si>
  <si>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</si>
  <si>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</si>
  <si>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</si>
  <si>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</si>
  <si>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</si>
  <si>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</si>
  <si>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</si>
  <si>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</si>
  <si>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</si>
  <si>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</si>
  <si>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</si>
  <si>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</si>
  <si>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</si>
  <si>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</si>
  <si>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</si>
  <si>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</si>
  <si>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</si>
  <si>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</si>
  <si>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</si>
  <si>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</si>
  <si>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</si>
  <si>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</si>
  <si>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</si>
  <si>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</si>
  <si>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</si>
  <si>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</si>
  <si>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</si>
  <si>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</si>
  <si>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</si>
  <si>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</si>
  <si>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</si>
  <si>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</si>
  <si>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</si>
  <si>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</si>
  <si>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</si>
  <si>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</si>
  <si>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</si>
  <si>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</si>
  <si>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</si>
  <si>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</si>
  <si>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</si>
  <si>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</si>
  <si>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</si>
  <si>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</si>
  <si>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</si>
  <si>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</si>
  <si>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</si>
  <si>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</si>
  <si>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</si>
  <si>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</si>
  <si>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</si>
  <si>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</si>
  <si>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</si>
  <si>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</si>
  <si>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</si>
  <si>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</si>
  <si>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</si>
  <si>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</si>
  <si>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</si>
  <si>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</si>
  <si>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</si>
  <si>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</si>
  <si>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</si>
  <si>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</si>
  <si>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</si>
  <si>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</si>
  <si>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</si>
  <si>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</si>
  <si>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</si>
  <si>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</si>
  <si>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</si>
  <si>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</si>
  <si>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</si>
  <si>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</si>
  <si>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</si>
  <si>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</si>
  <si>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</si>
  <si>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</si>
  <si>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</si>
  <si>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</si>
  <si>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</si>
  <si>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</si>
  <si>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</si>
  <si>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</si>
  <si>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</si>
  <si>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</si>
  <si>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</si>
  <si>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</si>
  <si>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</si>
  <si>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</si>
  <si>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</si>
  <si>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</si>
  <si>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</si>
  <si>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</si>
  <si>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</si>
  <si>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</si>
  <si>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</si>
  <si>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</si>
  <si>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</si>
  <si>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</si>
  <si>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</si>
  <si>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</si>
  <si>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</si>
  <si>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</si>
  <si>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</si>
  <si>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</si>
  <si>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</si>
  <si>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</si>
  <si>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</si>
  <si>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</si>
  <si>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</si>
  <si>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</si>
  <si>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</si>
  <si>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</si>
  <si>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</si>
  <si>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</si>
  <si>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</si>
  <si>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</si>
  <si>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</si>
  <si>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</si>
  <si>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</si>
  <si>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</si>
  <si>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</si>
  <si>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</si>
  <si>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</si>
  <si>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</si>
  <si>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</si>
  <si>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</si>
  <si>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</si>
  <si>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</si>
  <si>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</si>
  <si>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</si>
  <si>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</si>
  <si>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</si>
  <si>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</si>
  <si>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</si>
  <si>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</si>
  <si>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</si>
  <si>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</si>
  <si>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</si>
  <si>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</si>
  <si>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</si>
  <si>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</si>
  <si>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</si>
  <si>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</si>
  <si>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</si>
  <si>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</si>
  <si>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</si>
  <si>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</si>
  <si>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</si>
  <si>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</si>
  <si>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</si>
  <si>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</si>
  <si>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</si>
  <si>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</si>
  <si>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</si>
  <si>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</si>
  <si>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</si>
  <si>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</si>
  <si>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</si>
  <si>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</si>
  <si>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</si>
  <si>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</si>
  <si>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</si>
  <si>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</si>
  <si>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</si>
  <si>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</si>
  <si>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</si>
  <si>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</si>
  <si>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</si>
  <si>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</si>
  <si>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</si>
  <si>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</si>
  <si>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</si>
  <si>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</si>
  <si>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</si>
  <si>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</si>
  <si>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</si>
  <si>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</si>
  <si>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</si>
  <si>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</si>
  <si>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</si>
  <si>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</si>
  <si>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</si>
  <si>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</si>
  <si>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</si>
  <si>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</si>
  <si>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</si>
  <si>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</si>
  <si>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</si>
  <si>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</si>
  <si>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</si>
  <si>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</si>
  <si>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</si>
  <si>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</si>
  <si>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</si>
  <si>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</si>
  <si>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</si>
  <si>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</si>
  <si>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</si>
  <si>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</si>
  <si>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</si>
  <si>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</si>
  <si>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</si>
  <si>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</si>
  <si>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</si>
  <si>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</si>
  <si>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</si>
  <si>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</si>
  <si>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</si>
  <si>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</si>
  <si>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</si>
  <si>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</si>
  <si>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</si>
  <si>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</si>
  <si>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</si>
  <si>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</si>
  <si>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</si>
  <si>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</si>
  <si>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</si>
  <si>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</si>
  <si>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</si>
  <si>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</si>
  <si>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</si>
  <si>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</si>
  <si>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</si>
  <si>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</si>
  <si>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</si>
  <si>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</si>
  <si>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</si>
  <si>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</si>
  <si>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</si>
  <si>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</si>
  <si>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</si>
  <si>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</si>
  <si>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</si>
  <si>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</si>
  <si>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</si>
  <si>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</si>
  <si>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</si>
  <si>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</si>
  <si>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</si>
  <si>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</si>
  <si>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</si>
  <si>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</si>
  <si>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</si>
  <si>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</si>
  <si>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</si>
  <si>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</si>
  <si>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</si>
  <si>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</si>
  <si>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</si>
  <si>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</si>
  <si>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</si>
  <si>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</si>
  <si>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</si>
  <si>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</si>
  <si>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</si>
  <si>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</si>
  <si>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</si>
  <si>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</si>
  <si>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</si>
  <si>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</si>
  <si>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</si>
  <si>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</si>
  <si>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</si>
  <si>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</si>
  <si>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</si>
  <si>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</si>
  <si>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</si>
  <si>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</si>
  <si>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</si>
  <si>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</si>
  <si>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</si>
  <si>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</si>
  <si>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</si>
  <si>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</si>
  <si>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</si>
  <si>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</si>
  <si>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</si>
  <si>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</si>
  <si>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</si>
  <si>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</si>
  <si>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</si>
  <si>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</si>
  <si>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</si>
  <si>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</si>
  <si>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</si>
  <si>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</si>
  <si>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</si>
  <si>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</si>
  <si>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</si>
  <si>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</si>
  <si>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</si>
  <si>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</si>
  <si>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</si>
  <si>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</si>
  <si>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</si>
  <si>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</si>
  <si>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</si>
  <si>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</si>
  <si>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</si>
  <si>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</si>
  <si>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</si>
  <si>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</si>
  <si>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</si>
  <si>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</si>
  <si>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</si>
  <si>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</si>
  <si>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</si>
  <si>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</si>
  <si>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</si>
  <si>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</si>
  <si>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</si>
  <si>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</si>
  <si>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</si>
  <si>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</si>
  <si>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</si>
  <si>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</si>
  <si>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</si>
  <si>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</si>
  <si>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</si>
  <si>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</si>
  <si>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</si>
  <si>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</si>
  <si>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</si>
  <si>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</si>
  <si>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</si>
  <si>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</si>
  <si>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</si>
  <si>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</si>
  <si>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</si>
  <si>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</si>
  <si>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</si>
  <si>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</si>
  <si>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</si>
  <si>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</si>
  <si>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</si>
  <si>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</si>
  <si>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</si>
  <si>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</si>
  <si>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</si>
  <si>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</si>
  <si>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</si>
  <si>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</si>
  <si>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</si>
  <si>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</si>
  <si>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</si>
  <si>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</si>
  <si>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</si>
  <si>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</si>
  <si>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</si>
  <si>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</si>
  <si>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</si>
  <si>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</si>
  <si>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</si>
  <si>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</si>
  <si>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</si>
  <si>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</si>
  <si>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</si>
  <si>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</si>
  <si>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</si>
  <si>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</si>
  <si>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</si>
  <si>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</si>
  <si>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</si>
  <si>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</si>
  <si>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</si>
  <si>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</si>
  <si>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</si>
  <si>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</si>
  <si>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</si>
  <si>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</si>
  <si>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</si>
  <si>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</si>
  <si>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</si>
  <si>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</si>
  <si>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</si>
  <si>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</si>
  <si>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</si>
  <si>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</si>
  <si>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</si>
  <si>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</si>
  <si>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</si>
  <si>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</si>
  <si>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</si>
  <si>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</si>
  <si>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</si>
  <si>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</si>
  <si>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</si>
  <si>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</si>
  <si>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</si>
  <si>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</si>
  <si>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</si>
  <si>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</si>
  <si>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</si>
  <si>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</si>
  <si>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</si>
  <si>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</si>
  <si>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</si>
  <si>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</si>
  <si>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</si>
  <si>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</si>
  <si>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</si>
  <si>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</si>
  <si>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</si>
  <si>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</si>
  <si>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</si>
  <si>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</si>
  <si>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</si>
  <si>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</si>
  <si>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</si>
  <si>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</si>
  <si>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</si>
  <si>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</si>
  <si>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</si>
  <si>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</si>
  <si>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</si>
  <si>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</si>
  <si>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</si>
  <si>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</si>
  <si>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</si>
  <si>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</si>
  <si>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</si>
  <si>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</si>
  <si>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</si>
  <si>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</si>
  <si>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</si>
  <si>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</si>
  <si>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</si>
  <si>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</si>
  <si>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</si>
  <si>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</si>
  <si>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</si>
  <si>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</si>
  <si>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</si>
  <si>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</si>
  <si>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</si>
  <si>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</si>
  <si>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</si>
  <si>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</si>
  <si>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</si>
  <si>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</si>
  <si>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</si>
  <si>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</si>
  <si>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</si>
  <si>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</si>
  <si>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</si>
  <si>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</si>
  <si>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</si>
  <si>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</si>
  <si>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</si>
  <si>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</si>
  <si>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</si>
  <si>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</si>
  <si>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</si>
  <si>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</si>
  <si>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</si>
  <si>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</si>
  <si>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</si>
  <si>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</si>
  <si>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</si>
  <si>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</si>
  <si>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</si>
  <si>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</si>
  <si>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</si>
  <si>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</si>
  <si>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</si>
  <si>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</si>
  <si>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</si>
  <si>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</si>
  <si>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</si>
  <si>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</si>
  <si>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</si>
  <si>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</si>
  <si>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</si>
  <si>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</si>
  <si>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</si>
  <si>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</si>
  <si>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</si>
  <si>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</si>
  <si>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</si>
  <si>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</si>
  <si>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</si>
  <si>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</si>
  <si>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</si>
  <si>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</si>
  <si>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</si>
  <si>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</si>
  <si>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</si>
  <si>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</si>
  <si>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</si>
  <si>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</si>
  <si>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</si>
  <si>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</si>
  <si>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</si>
  <si>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</si>
  <si>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</si>
  <si>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</si>
  <si>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</si>
  <si>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</si>
  <si>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</si>
  <si>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</si>
  <si>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</si>
  <si>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</si>
  <si>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</si>
  <si>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</si>
  <si>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</si>
  <si>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</si>
  <si>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</si>
  <si>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</si>
  <si>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</si>
  <si>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</si>
  <si>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</si>
  <si>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</si>
  <si>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</si>
  <si>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</si>
  <si>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</si>
  <si>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</si>
  <si>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</si>
  <si>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</si>
  <si>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</si>
  <si>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</si>
  <si>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</si>
  <si>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</si>
  <si>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</si>
  <si>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</si>
  <si>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</si>
  <si>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</si>
  <si>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</si>
  <si>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</si>
  <si>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</si>
  <si>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</si>
  <si>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</si>
  <si>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</si>
  <si>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</si>
  <si>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</si>
  <si>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</si>
  <si>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</si>
  <si>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</si>
  <si>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</si>
  <si>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</si>
  <si>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</si>
  <si>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</si>
  <si>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</si>
  <si>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</si>
  <si>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</si>
  <si>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</si>
  <si>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</si>
  <si>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</si>
  <si>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</si>
  <si>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</si>
  <si>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</si>
  <si>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</si>
  <si>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</si>
  <si>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</si>
  <si>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</si>
  <si>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</si>
  <si>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</si>
  <si>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</si>
  <si>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</si>
  <si>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</si>
  <si>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</si>
  <si>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</si>
  <si>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</si>
  <si>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</si>
  <si>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</si>
  <si>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</si>
  <si>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</si>
  <si>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</si>
  <si>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</si>
  <si>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</si>
  <si>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</si>
  <si>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</si>
  <si>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</si>
  <si>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</si>
  <si>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</si>
  <si>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</si>
  <si>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</si>
  <si>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</si>
  <si>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</si>
  <si>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</si>
  <si>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</si>
  <si>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</si>
  <si>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</si>
  <si>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</si>
  <si>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</si>
  <si>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</si>
  <si>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</si>
  <si>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</si>
  <si>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</si>
  <si>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</si>
  <si>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</si>
  <si>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</si>
  <si>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</si>
  <si>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</si>
  <si>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</si>
  <si>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</si>
  <si>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</si>
  <si>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</si>
  <si>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</si>
  <si>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</si>
  <si>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</si>
  <si>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</si>
  <si>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</si>
  <si>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</si>
  <si>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</si>
  <si>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</si>
  <si>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</si>
  <si>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</si>
  <si>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</si>
  <si>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</si>
  <si>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</si>
  <si>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</si>
  <si>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</si>
  <si>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</si>
  <si>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</si>
  <si>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</si>
  <si>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</si>
  <si>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</si>
  <si>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</si>
  <si>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</si>
  <si>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</si>
  <si>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</si>
  <si>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</si>
  <si>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</si>
  <si>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</si>
  <si>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</si>
  <si>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</si>
  <si>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</si>
  <si>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</si>
  <si>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</si>
  <si>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</si>
  <si>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</si>
  <si>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</si>
  <si>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</si>
  <si>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</si>
  <si>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</si>
  <si>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</si>
  <si>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</si>
  <si>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</si>
  <si>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</si>
  <si>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</si>
  <si>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</si>
  <si>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</si>
  <si>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</si>
  <si>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</si>
  <si>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</si>
  <si>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</si>
  <si>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</si>
  <si>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</si>
  <si>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</si>
  <si>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</si>
  <si>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</si>
  <si>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</si>
  <si>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</si>
  <si>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</si>
  <si>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</si>
  <si>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</si>
  <si>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</si>
  <si>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</si>
  <si>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</si>
  <si>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</si>
  <si>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</si>
  <si>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</si>
  <si>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</si>
  <si>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</si>
  <si>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</si>
  <si>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</si>
  <si>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</si>
  <si>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</si>
  <si>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</si>
  <si>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</si>
  <si>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</si>
  <si>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</si>
  <si>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</si>
  <si>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</si>
  <si>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</si>
  <si>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</si>
  <si>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</si>
  <si>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</si>
  <si>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</si>
  <si>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</si>
  <si>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</si>
  <si>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</si>
  <si>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</si>
  <si>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</si>
  <si>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</si>
  <si>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</si>
  <si>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</si>
  <si>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</si>
  <si>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</si>
  <si>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</si>
  <si>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</si>
  <si>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</si>
  <si>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</si>
  <si>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</si>
  <si>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</si>
  <si>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</si>
  <si>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</si>
  <si>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</si>
  <si>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</si>
  <si>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</si>
  <si>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</si>
  <si>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</si>
  <si>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</si>
  <si>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</si>
  <si>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</si>
  <si>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</si>
  <si>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</si>
  <si>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</si>
  <si>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</si>
  <si>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</si>
  <si>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</si>
  <si>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</si>
  <si>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</si>
  <si>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</si>
  <si>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</si>
  <si>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</si>
  <si>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</si>
  <si>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</si>
  <si>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</si>
  <si>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</si>
  <si>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</si>
  <si>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</si>
  <si>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</si>
  <si>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</si>
  <si>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</si>
  <si>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</si>
  <si>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</si>
  <si>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</si>
  <si>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</si>
  <si>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</si>
  <si>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</si>
  <si>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</si>
  <si>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</si>
  <si>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</si>
  <si>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</si>
  <si>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</si>
  <si>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</si>
  <si>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</si>
  <si>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</si>
  <si>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</si>
  <si>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</si>
  <si>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</si>
  <si>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</si>
  <si>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</si>
  <si>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</si>
  <si>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</si>
  <si>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</si>
  <si>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</si>
  <si>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</si>
  <si>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</si>
  <si>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</si>
  <si>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</si>
  <si>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</si>
  <si>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</si>
  <si>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</si>
  <si>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</si>
  <si>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</si>
  <si>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</si>
  <si>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</si>
  <si>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</si>
  <si>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</si>
  <si>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</si>
  <si>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</si>
  <si>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</si>
  <si>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</si>
  <si>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</si>
  <si>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</si>
  <si>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</si>
  <si>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</si>
  <si>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</si>
  <si>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</si>
  <si>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</si>
  <si>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</si>
  <si>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</si>
  <si>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</si>
  <si>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</si>
  <si>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</si>
  <si>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</si>
  <si>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</si>
  <si>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</si>
  <si>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</si>
  <si>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</si>
  <si>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</si>
  <si>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</si>
  <si>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</si>
  <si>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</si>
  <si>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</si>
  <si>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</si>
  <si>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</si>
  <si>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</si>
  <si>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</si>
  <si>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</si>
  <si>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</si>
  <si>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</si>
  <si>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</si>
  <si>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</si>
  <si>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</si>
  <si>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</si>
  <si>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</si>
  <si>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</si>
  <si>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</si>
  <si>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</si>
  <si>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</si>
  <si>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</si>
  <si>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</si>
  <si>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</si>
  <si>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</si>
  <si>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</si>
  <si>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</si>
  <si>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</si>
  <si>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</si>
  <si>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</si>
  <si>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</si>
  <si>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</si>
  <si>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</si>
  <si>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</si>
  <si>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</si>
  <si>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</si>
  <si>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</si>
  <si>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</si>
  <si>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</si>
  <si>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</si>
  <si>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</si>
  <si>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</si>
  <si>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</si>
  <si>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</si>
  <si>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</si>
  <si>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</si>
  <si>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</si>
  <si>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</si>
  <si>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</si>
  <si>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</si>
  <si>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</si>
  <si>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</si>
  <si>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</si>
  <si>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</si>
  <si>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</si>
  <si>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</si>
  <si>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</si>
  <si>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</si>
  <si>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</si>
  <si>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</si>
  <si>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</si>
  <si>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</si>
  <si>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</si>
  <si>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</si>
  <si>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</si>
  <si>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</si>
  <si>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</si>
  <si>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</si>
  <si>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</si>
  <si>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</si>
  <si>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</si>
  <si>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</si>
  <si>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</si>
  <si>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</si>
  <si>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</si>
  <si>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</si>
  <si>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</si>
  <si>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</si>
  <si>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</si>
  <si>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</si>
  <si>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</si>
  <si>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</si>
  <si>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</si>
  <si>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</si>
  <si>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</si>
  <si>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</si>
  <si>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</si>
  <si>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</si>
  <si>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</si>
  <si>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</si>
  <si>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</si>
  <si>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</si>
  <si>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</si>
  <si>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</si>
  <si>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</si>
  <si>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</si>
  <si>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</si>
  <si>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</si>
  <si>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</si>
  <si>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</si>
  <si>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</si>
  <si>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</si>
  <si>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</si>
  <si>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</si>
  <si>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</si>
  <si>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</si>
  <si>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</si>
  <si>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</si>
  <si>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</si>
  <si>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</si>
  <si>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</si>
  <si>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</si>
  <si>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</si>
  <si>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</si>
  <si>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</si>
  <si>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</si>
  <si>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</si>
  <si>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</si>
  <si>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</si>
  <si>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</si>
  <si>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</si>
  <si>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</si>
  <si>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</si>
  <si>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</si>
  <si>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</si>
  <si>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</si>
  <si>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</si>
  <si>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</si>
  <si>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</si>
  <si>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</si>
  <si>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</si>
  <si>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</si>
  <si>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</si>
  <si>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</si>
  <si>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</si>
  <si>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</si>
  <si>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</si>
  <si>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</si>
  <si>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</si>
  <si>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</si>
  <si>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</si>
  <si>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</si>
  <si>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</si>
  <si>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</si>
  <si>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</si>
  <si>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</si>
  <si>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</si>
  <si>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</si>
  <si>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</si>
  <si>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</si>
  <si>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</si>
  <si>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</si>
  <si>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</si>
  <si>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</si>
  <si>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</si>
  <si>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</si>
  <si>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</si>
  <si>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</si>
  <si>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</si>
  <si>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</si>
  <si>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</si>
  <si>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</si>
  <si>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</si>
  <si>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</si>
  <si>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</si>
  <si>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</si>
  <si>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</si>
  <si>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</si>
  <si>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</si>
  <si>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</si>
  <si>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</si>
  <si>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</si>
  <si>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</si>
  <si>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</si>
  <si>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</si>
  <si>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</si>
  <si>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</si>
  <si>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</si>
  <si>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</si>
  <si>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</si>
  <si>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</si>
  <si>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</si>
  <si>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</si>
  <si>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</si>
  <si>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</si>
  <si>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</si>
  <si>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</si>
  <si>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</si>
  <si>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</si>
  <si>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</si>
  <si>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</si>
  <si>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</si>
  <si>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</si>
  <si>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</si>
  <si>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</si>
  <si>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</si>
  <si>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</si>
  <si>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</si>
  <si>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</si>
  <si>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</si>
  <si>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</si>
  <si>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</si>
  <si>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</si>
  <si>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</si>
  <si>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</si>
  <si>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</si>
  <si>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</si>
  <si>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</si>
  <si>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</si>
  <si>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</si>
  <si>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</si>
  <si>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</si>
  <si>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</si>
  <si>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</si>
  <si>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</si>
  <si>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</si>
  <si>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</si>
  <si>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</si>
  <si>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</si>
  <si>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</si>
  <si>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</si>
  <si>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</si>
  <si>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</si>
  <si>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</si>
  <si>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</si>
  <si>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</si>
  <si>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</si>
  <si>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</si>
  <si>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</si>
  <si>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</si>
  <si>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</si>
  <si>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</si>
  <si>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</si>
  <si>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</si>
  <si>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</si>
  <si>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</si>
  <si>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</si>
  <si>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</si>
  <si>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</si>
  <si>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</si>
  <si>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</si>
  <si>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</si>
  <si>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</si>
  <si>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</si>
  <si>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</si>
  <si>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</si>
  <si>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</si>
  <si>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</si>
  <si>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</si>
  <si>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</si>
  <si>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</si>
  <si>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</si>
  <si>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</si>
  <si>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</si>
  <si>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</si>
  <si>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</si>
  <si>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</si>
  <si>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</si>
  <si>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</si>
  <si>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</si>
  <si>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</si>
  <si>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</si>
  <si>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</si>
  <si>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</si>
  <si>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</si>
  <si>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</si>
  <si>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</si>
  <si>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</si>
  <si>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</si>
  <si>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</si>
  <si>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</si>
  <si>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</si>
  <si>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</si>
  <si>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</si>
  <si>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</si>
  <si>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</si>
  <si>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</si>
  <si>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</si>
  <si>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</si>
  <si>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</si>
  <si>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</si>
  <si>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</si>
  <si>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</si>
  <si>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</si>
  <si>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</si>
  <si>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</si>
  <si>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</si>
  <si>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</si>
  <si>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</si>
  <si>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</si>
  <si>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</si>
  <si>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</si>
  <si>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</si>
  <si>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</si>
  <si>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</si>
  <si>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</si>
  <si>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</si>
  <si>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</si>
  <si>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</si>
  <si>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</si>
  <si>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</si>
  <si>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</si>
  <si>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</si>
  <si>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</si>
  <si>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</si>
  <si>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</si>
  <si>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</si>
  <si>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</si>
  <si>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</si>
  <si>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</si>
  <si>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</si>
  <si>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</si>
  <si>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</si>
  <si>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</si>
  <si>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</si>
  <si>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</si>
  <si>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</si>
  <si>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</si>
  <si>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</si>
  <si>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</si>
  <si>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</si>
  <si>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</si>
  <si>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</si>
  <si>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</si>
  <si>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</si>
  <si>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</si>
  <si>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</si>
  <si>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</si>
  <si>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</si>
  <si>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</si>
  <si>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</si>
  <si>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</si>
  <si>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</si>
  <si>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</si>
  <si>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</si>
  <si>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</si>
  <si>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</si>
  <si>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</si>
  <si>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</si>
  <si>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</si>
  <si>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</si>
  <si>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</si>
  <si>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</si>
  <si>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</si>
  <si>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</si>
  <si>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</si>
  <si>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</si>
  <si>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</si>
  <si>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</si>
  <si>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</si>
  <si>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</si>
  <si>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</si>
  <si>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</si>
  <si>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</si>
  <si>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</si>
  <si>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</si>
  <si>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</si>
  <si>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</si>
  <si>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</si>
  <si>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</si>
  <si>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</si>
  <si>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</si>
  <si>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</si>
  <si>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</si>
  <si>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</si>
  <si>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</si>
  <si>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</si>
  <si>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</si>
  <si>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</si>
  <si>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</si>
  <si>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</si>
  <si>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</si>
  <si>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</si>
  <si>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</si>
  <si>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</si>
  <si>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</si>
  <si>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</si>
  <si>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</si>
  <si>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</si>
  <si>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</si>
  <si>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</si>
  <si>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</si>
  <si>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</si>
  <si>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</si>
  <si>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</si>
  <si>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</si>
  <si>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</si>
  <si>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</si>
  <si>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</si>
  <si>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</si>
  <si>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</si>
  <si>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</si>
  <si>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</si>
  <si>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</si>
  <si>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</si>
  <si>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</si>
  <si>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</si>
  <si>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</si>
  <si>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</si>
  <si>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</si>
  <si>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</si>
  <si>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</si>
  <si>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</si>
  <si>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</si>
  <si>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</si>
  <si>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</si>
  <si>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</si>
  <si>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</si>
  <si>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</si>
  <si>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</si>
  <si>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</si>
  <si>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</si>
  <si>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</si>
  <si>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</si>
  <si>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</si>
  <si>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</si>
  <si>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</si>
  <si>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</si>
  <si>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</si>
  <si>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</si>
  <si>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</si>
  <si>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</si>
  <si>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</si>
  <si>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</si>
  <si>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</si>
  <si>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</si>
  <si>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</si>
  <si>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</si>
  <si>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</si>
  <si>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</si>
  <si>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</si>
  <si>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</si>
  <si>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</si>
  <si>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</si>
  <si>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</si>
  <si>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</si>
  <si>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</si>
  <si>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</si>
  <si>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</si>
  <si>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</si>
  <si>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</si>
  <si>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</si>
  <si>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</si>
  <si>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</si>
  <si>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</si>
  <si>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</si>
  <si>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</si>
  <si>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</si>
  <si>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</si>
  <si>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</si>
  <si>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</si>
  <si>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</si>
  <si>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</si>
  <si>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</si>
  <si>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</si>
  <si>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</si>
  <si>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</si>
  <si>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</si>
  <si>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</si>
  <si>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</si>
  <si>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</si>
  <si>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</si>
  <si>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</si>
  <si>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</si>
  <si>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</si>
  <si>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</si>
  <si>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</si>
  <si>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</si>
  <si>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</si>
  <si>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</si>
  <si>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</si>
  <si>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</si>
  <si>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</si>
  <si>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</si>
  <si>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</si>
  <si>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</si>
  <si>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</si>
  <si>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</si>
  <si>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</si>
  <si>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</si>
  <si>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</si>
  <si>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</si>
  <si>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</si>
  <si>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</si>
  <si>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</si>
  <si>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</si>
  <si>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</si>
  <si>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</si>
  <si>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</si>
  <si>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</si>
  <si>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</si>
  <si>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</si>
  <si>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</si>
  <si>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</si>
  <si>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</si>
  <si>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</si>
  <si>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</si>
  <si>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</si>
  <si>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</si>
  <si>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</si>
  <si>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</si>
  <si>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</si>
  <si>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</si>
  <si>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</si>
  <si>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</si>
  <si>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</si>
  <si>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</si>
  <si>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</si>
  <si>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</si>
  <si>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</si>
  <si>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</si>
  <si>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</si>
  <si>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</si>
  <si>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</si>
  <si>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</si>
  <si>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</si>
  <si>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</si>
  <si>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</si>
  <si>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</si>
  <si>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</si>
  <si>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</si>
  <si>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</si>
  <si>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</si>
  <si>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</si>
  <si>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</si>
  <si>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</si>
  <si>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</si>
  <si>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</si>
  <si>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</si>
  <si>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</si>
  <si>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</si>
  <si>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</si>
  <si>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</si>
  <si>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</si>
  <si>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</si>
  <si>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</si>
  <si>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</si>
  <si>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</si>
  <si>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</si>
  <si>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</si>
  <si>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</si>
  <si>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</si>
  <si>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</si>
  <si>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</si>
  <si>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</si>
  <si>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</si>
  <si>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</si>
  <si>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</si>
  <si>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</si>
  <si>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</si>
  <si>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</si>
  <si>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</si>
  <si>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</si>
  <si>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</si>
  <si>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</si>
  <si>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</si>
  <si>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</si>
  <si>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</si>
  <si>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</si>
  <si>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</si>
  <si>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</si>
  <si>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</si>
  <si>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</si>
  <si>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</si>
  <si>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</si>
  <si>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</si>
  <si>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</si>
  <si>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</si>
  <si>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</si>
  <si>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</si>
  <si>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</si>
  <si>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</si>
  <si>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</si>
  <si>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</si>
  <si>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</si>
  <si>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</si>
  <si>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</si>
  <si>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</si>
  <si>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</si>
  <si>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</si>
  <si>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</si>
  <si>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</si>
  <si>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</si>
  <si>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</si>
  <si>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</si>
  <si>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</si>
  <si>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</si>
  <si>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</si>
  <si>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</si>
  <si>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</si>
  <si>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</si>
  <si>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</si>
  <si>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</si>
  <si>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</si>
  <si>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</si>
  <si>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</si>
  <si>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</si>
  <si>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</si>
  <si>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</si>
  <si>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</si>
  <si>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</si>
  <si>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</si>
  <si>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</si>
  <si>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</si>
  <si>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</si>
  <si>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</si>
  <si>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</si>
  <si>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</si>
  <si>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</si>
  <si>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</si>
  <si>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</si>
  <si>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</si>
  <si>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</si>
  <si>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</si>
  <si>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</si>
  <si>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</si>
  <si>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</si>
  <si>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</si>
  <si>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</si>
  <si>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</si>
  <si>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</si>
  <si>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</si>
  <si>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</si>
  <si>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</si>
  <si>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</si>
  <si>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</si>
  <si>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</si>
  <si>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</si>
  <si>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</si>
  <si>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</si>
  <si>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</si>
  <si>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</si>
  <si>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</si>
  <si>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</si>
  <si>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</si>
  <si>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</si>
  <si>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</si>
  <si>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</si>
  <si>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</si>
  <si>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</si>
  <si>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</si>
  <si>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</si>
  <si>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</si>
  <si>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</si>
  <si>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</si>
  <si>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</si>
  <si>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</si>
  <si>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</si>
  <si>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</si>
  <si>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</si>
  <si>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</si>
  <si>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</si>
  <si>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</si>
  <si>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</si>
  <si>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</si>
  <si>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</si>
  <si>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</si>
  <si>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</si>
  <si>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</si>
  <si>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</si>
  <si>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</si>
  <si>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</si>
  <si>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</si>
  <si>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</si>
  <si>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</si>
  <si>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</si>
  <si>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</si>
  <si>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</si>
  <si>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</si>
  <si>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</si>
  <si>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</si>
  <si>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</si>
  <si>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</si>
  <si>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</si>
  <si>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</si>
  <si>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</si>
  <si>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</si>
  <si>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</si>
  <si>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</si>
  <si>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</si>
  <si>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</si>
  <si>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</si>
  <si>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</si>
  <si>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</si>
  <si>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</si>
  <si>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</si>
  <si>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</si>
  <si>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</si>
  <si>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</si>
  <si>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</si>
  <si>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</si>
  <si>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</si>
  <si>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</si>
  <si>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</si>
  <si>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</si>
  <si>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</si>
  <si>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</si>
  <si>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</si>
  <si>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</si>
  <si>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</si>
  <si>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</si>
  <si>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</si>
  <si>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</si>
  <si>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</si>
  <si>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</si>
  <si>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</si>
  <si>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</si>
  <si>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</si>
  <si>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</si>
  <si>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</si>
  <si>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</si>
  <si>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</si>
  <si>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</si>
  <si>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</si>
  <si>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</si>
  <si>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</si>
  <si>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</si>
  <si>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</si>
  <si>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</si>
  <si>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</si>
  <si>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</si>
  <si>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</si>
  <si>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</si>
  <si>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</si>
  <si>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</si>
  <si>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</si>
  <si>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</si>
  <si>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</si>
  <si>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</si>
  <si>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</si>
  <si>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</si>
  <si>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</si>
  <si>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</si>
  <si>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</si>
  <si>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</si>
  <si>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</si>
  <si>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</si>
  <si>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</si>
  <si>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</si>
  <si>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</si>
  <si>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</si>
  <si>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</si>
  <si>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</si>
  <si>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</si>
  <si>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</si>
  <si>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</si>
  <si>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</si>
  <si>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</si>
  <si>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</si>
  <si>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</si>
  <si>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</si>
  <si>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</si>
  <si>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</si>
  <si>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</si>
  <si>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</si>
  <si>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</si>
  <si>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</si>
  <si>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</si>
  <si>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</si>
  <si>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</si>
  <si>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</si>
  <si>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</si>
  <si>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</si>
  <si>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</si>
  <si>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</si>
  <si>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</si>
  <si>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</si>
  <si>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</si>
  <si>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</si>
  <si>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</si>
  <si>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</si>
  <si>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</si>
  <si>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</si>
  <si>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</si>
  <si>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</si>
  <si>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</si>
  <si>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</si>
  <si>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</si>
  <si>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</si>
  <si>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</si>
  <si>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</si>
  <si>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</si>
  <si>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</si>
  <si>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</si>
  <si>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</si>
  <si>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</si>
  <si>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</si>
  <si>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</si>
  <si>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</si>
  <si>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</si>
  <si>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</si>
  <si>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</si>
  <si>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</si>
  <si>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</si>
  <si>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</si>
  <si>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</si>
  <si>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</si>
  <si>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</si>
  <si>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</si>
  <si>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</si>
  <si>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</si>
  <si>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</si>
  <si>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</si>
  <si>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</si>
  <si>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</si>
  <si>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</si>
  <si>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</si>
  <si>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</si>
  <si>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</si>
  <si>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</si>
  <si>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</si>
  <si>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</si>
  <si>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</si>
  <si>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</si>
  <si>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</si>
  <si>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</si>
  <si>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</si>
  <si>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</si>
  <si>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</si>
  <si>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</si>
  <si>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</si>
  <si>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</si>
  <si>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</si>
  <si>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</si>
  <si>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</si>
  <si>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</si>
  <si>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</si>
  <si>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</si>
  <si>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</si>
  <si>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</si>
  <si>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</si>
  <si>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</si>
  <si>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</si>
  <si>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</si>
  <si>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</si>
  <si>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</si>
  <si>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</si>
  <si>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</si>
  <si>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</si>
  <si>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</si>
  <si>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</si>
  <si>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</si>
  <si>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</si>
  <si>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</si>
  <si>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</si>
  <si>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</si>
  <si>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</si>
  <si>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</si>
  <si>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</si>
  <si>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</si>
  <si>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</si>
  <si>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</si>
  <si>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</si>
  <si>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</si>
  <si>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</si>
  <si>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</si>
  <si>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</si>
  <si>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</si>
  <si>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</si>
  <si>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</si>
  <si>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</si>
  <si>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</si>
  <si>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</si>
  <si>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</si>
  <si>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</si>
  <si>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</si>
  <si>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</si>
  <si>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</si>
  <si>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</si>
  <si>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</si>
  <si>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</si>
  <si>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</si>
  <si>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</si>
  <si>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</si>
  <si>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</si>
  <si>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</si>
  <si>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</si>
  <si>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</si>
  <si>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</si>
  <si>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</si>
  <si>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</si>
  <si>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</si>
  <si>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</si>
  <si>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</si>
  <si>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</si>
  <si>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</si>
  <si>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</si>
  <si>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</si>
  <si>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</si>
  <si>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</si>
  <si>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</si>
  <si>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</si>
  <si>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</si>
  <si>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</si>
  <si>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</si>
  <si>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</si>
  <si>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</si>
  <si>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</si>
  <si>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</si>
  <si>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</si>
  <si>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</si>
  <si>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</si>
  <si>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</si>
  <si>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</si>
  <si>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</si>
  <si>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</si>
  <si>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</si>
  <si>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</si>
  <si>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</si>
  <si>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</si>
  <si>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</si>
  <si>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</si>
  <si>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</si>
  <si>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</si>
  <si>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</si>
  <si>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</si>
  <si>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</si>
  <si>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</si>
  <si>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</si>
  <si>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</si>
  <si>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</si>
  <si>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</si>
  <si>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</si>
  <si>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</si>
  <si>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</si>
  <si>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</si>
  <si>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</si>
  <si>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</si>
  <si>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</si>
  <si>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</si>
  <si>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</si>
  <si>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</si>
  <si>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</si>
  <si>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</si>
  <si>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</si>
  <si>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</si>
  <si>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</si>
  <si>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</si>
  <si>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</si>
  <si>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</si>
  <si>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</si>
  <si>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</si>
  <si>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</si>
  <si>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</si>
  <si>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</si>
  <si>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</si>
  <si>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</si>
  <si>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</si>
  <si>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</si>
  <si>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</si>
  <si>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</si>
  <si>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</si>
  <si>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</si>
  <si>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</si>
  <si>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</si>
  <si>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</si>
  <si>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</si>
  <si>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</si>
  <si>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</si>
  <si>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</si>
  <si>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</si>
  <si>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</si>
  <si>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</si>
  <si>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</si>
  <si>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</si>
  <si>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</si>
  <si>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</si>
  <si>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</si>
  <si>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</si>
  <si>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</si>
  <si>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</si>
  <si>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</si>
  <si>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</si>
  <si>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</si>
  <si>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</si>
  <si>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</si>
  <si>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</si>
  <si>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</si>
  <si>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</si>
  <si>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</si>
  <si>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</si>
  <si>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</si>
  <si>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</si>
  <si>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</si>
  <si>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</si>
  <si>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</si>
  <si>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</si>
  <si>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</si>
  <si>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</si>
  <si>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</si>
  <si>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</si>
  <si>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</si>
  <si>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</si>
  <si>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</si>
  <si>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</si>
  <si>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</si>
  <si>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</si>
  <si>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</si>
  <si>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</si>
  <si>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</si>
  <si>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</si>
  <si>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</si>
  <si>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</si>
  <si>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</si>
  <si>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</si>
  <si>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</si>
  <si>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</si>
  <si>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</si>
  <si>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</si>
  <si>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</si>
  <si>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</si>
  <si>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</si>
  <si>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</si>
  <si>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</si>
  <si>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</si>
  <si>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</si>
  <si>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</si>
  <si>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</si>
  <si>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</si>
  <si>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</si>
  <si>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</si>
  <si>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</si>
  <si>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</si>
  <si>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</si>
  <si>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</si>
  <si>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</si>
  <si>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</si>
  <si>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</si>
  <si>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</si>
  <si>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</si>
  <si>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</si>
  <si>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</si>
  <si>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</si>
  <si>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</si>
  <si>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</si>
  <si>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</si>
  <si>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</si>
  <si>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</si>
  <si>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</si>
  <si>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</si>
  <si>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</si>
  <si>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</si>
  <si>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</si>
  <si>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</si>
  <si>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</si>
  <si>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</si>
  <si>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</si>
  <si>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</si>
  <si>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</si>
  <si>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</si>
  <si>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</si>
  <si>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</si>
  <si>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</si>
  <si>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</si>
  <si>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</si>
  <si>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</si>
  <si>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</si>
  <si>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</si>
  <si>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</si>
  <si>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</si>
  <si>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</si>
  <si>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</si>
  <si>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</si>
  <si>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</si>
  <si>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</si>
  <si>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</si>
  <si>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</si>
  <si>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</si>
  <si>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</si>
  <si>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</si>
  <si>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</si>
  <si>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</si>
  <si>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</si>
  <si>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</si>
  <si>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</si>
  <si>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</si>
  <si>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</si>
  <si>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</si>
  <si>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</si>
  <si>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</si>
  <si>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</si>
  <si>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</si>
  <si>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</si>
  <si>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</si>
  <si>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</si>
  <si>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</si>
  <si>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</si>
  <si>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</si>
  <si>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</si>
  <si>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</si>
  <si>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</si>
  <si>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</si>
  <si>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</si>
  <si>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</si>
  <si>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</si>
  <si>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</si>
  <si>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</si>
  <si>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</si>
  <si>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</si>
  <si>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</si>
  <si>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</si>
  <si>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</si>
  <si>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</si>
  <si>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</si>
  <si>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</si>
  <si>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</si>
  <si>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</si>
  <si>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</si>
  <si>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</si>
  <si>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</si>
  <si>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</si>
  <si>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</si>
  <si>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</si>
  <si>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</si>
  <si>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</si>
  <si>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</si>
  <si>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</si>
  <si>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</si>
  <si>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</si>
  <si>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</si>
  <si>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</si>
  <si>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</si>
  <si>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</si>
  <si>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</si>
  <si>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</si>
  <si>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</si>
  <si>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</si>
  <si>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</si>
  <si>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</si>
  <si>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</si>
  <si>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</si>
  <si>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</si>
  <si>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</si>
  <si>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</si>
  <si>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</si>
  <si>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</si>
  <si>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</si>
  <si>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</si>
  <si>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</si>
  <si>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</si>
  <si>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</si>
  <si>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</si>
  <si>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</si>
  <si>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</si>
  <si>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</si>
  <si>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</si>
  <si>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</si>
  <si>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</si>
  <si>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</si>
  <si>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</si>
  <si>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</si>
  <si>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</si>
  <si>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</si>
  <si>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</si>
  <si>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</si>
  <si>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</si>
  <si>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</si>
  <si>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</si>
  <si>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</si>
  <si>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</si>
  <si>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</si>
  <si>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</si>
  <si>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</si>
  <si>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</si>
  <si>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</si>
  <si>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</si>
  <si>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</si>
  <si>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</si>
  <si>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</si>
  <si>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</si>
  <si>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</si>
  <si>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</si>
  <si>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</si>
  <si>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</si>
  <si>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</si>
  <si>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</si>
  <si>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</si>
  <si>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</si>
  <si>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</si>
  <si>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</si>
  <si>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</si>
  <si>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</si>
  <si>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</si>
  <si>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</si>
  <si>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</si>
  <si>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</si>
  <si>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</si>
  <si>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</si>
  <si>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</si>
  <si>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</si>
  <si>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</si>
  <si>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</si>
  <si>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</si>
  <si>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</si>
  <si>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</si>
  <si>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</si>
  <si>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</si>
  <si>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</si>
  <si>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</si>
  <si>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</si>
  <si>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</si>
  <si>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</si>
  <si>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</si>
  <si>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</si>
  <si>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</si>
  <si>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</si>
  <si>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</si>
  <si>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</si>
  <si>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</si>
  <si>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</si>
  <si>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</si>
  <si>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</si>
  <si>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</si>
  <si>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</si>
  <si>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</si>
  <si>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</si>
  <si>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</si>
  <si>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</si>
  <si>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</si>
  <si>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</si>
  <si>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</si>
  <si>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</si>
  <si>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</si>
  <si>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</si>
  <si>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</si>
  <si>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</si>
  <si>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</si>
  <si>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</si>
  <si>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</si>
  <si>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</si>
  <si>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</si>
  <si>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</si>
  <si>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</si>
  <si>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</si>
  <si>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</si>
  <si>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</si>
  <si>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</si>
  <si>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</si>
  <si>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</si>
  <si>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</si>
  <si>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</si>
  <si>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</si>
  <si>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</si>
  <si>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</si>
  <si>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</si>
  <si>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</si>
  <si>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</si>
  <si>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</si>
  <si>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</si>
  <si>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</si>
  <si>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</si>
  <si>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</si>
  <si>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</si>
  <si>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</si>
  <si>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</si>
  <si>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</si>
  <si>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</si>
  <si>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</si>
  <si>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</si>
  <si>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</si>
  <si>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</si>
  <si>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</si>
  <si>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</si>
  <si>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</si>
  <si>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</si>
  <si>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</si>
  <si>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</si>
  <si>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</si>
  <si>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</si>
  <si>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</si>
  <si>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</si>
  <si>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</si>
  <si>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</si>
  <si>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</si>
  <si>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</si>
  <si>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</si>
  <si>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</si>
  <si>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</si>
  <si>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</si>
  <si>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</si>
  <si>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</si>
  <si>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</si>
  <si>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</si>
  <si>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</si>
  <si>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</si>
  <si>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</si>
  <si>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</si>
  <si>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</si>
  <si>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</si>
  <si>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</si>
  <si>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</si>
  <si>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</si>
  <si>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</si>
  <si>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</si>
  <si>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</si>
  <si>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</si>
  <si>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</si>
  <si>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</si>
  <si>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</si>
  <si>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</si>
  <si>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</si>
  <si>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</si>
  <si>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</si>
  <si>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</si>
  <si>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</si>
  <si>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</si>
  <si>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</si>
  <si>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</si>
  <si>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</si>
  <si>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</si>
  <si>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</si>
  <si>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</si>
  <si>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</si>
  <si>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</si>
  <si>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</si>
  <si>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</si>
  <si>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</si>
  <si>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</si>
  <si>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</si>
  <si>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</si>
  <si>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</si>
  <si>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</si>
  <si>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</si>
  <si>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</si>
  <si>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</si>
  <si>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</si>
  <si>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</si>
  <si>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</si>
  <si>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</si>
  <si>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</si>
  <si>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</si>
  <si>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</si>
  <si>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</si>
  <si>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</si>
  <si>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</si>
  <si>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</si>
  <si>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</si>
  <si>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</si>
  <si>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</si>
  <si>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</si>
  <si>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</si>
  <si>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</si>
  <si>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</si>
  <si>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</si>
  <si>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</si>
  <si>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</si>
  <si>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</si>
  <si>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</si>
  <si>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</si>
  <si>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</si>
  <si>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</si>
  <si>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</si>
  <si>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</si>
  <si>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</si>
  <si>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</si>
  <si>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</si>
  <si>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</si>
  <si>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</si>
  <si>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</si>
  <si>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</si>
  <si>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</si>
  <si>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</si>
  <si>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</si>
  <si>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</si>
  <si>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</si>
  <si>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</si>
  <si>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</si>
  <si>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</si>
  <si>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</si>
  <si>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</si>
  <si>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</si>
  <si>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</si>
  <si>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</si>
  <si>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</si>
  <si>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</si>
  <si>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</si>
  <si>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</si>
  <si>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</si>
  <si>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</si>
  <si>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</si>
  <si>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</si>
  <si>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</si>
  <si>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</si>
  <si>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</si>
  <si>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</si>
  <si>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</si>
  <si>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</si>
  <si>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</si>
  <si>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</si>
  <si>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</si>
  <si>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</si>
  <si>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</si>
  <si>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</si>
  <si>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</si>
  <si>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</si>
  <si>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</si>
  <si>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</si>
  <si>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</si>
  <si>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</si>
  <si>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</si>
  <si>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</si>
  <si>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</si>
  <si>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</si>
  <si>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</si>
  <si>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</si>
  <si>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</si>
  <si>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</si>
  <si>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</si>
  <si>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</si>
  <si>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</si>
  <si>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</si>
  <si>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</si>
  <si>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</si>
  <si>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</si>
  <si>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</si>
  <si>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</si>
  <si>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</si>
  <si>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</si>
  <si>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</si>
  <si>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</si>
  <si>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</si>
  <si>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</si>
  <si>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</si>
  <si>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</si>
  <si>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</si>
  <si>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</si>
  <si>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</si>
  <si>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</si>
  <si>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</si>
  <si>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</si>
  <si>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</si>
  <si>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</si>
  <si>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</si>
  <si>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</si>
  <si>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</si>
  <si>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</si>
  <si>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</si>
  <si>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</si>
  <si>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</si>
  <si>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</si>
  <si>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</si>
  <si>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</si>
  <si>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</si>
  <si>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</si>
  <si>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</si>
  <si>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</si>
  <si>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</si>
  <si>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</si>
  <si>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</si>
  <si>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</si>
  <si>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</si>
  <si>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</si>
  <si>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</si>
  <si>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</si>
  <si>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</si>
  <si>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</si>
  <si>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</si>
  <si>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</si>
  <si>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</si>
  <si>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</si>
  <si>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</si>
  <si>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</si>
  <si>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</si>
  <si>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</si>
  <si>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</si>
  <si>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</si>
  <si>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</si>
  <si>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</si>
  <si>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</si>
  <si>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</si>
  <si>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</si>
  <si>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</si>
  <si>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</si>
  <si>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</si>
  <si>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</si>
  <si>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</si>
  <si>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</si>
  <si>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</si>
  <si>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</si>
  <si>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</si>
  <si>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</si>
  <si>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</si>
  <si>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</si>
  <si>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</si>
  <si>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</si>
  <si>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</si>
  <si>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</si>
  <si>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</si>
  <si>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</si>
  <si>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</si>
  <si>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</si>
  <si>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</si>
  <si>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</si>
  <si>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</si>
  <si>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</si>
  <si>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</si>
  <si>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</si>
  <si>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</si>
  <si>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</si>
  <si>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</si>
  <si>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</si>
  <si>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</si>
  <si>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</si>
  <si>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</si>
  <si>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</si>
  <si>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</si>
  <si>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</si>
  <si>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</si>
  <si>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</si>
  <si>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</si>
  <si>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</si>
  <si>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</si>
  <si>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</si>
  <si>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</si>
  <si>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</si>
  <si>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</si>
  <si>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</si>
  <si>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</si>
  <si>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</si>
  <si>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</si>
  <si>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</si>
  <si>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</si>
  <si>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</si>
  <si>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</si>
  <si>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</si>
  <si>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</si>
  <si>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</si>
  <si>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</si>
  <si>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</si>
  <si>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</si>
  <si>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</si>
  <si>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</si>
  <si>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</si>
  <si>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</si>
  <si>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</si>
  <si>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</si>
  <si>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</si>
  <si>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</si>
  <si>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</si>
  <si>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</si>
  <si>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</si>
  <si>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</si>
  <si>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</si>
  <si>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</si>
  <si>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</si>
  <si>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</si>
  <si>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</si>
  <si>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</si>
  <si>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</si>
  <si>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</si>
  <si>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</si>
  <si>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</si>
  <si>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</si>
  <si>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</si>
  <si>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</si>
  <si>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</si>
  <si>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</si>
  <si>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</si>
  <si>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</si>
  <si>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</si>
  <si>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</si>
  <si>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</si>
  <si>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</si>
  <si>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</si>
  <si>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</si>
  <si>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</si>
  <si>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</si>
  <si>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</si>
  <si>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</si>
  <si>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</si>
  <si>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</si>
  <si>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</si>
  <si>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</si>
  <si>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</si>
  <si>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</si>
  <si>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</si>
  <si>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</si>
  <si>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</si>
  <si>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</si>
  <si>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</si>
  <si>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</si>
  <si>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</si>
  <si>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</si>
  <si>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</si>
  <si>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</si>
  <si>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</si>
  <si>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</si>
  <si>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</si>
  <si>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</si>
  <si>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</si>
  <si>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</si>
  <si>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</si>
  <si>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</si>
  <si>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</si>
  <si>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</si>
  <si>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</si>
  <si>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</si>
  <si>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</si>
  <si>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</si>
  <si>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</si>
  <si>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</si>
  <si>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</si>
  <si>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</si>
  <si>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</si>
  <si>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</si>
  <si>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</si>
  <si>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</si>
  <si>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</si>
  <si>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</si>
  <si>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</si>
  <si>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</si>
  <si>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</si>
  <si>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</si>
  <si>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</si>
  <si>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</si>
  <si>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</si>
  <si>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</si>
  <si>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</si>
  <si>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</si>
  <si>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</si>
  <si>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</si>
  <si>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</si>
  <si>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</si>
  <si>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</si>
  <si>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</si>
  <si>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</si>
  <si>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</si>
  <si>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</si>
  <si>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</si>
  <si>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</si>
  <si>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</si>
  <si>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</si>
  <si>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</si>
  <si>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</si>
  <si>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</si>
  <si>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</si>
  <si>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</si>
  <si>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</si>
  <si>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</si>
  <si>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</si>
  <si>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</si>
  <si>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</si>
  <si>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</si>
  <si>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</si>
  <si>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</si>
  <si>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</si>
  <si>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</si>
  <si>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</si>
  <si>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</si>
  <si>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</si>
  <si>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</si>
  <si>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</si>
  <si>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</si>
  <si>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</si>
  <si>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</si>
  <si>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</si>
  <si>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</si>
  <si>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</si>
  <si>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</si>
  <si>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</si>
  <si>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</si>
  <si>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</si>
  <si>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</si>
  <si>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</si>
  <si>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</si>
  <si>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</si>
  <si>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</si>
  <si>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</si>
  <si>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</si>
  <si>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</si>
  <si>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</si>
  <si>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</si>
  <si>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</si>
  <si>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</si>
  <si>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</si>
  <si>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</si>
  <si>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</si>
  <si>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</si>
  <si>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</si>
  <si>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</si>
  <si>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</si>
  <si>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</si>
  <si>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</si>
  <si>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</si>
  <si>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</si>
  <si>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</si>
  <si>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</si>
  <si>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</si>
  <si>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</si>
  <si>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</si>
  <si>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</si>
  <si>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</si>
  <si>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</si>
  <si>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</si>
  <si>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</si>
  <si>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</si>
  <si>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</si>
  <si>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</si>
  <si>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</si>
  <si>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</si>
  <si>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</si>
  <si>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</si>
  <si>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</si>
  <si>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</si>
  <si>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</si>
  <si>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</si>
  <si>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</si>
  <si>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</si>
  <si>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</si>
  <si>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</si>
  <si>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</si>
  <si>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</si>
  <si>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</si>
  <si>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</si>
  <si>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</si>
  <si>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</si>
  <si>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</si>
  <si>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</si>
  <si>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</si>
  <si>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</si>
  <si>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</si>
  <si>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</si>
  <si>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</si>
  <si>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</si>
  <si>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</si>
  <si>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</si>
  <si>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</si>
  <si>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</si>
  <si>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</si>
  <si>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</si>
  <si>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</si>
  <si>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</si>
  <si>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</si>
  <si>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</si>
  <si>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</si>
  <si>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</si>
  <si>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</si>
  <si>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</si>
  <si>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</si>
  <si>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</si>
  <si>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</si>
  <si>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</si>
  <si>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</si>
  <si>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</si>
  <si>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</si>
  <si>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</si>
  <si>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</si>
  <si>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</si>
  <si>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</si>
  <si>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</si>
  <si>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</si>
  <si>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</si>
  <si>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</si>
  <si>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</si>
  <si>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</si>
  <si>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</si>
  <si>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</si>
  <si>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</si>
  <si>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</si>
  <si>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</si>
  <si>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</si>
  <si>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</si>
  <si>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</si>
  <si>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</si>
  <si>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</si>
  <si>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</si>
  <si>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</si>
  <si>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</si>
  <si>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</si>
  <si>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</si>
  <si>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</si>
  <si>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</si>
  <si>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</si>
  <si>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</si>
  <si>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</si>
  <si>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</si>
  <si>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</si>
  <si>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</si>
  <si>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</si>
  <si>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</si>
  <si>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</si>
  <si>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</si>
  <si>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</si>
  <si>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</si>
  <si>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</si>
  <si>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</si>
  <si>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</si>
  <si>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</si>
  <si>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</si>
  <si>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</si>
  <si>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</si>
  <si>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</si>
  <si>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</si>
  <si>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</si>
  <si>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</si>
  <si>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</si>
  <si>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</si>
  <si>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</si>
  <si>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</si>
  <si>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</si>
  <si>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</si>
  <si>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</si>
  <si>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</si>
  <si>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</si>
  <si>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</si>
  <si>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</si>
  <si>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</si>
  <si>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</si>
  <si>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</si>
  <si>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</si>
  <si>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</si>
  <si>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</si>
  <si>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</si>
  <si>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</si>
  <si>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</si>
  <si>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</si>
  <si>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</si>
  <si>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</si>
  <si>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</si>
  <si>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</si>
  <si>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</si>
  <si>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</si>
  <si>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</si>
  <si>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</si>
  <si>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</si>
  <si>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</si>
  <si>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</si>
  <si>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</si>
  <si>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</si>
  <si>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</si>
  <si>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</si>
  <si>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</si>
  <si>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</si>
  <si>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</si>
  <si>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</si>
  <si>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</si>
  <si>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</si>
  <si>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</si>
  <si>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</si>
  <si>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</si>
  <si>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</si>
  <si>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</si>
  <si>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</si>
  <si>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</si>
  <si>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</si>
  <si>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</si>
  <si>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</si>
  <si>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</si>
  <si>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</si>
  <si>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</si>
  <si>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</si>
  <si>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</si>
  <si>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</si>
  <si>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</si>
  <si>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</si>
  <si>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</si>
  <si>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</si>
  <si>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</si>
  <si>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</si>
  <si>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</si>
  <si>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</si>
  <si>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</si>
  <si>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</si>
  <si>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</si>
  <si>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</si>
  <si>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</si>
  <si>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</si>
  <si>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</si>
  <si>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</si>
  <si>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</si>
  <si>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</si>
  <si>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</si>
  <si>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</si>
  <si>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</si>
  <si>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</si>
  <si>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</si>
  <si>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</si>
  <si>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</si>
  <si>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</si>
  <si>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</si>
  <si>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</si>
  <si>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</si>
  <si>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</si>
  <si>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</si>
  <si>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</si>
  <si>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</si>
  <si>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</si>
  <si>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</si>
  <si>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</si>
  <si>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</si>
  <si>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</si>
  <si>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</si>
  <si>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</si>
  <si>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</si>
  <si>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</si>
  <si>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</si>
  <si>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</si>
  <si>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</si>
  <si>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</si>
  <si>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</si>
  <si>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</si>
  <si>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</si>
  <si>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</si>
  <si>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</si>
  <si>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</si>
  <si>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</si>
  <si>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</si>
  <si>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</si>
  <si>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</si>
  <si>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</si>
  <si>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</si>
  <si>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</si>
  <si>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</si>
  <si>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</si>
  <si>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</si>
  <si>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</si>
  <si>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</si>
  <si>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</si>
  <si>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</si>
  <si>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</si>
  <si>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</si>
  <si>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</si>
  <si>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</si>
  <si>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</si>
  <si>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</si>
  <si>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</si>
  <si>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</si>
  <si>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</si>
  <si>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</si>
  <si>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</si>
  <si>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</si>
  <si>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</si>
  <si>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</si>
  <si>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</si>
  <si>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</si>
  <si>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</si>
  <si>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</si>
  <si>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</si>
  <si>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</si>
  <si>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</si>
  <si>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</si>
  <si>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</si>
  <si>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</si>
  <si>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</si>
  <si>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</si>
  <si>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</si>
  <si>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</si>
  <si>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</si>
  <si>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</si>
  <si>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</si>
  <si>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</si>
  <si>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</si>
  <si>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</si>
  <si>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</si>
  <si>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</si>
  <si>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</si>
  <si>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</si>
  <si>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</si>
  <si>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</si>
  <si>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</si>
  <si>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</si>
  <si>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</si>
  <si>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</si>
  <si>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</si>
  <si>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</si>
  <si>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</si>
  <si>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</si>
  <si>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</si>
  <si>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</si>
  <si>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</si>
  <si>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</si>
  <si>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</si>
  <si>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</si>
  <si>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</si>
  <si>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</si>
  <si>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</si>
  <si>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</si>
  <si>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</si>
  <si>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</si>
  <si>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</si>
  <si>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</si>
  <si>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</si>
  <si>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</si>
  <si>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</si>
  <si>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</si>
  <si>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</si>
  <si>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</si>
  <si>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</si>
  <si>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</si>
  <si>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</si>
  <si>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</si>
  <si>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</si>
  <si>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</si>
  <si>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</si>
  <si>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</si>
  <si>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</si>
  <si>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</si>
  <si>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</si>
  <si>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</si>
  <si>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</si>
  <si>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</si>
  <si>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</si>
  <si>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</si>
  <si>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</si>
  <si>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</si>
  <si>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</si>
  <si>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</si>
  <si>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</si>
  <si>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</si>
  <si>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</si>
  <si>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</si>
  <si>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</si>
  <si>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</si>
  <si>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</si>
  <si>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</si>
  <si>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</si>
  <si>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</si>
  <si>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</si>
  <si>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</si>
  <si>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</si>
  <si>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</si>
  <si>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</si>
  <si>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</si>
  <si>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</si>
  <si>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</si>
  <si>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</si>
  <si>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</si>
  <si>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</si>
  <si>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</si>
  <si>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</si>
  <si>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</si>
  <si>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</si>
  <si>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</si>
  <si>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</si>
  <si>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</si>
  <si>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</si>
  <si>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</si>
  <si>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</si>
  <si>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</si>
  <si>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</si>
  <si>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</si>
  <si>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</si>
  <si>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</si>
  <si>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</si>
  <si>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</si>
  <si>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</si>
  <si>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</si>
  <si>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</si>
  <si>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</si>
  <si>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</si>
  <si>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</si>
  <si>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</si>
  <si>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</si>
  <si>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</si>
  <si>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</si>
  <si>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</si>
  <si>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</si>
  <si>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</si>
  <si>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</si>
  <si>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</si>
  <si>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</si>
  <si>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</si>
  <si>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</si>
  <si>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</si>
  <si>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</si>
  <si>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</si>
  <si>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</si>
  <si>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</si>
  <si>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</si>
  <si>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</si>
  <si>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</si>
  <si>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</si>
  <si>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</si>
  <si>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</si>
  <si>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</si>
  <si>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</si>
  <si>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</si>
  <si>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</si>
  <si>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</si>
  <si>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</si>
  <si>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</si>
  <si>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</si>
  <si>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</si>
  <si>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</si>
  <si>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</si>
  <si>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</si>
  <si>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</si>
  <si>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</si>
  <si>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</si>
  <si>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</si>
  <si>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</si>
  <si>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</si>
  <si>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</si>
  <si>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</si>
  <si>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</si>
  <si>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</si>
  <si>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</si>
  <si>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</si>
  <si>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</si>
  <si>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</si>
  <si>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</si>
  <si>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</si>
  <si>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</si>
  <si>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</si>
  <si>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</si>
  <si>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</si>
  <si>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</si>
  <si>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</si>
  <si>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</si>
  <si>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</si>
  <si>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</si>
  <si>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</si>
  <si>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</si>
  <si>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</si>
  <si>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</si>
  <si>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</si>
  <si>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</si>
  <si>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</si>
  <si>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</si>
  <si>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</si>
  <si>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</si>
  <si>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</si>
  <si>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</si>
  <si>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</si>
  <si>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</si>
  <si>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</si>
  <si>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</si>
  <si>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</si>
  <si>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</si>
  <si>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</si>
  <si>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</si>
  <si>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</si>
  <si>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</si>
  <si>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</si>
  <si>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</si>
  <si>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</si>
  <si>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</si>
  <si>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</si>
  <si>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</si>
  <si>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</si>
  <si>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</si>
  <si>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</si>
  <si>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</si>
  <si>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</si>
  <si>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</si>
  <si>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</si>
  <si>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</si>
  <si>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</si>
  <si>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</si>
  <si>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</si>
  <si>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</si>
  <si>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</si>
  <si>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</si>
  <si>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</si>
  <si>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</si>
  <si>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</si>
  <si>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</si>
  <si>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</si>
  <si>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</si>
  <si>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</si>
  <si>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</si>
  <si>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</si>
  <si>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</si>
  <si>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</si>
  <si>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</si>
  <si>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</si>
  <si>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</si>
  <si>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</si>
  <si>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</si>
  <si>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</si>
  <si>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</si>
  <si>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</si>
  <si>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</si>
  <si>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</si>
  <si>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</si>
  <si>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</si>
  <si>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</si>
  <si>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</si>
  <si>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</si>
  <si>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</si>
  <si>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</si>
  <si>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</si>
  <si>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</si>
  <si>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</si>
  <si>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</si>
  <si>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</si>
  <si>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</si>
  <si>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</si>
  <si>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</si>
  <si>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</si>
  <si>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</si>
  <si>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</si>
  <si>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</si>
  <si>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</si>
  <si>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</si>
  <si>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</si>
  <si>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</si>
  <si>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</si>
  <si>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</si>
  <si>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</si>
  <si>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</si>
  <si>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</si>
  <si>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</si>
  <si>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</si>
  <si>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</si>
  <si>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</si>
  <si>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</si>
  <si>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</si>
  <si>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</si>
  <si>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</si>
  <si>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</si>
  <si>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</si>
  <si>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</si>
  <si>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</si>
  <si>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</si>
  <si>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</si>
  <si>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</si>
  <si>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</si>
  <si>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</si>
  <si>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</si>
  <si>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</si>
  <si>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</si>
  <si>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</si>
  <si>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</si>
  <si>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</si>
  <si>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</si>
  <si>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</si>
  <si>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</si>
  <si>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</si>
  <si>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</si>
  <si>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</si>
  <si>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</si>
  <si>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</si>
  <si>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</si>
  <si>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</si>
  <si>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</si>
  <si>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</si>
  <si>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</si>
  <si>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</si>
  <si>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</si>
  <si>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</si>
  <si>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</si>
  <si>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</si>
  <si>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</si>
  <si>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</si>
  <si>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</si>
  <si>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</si>
  <si>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</si>
  <si>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</si>
  <si>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</si>
  <si>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</si>
  <si>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</si>
  <si>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</si>
  <si>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</si>
  <si>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</si>
  <si>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</si>
  <si>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</si>
  <si>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</si>
  <si>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</si>
  <si>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</si>
  <si>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</si>
  <si>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</si>
  <si>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</si>
  <si>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</si>
  <si>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</si>
  <si>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</si>
  <si>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</si>
  <si>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</si>
  <si>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</si>
  <si>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</si>
  <si>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</si>
  <si>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</si>
  <si>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</si>
  <si>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</si>
  <si>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</si>
  <si>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</si>
  <si>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</si>
  <si>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</si>
  <si>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</si>
  <si>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</si>
  <si>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</si>
  <si>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</si>
  <si>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</si>
  <si>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</si>
  <si>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</si>
  <si>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</si>
  <si>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</si>
  <si>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</si>
  <si>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</si>
  <si>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</si>
  <si>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</si>
  <si>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</si>
  <si>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</si>
  <si>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</si>
  <si>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</si>
  <si>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</si>
  <si>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</si>
  <si>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</si>
  <si>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</si>
  <si>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</si>
  <si>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</si>
  <si>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</si>
  <si>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</si>
  <si>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</si>
  <si>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</si>
  <si>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</si>
  <si>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</si>
  <si>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</si>
  <si>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</si>
  <si>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</si>
  <si>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</si>
  <si>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</si>
  <si>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</si>
  <si>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</si>
  <si>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</si>
  <si>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</si>
  <si>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</si>
  <si>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</si>
  <si>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</si>
  <si>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</si>
  <si>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</si>
  <si>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</si>
  <si>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</si>
  <si>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</si>
  <si>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</si>
  <si>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</si>
  <si>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</si>
  <si>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</si>
  <si>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</si>
  <si>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</si>
  <si>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</si>
  <si>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</si>
  <si>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</si>
  <si>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</si>
  <si>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</si>
  <si>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</si>
  <si>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</si>
  <si>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</si>
  <si>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</si>
  <si>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</si>
  <si>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</si>
  <si>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</si>
  <si>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</si>
  <si>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</si>
  <si>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</si>
  <si>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</si>
  <si>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</si>
  <si>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</si>
  <si>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</si>
  <si>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</si>
  <si>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</si>
  <si>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</si>
  <si>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</si>
  <si>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</si>
  <si>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</si>
  <si>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</si>
  <si>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</si>
  <si>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</si>
  <si>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</si>
  <si>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</si>
  <si>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</si>
  <si>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</si>
  <si>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</si>
  <si>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</si>
  <si>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</si>
  <si>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</si>
  <si>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</si>
  <si>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</si>
  <si>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</si>
  <si>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</si>
  <si>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</si>
  <si>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</si>
  <si>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</si>
  <si>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</si>
  <si>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</si>
  <si>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</si>
  <si>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</si>
  <si>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</si>
  <si>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</si>
  <si>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</si>
  <si>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</si>
  <si>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</si>
  <si>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</si>
  <si>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</si>
  <si>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</si>
  <si>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</si>
  <si>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</si>
  <si>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</si>
  <si>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</si>
  <si>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</si>
  <si>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</si>
  <si>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</si>
  <si>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</si>
  <si>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</si>
  <si>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</si>
  <si>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</si>
  <si>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</si>
  <si>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</si>
  <si>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</si>
  <si>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</si>
  <si>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</si>
  <si>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</si>
  <si>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</si>
  <si>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</si>
  <si>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</si>
  <si>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</si>
  <si>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</si>
  <si>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</si>
  <si>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</si>
  <si>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</si>
  <si>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</si>
  <si>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</si>
  <si>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</si>
  <si>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</si>
  <si>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</si>
  <si>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</si>
  <si>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</si>
  <si>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</si>
  <si>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</si>
  <si>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</si>
  <si>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</si>
  <si>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</si>
  <si>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</si>
  <si>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</si>
  <si>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</si>
  <si>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</si>
  <si>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</si>
  <si>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</si>
  <si>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</si>
  <si>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</si>
  <si>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</si>
  <si>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</si>
  <si>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</si>
  <si>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</si>
  <si>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</si>
  <si>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</si>
  <si>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</si>
  <si>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</si>
  <si>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</si>
  <si>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</si>
  <si>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</si>
  <si>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</si>
  <si>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</si>
  <si>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</si>
  <si>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</si>
  <si>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</si>
  <si>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</si>
  <si>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</si>
  <si>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</si>
  <si>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</si>
  <si>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</si>
  <si>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</si>
  <si>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</si>
  <si>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</si>
  <si>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</si>
  <si>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</si>
  <si>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</si>
  <si>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</si>
  <si>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</si>
  <si>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</si>
  <si>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</si>
  <si>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</si>
  <si>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</si>
  <si>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</si>
  <si>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</si>
  <si>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</si>
  <si>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</si>
  <si>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</si>
  <si>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</si>
  <si>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</si>
  <si>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</si>
  <si>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</si>
  <si>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</si>
  <si>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</si>
  <si>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</si>
  <si>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</si>
  <si>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</si>
  <si>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</si>
  <si>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</si>
  <si>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</si>
  <si>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</si>
  <si>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</si>
  <si>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</si>
  <si>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</si>
  <si>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</si>
  <si>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</si>
  <si>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</si>
  <si>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</si>
  <si>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</si>
  <si>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</si>
  <si>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</si>
  <si>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</si>
  <si>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</si>
  <si>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</si>
  <si>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</si>
  <si>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</si>
  <si>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</si>
  <si>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</si>
  <si>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</si>
  <si>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</si>
  <si>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</si>
  <si>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</si>
  <si>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</si>
  <si>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</si>
  <si>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</si>
  <si>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</si>
  <si>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</si>
  <si>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</si>
  <si>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</si>
  <si>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</si>
  <si>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</si>
  <si>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</si>
  <si>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</si>
  <si>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</si>
  <si>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</si>
  <si>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</si>
  <si>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</si>
  <si>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</si>
  <si>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</si>
  <si>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</si>
  <si>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</si>
  <si>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</si>
  <si>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</si>
  <si>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</si>
  <si>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</si>
  <si>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</si>
  <si>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</si>
  <si>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</si>
  <si>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</si>
  <si>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</si>
  <si>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</si>
  <si>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</si>
  <si>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</si>
  <si>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</si>
  <si>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</si>
  <si>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</si>
  <si>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</si>
  <si>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</si>
  <si>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</si>
  <si>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</si>
  <si>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</si>
  <si>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</si>
  <si>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</si>
  <si>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</si>
  <si>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</si>
  <si>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</si>
  <si>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</si>
  <si>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</si>
  <si>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</si>
  <si>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</si>
  <si>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</si>
  <si>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</si>
  <si>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</si>
  <si>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</si>
  <si>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</si>
  <si>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</si>
  <si>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</si>
  <si>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</si>
  <si>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</si>
  <si>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</si>
  <si>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</si>
  <si>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</si>
  <si>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</si>
  <si>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</si>
  <si>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</si>
  <si>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</si>
  <si>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</si>
  <si>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</si>
  <si>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</si>
  <si>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</si>
  <si>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</si>
  <si>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</si>
  <si>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</si>
  <si>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</si>
  <si>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</si>
  <si>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</si>
  <si>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</si>
  <si>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</si>
  <si>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</si>
  <si>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</si>
  <si>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</si>
  <si>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</si>
  <si>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</si>
  <si>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</si>
  <si>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</si>
  <si>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</si>
  <si>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</si>
  <si>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</si>
  <si>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</si>
  <si>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</si>
  <si>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</si>
  <si>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</si>
  <si>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</si>
  <si>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</si>
  <si>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</si>
  <si>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</si>
  <si>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</si>
  <si>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</si>
  <si>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</si>
  <si>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</si>
  <si>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</si>
  <si>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</si>
  <si>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</si>
  <si>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</si>
  <si>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</si>
  <si>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</si>
  <si>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</si>
  <si>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</si>
  <si>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</si>
  <si>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</si>
  <si>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</si>
  <si>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</si>
  <si>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</si>
  <si>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</si>
  <si>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</si>
  <si>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</si>
  <si>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</si>
  <si>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</si>
  <si>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</si>
  <si>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</si>
  <si>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</si>
  <si>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</si>
  <si>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</si>
  <si>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</si>
  <si>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</si>
  <si>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</si>
  <si>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</si>
  <si>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</si>
  <si>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</si>
  <si>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</si>
  <si>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</si>
  <si>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</si>
  <si>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</si>
  <si>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</si>
  <si>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</si>
  <si>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</si>
  <si>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</si>
  <si>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</si>
  <si>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</si>
  <si>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</si>
  <si>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</si>
  <si>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</si>
  <si>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</si>
  <si>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</si>
  <si>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</si>
  <si>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</si>
  <si>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</si>
  <si>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</si>
  <si>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</si>
  <si>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</si>
  <si>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</si>
  <si>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</si>
  <si>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</si>
  <si>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</si>
  <si>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</si>
  <si>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</si>
  <si>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</si>
  <si>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</si>
  <si>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</si>
  <si>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</si>
  <si>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</si>
  <si>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</si>
  <si>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</si>
  <si>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</si>
  <si>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</si>
  <si>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</si>
  <si>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</si>
  <si>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</si>
  <si>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</si>
  <si>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</si>
  <si>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</si>
  <si>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</si>
  <si>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</si>
  <si>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</si>
  <si>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</si>
  <si>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</si>
  <si>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</si>
  <si>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</si>
  <si>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</si>
  <si>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</si>
  <si>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</si>
  <si>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</si>
  <si>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</si>
  <si>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</si>
  <si>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</si>
  <si>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</si>
  <si>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</si>
  <si>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</si>
  <si>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</si>
  <si>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</si>
  <si>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</si>
  <si>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</si>
  <si>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</si>
  <si>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</si>
  <si>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</si>
  <si>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</si>
  <si>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</si>
  <si>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</si>
  <si>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</si>
  <si>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</si>
  <si>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</si>
  <si>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</si>
  <si>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</si>
  <si>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</si>
  <si>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</si>
  <si>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</si>
  <si>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</si>
  <si>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</si>
  <si>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</si>
  <si>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</si>
  <si>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</si>
  <si>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</si>
  <si>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</si>
  <si>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</si>
  <si>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</si>
  <si>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</si>
  <si>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</si>
  <si>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</si>
  <si>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</si>
  <si>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</si>
  <si>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</si>
  <si>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</si>
  <si>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</si>
  <si>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</si>
  <si>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</si>
  <si>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</si>
  <si>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</si>
  <si>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</si>
  <si>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</si>
  <si>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</si>
  <si>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</si>
  <si>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</si>
  <si>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</si>
  <si>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</si>
  <si>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</si>
  <si>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</si>
  <si>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</si>
  <si>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</si>
  <si>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</si>
  <si>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</si>
  <si>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</si>
  <si>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</si>
  <si>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</si>
  <si>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</si>
  <si>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</si>
  <si>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</si>
  <si>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</si>
  <si>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</si>
  <si>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</si>
  <si>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</si>
  <si>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</si>
  <si>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</si>
  <si>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</si>
  <si>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</si>
  <si>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</si>
  <si>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</si>
  <si>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</si>
  <si>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</si>
  <si>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</si>
  <si>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</si>
  <si>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</si>
  <si>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</si>
  <si>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</si>
  <si>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</si>
  <si>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</si>
  <si>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</si>
  <si>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</si>
  <si>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</si>
  <si>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</si>
  <si>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</si>
  <si>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</si>
  <si>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</si>
  <si>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</si>
  <si>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</si>
  <si>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</si>
  <si>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</si>
  <si>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</si>
  <si>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</si>
  <si>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</si>
  <si>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</si>
  <si>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</si>
  <si>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</si>
  <si>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</si>
  <si>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</si>
  <si>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</si>
  <si>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</si>
  <si>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</si>
  <si>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</si>
  <si>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</si>
  <si>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</si>
  <si>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</si>
  <si>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</si>
  <si>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</si>
  <si>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</si>
  <si>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</si>
  <si>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</si>
  <si>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</si>
  <si>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</si>
  <si>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</si>
  <si>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</si>
  <si>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</si>
  <si>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</si>
  <si>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</si>
  <si>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</si>
  <si>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</si>
  <si>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</si>
  <si>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</si>
  <si>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</si>
  <si>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</si>
  <si>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</si>
  <si>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</si>
  <si>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</si>
  <si>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</si>
  <si>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</si>
  <si>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</si>
  <si>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</si>
  <si>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</si>
  <si>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</si>
  <si>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</si>
  <si>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</si>
  <si>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</si>
  <si>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</si>
  <si>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</si>
  <si>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</si>
  <si>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</si>
  <si>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</si>
  <si>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</si>
  <si>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</si>
  <si>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</si>
  <si>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</si>
  <si>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</si>
  <si>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</si>
  <si>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</si>
  <si>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</si>
  <si>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</si>
  <si>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</si>
  <si>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</si>
  <si>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</si>
  <si>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</si>
  <si>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</si>
  <si>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</si>
  <si>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</si>
  <si>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</si>
  <si>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</si>
  <si>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</si>
  <si>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</si>
  <si>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</si>
  <si>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</si>
  <si>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</si>
  <si>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</si>
  <si>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</si>
  <si>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</si>
  <si>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</si>
  <si>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</si>
  <si>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</si>
  <si>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</si>
  <si>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</si>
  <si>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</si>
  <si>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</si>
  <si>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</si>
  <si>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</si>
  <si>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</si>
  <si>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</si>
  <si>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</si>
  <si>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</si>
  <si>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</si>
  <si>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</si>
  <si>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</si>
  <si>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</si>
  <si>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</si>
  <si>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</si>
  <si>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</si>
  <si>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</si>
  <si>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</si>
  <si>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</si>
  <si>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</si>
  <si>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</si>
  <si>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</si>
  <si>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</si>
  <si>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</si>
  <si>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</si>
  <si>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</si>
  <si>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</si>
  <si>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</si>
  <si>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</si>
  <si>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</si>
  <si>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</si>
  <si>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</si>
  <si>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</si>
  <si>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</si>
  <si>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</si>
  <si>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</si>
  <si>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</si>
  <si>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</si>
  <si>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</si>
  <si>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</si>
  <si>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</si>
  <si>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</si>
  <si>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</si>
  <si>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</si>
  <si>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</si>
  <si>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</si>
  <si>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</si>
  <si>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</si>
  <si>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</si>
  <si>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</si>
  <si>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</si>
  <si>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</si>
  <si>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</si>
  <si>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</si>
  <si>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</si>
  <si>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</si>
  <si>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</si>
  <si>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</si>
  <si>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</si>
  <si>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</si>
  <si>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</si>
  <si>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</si>
  <si>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</si>
  <si>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</si>
  <si>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</si>
  <si>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</si>
  <si>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</si>
  <si>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</si>
  <si>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</si>
  <si>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</si>
  <si>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</si>
  <si>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</si>
  <si>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</si>
  <si>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</si>
  <si>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</si>
  <si>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</si>
  <si>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</si>
  <si>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</si>
  <si>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</si>
  <si>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</si>
  <si>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</si>
  <si>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</si>
  <si>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</si>
  <si>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</si>
  <si>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</si>
  <si>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</si>
  <si>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</si>
  <si>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</si>
  <si>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</si>
  <si>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</si>
  <si>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</si>
  <si>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</si>
  <si>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</si>
  <si>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</si>
  <si>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</si>
  <si>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</si>
  <si>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</si>
  <si>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</si>
  <si>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</si>
  <si>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</si>
  <si>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</si>
  <si>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</si>
  <si>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</si>
  <si>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</si>
  <si>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</si>
  <si>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</si>
  <si>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</si>
  <si>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</si>
  <si>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</si>
  <si>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</si>
  <si>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</si>
  <si>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</si>
  <si>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</si>
  <si>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</si>
  <si>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</si>
  <si>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</si>
  <si>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</si>
  <si>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</si>
  <si>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</si>
  <si>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</si>
  <si>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</si>
  <si>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</si>
  <si>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</si>
  <si>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</si>
  <si>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</si>
  <si>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</si>
  <si>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</si>
  <si>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</si>
  <si>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</si>
  <si>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</si>
  <si>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</si>
  <si>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</si>
  <si>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</si>
  <si>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</si>
  <si>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</si>
  <si>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</si>
  <si>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</si>
  <si>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</si>
  <si>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</si>
  <si>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</si>
  <si>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</si>
  <si>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</si>
  <si>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</si>
  <si>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</si>
  <si>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</si>
  <si>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</si>
  <si>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</si>
  <si>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</si>
  <si>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</si>
  <si>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</si>
  <si>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</si>
  <si>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</si>
  <si>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</si>
  <si>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</si>
  <si>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</si>
  <si>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</si>
  <si>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</si>
  <si>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</si>
  <si>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</si>
  <si>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</si>
  <si>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</si>
  <si>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</si>
  <si>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</si>
  <si>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</si>
  <si>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</si>
  <si>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</si>
  <si>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</si>
  <si>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</si>
  <si>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</si>
  <si>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</si>
  <si>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</si>
  <si>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</si>
  <si>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</si>
  <si>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</si>
  <si>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</si>
  <si>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</si>
  <si>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</si>
  <si>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</si>
  <si>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</si>
  <si>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</si>
  <si>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</si>
  <si>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</si>
  <si>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</si>
  <si>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</si>
  <si>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</si>
  <si>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</si>
  <si>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</si>
  <si>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</si>
  <si>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</si>
  <si>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</si>
  <si>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</si>
  <si>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</si>
  <si>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</si>
  <si>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</si>
  <si>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</si>
  <si>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</si>
  <si>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</si>
  <si>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</si>
  <si>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</si>
  <si>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</si>
  <si>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</si>
  <si>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</si>
  <si>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</si>
  <si>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</si>
  <si>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</si>
  <si>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</si>
  <si>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</si>
  <si>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</si>
  <si>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</si>
  <si>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</si>
  <si>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</si>
  <si>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</si>
  <si>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</si>
  <si>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</si>
  <si>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</si>
  <si>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</si>
  <si>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</si>
  <si>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</si>
  <si>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</si>
  <si>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</si>
  <si>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</si>
  <si>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</si>
  <si>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</si>
  <si>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</si>
  <si>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</si>
  <si>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</si>
  <si>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</si>
  <si>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</si>
  <si>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</si>
  <si>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</si>
  <si>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</si>
  <si>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</si>
  <si>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</si>
  <si>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</si>
  <si>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</si>
  <si>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</si>
  <si>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</si>
  <si>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</si>
  <si>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</si>
  <si>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</si>
  <si>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</si>
  <si>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</si>
  <si>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</si>
  <si>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</si>
  <si>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</si>
  <si>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</si>
  <si>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</si>
  <si>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</si>
  <si>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</si>
  <si>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</si>
  <si>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</si>
  <si>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</si>
  <si>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</si>
  <si>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</si>
  <si>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</si>
  <si>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</si>
  <si>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</si>
  <si>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</si>
  <si>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</si>
  <si>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</si>
  <si>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</si>
  <si>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</si>
  <si>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</si>
  <si>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</si>
  <si>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</si>
  <si>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</si>
  <si>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</si>
  <si>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</si>
  <si>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</si>
  <si>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</si>
  <si>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</si>
  <si>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</si>
  <si>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</si>
  <si>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</si>
  <si>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</si>
  <si>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</si>
  <si>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</si>
  <si>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</si>
  <si>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</si>
  <si>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</si>
  <si>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</si>
  <si>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</si>
  <si>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</si>
  <si>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</si>
  <si>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</si>
  <si>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</si>
  <si>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</si>
  <si>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</si>
  <si>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</si>
  <si>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</si>
  <si>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</si>
  <si>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</si>
  <si>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</si>
  <si>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</si>
  <si>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</si>
  <si>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</si>
  <si>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</si>
  <si>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</si>
  <si>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</si>
  <si>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</si>
  <si>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</si>
  <si>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</si>
  <si>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</si>
  <si>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</si>
  <si>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</si>
  <si>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</si>
  <si>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</si>
  <si>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</si>
  <si>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</si>
  <si>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</si>
  <si>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</si>
  <si>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</si>
  <si>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</si>
  <si>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</si>
  <si>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</si>
  <si>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</si>
  <si>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</si>
  <si>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</si>
  <si>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</si>
  <si>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</si>
  <si>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</si>
  <si>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</si>
  <si>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</si>
  <si>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</si>
  <si>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</si>
  <si>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</si>
  <si>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</si>
  <si>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</si>
  <si>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</si>
  <si>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</si>
  <si>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</si>
  <si>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</si>
  <si>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</si>
  <si>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</si>
  <si>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</si>
  <si>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</si>
  <si>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</si>
  <si>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</si>
  <si>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</si>
  <si>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</si>
  <si>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</si>
  <si>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</si>
  <si>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</si>
  <si>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</si>
  <si>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</si>
  <si>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</si>
  <si>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</si>
  <si>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</si>
  <si>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</si>
  <si>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</si>
  <si>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</si>
  <si>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</si>
  <si>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</si>
  <si>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</si>
  <si>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</si>
  <si>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</si>
  <si>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</si>
  <si>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</si>
  <si>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</si>
  <si>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</si>
  <si>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</si>
  <si>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</si>
  <si>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</si>
  <si>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</si>
  <si>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</si>
  <si>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</si>
  <si>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</si>
  <si>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</si>
  <si>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</si>
  <si>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</si>
  <si>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</si>
  <si>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</si>
  <si>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</si>
  <si>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</si>
  <si>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</si>
  <si>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</si>
  <si>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</si>
  <si>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</si>
  <si>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</si>
  <si>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</si>
  <si>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</si>
  <si>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</si>
  <si>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</si>
  <si>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</si>
  <si>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</si>
  <si>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</si>
  <si>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</si>
  <si>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</si>
  <si>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</si>
  <si>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</si>
  <si>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</si>
  <si>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</si>
  <si>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</si>
  <si>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</si>
  <si>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</si>
  <si>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</si>
  <si>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</si>
  <si>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</si>
  <si>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</si>
  <si>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</si>
  <si>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</si>
  <si>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</si>
  <si>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</si>
  <si>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</si>
  <si>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</si>
  <si>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</si>
  <si>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</si>
  <si>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</si>
  <si>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</si>
  <si>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</si>
  <si>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</si>
  <si>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</si>
  <si>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</si>
  <si>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</si>
  <si>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</si>
  <si>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</si>
  <si>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</si>
  <si>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</si>
  <si>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</si>
  <si>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</si>
  <si>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</si>
  <si>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</si>
  <si>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</si>
  <si>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</si>
  <si>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</si>
  <si>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</si>
  <si>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</si>
  <si>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</si>
  <si>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</si>
  <si>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</si>
  <si>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</si>
  <si>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</si>
  <si>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</si>
  <si>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</si>
  <si>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</si>
  <si>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</si>
  <si>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</si>
  <si>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</si>
  <si>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</si>
  <si>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</si>
  <si>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</si>
  <si>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</si>
  <si>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</si>
  <si>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</si>
  <si>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</si>
  <si>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</si>
  <si>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</si>
  <si>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</si>
  <si>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</si>
  <si>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</si>
  <si>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</si>
  <si>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</si>
  <si>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</si>
  <si>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</si>
  <si>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</si>
  <si>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</si>
  <si>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</si>
  <si>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</si>
  <si>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</si>
  <si>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</si>
  <si>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</si>
  <si>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</si>
  <si>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</si>
  <si>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</si>
  <si>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</si>
  <si>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</si>
  <si>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</si>
  <si>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</si>
  <si>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</si>
  <si>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</si>
  <si>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</si>
  <si>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</si>
  <si>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</si>
  <si>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</si>
  <si>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</si>
  <si>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</si>
  <si>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</si>
  <si>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</si>
  <si>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</si>
  <si>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</si>
  <si>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</si>
  <si>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</si>
  <si>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</si>
  <si>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</si>
  <si>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</si>
  <si>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</si>
  <si>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</si>
  <si>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</si>
  <si>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</si>
  <si>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</si>
  <si>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</si>
  <si>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</si>
  <si>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</si>
  <si>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</si>
  <si>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</si>
  <si>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</si>
  <si>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</si>
  <si>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</si>
  <si>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</si>
  <si>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</si>
  <si>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</si>
  <si>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</si>
  <si>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</si>
  <si>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</si>
  <si>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</si>
  <si>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</si>
  <si>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</si>
  <si>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</si>
  <si>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</si>
  <si>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</si>
  <si>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</si>
  <si>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</si>
  <si>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</si>
  <si>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</si>
  <si>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</si>
  <si>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</si>
  <si>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</si>
  <si>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</si>
  <si>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</si>
  <si>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</si>
  <si>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</si>
  <si>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</si>
  <si>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</si>
  <si>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</si>
  <si>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</si>
  <si>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</si>
  <si>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</si>
  <si>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</si>
  <si>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</si>
  <si>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</si>
  <si>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</si>
  <si>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</si>
  <si>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</si>
  <si>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</si>
  <si>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</si>
  <si>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</si>
  <si>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</si>
  <si>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</si>
  <si>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</si>
  <si>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</si>
  <si>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</si>
  <si>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</si>
  <si>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</si>
  <si>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</si>
  <si>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</si>
  <si>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</si>
  <si>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</si>
  <si>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</si>
  <si>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</si>
  <si>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</si>
  <si>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</si>
  <si>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</si>
  <si>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</si>
  <si>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</si>
  <si>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</si>
  <si>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</si>
  <si>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</si>
  <si>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</si>
  <si>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</si>
  <si>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</si>
  <si>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</si>
  <si>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</si>
  <si>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</si>
  <si>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</si>
  <si>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</si>
  <si>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</si>
  <si>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</si>
  <si>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</si>
  <si>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</si>
  <si>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</si>
  <si>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</si>
  <si>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</si>
  <si>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</si>
  <si>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</si>
  <si>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</si>
  <si>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</si>
  <si>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</si>
  <si>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</si>
  <si>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</si>
  <si>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</si>
  <si>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</si>
  <si>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</si>
  <si>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</si>
  <si>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</si>
  <si>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</si>
  <si>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</si>
  <si>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</si>
  <si>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</si>
  <si>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</si>
  <si>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</si>
  <si>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</si>
  <si>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</si>
  <si>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</si>
  <si>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</si>
  <si>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</si>
  <si>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</si>
  <si>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</si>
  <si>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</si>
  <si>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</si>
  <si>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</si>
  <si>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</si>
  <si>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</si>
  <si>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</si>
  <si>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</si>
  <si>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</si>
  <si>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</si>
  <si>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</si>
  <si>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</si>
  <si>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</si>
  <si>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</si>
  <si>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</si>
  <si>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</si>
  <si>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</si>
  <si>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</si>
  <si>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</si>
  <si>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</si>
  <si>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</si>
  <si>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</si>
  <si>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</si>
  <si>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</si>
  <si>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</si>
  <si>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</si>
  <si>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</si>
  <si>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</si>
  <si>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</si>
  <si>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</si>
  <si>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</si>
  <si>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</si>
  <si>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</si>
  <si>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</si>
  <si>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</si>
  <si>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</si>
  <si>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</si>
  <si>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</si>
  <si>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</si>
  <si>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</si>
  <si>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</si>
  <si>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</si>
  <si>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</si>
  <si>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</si>
  <si>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</si>
  <si>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</si>
  <si>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</si>
  <si>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</si>
  <si>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</si>
  <si>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</si>
  <si>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</si>
  <si>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</si>
  <si>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</si>
  <si>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</si>
  <si>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</si>
  <si>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</si>
  <si>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</si>
  <si>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</si>
  <si>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</si>
  <si>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</si>
  <si>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</si>
  <si>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</si>
  <si>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</si>
  <si>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</si>
  <si>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</si>
  <si>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</si>
  <si>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</si>
  <si>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</si>
  <si>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</si>
  <si>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</si>
  <si>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</si>
  <si>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</si>
  <si>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</si>
  <si>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</si>
  <si>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</si>
  <si>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</si>
  <si>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</si>
  <si>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</si>
  <si>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</si>
  <si>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</si>
  <si>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</si>
  <si>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</si>
  <si>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</si>
  <si>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</si>
  <si>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</si>
  <si>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</si>
  <si>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</si>
  <si>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</si>
  <si>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</si>
  <si>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</si>
  <si>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</si>
  <si>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</si>
  <si>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</si>
  <si>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</si>
  <si>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</si>
  <si>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</si>
  <si>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</si>
  <si>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</si>
  <si>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</si>
  <si>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</si>
  <si>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</si>
  <si>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</si>
  <si>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</si>
  <si>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</si>
  <si>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</si>
  <si>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</si>
  <si>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</si>
  <si>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</si>
  <si>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</si>
  <si>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</si>
  <si>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</si>
  <si>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</si>
  <si>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</si>
  <si>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</si>
  <si>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</si>
  <si>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</si>
  <si>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</si>
  <si>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</si>
  <si>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</si>
  <si>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</si>
  <si>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</si>
  <si>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</si>
  <si>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</si>
  <si>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</si>
  <si>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</si>
  <si>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</si>
  <si>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</si>
  <si>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</si>
  <si>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</si>
  <si>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</si>
  <si>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</si>
  <si>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</si>
  <si>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</si>
  <si>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</si>
  <si>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</si>
  <si>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</si>
  <si>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</si>
  <si>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</si>
  <si>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</si>
  <si>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</si>
  <si>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</si>
  <si>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</si>
  <si>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</si>
  <si>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</si>
  <si>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</si>
  <si>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</si>
  <si>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</si>
  <si>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</si>
  <si>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</si>
  <si>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</si>
  <si>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</si>
  <si>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</si>
  <si>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</si>
  <si>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</si>
  <si>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</si>
  <si>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</si>
  <si>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</si>
  <si>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</si>
  <si>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</si>
  <si>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</si>
  <si>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</si>
  <si>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</si>
  <si>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</si>
  <si>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</si>
  <si>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</si>
  <si>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</si>
  <si>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</si>
  <si>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</si>
  <si>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</si>
  <si>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</si>
  <si>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</si>
  <si>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</si>
  <si>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</si>
  <si>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</si>
  <si>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</si>
  <si>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</si>
  <si>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</si>
  <si>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</si>
  <si>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</si>
  <si>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</si>
  <si>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</si>
  <si>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</si>
  <si>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</si>
  <si>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</si>
  <si>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</si>
  <si>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</si>
  <si>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</si>
  <si>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</si>
  <si>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</si>
  <si>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</si>
  <si>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</si>
  <si>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</si>
  <si>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</si>
  <si>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</si>
  <si>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</si>
  <si>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</si>
  <si>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</si>
  <si>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</si>
  <si>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</si>
  <si>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</si>
  <si>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</si>
  <si>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</si>
  <si>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</si>
  <si>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</si>
  <si>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</si>
  <si>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</si>
  <si>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</si>
  <si>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</si>
  <si>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</si>
  <si>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</si>
  <si>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</si>
  <si>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</si>
  <si>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</si>
  <si>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</si>
  <si>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</si>
  <si>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</si>
  <si>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</si>
  <si>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</si>
  <si>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</si>
  <si>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</si>
  <si>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</si>
  <si>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</si>
  <si>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</si>
  <si>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</si>
  <si>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</si>
  <si>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</si>
  <si>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</si>
  <si>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</si>
  <si>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</si>
  <si>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</si>
  <si>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</si>
  <si>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</si>
  <si>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</si>
  <si>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</si>
  <si>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</si>
  <si>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</si>
  <si>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</si>
  <si>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</si>
  <si>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</si>
  <si>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</si>
  <si>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</si>
  <si>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</si>
  <si>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</si>
  <si>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</si>
  <si>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</si>
  <si>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</si>
  <si>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</si>
  <si>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</si>
  <si>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</si>
  <si>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</si>
  <si>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</si>
  <si>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</si>
  <si>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</si>
  <si>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</si>
  <si>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</si>
  <si>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</si>
  <si>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</si>
  <si>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</si>
  <si>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</si>
  <si>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</si>
  <si>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</si>
  <si>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</si>
  <si>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</si>
  <si>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</si>
  <si>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</si>
  <si>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</si>
  <si>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</si>
  <si>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</si>
  <si>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</si>
  <si>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</si>
  <si>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</si>
  <si>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</si>
  <si>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</si>
  <si>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</si>
  <si>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</si>
  <si>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</si>
  <si>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</si>
  <si>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</si>
  <si>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</si>
  <si>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</si>
  <si>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</si>
  <si>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</si>
  <si>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</si>
  <si>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</si>
  <si>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</si>
  <si>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</si>
  <si>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</si>
  <si>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</si>
  <si>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</si>
  <si>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</si>
  <si>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</si>
  <si>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</si>
  <si>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</si>
  <si>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</si>
  <si>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</si>
  <si>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</si>
  <si>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</si>
  <si>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</si>
  <si>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</si>
  <si>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</si>
  <si>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</si>
  <si>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</si>
  <si>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</si>
  <si>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</si>
  <si>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</si>
  <si>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</si>
  <si>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</si>
  <si>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</si>
  <si>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</si>
  <si>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</si>
  <si>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</si>
  <si>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</si>
  <si>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</si>
  <si>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</si>
  <si>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</si>
  <si>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</si>
  <si>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</si>
  <si>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</si>
  <si>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</si>
  <si>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</si>
  <si>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</si>
  <si>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</si>
  <si>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</si>
  <si>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</si>
  <si>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</si>
  <si>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</si>
  <si>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</si>
  <si>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</si>
  <si>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</si>
  <si>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</si>
  <si>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</si>
  <si>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</si>
  <si>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</si>
  <si>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</si>
  <si>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</si>
  <si>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</si>
  <si>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</si>
  <si>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</si>
  <si>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</si>
  <si>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</si>
  <si>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</si>
  <si>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</si>
  <si>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</si>
  <si>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</si>
  <si>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</si>
  <si>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</si>
  <si>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</si>
  <si>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</si>
  <si>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</si>
  <si>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</si>
  <si>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</si>
  <si>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</si>
  <si>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</si>
  <si>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</si>
  <si>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</si>
  <si>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</si>
  <si>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</si>
  <si>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</si>
  <si>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</si>
  <si>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</si>
  <si>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</si>
  <si>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</si>
  <si>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</si>
  <si>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</si>
  <si>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</si>
  <si>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</si>
  <si>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</si>
  <si>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</si>
  <si>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</si>
  <si>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</si>
  <si>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</si>
  <si>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</si>
  <si>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</si>
  <si>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</si>
  <si>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</si>
  <si>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</si>
  <si>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</si>
  <si>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</si>
  <si>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</si>
  <si>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</si>
  <si>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</si>
  <si>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</si>
  <si>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</si>
  <si>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</si>
  <si>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</si>
  <si>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</si>
  <si>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</si>
  <si>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</si>
  <si>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</si>
  <si>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</si>
  <si>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</si>
  <si>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</si>
  <si>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</si>
  <si>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</si>
  <si>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</si>
  <si>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</si>
  <si>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</si>
  <si>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</si>
  <si>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</si>
  <si>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</si>
  <si>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</si>
  <si>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</si>
  <si>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</si>
  <si>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</si>
  <si>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</si>
  <si>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</si>
  <si>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</si>
  <si>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</si>
  <si>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</si>
  <si>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</si>
  <si>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</si>
  <si>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</si>
  <si>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</si>
  <si>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</si>
  <si>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</si>
  <si>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</si>
  <si>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</si>
  <si>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</si>
  <si>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</si>
  <si>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</si>
  <si>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</si>
  <si>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</si>
  <si>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</si>
  <si>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</si>
  <si>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</si>
  <si>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</si>
  <si>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</si>
  <si>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</si>
  <si>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</si>
  <si>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</si>
  <si>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</si>
  <si>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</si>
  <si>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</si>
  <si>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</si>
  <si>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</si>
  <si>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</si>
  <si>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</si>
  <si>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</si>
  <si>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</si>
  <si>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</si>
  <si>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</si>
  <si>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</si>
  <si>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</si>
  <si>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</si>
  <si>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</si>
  <si>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</si>
  <si>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</si>
  <si>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</si>
  <si>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</si>
  <si>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</si>
  <si>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</si>
  <si>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</si>
  <si>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</si>
  <si>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</si>
  <si>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</si>
  <si>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</si>
  <si>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</si>
  <si>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</si>
  <si>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</si>
  <si>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</si>
  <si>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</si>
  <si>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</si>
  <si>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</si>
  <si>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</si>
  <si>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</si>
  <si>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</si>
  <si>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</si>
  <si>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</si>
  <si>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</si>
  <si>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</si>
  <si>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</si>
  <si>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</si>
  <si>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</si>
  <si>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</si>
  <si>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</si>
  <si>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</si>
  <si>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</si>
  <si>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</si>
  <si>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</si>
  <si>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</si>
  <si>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</si>
  <si>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</si>
  <si>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</si>
  <si>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</si>
  <si>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</si>
  <si>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</si>
  <si>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</si>
  <si>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</si>
  <si>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</si>
  <si>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</si>
  <si>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</si>
  <si>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</si>
  <si>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</si>
  <si>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</si>
  <si>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</si>
  <si>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</si>
  <si>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</si>
  <si>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</si>
  <si>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</si>
  <si>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</si>
  <si>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</si>
  <si>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</si>
  <si>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</si>
  <si>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</si>
  <si>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</si>
  <si>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</si>
  <si>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</si>
  <si>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</si>
  <si>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</si>
  <si>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</si>
  <si>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</si>
  <si>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</si>
  <si>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</si>
  <si>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</si>
  <si>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</si>
  <si>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</si>
  <si>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</si>
  <si>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</si>
  <si>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</si>
  <si>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</si>
  <si>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</si>
  <si>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</si>
  <si>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</si>
  <si>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</si>
  <si>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</si>
  <si>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</si>
  <si>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</si>
  <si>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</si>
  <si>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</si>
  <si>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</si>
  <si>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</si>
  <si>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</si>
  <si>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</si>
  <si>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</si>
  <si>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</si>
  <si>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</si>
  <si>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</si>
  <si>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</si>
  <si>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</si>
  <si>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</si>
  <si>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</si>
  <si>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</si>
  <si>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</si>
  <si>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</si>
  <si>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</si>
  <si>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</si>
  <si>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</si>
  <si>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</si>
  <si>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</si>
  <si>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</si>
  <si>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</si>
  <si>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</si>
  <si>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</si>
  <si>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</si>
  <si>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</si>
  <si>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</si>
  <si>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</si>
  <si>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</si>
  <si>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</si>
  <si>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</si>
  <si>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</si>
  <si>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</si>
  <si>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</si>
  <si>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</si>
  <si>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</si>
  <si>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</si>
  <si>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</si>
  <si>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</si>
  <si>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</si>
  <si>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</si>
  <si>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</si>
  <si>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</si>
  <si>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</si>
  <si>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</si>
  <si>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</si>
  <si>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</si>
  <si>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</si>
  <si>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</si>
  <si>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</si>
  <si>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</si>
  <si>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</si>
  <si>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</si>
  <si>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</si>
  <si>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</si>
  <si>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</si>
  <si>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</si>
  <si>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</si>
  <si>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</si>
  <si>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</si>
  <si>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</si>
  <si>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</si>
  <si>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</si>
  <si>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</si>
  <si>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</si>
  <si>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</si>
  <si>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</si>
  <si>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</si>
  <si>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</si>
  <si>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</si>
  <si>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</si>
  <si>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</si>
  <si>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</si>
  <si>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</si>
  <si>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</si>
  <si>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</si>
  <si>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</si>
  <si>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</si>
  <si>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</si>
  <si>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</si>
  <si>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</si>
  <si>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</si>
  <si>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</si>
  <si>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</si>
  <si>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</si>
  <si>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</si>
  <si>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</si>
  <si>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</si>
  <si>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</si>
  <si>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</si>
  <si>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</si>
  <si>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</si>
  <si>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</si>
  <si>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</si>
  <si>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</si>
  <si>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</si>
  <si>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</si>
  <si>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</si>
  <si>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</si>
  <si>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</si>
  <si>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</si>
  <si>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</si>
  <si>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</si>
  <si>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</si>
  <si>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</si>
  <si>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</si>
  <si>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</si>
  <si>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</si>
  <si>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</si>
  <si>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</si>
  <si>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</si>
  <si>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</si>
  <si>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</si>
  <si>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</si>
  <si>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</si>
  <si>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</si>
  <si>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</si>
  <si>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</si>
  <si>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</si>
  <si>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</si>
  <si>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</si>
  <si>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</si>
  <si>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</si>
  <si>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</si>
  <si>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</si>
  <si>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</si>
  <si>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</si>
  <si>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</si>
  <si>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</si>
  <si>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</si>
  <si>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</si>
  <si>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</si>
  <si>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</si>
  <si>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</si>
  <si>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</si>
  <si>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</si>
  <si>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</si>
  <si>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</si>
  <si>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</si>
  <si>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</si>
  <si>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</si>
  <si>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</si>
  <si>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</si>
  <si>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</si>
  <si>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</si>
  <si>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</si>
  <si>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</si>
  <si>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</si>
  <si>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</si>
  <si>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</si>
  <si>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</si>
  <si>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</si>
  <si>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</si>
  <si>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</si>
  <si>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</si>
  <si>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</si>
  <si>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</si>
  <si>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</si>
  <si>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</si>
  <si>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</si>
  <si>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</si>
  <si>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</si>
  <si>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</si>
  <si>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</si>
  <si>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</si>
  <si>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</si>
  <si>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</si>
  <si>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</si>
  <si>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</si>
  <si>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</si>
  <si>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</si>
  <si>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</si>
  <si>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</si>
  <si>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</si>
  <si>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</si>
  <si>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</si>
  <si>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</si>
  <si>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</si>
  <si>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</si>
  <si>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</si>
  <si>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</si>
  <si>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</si>
  <si>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</si>
  <si>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</si>
  <si>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</si>
  <si>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</si>
  <si>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</si>
  <si>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</si>
  <si>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</si>
  <si>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</si>
  <si>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</si>
  <si>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</si>
  <si>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</si>
  <si>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</si>
  <si>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</si>
  <si>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</si>
  <si>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</si>
  <si>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</si>
  <si>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</si>
  <si>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</si>
  <si>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</si>
  <si>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</si>
  <si>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</si>
  <si>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</si>
  <si>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</si>
  <si>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</si>
  <si>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</si>
  <si>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</si>
  <si>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</si>
  <si>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</si>
  <si>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</si>
  <si>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</si>
  <si>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</si>
  <si>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</si>
  <si>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</si>
  <si>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</si>
  <si>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</si>
  <si>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</si>
  <si>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</si>
  <si>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</si>
  <si>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</si>
  <si>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</si>
  <si>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</si>
  <si>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</si>
  <si>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</si>
  <si>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</si>
  <si>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</si>
  <si>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</si>
  <si>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</si>
  <si>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</si>
  <si>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</si>
  <si>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</si>
  <si>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</si>
  <si>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</si>
  <si>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</si>
  <si>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</si>
  <si>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</si>
  <si>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</si>
  <si>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</si>
  <si>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</si>
  <si>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</si>
  <si>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</si>
  <si>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</si>
  <si>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</si>
  <si>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</si>
  <si>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</si>
  <si>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</si>
  <si>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</si>
  <si>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</si>
  <si>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</si>
  <si>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</si>
  <si>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</si>
  <si>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</si>
  <si>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</si>
  <si>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</si>
  <si>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</si>
  <si>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</si>
  <si>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</si>
  <si>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</si>
  <si>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</si>
  <si>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</si>
  <si>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</si>
  <si>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</si>
  <si>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</si>
  <si>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</si>
  <si>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</si>
  <si>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</si>
  <si>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</si>
  <si>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</si>
  <si>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</si>
  <si>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</si>
  <si>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</si>
  <si>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</si>
  <si>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</si>
  <si>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</si>
  <si>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</si>
  <si>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</si>
  <si>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</si>
  <si>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</si>
  <si>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</si>
  <si>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</si>
  <si>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</si>
  <si>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</si>
  <si>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</si>
  <si>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</si>
  <si>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</si>
  <si>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</si>
  <si>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</si>
  <si>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</si>
  <si>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</si>
  <si>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</si>
  <si>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</si>
  <si>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</si>
  <si>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</si>
  <si>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</si>
  <si>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</si>
  <si>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</si>
  <si>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</si>
  <si>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</si>
  <si>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</si>
  <si>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</si>
  <si>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</si>
  <si>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</si>
  <si>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</si>
  <si>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</si>
  <si>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</si>
  <si>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</si>
  <si>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</si>
  <si>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</si>
  <si>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</si>
  <si>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</si>
  <si>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</si>
  <si>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</si>
  <si>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</si>
  <si>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</si>
  <si>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</si>
  <si>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</si>
  <si>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</si>
  <si>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</si>
  <si>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</si>
  <si>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</si>
  <si>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</si>
  <si>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</si>
  <si>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</si>
  <si>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</si>
  <si>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</si>
  <si>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</si>
  <si>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</si>
  <si>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</si>
  <si>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</si>
  <si>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</si>
  <si>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</si>
  <si>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</si>
  <si>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</si>
  <si>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</si>
  <si>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</si>
  <si>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</si>
  <si>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</si>
  <si>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</si>
  <si>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</si>
  <si>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</si>
  <si>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</si>
  <si>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</si>
  <si>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</si>
  <si>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</si>
  <si>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</si>
  <si>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</si>
  <si>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</si>
  <si>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</si>
  <si>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</si>
  <si>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</si>
  <si>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</si>
  <si>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</si>
  <si>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</si>
  <si>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</si>
  <si>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</si>
  <si>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</si>
  <si>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</si>
  <si>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</si>
  <si>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</si>
  <si>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</si>
  <si>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</si>
  <si>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</si>
  <si>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</si>
  <si>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</si>
  <si>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</si>
  <si>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</si>
  <si>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</si>
  <si>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</si>
  <si>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</si>
  <si>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</si>
  <si>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</si>
  <si>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</si>
  <si>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</si>
  <si>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</si>
  <si>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</si>
  <si>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</si>
  <si>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</si>
  <si>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</si>
  <si>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</si>
  <si>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</si>
  <si>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</si>
  <si>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</si>
  <si>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</si>
  <si>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</si>
  <si>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</si>
  <si>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</si>
  <si>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</si>
  <si>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</si>
  <si>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</si>
  <si>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</si>
  <si>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</si>
  <si>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</si>
  <si>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</si>
  <si>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</si>
  <si>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</si>
  <si>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</si>
  <si>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</si>
  <si>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</si>
  <si>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</si>
  <si>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</si>
  <si>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</si>
  <si>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</si>
  <si>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</si>
  <si>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</si>
  <si>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</si>
  <si>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</si>
  <si>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</si>
  <si>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</si>
  <si>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</si>
  <si>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</si>
  <si>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</si>
  <si>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</si>
  <si>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</si>
  <si>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</si>
  <si>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</si>
  <si>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</si>
  <si>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</si>
  <si>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</si>
  <si>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</si>
  <si>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</si>
  <si>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</si>
  <si>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</si>
  <si>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</si>
  <si>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</si>
  <si>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</si>
  <si>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</si>
  <si>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</si>
  <si>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</si>
  <si>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</si>
  <si>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</si>
  <si>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</si>
  <si>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</si>
  <si>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</si>
  <si>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</si>
  <si>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</si>
  <si>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</si>
  <si>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</si>
  <si>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</si>
  <si>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</si>
  <si>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</si>
  <si>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</si>
  <si>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</si>
  <si>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</si>
  <si>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</si>
  <si>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</si>
  <si>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</si>
  <si>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</si>
  <si>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</si>
  <si>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</si>
  <si>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</si>
  <si>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</si>
  <si>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</si>
  <si>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</si>
  <si>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</si>
  <si>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</si>
  <si>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</si>
  <si>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</si>
  <si>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</si>
  <si>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</si>
  <si>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</si>
  <si>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</si>
  <si>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</si>
  <si>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</si>
  <si>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</si>
  <si>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</si>
  <si>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</si>
  <si>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</si>
  <si>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</si>
  <si>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</si>
  <si>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</si>
  <si>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</si>
  <si>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</si>
  <si>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</si>
  <si>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</si>
  <si>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</si>
  <si>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</si>
  <si>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</si>
  <si>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</si>
  <si>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</si>
  <si>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</si>
  <si>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</si>
  <si>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</si>
  <si>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</si>
  <si>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</si>
  <si>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</si>
  <si>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</si>
  <si>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</si>
  <si>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</si>
  <si>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</si>
  <si>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</si>
  <si>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</si>
  <si>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</si>
  <si>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</si>
  <si>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</si>
  <si>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</si>
  <si>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</si>
  <si>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</si>
  <si>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</si>
  <si>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</si>
  <si>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</si>
  <si>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</si>
  <si>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</si>
  <si>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</si>
  <si>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</si>
  <si>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</si>
  <si>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</si>
  <si>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</si>
  <si>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</si>
  <si>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</si>
  <si>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</si>
  <si>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</si>
  <si>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</si>
  <si>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</si>
  <si>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</si>
  <si>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</si>
  <si>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</si>
  <si>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</si>
  <si>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</si>
  <si>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</si>
  <si>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</si>
  <si>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</si>
  <si>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</si>
  <si>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</si>
  <si>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</si>
  <si>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</si>
  <si>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</si>
  <si>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</si>
  <si>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</si>
  <si>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</si>
  <si>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</si>
  <si>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</si>
  <si>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</si>
  <si>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</si>
  <si>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</si>
  <si>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</si>
  <si>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</si>
  <si>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</si>
  <si>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</si>
  <si>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</si>
  <si>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</si>
  <si>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</si>
  <si>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</si>
  <si>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</si>
  <si>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</si>
  <si>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</si>
  <si>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</si>
  <si>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</si>
  <si>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</si>
  <si>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</si>
  <si>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</si>
  <si>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</si>
  <si>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</si>
  <si>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</si>
  <si>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</si>
  <si>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</si>
  <si>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</si>
  <si>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</si>
  <si>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</si>
  <si>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</si>
  <si>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</si>
  <si>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</si>
  <si>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</si>
  <si>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</si>
  <si>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</si>
  <si>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</si>
  <si>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</si>
  <si>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</si>
  <si>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</si>
  <si>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</si>
  <si>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</si>
  <si>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</si>
  <si>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</si>
  <si>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</si>
  <si>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</si>
  <si>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</si>
  <si>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</si>
  <si>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</si>
  <si>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</si>
  <si>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</si>
  <si>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</si>
  <si>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</si>
  <si>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</si>
  <si>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</si>
  <si>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</si>
  <si>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</si>
  <si>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</si>
  <si>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</si>
  <si>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</si>
  <si>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</si>
  <si>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</si>
  <si>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</si>
  <si>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</si>
  <si>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</si>
  <si>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</si>
  <si>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</si>
  <si>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</si>
  <si>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</si>
  <si>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</si>
  <si>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</si>
  <si>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</si>
  <si>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</si>
  <si>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</si>
  <si>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</si>
  <si>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</si>
  <si>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</si>
  <si>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</si>
  <si>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</si>
  <si>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</si>
  <si>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</si>
  <si>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</si>
  <si>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</si>
  <si>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</si>
  <si>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</si>
  <si>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</si>
  <si>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</si>
  <si>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</si>
  <si>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</si>
  <si>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</si>
  <si>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</si>
  <si>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</si>
  <si>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</si>
  <si>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</si>
  <si>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</si>
  <si>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</si>
  <si>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</si>
  <si>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</si>
  <si>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</si>
  <si>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</si>
  <si>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</si>
  <si>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</si>
  <si>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</si>
  <si>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</si>
  <si>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</si>
  <si>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</si>
  <si>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</si>
  <si>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</si>
  <si>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</si>
  <si>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</si>
  <si>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</si>
  <si>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</si>
  <si>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</si>
  <si>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</si>
  <si>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</si>
  <si>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</si>
  <si>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</si>
  <si>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</si>
  <si>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</si>
  <si>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</si>
  <si>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</si>
  <si>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</si>
  <si>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</si>
  <si>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</si>
  <si>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</si>
  <si>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</si>
  <si>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</si>
  <si>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</si>
  <si>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</si>
  <si>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</si>
  <si>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</si>
  <si>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</si>
  <si>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</si>
  <si>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</si>
  <si>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</si>
  <si>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</si>
  <si>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</si>
  <si>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</si>
  <si>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</si>
  <si>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</si>
  <si>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</si>
  <si>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</si>
  <si>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</si>
  <si>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</si>
  <si>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</si>
  <si>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</si>
  <si>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</si>
  <si>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</si>
  <si>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</si>
  <si>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</si>
  <si>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</si>
  <si>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</si>
  <si>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</si>
  <si>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</si>
  <si>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</si>
  <si>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</si>
  <si>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</si>
  <si>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</si>
  <si>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</si>
  <si>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</si>
  <si>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</si>
  <si>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</si>
  <si>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</si>
  <si>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</si>
  <si>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</si>
  <si>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</si>
  <si>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</si>
  <si>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</si>
  <si>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</si>
  <si>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</si>
  <si>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</si>
  <si>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</si>
  <si>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</si>
  <si>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</si>
  <si>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</si>
  <si>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</si>
  <si>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</si>
  <si>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</si>
  <si>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</si>
  <si>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</si>
  <si>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</si>
  <si>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</si>
  <si>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</si>
  <si>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</si>
  <si>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</si>
  <si>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</si>
  <si>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</si>
  <si>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</si>
  <si>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</si>
  <si>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</si>
  <si>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</si>
  <si>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</si>
  <si>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</si>
  <si>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</si>
  <si>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</si>
  <si>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</si>
  <si>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</si>
  <si>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</si>
  <si>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</si>
  <si>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</si>
  <si>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</si>
  <si>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</si>
  <si>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</si>
  <si>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</si>
  <si>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</si>
  <si>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</si>
  <si>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</si>
  <si>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</si>
  <si>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</si>
  <si>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</si>
  <si>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</si>
  <si>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</si>
  <si>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</si>
  <si>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</si>
  <si>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</si>
  <si>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</si>
  <si>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</si>
  <si>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</si>
  <si>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</si>
  <si>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</si>
  <si>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</si>
  <si>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</si>
  <si>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</si>
  <si>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</si>
  <si>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</si>
  <si>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</si>
  <si>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</si>
  <si>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</si>
  <si>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</si>
  <si>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</si>
  <si>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</si>
  <si>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</si>
  <si>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</si>
  <si>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</si>
  <si>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</si>
  <si>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</si>
  <si>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</si>
  <si>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</si>
  <si>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</si>
  <si>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</si>
  <si>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</si>
  <si>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</si>
  <si>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</si>
  <si>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</si>
  <si>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</si>
  <si>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</si>
  <si>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</si>
  <si>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</si>
  <si>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</si>
  <si>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</si>
  <si>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</si>
  <si>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</si>
  <si>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</si>
  <si>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</si>
  <si>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</si>
  <si>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</si>
  <si>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</si>
  <si>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</si>
  <si>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</si>
  <si>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</si>
  <si>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</si>
  <si>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</si>
  <si>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</si>
  <si>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</si>
  <si>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</si>
  <si>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</si>
  <si>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</si>
  <si>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</si>
  <si>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</si>
  <si>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</si>
  <si>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</si>
  <si>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</si>
  <si>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</si>
  <si>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</si>
  <si>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</si>
  <si>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</si>
  <si>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</si>
  <si>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</si>
  <si>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</si>
  <si>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</si>
  <si>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</si>
  <si>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</si>
  <si>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</si>
  <si>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</si>
  <si>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</si>
  <si>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</si>
  <si>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</si>
  <si>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</si>
  <si>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</si>
  <si>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</si>
  <si>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</si>
  <si>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</si>
  <si>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</si>
  <si>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</si>
  <si>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</si>
  <si>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</si>
  <si>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</si>
  <si>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</si>
  <si>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</si>
  <si>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</si>
  <si>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</si>
  <si>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</si>
  <si>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</si>
  <si>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</si>
  <si>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</si>
  <si>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</si>
  <si>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</si>
  <si>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</si>
  <si>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</si>
  <si>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</si>
  <si>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</si>
  <si>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</si>
  <si>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</si>
  <si>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</si>
  <si>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</si>
  <si>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</si>
  <si>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</si>
  <si>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</si>
  <si>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</si>
  <si>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</si>
  <si>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</si>
  <si>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</si>
  <si>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</si>
  <si>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</si>
  <si>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</si>
  <si>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</si>
  <si>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</si>
  <si>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</si>
  <si>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</si>
  <si>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</si>
  <si>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</si>
  <si>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</si>
  <si>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</si>
  <si>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</si>
  <si>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</si>
  <si>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</si>
  <si>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</si>
  <si>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</si>
  <si>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</si>
  <si>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</si>
  <si>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</si>
  <si>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</si>
  <si>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</si>
  <si>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</si>
  <si>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</si>
  <si>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</si>
  <si>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</si>
  <si>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</si>
  <si>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</si>
  <si>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</si>
  <si>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</si>
  <si>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</si>
  <si>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</si>
  <si>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</si>
  <si>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</si>
  <si>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</si>
  <si>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</si>
  <si>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</si>
  <si>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</si>
  <si>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</si>
  <si>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</si>
  <si>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</si>
  <si>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</si>
  <si>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</si>
  <si>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</si>
  <si>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</si>
  <si>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</si>
  <si>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</si>
  <si>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</si>
  <si>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</si>
  <si>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</si>
  <si>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</si>
  <si>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</si>
  <si>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</si>
  <si>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</si>
  <si>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</si>
  <si>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</si>
  <si>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</si>
  <si>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</si>
  <si>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</si>
  <si>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</si>
  <si>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</si>
  <si>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</si>
  <si>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</si>
  <si>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</si>
  <si>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</si>
  <si>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</si>
  <si>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</si>
  <si>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</si>
  <si>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</si>
  <si>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</si>
  <si>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</si>
  <si>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</si>
  <si>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</si>
  <si>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</si>
  <si>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</si>
  <si>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</si>
  <si>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</si>
  <si>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</si>
  <si>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</si>
  <si>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</si>
  <si>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</si>
  <si>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</si>
  <si>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</si>
  <si>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</si>
  <si>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</si>
  <si>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</si>
  <si>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</si>
  <si>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</si>
  <si>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</si>
  <si>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</si>
  <si>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</si>
  <si>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</si>
  <si>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</si>
  <si>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</si>
  <si>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</si>
  <si>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</si>
  <si>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</si>
  <si>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</si>
  <si>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</si>
  <si>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</si>
  <si>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</si>
  <si>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</si>
  <si>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</si>
  <si>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</si>
  <si>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</si>
  <si>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</si>
  <si>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</si>
  <si>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</si>
  <si>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</si>
  <si>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</si>
  <si>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</si>
  <si>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</si>
  <si>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</si>
  <si>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</si>
  <si>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</si>
  <si>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</si>
  <si>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</si>
  <si>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</si>
  <si>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</si>
  <si>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</si>
  <si>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</si>
  <si>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</si>
  <si>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</si>
  <si>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</si>
  <si>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</si>
  <si>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</si>
  <si>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</si>
  <si>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</si>
  <si>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</si>
  <si>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</si>
  <si>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</si>
  <si>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</si>
  <si>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</si>
  <si>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</si>
  <si>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</si>
  <si>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</si>
  <si>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</si>
  <si>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</si>
  <si>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</si>
  <si>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</si>
  <si>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</si>
  <si>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</si>
  <si>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</si>
  <si>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</si>
  <si>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</si>
  <si>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</si>
  <si>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</si>
  <si>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</si>
  <si>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</si>
  <si>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</si>
  <si>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</si>
  <si>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</si>
  <si>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</si>
  <si>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</si>
  <si>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</si>
  <si>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</si>
  <si>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</si>
  <si>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</si>
  <si>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</si>
  <si>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</si>
  <si>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</si>
  <si>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</si>
  <si>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</si>
  <si>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</si>
  <si>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</si>
  <si>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</si>
  <si>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</si>
  <si>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</si>
  <si>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</si>
  <si>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</si>
  <si>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</si>
  <si>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</si>
  <si>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</si>
  <si>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</si>
  <si>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</si>
  <si>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</si>
  <si>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</si>
  <si>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</si>
  <si>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</si>
  <si>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</si>
  <si>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</si>
  <si>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</si>
  <si>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</si>
  <si>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</si>
  <si>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</si>
  <si>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</si>
  <si>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</si>
  <si>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</si>
  <si>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</si>
  <si>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</si>
  <si>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</si>
  <si>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</si>
  <si>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</si>
  <si>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</si>
  <si>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</si>
  <si>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</si>
  <si>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</si>
  <si>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</si>
  <si>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</si>
  <si>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</si>
  <si>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</si>
  <si>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</si>
  <si>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</si>
  <si>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</si>
  <si>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</si>
  <si>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</si>
  <si>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</si>
  <si>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</si>
  <si>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</si>
  <si>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</si>
  <si>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</si>
  <si>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</si>
  <si>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</si>
  <si>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</si>
  <si>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</si>
  <si>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</si>
  <si>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</si>
  <si>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</si>
  <si>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</si>
  <si>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</si>
  <si>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</si>
  <si>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</si>
  <si>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</si>
  <si>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</si>
  <si>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</si>
  <si>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</si>
  <si>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</si>
  <si>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</si>
  <si>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</si>
  <si>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</si>
  <si>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</si>
  <si>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</si>
  <si>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</si>
  <si>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</si>
  <si>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</si>
  <si>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</si>
  <si>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</si>
  <si>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</si>
  <si>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</si>
  <si>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</si>
  <si>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</si>
  <si>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</si>
  <si>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</si>
  <si>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</si>
  <si>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</si>
  <si>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</si>
  <si>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</si>
  <si>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</si>
  <si>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</si>
  <si>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</si>
  <si>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</si>
  <si>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</si>
  <si>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</si>
  <si>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</si>
  <si>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</si>
  <si>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</si>
  <si>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</si>
  <si>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</si>
  <si>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</si>
  <si>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</si>
  <si>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</si>
  <si>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</si>
  <si>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</si>
  <si>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</si>
  <si>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</si>
  <si>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</si>
  <si>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</si>
  <si>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</si>
  <si>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</si>
  <si>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</si>
  <si>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</si>
  <si>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</si>
  <si>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</si>
  <si>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</si>
  <si>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</si>
  <si>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</si>
  <si>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</si>
  <si>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</si>
  <si>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</si>
  <si>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</si>
  <si>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</si>
  <si>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</si>
  <si>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</si>
  <si>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</si>
  <si>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</si>
  <si>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</si>
  <si>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</si>
  <si>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</si>
  <si>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</si>
  <si>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</si>
  <si>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</si>
  <si>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</si>
  <si>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</si>
  <si>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</si>
  <si>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</si>
  <si>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</si>
  <si>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</si>
  <si>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</si>
  <si>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</si>
  <si>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</si>
  <si>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</si>
  <si>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</si>
  <si>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</si>
  <si>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</si>
  <si>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</si>
  <si>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</si>
  <si>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</si>
  <si>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</si>
  <si>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</si>
  <si>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</si>
  <si>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</si>
  <si>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</si>
  <si>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</si>
  <si>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</si>
  <si>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</si>
  <si>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</si>
  <si>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</si>
  <si>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</si>
  <si>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</si>
  <si>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</si>
  <si>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</si>
  <si>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</si>
  <si>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</si>
  <si>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</si>
  <si>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</si>
  <si>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</si>
  <si>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</si>
  <si>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</si>
  <si>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</si>
  <si>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</si>
  <si>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</si>
  <si>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</si>
  <si>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</si>
  <si>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</si>
  <si>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</si>
  <si>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</si>
  <si>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</si>
  <si>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</si>
  <si>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</si>
  <si>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</si>
  <si>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</si>
  <si>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</si>
  <si>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</si>
  <si>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</si>
  <si>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</si>
  <si>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</si>
  <si>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</si>
  <si>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</si>
  <si>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</si>
  <si>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</si>
  <si>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</si>
  <si>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</si>
  <si>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</si>
  <si>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</si>
  <si>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</si>
  <si>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</si>
  <si>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</si>
  <si>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</si>
  <si>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</si>
  <si>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</si>
  <si>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</si>
  <si>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</si>
  <si>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</si>
  <si>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</si>
  <si>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</si>
  <si>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</si>
  <si>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</si>
  <si>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</si>
  <si>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</si>
  <si>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</si>
  <si>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</si>
  <si>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</si>
  <si>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</si>
  <si>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</si>
  <si>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</si>
  <si>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</si>
  <si>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</si>
  <si>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</si>
  <si>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</si>
  <si>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</si>
  <si>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</si>
  <si>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</si>
  <si>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</si>
  <si>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</si>
  <si>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</si>
  <si>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</si>
  <si>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</si>
  <si>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</si>
  <si>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</si>
  <si>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</si>
  <si>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</si>
  <si>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</si>
  <si>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</si>
  <si>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</si>
  <si>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</si>
  <si>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</si>
  <si>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</si>
  <si>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</si>
  <si>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</si>
  <si>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</si>
  <si>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</si>
  <si>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</si>
  <si>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</si>
  <si>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</si>
  <si>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</si>
  <si>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</si>
  <si>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</si>
  <si>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</si>
  <si>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</si>
  <si>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</si>
  <si>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</si>
  <si>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</si>
  <si>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</si>
  <si>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</si>
  <si>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</si>
  <si>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</si>
  <si>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</si>
  <si>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</si>
  <si>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</si>
  <si>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</si>
  <si>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</si>
  <si>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</si>
  <si>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</si>
  <si>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</si>
  <si>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</si>
  <si>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</si>
  <si>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</si>
  <si>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</si>
  <si>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</si>
  <si>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</si>
  <si>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</si>
  <si>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</si>
  <si>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</si>
  <si>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</si>
  <si>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</si>
  <si>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</si>
  <si>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</si>
  <si>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</si>
  <si>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</si>
  <si>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</si>
  <si>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</si>
  <si>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</si>
  <si>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</si>
  <si>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</si>
  <si>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</si>
  <si>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</si>
  <si>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</si>
  <si>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</si>
  <si>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</si>
  <si>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</si>
  <si>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</si>
  <si>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</si>
  <si>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</si>
  <si>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</si>
  <si>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</si>
  <si>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</si>
  <si>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</si>
  <si>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</si>
  <si>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</si>
  <si>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</si>
  <si>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</si>
  <si>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</si>
  <si>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</si>
  <si>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</si>
  <si>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</si>
  <si>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</si>
  <si>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</si>
  <si>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</si>
  <si>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</si>
  <si>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</si>
  <si>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</si>
  <si>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</si>
  <si>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</si>
  <si>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</si>
  <si>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</si>
  <si>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</si>
  <si>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</si>
  <si>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</si>
  <si>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</si>
  <si>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</si>
  <si>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</si>
  <si>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</si>
  <si>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</si>
  <si>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</si>
  <si>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</si>
  <si>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</si>
  <si>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</si>
  <si>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</si>
  <si>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</si>
  <si>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</si>
  <si>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</si>
  <si>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</si>
  <si>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</si>
  <si>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</si>
  <si>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</si>
  <si>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</si>
  <si>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</si>
  <si>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</si>
  <si>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</si>
  <si>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</si>
  <si>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</si>
  <si>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</si>
  <si>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</si>
  <si>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</si>
  <si>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</si>
  <si>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</si>
  <si>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</si>
  <si>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</si>
  <si>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</si>
  <si>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</si>
  <si>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</si>
  <si>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</si>
  <si>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</si>
  <si>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</si>
  <si>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</si>
  <si>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</si>
  <si>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</si>
  <si>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</si>
  <si>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</si>
  <si>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</si>
  <si>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</si>
  <si>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</si>
  <si>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</si>
  <si>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</si>
  <si>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</si>
  <si>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</si>
  <si>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</si>
  <si>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</si>
  <si>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</si>
  <si>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</si>
  <si>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</si>
  <si>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</si>
  <si>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</si>
  <si>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</si>
  <si>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</si>
  <si>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</si>
  <si>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</si>
  <si>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</si>
  <si>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</si>
  <si>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</si>
  <si>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</si>
  <si>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</si>
  <si>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</si>
  <si>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</si>
  <si>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</si>
  <si>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</si>
  <si>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</si>
  <si>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</si>
  <si>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</si>
  <si>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</si>
  <si>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</si>
  <si>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</si>
  <si>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</si>
  <si>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</si>
  <si>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</si>
  <si>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</si>
  <si>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</si>
  <si>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</si>
  <si>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</si>
  <si>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</si>
  <si>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</si>
  <si>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</si>
  <si>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</si>
  <si>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</si>
  <si>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</si>
  <si>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</si>
  <si>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</si>
  <si>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</si>
  <si>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</si>
  <si>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</si>
  <si>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</si>
  <si>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</si>
  <si>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</si>
  <si>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</si>
  <si>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</si>
  <si>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</si>
  <si>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</si>
  <si>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</si>
  <si>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</si>
  <si>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</si>
  <si>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</si>
  <si>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</si>
  <si>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</si>
  <si>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</si>
  <si>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</si>
  <si>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</si>
  <si>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</si>
  <si>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</si>
  <si>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</si>
  <si>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</si>
  <si>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</si>
  <si>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</si>
  <si>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</si>
  <si>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</si>
  <si>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</si>
  <si>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</si>
  <si>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</si>
  <si>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</si>
  <si>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</si>
  <si>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</si>
  <si>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</si>
  <si>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</si>
  <si>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</si>
  <si>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</si>
  <si>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</si>
  <si>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</si>
  <si>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</si>
  <si>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</si>
  <si>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</si>
  <si>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</si>
  <si>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</si>
  <si>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</si>
  <si>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</si>
  <si>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</si>
  <si>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</si>
  <si>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</si>
  <si>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</si>
  <si>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</si>
  <si>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</si>
  <si>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</si>
  <si>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</si>
  <si>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</si>
  <si>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</si>
  <si>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</si>
  <si>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</si>
  <si>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</si>
  <si>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</si>
  <si>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</si>
  <si>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</si>
  <si>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</si>
  <si>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</si>
  <si>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</si>
  <si>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</si>
  <si>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</si>
  <si>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</si>
  <si>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</si>
  <si>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</si>
  <si>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</si>
  <si>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</si>
  <si>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</si>
  <si>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</si>
  <si>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</si>
  <si>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</si>
  <si>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</si>
  <si>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</si>
  <si>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</si>
  <si>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</si>
  <si>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</si>
  <si>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</si>
  <si>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</si>
  <si>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</si>
  <si>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</si>
  <si>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</si>
  <si>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</si>
  <si>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</si>
  <si>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</si>
  <si>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</si>
  <si>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</si>
  <si>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</si>
  <si>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</si>
  <si>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</si>
  <si>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</si>
  <si>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</si>
  <si>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</si>
  <si>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</si>
  <si>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</si>
  <si>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</si>
  <si>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</si>
  <si>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</si>
  <si>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</si>
  <si>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</si>
  <si>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</si>
  <si>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</si>
  <si>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</si>
  <si>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</si>
  <si>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</si>
  <si>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</si>
  <si>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</si>
  <si>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</si>
  <si>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</si>
  <si>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</si>
  <si>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</si>
  <si>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</si>
  <si>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</si>
  <si>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</si>
  <si>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</si>
  <si>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</si>
  <si>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</si>
  <si>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</si>
  <si>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</si>
  <si>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</si>
  <si>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</si>
  <si>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</si>
  <si>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</si>
  <si>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</si>
  <si>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</si>
  <si>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</si>
  <si>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</si>
  <si>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</si>
  <si>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</si>
  <si>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</si>
  <si>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</si>
  <si>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</si>
  <si>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</si>
  <si>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</si>
  <si>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</si>
  <si>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</si>
  <si>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</si>
  <si>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</si>
  <si>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</si>
  <si>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</si>
  <si>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</si>
  <si>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</si>
  <si>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</si>
  <si>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</si>
  <si>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</si>
  <si>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</si>
  <si>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</si>
  <si>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</si>
  <si>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</si>
  <si>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</si>
  <si>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</si>
  <si>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</si>
  <si>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</si>
  <si>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</si>
  <si>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</si>
  <si>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</si>
  <si>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</si>
  <si>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</si>
  <si>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</si>
  <si>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</si>
  <si>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</si>
  <si>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</si>
  <si>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</si>
  <si>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</si>
  <si>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</si>
  <si>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</si>
  <si>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</si>
  <si>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</si>
  <si>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</si>
  <si>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</si>
  <si>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</si>
  <si>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</si>
  <si>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</si>
  <si>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</si>
  <si>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</si>
  <si>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</si>
  <si>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</si>
  <si>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</si>
  <si>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</si>
  <si>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</si>
  <si>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</si>
  <si>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</si>
  <si>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</si>
  <si>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</si>
  <si>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</si>
  <si>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</si>
  <si>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</si>
  <si>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</si>
  <si>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</si>
  <si>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</si>
  <si>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</si>
  <si>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</si>
  <si>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</si>
  <si>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</si>
  <si>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</si>
  <si>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</si>
  <si>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</si>
  <si>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</si>
  <si>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</si>
  <si>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</si>
  <si>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</si>
  <si>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</si>
  <si>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</si>
  <si>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</si>
  <si>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</si>
  <si>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</si>
  <si>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</si>
  <si>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</si>
  <si>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</si>
  <si>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</si>
  <si>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</si>
  <si>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</si>
  <si>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</si>
  <si>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</si>
  <si>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</si>
  <si>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</si>
  <si>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</si>
  <si>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</si>
  <si>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</si>
  <si>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</si>
  <si>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</si>
  <si>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</si>
  <si>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</si>
  <si>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</si>
  <si>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</si>
  <si>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</si>
  <si>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</si>
  <si>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</si>
  <si>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</si>
  <si>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</si>
  <si>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</si>
  <si>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</si>
  <si>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</si>
  <si>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</si>
  <si>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</si>
  <si>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</si>
  <si>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</si>
  <si>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</si>
  <si>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</si>
  <si>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</si>
  <si>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</si>
  <si>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</si>
  <si>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</si>
  <si>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</si>
  <si>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</si>
  <si>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</si>
  <si>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</si>
  <si>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</si>
  <si>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</si>
  <si>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</si>
  <si>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</si>
  <si>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</si>
  <si>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</si>
  <si>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</si>
  <si>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</si>
  <si>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</si>
  <si>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</si>
  <si>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</si>
  <si>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</si>
  <si>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</si>
  <si>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</si>
  <si>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</si>
  <si>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</si>
  <si>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</si>
  <si>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</si>
  <si>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</si>
  <si>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</si>
  <si>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</si>
  <si>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</si>
  <si>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</si>
  <si>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</si>
  <si>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</si>
  <si>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</si>
  <si>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</si>
  <si>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</si>
  <si>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</si>
  <si>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</si>
  <si>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</si>
  <si>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</si>
  <si>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</si>
  <si>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</si>
  <si>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</si>
  <si>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</si>
  <si>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</si>
  <si>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</si>
  <si>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</si>
  <si>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</si>
  <si>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</si>
  <si>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</si>
  <si>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</si>
  <si>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</si>
  <si>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</si>
  <si>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</si>
  <si>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</si>
  <si>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</si>
  <si>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</si>
  <si>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</si>
  <si>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</si>
  <si>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</si>
  <si>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</si>
  <si>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</si>
  <si>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</si>
  <si>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</si>
  <si>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</si>
  <si>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</si>
  <si>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</si>
  <si>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</si>
  <si>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</si>
  <si>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</si>
  <si>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</si>
  <si>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</si>
  <si>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</si>
  <si>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</si>
  <si>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</si>
  <si>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</si>
  <si>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</si>
  <si>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</si>
  <si>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</si>
  <si>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</si>
  <si>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</si>
  <si>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</si>
  <si>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</si>
  <si>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</si>
  <si>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</si>
  <si>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</si>
  <si>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</si>
  <si>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</si>
  <si>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</si>
  <si>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</si>
  <si>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</si>
  <si>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</si>
  <si>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</si>
  <si>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</si>
  <si>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</si>
  <si>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</si>
  <si>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</si>
  <si>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</si>
  <si>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</si>
  <si>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</si>
  <si>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</si>
  <si>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</si>
  <si>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</si>
  <si>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</si>
  <si>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</si>
  <si>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</si>
  <si>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</si>
  <si>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</si>
  <si>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</si>
  <si>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</si>
  <si>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</si>
  <si>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</si>
  <si>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</si>
  <si>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</si>
  <si>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</si>
  <si>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</si>
  <si>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</si>
  <si>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</si>
  <si>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</si>
  <si>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</si>
  <si>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</si>
  <si>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</si>
  <si>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</si>
  <si>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</si>
  <si>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</si>
  <si>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</si>
  <si>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</si>
  <si>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</si>
  <si>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</si>
  <si>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</si>
  <si>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</si>
  <si>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</si>
  <si>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</si>
  <si>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</si>
  <si>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</si>
  <si>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</si>
  <si>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</si>
  <si>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</si>
  <si>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</si>
  <si>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</si>
  <si>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</si>
  <si>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</si>
  <si>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</si>
  <si>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</si>
  <si>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</si>
  <si>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</si>
  <si>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</si>
  <si>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</si>
  <si>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</si>
  <si>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</si>
  <si>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</si>
  <si>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</si>
  <si>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</si>
  <si>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</si>
  <si>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</si>
  <si>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</si>
  <si>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</si>
  <si>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</si>
  <si>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</si>
  <si>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</si>
  <si>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</si>
  <si>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</si>
  <si>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</si>
  <si>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</si>
  <si>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</si>
  <si>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</si>
  <si>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</si>
  <si>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</si>
  <si>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</si>
  <si>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</si>
  <si>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</si>
  <si>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</si>
  <si>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</si>
  <si>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</si>
  <si>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</si>
  <si>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</si>
  <si>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</si>
  <si>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</si>
  <si>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</si>
  <si>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</si>
  <si>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</si>
  <si>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</si>
  <si>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</si>
  <si>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</si>
  <si>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</si>
  <si>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</si>
  <si>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</si>
  <si>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</si>
  <si>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</si>
  <si>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</si>
  <si>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</si>
  <si>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</si>
  <si>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</si>
  <si>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</si>
  <si>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</si>
  <si>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</si>
  <si>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</si>
  <si>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</si>
  <si>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</si>
  <si>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</si>
  <si>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</si>
  <si>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</si>
  <si>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</si>
  <si>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</si>
  <si>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</si>
  <si>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</si>
  <si>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</si>
  <si>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</si>
  <si>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</si>
  <si>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</si>
  <si>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</si>
  <si>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</si>
  <si>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</si>
  <si>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</si>
  <si>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</si>
  <si>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</si>
  <si>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</si>
  <si>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</si>
  <si>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</si>
  <si>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</si>
  <si>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</si>
  <si>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</si>
  <si>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</si>
  <si>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</si>
  <si>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</si>
  <si>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</si>
  <si>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</si>
  <si>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</si>
  <si>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</si>
  <si>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</si>
  <si>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</si>
  <si>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</si>
  <si>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</si>
  <si>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</si>
  <si>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</si>
  <si>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</si>
  <si>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</si>
  <si>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</si>
  <si>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</si>
  <si>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</si>
  <si>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</si>
  <si>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</si>
  <si>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</si>
  <si>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</si>
  <si>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</si>
  <si>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</si>
  <si>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</si>
  <si>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</si>
  <si>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</si>
  <si>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</si>
  <si>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</si>
  <si>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</si>
  <si>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</si>
  <si>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</si>
  <si>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</si>
  <si>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</si>
  <si>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</si>
  <si>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</si>
  <si>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</si>
  <si>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</si>
  <si>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</si>
  <si>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</si>
  <si>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</si>
  <si>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</si>
  <si>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</si>
  <si>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</si>
  <si>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</si>
  <si>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</si>
  <si>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</si>
  <si>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</si>
  <si>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</si>
  <si>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</si>
  <si>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</si>
  <si>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</si>
  <si>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</si>
  <si>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</si>
  <si>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</si>
  <si>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</si>
  <si>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</si>
  <si>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</si>
  <si>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</si>
  <si>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</si>
  <si>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</si>
  <si>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</si>
  <si>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</si>
  <si>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</si>
  <si>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</si>
  <si>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</si>
  <si>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</si>
  <si>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</si>
  <si>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</si>
  <si>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</si>
  <si>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</si>
  <si>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</si>
  <si>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</si>
  <si>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</si>
  <si>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</si>
  <si>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</si>
  <si>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</si>
  <si>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</si>
  <si>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</si>
  <si>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</si>
  <si>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</si>
  <si>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</si>
  <si>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</si>
  <si>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</si>
  <si>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</si>
  <si>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</si>
  <si>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</si>
  <si>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</si>
  <si>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</si>
  <si>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</si>
  <si>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</si>
  <si>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</si>
  <si>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</si>
  <si>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</si>
  <si>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</si>
  <si>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</si>
  <si>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</si>
  <si>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</si>
  <si>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</si>
  <si>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</si>
  <si>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</si>
  <si>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</si>
  <si>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</si>
  <si>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</si>
  <si>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</si>
  <si>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</si>
  <si>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</si>
  <si>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</si>
  <si>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</si>
  <si>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</si>
  <si>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</si>
  <si>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</si>
  <si>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</si>
  <si>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</si>
  <si>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</si>
  <si>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</si>
  <si>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</si>
  <si>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</si>
  <si>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</si>
  <si>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</si>
  <si>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</si>
  <si>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</si>
  <si>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</si>
  <si>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</si>
  <si>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</si>
  <si>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</si>
  <si>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</si>
  <si>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</si>
  <si>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</si>
  <si>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</si>
  <si>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</si>
  <si>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</si>
  <si>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</si>
  <si>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</si>
  <si>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</si>
  <si>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</si>
  <si>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</si>
  <si>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</si>
  <si>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</si>
  <si>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</si>
  <si>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</si>
  <si>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</si>
  <si>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</si>
  <si>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</si>
  <si>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</si>
  <si>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</si>
  <si>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</si>
  <si>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</si>
  <si>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</si>
  <si>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</si>
  <si>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</si>
  <si>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</si>
  <si>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</si>
  <si>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</si>
  <si>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</si>
  <si>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</si>
  <si>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</si>
  <si>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</si>
  <si>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</si>
  <si>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</si>
  <si>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</si>
  <si>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</si>
  <si>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</si>
  <si>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</si>
  <si>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</si>
  <si>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</si>
  <si>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</si>
  <si>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</si>
  <si>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</si>
  <si>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</si>
  <si>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</si>
  <si>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</si>
  <si>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</si>
  <si>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</si>
  <si>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</si>
  <si>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</si>
  <si>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</si>
  <si>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</si>
  <si>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</si>
  <si>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</si>
  <si>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</si>
  <si>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</si>
  <si>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</si>
  <si>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</si>
  <si>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</si>
  <si>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</si>
  <si>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</si>
  <si>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</si>
  <si>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</si>
  <si>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</si>
  <si>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</si>
  <si>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</si>
  <si>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</si>
  <si>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</si>
  <si>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</si>
  <si>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</si>
  <si>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</si>
  <si>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</si>
  <si>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</si>
  <si>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</si>
  <si>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</si>
  <si>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</si>
  <si>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</si>
  <si>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</si>
  <si>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</si>
  <si>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</si>
  <si>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</si>
  <si>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</si>
  <si>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</si>
  <si>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</si>
  <si>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</si>
  <si>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</si>
  <si>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</si>
  <si>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</si>
  <si>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</si>
  <si>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</si>
  <si>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</si>
  <si>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</si>
  <si>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</si>
  <si>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</si>
  <si>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</si>
  <si>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</si>
  <si>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</si>
  <si>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</si>
  <si>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</si>
  <si>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</si>
  <si>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</si>
  <si>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</si>
  <si>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</si>
  <si>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</si>
  <si>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</si>
  <si>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</si>
  <si>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</si>
  <si>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</si>
  <si>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</si>
  <si>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</si>
  <si>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</si>
  <si>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</si>
  <si>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</si>
  <si>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</si>
  <si>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</si>
  <si>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</si>
  <si>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</si>
  <si>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</si>
  <si>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</si>
  <si>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</si>
  <si>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</si>
  <si>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</si>
  <si>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</si>
  <si>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</si>
  <si>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</si>
  <si>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</si>
  <si>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</si>
  <si>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</si>
  <si>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</si>
  <si>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</si>
  <si>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</si>
  <si>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</si>
  <si>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</si>
  <si>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</si>
  <si>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</si>
  <si>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</si>
  <si>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</si>
  <si>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</si>
  <si>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</si>
  <si>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</si>
  <si>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</si>
  <si>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</si>
  <si>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</si>
  <si>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</si>
  <si>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</si>
  <si>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</si>
  <si>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</si>
  <si>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</si>
  <si>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</si>
  <si>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</si>
  <si>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</si>
  <si>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</si>
  <si>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</si>
  <si>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</si>
  <si>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</si>
  <si>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</si>
  <si>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</si>
  <si>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</si>
  <si>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</si>
  <si>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</si>
  <si>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</si>
  <si>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</si>
  <si>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</si>
  <si>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</si>
  <si>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</si>
  <si>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</si>
  <si>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</si>
  <si>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</si>
  <si>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</si>
  <si>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</si>
  <si>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</si>
  <si>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</si>
  <si>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</si>
  <si>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</si>
  <si>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</si>
  <si>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</si>
  <si>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</si>
  <si>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</si>
  <si>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</si>
  <si>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</si>
  <si>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</si>
  <si>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</si>
  <si>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</si>
  <si>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</si>
  <si>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</si>
  <si>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</si>
  <si>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</si>
  <si>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</si>
  <si>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</si>
  <si>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</si>
  <si>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</si>
  <si>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</si>
  <si>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</si>
  <si>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</si>
  <si>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</si>
  <si>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</si>
  <si>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</si>
  <si>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</si>
  <si>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</si>
  <si>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</si>
  <si>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</si>
  <si>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</si>
  <si>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</si>
  <si>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</si>
  <si>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</si>
  <si>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</si>
  <si>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</si>
  <si>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</si>
  <si>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</si>
  <si>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</si>
  <si>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</si>
  <si>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</si>
  <si>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</si>
  <si>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</si>
  <si>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</si>
  <si>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</si>
  <si>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</si>
  <si>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</si>
  <si>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</si>
  <si>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</si>
  <si>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</si>
  <si>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</si>
  <si>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</si>
  <si>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</si>
  <si>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</si>
  <si>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</si>
  <si>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</si>
  <si>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</si>
  <si>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</si>
  <si>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</si>
  <si>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</si>
  <si>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</si>
  <si>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</si>
  <si>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</si>
  <si>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</si>
  <si>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</si>
  <si>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</si>
  <si>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</si>
  <si>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</si>
  <si>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</si>
  <si>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</si>
  <si>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</si>
  <si>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</si>
  <si>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</si>
  <si>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</si>
  <si>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</si>
  <si>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</si>
  <si>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</si>
  <si>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</si>
  <si>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</si>
  <si>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</si>
  <si>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</si>
  <si>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</si>
  <si>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</si>
  <si>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</si>
  <si>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</si>
  <si>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</si>
  <si>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</si>
  <si>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</si>
  <si>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</si>
  <si>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</si>
  <si>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</si>
  <si>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</si>
  <si>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</si>
  <si>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</si>
  <si>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</si>
  <si>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</si>
  <si>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</si>
  <si>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</si>
  <si>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</si>
  <si>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</si>
  <si>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</si>
  <si>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</si>
  <si>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</si>
  <si>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</si>
  <si>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</si>
  <si>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</si>
  <si>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</si>
  <si>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</si>
  <si>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</si>
  <si>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</si>
  <si>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</si>
  <si>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</si>
  <si>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</si>
  <si>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</si>
  <si>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</si>
  <si>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</si>
  <si>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</si>
  <si>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</si>
  <si>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</si>
  <si>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</si>
  <si>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</si>
  <si>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</si>
  <si>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</si>
  <si>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</si>
  <si>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</si>
  <si>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</si>
  <si>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</si>
  <si>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</si>
  <si>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</si>
  <si>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</si>
  <si>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</si>
  <si>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</si>
  <si>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</si>
  <si>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</si>
  <si>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</si>
  <si>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</si>
  <si>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</si>
  <si>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</si>
  <si>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</si>
  <si>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</si>
  <si>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</si>
  <si>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</si>
  <si>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</si>
  <si>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</si>
  <si>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</si>
  <si>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</si>
  <si>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</si>
  <si>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</si>
  <si>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</si>
  <si>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</si>
  <si>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</si>
  <si>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</si>
  <si>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</si>
  <si>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</si>
  <si>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</si>
  <si>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</si>
  <si>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</si>
  <si>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</si>
  <si>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</si>
  <si>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</si>
  <si>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</si>
  <si>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</si>
  <si>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</si>
  <si>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</si>
  <si>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</si>
  <si>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</si>
  <si>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</si>
  <si>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</si>
  <si>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</si>
  <si>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</si>
  <si>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</si>
  <si>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</si>
  <si>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</si>
  <si>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</si>
  <si>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</si>
  <si>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</si>
  <si>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</si>
  <si>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</si>
  <si>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</si>
  <si>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</si>
  <si>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</si>
  <si>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</si>
  <si>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</si>
  <si>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</si>
  <si>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</si>
  <si>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</si>
  <si>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</si>
  <si>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</si>
  <si>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</si>
  <si>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</si>
  <si>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</si>
  <si>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</si>
  <si>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</si>
  <si>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</si>
  <si>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</si>
  <si>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</si>
  <si>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</si>
  <si>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</si>
  <si>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</si>
  <si>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</si>
  <si>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</si>
  <si>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</si>
  <si>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</si>
  <si>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</si>
  <si>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</si>
  <si>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</si>
  <si>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</si>
  <si>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</si>
  <si>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</si>
  <si>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</si>
  <si>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</si>
  <si>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</si>
  <si>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</si>
  <si>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</si>
  <si>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</si>
  <si>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</si>
  <si>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</si>
  <si>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</si>
  <si>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</si>
  <si>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</si>
  <si>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</si>
  <si>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</si>
  <si>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</si>
  <si>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</si>
  <si>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</si>
  <si>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</si>
  <si>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</si>
  <si>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</si>
  <si>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</si>
  <si>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</si>
  <si>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</si>
  <si>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</si>
  <si>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</si>
  <si>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</si>
  <si>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</si>
  <si>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</si>
  <si>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</si>
  <si>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</si>
  <si>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</si>
  <si>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</si>
  <si>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</si>
  <si>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</si>
  <si>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</si>
  <si>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</si>
  <si>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</si>
  <si>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</si>
  <si>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</si>
  <si>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</si>
  <si>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</si>
  <si>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</si>
  <si>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</si>
  <si>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</si>
  <si>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</si>
  <si>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</si>
  <si>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</si>
  <si>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</si>
  <si>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</si>
  <si>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</si>
  <si>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</si>
  <si>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</si>
  <si>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</si>
  <si>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</si>
  <si>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</si>
  <si>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</si>
  <si>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</si>
  <si>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</si>
  <si>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</si>
  <si>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</si>
  <si>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</si>
  <si>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</si>
  <si>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</si>
  <si>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</si>
  <si>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</si>
  <si>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</si>
  <si>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</si>
  <si>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</si>
  <si>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</si>
  <si>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</si>
  <si>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</si>
  <si>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</si>
  <si>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</si>
  <si>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</si>
  <si>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</si>
  <si>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</si>
  <si>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</si>
  <si>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</si>
  <si>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</si>
  <si>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</si>
  <si>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</si>
  <si>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</si>
  <si>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</si>
  <si>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</si>
  <si>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</si>
  <si>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</si>
  <si>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</si>
  <si>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</si>
  <si>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</si>
  <si>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</si>
  <si>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</si>
  <si>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</si>
  <si>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</si>
  <si>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</si>
  <si>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</si>
  <si>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</si>
  <si>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</si>
  <si>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</si>
  <si>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</si>
  <si>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</si>
  <si>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</si>
  <si>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</si>
  <si>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</si>
  <si>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</si>
  <si>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</si>
  <si>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</si>
  <si>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</si>
  <si>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</si>
  <si>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</si>
  <si>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</si>
  <si>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</si>
  <si>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</si>
  <si>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</si>
  <si>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</si>
  <si>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</si>
  <si>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</si>
  <si>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</si>
  <si>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</si>
  <si>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</si>
  <si>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</si>
  <si>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</si>
  <si>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</si>
  <si>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</si>
  <si>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</si>
  <si>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</si>
  <si>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</si>
  <si>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</si>
  <si>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</si>
  <si>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</si>
  <si>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</si>
  <si>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</si>
  <si>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</si>
  <si>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</si>
  <si>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</si>
  <si>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</si>
  <si>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</si>
  <si>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</si>
  <si>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</si>
  <si>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</si>
  <si>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</si>
  <si>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</si>
  <si>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</si>
  <si>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</si>
  <si>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</si>
  <si>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</si>
  <si>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</si>
  <si>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</si>
  <si>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</si>
  <si>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</si>
  <si>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</si>
  <si>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</si>
  <si>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</si>
  <si>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</si>
  <si>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</si>
  <si>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</si>
  <si>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</si>
  <si>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</si>
  <si>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</si>
  <si>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</si>
  <si>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</si>
  <si>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</si>
  <si>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</si>
  <si>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</si>
  <si>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</si>
  <si>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</si>
  <si>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</si>
  <si>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</si>
  <si>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</si>
  <si>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</si>
  <si>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</si>
  <si>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</si>
  <si>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</si>
  <si>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</si>
  <si>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</si>
  <si>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</si>
  <si>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</si>
  <si>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</si>
  <si>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</si>
  <si>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</si>
  <si>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</si>
  <si>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</si>
  <si>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</si>
  <si>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</si>
  <si>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</si>
  <si>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</si>
  <si>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</si>
  <si>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</si>
  <si>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</si>
  <si>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</si>
  <si>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</si>
  <si>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</si>
  <si>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</si>
  <si>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</si>
  <si>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</si>
  <si>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</si>
  <si>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</si>
  <si>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</si>
  <si>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</si>
  <si>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</si>
  <si>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</si>
  <si>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</si>
  <si>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</si>
  <si>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</si>
  <si>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</si>
  <si>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</si>
  <si>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</si>
  <si>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</si>
  <si>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</si>
  <si>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</si>
  <si>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</si>
  <si>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</si>
  <si>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</si>
  <si>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</si>
  <si>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</si>
  <si>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</si>
  <si>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</si>
  <si>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</si>
  <si>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</si>
  <si>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</si>
  <si>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</si>
  <si>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</si>
  <si>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</si>
  <si>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</si>
  <si>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</si>
  <si>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</si>
  <si>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</si>
  <si>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</si>
  <si>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</si>
  <si>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</si>
  <si>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</si>
  <si>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</si>
  <si>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</si>
  <si>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</si>
  <si>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</si>
  <si>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</si>
  <si>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</si>
  <si>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</si>
  <si>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</si>
  <si>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</si>
  <si>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</si>
  <si>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</si>
  <si>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</si>
  <si>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</si>
  <si>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</si>
  <si>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</si>
  <si>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</si>
  <si>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</si>
  <si>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</si>
  <si>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</si>
  <si>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</si>
  <si>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</si>
  <si>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</si>
  <si>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</si>
  <si>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</si>
  <si>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</si>
  <si>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</si>
  <si>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</si>
  <si>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</si>
  <si>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</si>
  <si>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</si>
  <si>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</si>
  <si>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</si>
  <si>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</si>
  <si>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</si>
  <si>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</si>
  <si>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</si>
  <si>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</si>
  <si>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</si>
  <si>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</si>
  <si>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</si>
  <si>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</si>
  <si>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</si>
  <si>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</si>
  <si>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</si>
  <si>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</si>
  <si>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</si>
  <si>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</si>
  <si>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</si>
  <si>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</si>
  <si>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</si>
  <si>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</si>
  <si>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</si>
  <si>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</si>
  <si>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</si>
  <si>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</si>
  <si>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</si>
  <si>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</si>
  <si>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</si>
  <si>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</si>
  <si>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</si>
  <si>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</si>
  <si>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</si>
  <si>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</si>
  <si>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</si>
  <si>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</si>
  <si>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</si>
  <si>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</si>
  <si>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</si>
  <si>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</si>
  <si>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</si>
  <si>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</si>
  <si>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</si>
  <si>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</si>
  <si>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</si>
  <si>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</si>
  <si>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</si>
  <si>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</si>
  <si>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</si>
  <si>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</si>
  <si>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</si>
  <si>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</si>
  <si>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</si>
  <si>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</si>
  <si>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</si>
  <si>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</si>
  <si>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</si>
  <si>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</si>
  <si>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</si>
  <si>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</si>
  <si>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</si>
  <si>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</si>
  <si>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</si>
  <si>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</si>
  <si>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</si>
  <si>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</si>
  <si>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</si>
  <si>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</si>
  <si>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</si>
  <si>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</si>
  <si>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</si>
  <si>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</si>
  <si>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</si>
  <si>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</si>
  <si>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</si>
  <si>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</si>
  <si>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</si>
  <si>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</si>
  <si>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</si>
  <si>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</si>
  <si>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</si>
  <si>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</si>
  <si>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</si>
  <si>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</si>
  <si>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</si>
  <si>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</si>
  <si>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</si>
  <si>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</si>
  <si>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</si>
  <si>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</si>
  <si>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</si>
  <si>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</si>
  <si>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</si>
  <si>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</si>
  <si>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</si>
  <si>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</si>
  <si>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</si>
  <si>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</si>
  <si>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</si>
  <si>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</si>
  <si>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</si>
  <si>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</si>
  <si>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</si>
  <si>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</si>
  <si>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</si>
  <si>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</si>
  <si>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</si>
  <si>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</si>
  <si>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</si>
  <si>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</si>
  <si>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</si>
  <si>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</si>
  <si>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</si>
  <si>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</si>
  <si>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</si>
  <si>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</si>
  <si>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</si>
  <si>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</si>
  <si>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</si>
  <si>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</si>
  <si>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</si>
  <si>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</si>
  <si>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</si>
  <si>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</si>
  <si>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</si>
  <si>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</si>
  <si>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</si>
  <si>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</si>
  <si>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</si>
  <si>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</si>
  <si>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</si>
  <si>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</si>
  <si>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</si>
  <si>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</si>
  <si>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</si>
  <si>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</si>
  <si>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</si>
  <si>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</si>
  <si>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</si>
  <si>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</si>
  <si>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</si>
  <si>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</si>
  <si>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</si>
  <si>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</si>
  <si>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</si>
  <si>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</si>
  <si>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</si>
  <si>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</si>
  <si>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</si>
  <si>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</si>
  <si>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</si>
  <si>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</si>
  <si>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</si>
  <si>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</si>
  <si>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</si>
  <si>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</si>
  <si>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</si>
  <si>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</si>
  <si>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</si>
  <si>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</si>
  <si>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</si>
  <si>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</si>
  <si>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</si>
  <si>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</si>
  <si>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</si>
  <si>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</si>
  <si>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</si>
  <si>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</si>
  <si>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</si>
  <si>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</si>
  <si>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</si>
  <si>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</si>
  <si>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</si>
  <si>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</si>
  <si>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</si>
  <si>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</si>
  <si>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</si>
  <si>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</si>
  <si>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</si>
  <si>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</si>
  <si>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</si>
  <si>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</si>
  <si>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</si>
  <si>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</si>
  <si>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</si>
  <si>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</si>
  <si>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</si>
  <si>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</si>
  <si>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</si>
  <si>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</si>
  <si>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</si>
  <si>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</si>
  <si>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</si>
  <si>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</si>
  <si>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</si>
  <si>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</si>
  <si>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</si>
  <si>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</si>
  <si>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</si>
  <si>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</si>
  <si>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</si>
  <si>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</si>
  <si>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</si>
  <si>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</si>
  <si>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</si>
  <si>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</si>
  <si>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</si>
  <si>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</si>
  <si>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</si>
  <si>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</si>
  <si>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</si>
  <si>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</si>
  <si>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</si>
  <si>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</si>
  <si>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</si>
  <si>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</si>
  <si>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</si>
  <si>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</si>
  <si>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</si>
  <si>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</si>
  <si>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</si>
  <si>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</si>
  <si>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</si>
  <si>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</si>
  <si>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</si>
  <si>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</si>
  <si>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</si>
  <si>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</si>
  <si>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</si>
  <si>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</si>
  <si>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</si>
  <si>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</si>
  <si>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</si>
  <si>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</si>
  <si>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</si>
  <si>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</si>
  <si>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</si>
  <si>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</si>
  <si>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</si>
  <si>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</si>
  <si>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</si>
  <si>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</si>
  <si>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</si>
  <si>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</si>
  <si>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</si>
  <si>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</si>
  <si>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</si>
  <si>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</si>
  <si>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</si>
  <si>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</si>
  <si>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</si>
  <si>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</si>
  <si>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</si>
  <si>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</si>
  <si>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</si>
  <si>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</si>
  <si>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</si>
  <si>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</si>
  <si>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</si>
  <si>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</si>
  <si>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</si>
  <si>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</si>
  <si>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</si>
  <si>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</si>
  <si>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</si>
  <si>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</si>
  <si>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</si>
  <si>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</si>
  <si>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</si>
  <si>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</si>
  <si>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</si>
  <si>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</si>
  <si>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</si>
  <si>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</si>
  <si>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</si>
  <si>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</si>
  <si>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</si>
  <si>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</si>
  <si>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</si>
  <si>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</si>
  <si>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</si>
  <si>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</si>
  <si>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</si>
  <si>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</si>
  <si>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</si>
  <si>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</si>
  <si>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</si>
  <si>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</si>
  <si>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</si>
  <si>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</si>
  <si>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</si>
  <si>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</si>
  <si>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</si>
  <si>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</si>
  <si>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</si>
  <si>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</si>
  <si>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</si>
  <si>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</si>
  <si>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</si>
  <si>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</si>
  <si>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</si>
  <si>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</si>
  <si>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</si>
  <si>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</si>
  <si>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</si>
  <si>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</si>
  <si>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</si>
  <si>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</si>
  <si>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</si>
  <si>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</si>
  <si>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</si>
  <si>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</si>
  <si>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</si>
  <si>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</si>
  <si>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</si>
  <si>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</si>
  <si>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</si>
  <si>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</si>
  <si>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</si>
  <si>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</si>
  <si>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</si>
  <si>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</si>
  <si>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</si>
  <si>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</si>
  <si>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</si>
  <si>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</si>
  <si>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</si>
  <si>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</si>
  <si>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</si>
  <si>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</si>
  <si>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</si>
  <si>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</si>
  <si>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</si>
  <si>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</si>
  <si>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</si>
  <si>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</si>
  <si>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</si>
  <si>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</si>
  <si>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</si>
  <si>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</si>
  <si>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</si>
  <si>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</si>
  <si>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</si>
  <si>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</si>
  <si>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</si>
  <si>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</si>
  <si>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</si>
  <si>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</si>
  <si>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</si>
  <si>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</si>
  <si>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</si>
  <si>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</si>
  <si>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</si>
  <si>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</si>
  <si>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</si>
  <si>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</si>
  <si>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</si>
  <si>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</si>
  <si>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</si>
  <si>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</si>
  <si>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</si>
  <si>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</si>
  <si>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</si>
  <si>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</si>
  <si>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</si>
  <si>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</si>
  <si>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</si>
  <si>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</si>
  <si>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</si>
  <si>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</si>
  <si>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</si>
  <si>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</si>
  <si>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</si>
  <si>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</si>
  <si>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</si>
  <si>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</si>
  <si>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</si>
  <si>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</si>
  <si>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</si>
  <si>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</si>
  <si>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</si>
  <si>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</si>
  <si>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</si>
  <si>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</si>
  <si>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</si>
  <si>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</si>
  <si>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</si>
  <si>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</si>
  <si>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</si>
  <si>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</si>
  <si>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</si>
  <si>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</si>
  <si>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</si>
  <si>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</si>
  <si>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</si>
  <si>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</si>
  <si>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</si>
  <si>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</si>
  <si>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</si>
  <si>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</si>
  <si>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</si>
  <si>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</si>
  <si>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</si>
  <si>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</si>
  <si>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</si>
  <si>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</si>
  <si>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</si>
  <si>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</si>
  <si>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</si>
  <si>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</si>
  <si>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</si>
  <si>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</si>
  <si>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</si>
  <si>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</si>
  <si>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</si>
  <si>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</si>
  <si>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</si>
  <si>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</si>
  <si>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</si>
  <si>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</si>
  <si>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</si>
  <si>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</si>
  <si>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</si>
  <si>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</si>
  <si>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</si>
  <si>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</si>
  <si>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</si>
  <si>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</si>
  <si>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</si>
  <si>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</si>
  <si>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</si>
  <si>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</si>
  <si>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</si>
  <si>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</si>
  <si>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</si>
  <si>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</si>
  <si>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</si>
  <si>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</si>
  <si>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</si>
  <si>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</si>
  <si>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</si>
  <si>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</si>
  <si>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</si>
  <si>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</si>
  <si>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</si>
  <si>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</si>
  <si>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</si>
  <si>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</si>
  <si>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</si>
  <si>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</si>
  <si>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</si>
  <si>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</si>
  <si>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</si>
  <si>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</si>
  <si>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</si>
  <si>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</si>
  <si>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</si>
  <si>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</si>
  <si>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</si>
  <si>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</si>
  <si>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</si>
  <si>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</si>
  <si>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</si>
  <si>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</si>
  <si>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</si>
  <si>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</si>
  <si>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</si>
  <si>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</si>
  <si>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</si>
  <si>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</si>
  <si>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</si>
  <si>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</si>
  <si>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</si>
  <si>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</si>
  <si>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</si>
  <si>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</si>
  <si>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</si>
  <si>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</si>
  <si>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</si>
  <si>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</si>
  <si>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</si>
  <si>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</si>
  <si>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</si>
  <si>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</si>
  <si>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</si>
  <si>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</si>
  <si>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</si>
  <si>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</si>
  <si>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</si>
  <si>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</si>
  <si>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</si>
  <si>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</si>
  <si>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</si>
  <si>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</si>
  <si>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</si>
  <si>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</si>
  <si>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</si>
  <si>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</si>
  <si>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</si>
  <si>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</si>
  <si>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</si>
  <si>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</si>
  <si>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</si>
  <si>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</si>
  <si>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</si>
  <si>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</si>
  <si>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</si>
  <si>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</si>
  <si>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</si>
  <si>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</si>
  <si>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</si>
  <si>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</si>
  <si>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</si>
  <si>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</si>
  <si>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</si>
  <si>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</si>
  <si>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</si>
  <si>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</si>
  <si>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</si>
  <si>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</si>
  <si>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</si>
  <si>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</si>
  <si>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</si>
  <si>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</si>
  <si>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</si>
  <si>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</si>
  <si>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</si>
  <si>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</si>
  <si>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</si>
  <si>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</si>
  <si>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</si>
  <si>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</si>
  <si>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</si>
  <si>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</si>
  <si>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</si>
  <si>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</si>
  <si>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</si>
  <si>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</si>
  <si>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</si>
  <si>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</si>
  <si>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</si>
  <si>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</si>
  <si>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</si>
  <si>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</si>
  <si>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</si>
  <si>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</si>
  <si>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</si>
  <si>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</si>
  <si>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</si>
  <si>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</si>
  <si>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</si>
  <si>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</si>
  <si>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</si>
  <si>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</si>
  <si>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</si>
  <si>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</si>
  <si>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</si>
  <si>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</si>
  <si>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</si>
  <si>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</si>
  <si>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</si>
  <si>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</si>
  <si>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</si>
  <si>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</si>
  <si>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</si>
  <si>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</si>
  <si>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</si>
  <si>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</si>
  <si>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</si>
  <si>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</si>
  <si>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</si>
  <si>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</si>
  <si>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</si>
  <si>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</si>
  <si>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</si>
  <si>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</si>
  <si>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</si>
  <si>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</si>
  <si>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</si>
  <si>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</si>
  <si>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</si>
  <si>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</si>
  <si>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</si>
  <si>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</si>
  <si>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</si>
  <si>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</si>
  <si>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</si>
  <si>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</si>
  <si>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</si>
  <si>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</si>
  <si>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</si>
  <si>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</si>
  <si>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</si>
  <si>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</si>
  <si>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</si>
  <si>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</si>
  <si>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</si>
  <si>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</si>
  <si>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</si>
  <si>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</si>
  <si>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</si>
  <si>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</si>
  <si>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</si>
  <si>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</si>
  <si>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</si>
  <si>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</si>
  <si>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</si>
  <si>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</si>
  <si>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</si>
  <si>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</si>
  <si>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</si>
  <si>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</si>
  <si>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</si>
  <si>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</si>
  <si>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</si>
  <si>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</si>
  <si>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</si>
  <si>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</si>
  <si>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</si>
  <si>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</si>
  <si>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</si>
  <si>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</si>
  <si>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</si>
  <si>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</si>
  <si>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</si>
  <si>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</si>
  <si>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</si>
  <si>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</si>
  <si>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</si>
  <si>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</si>
  <si>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</si>
  <si>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</si>
  <si>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</si>
  <si>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</si>
  <si>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</si>
  <si>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</si>
  <si>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</si>
  <si>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</si>
  <si>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</si>
  <si>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</si>
  <si>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</si>
  <si>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</si>
  <si>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</si>
  <si>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</si>
  <si>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</si>
  <si>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</si>
  <si>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</si>
  <si>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</si>
  <si>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</si>
  <si>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</si>
  <si>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</si>
  <si>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</si>
  <si>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</si>
  <si>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</si>
  <si>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</si>
  <si>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</si>
  <si>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</si>
  <si>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</si>
  <si>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</si>
  <si>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</si>
  <si>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</si>
  <si>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</si>
  <si>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</si>
  <si>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</si>
  <si>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</si>
  <si>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</si>
  <si>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</si>
  <si>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</si>
  <si>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</si>
  <si>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</si>
  <si>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</si>
  <si>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</si>
  <si>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</si>
  <si>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</si>
  <si>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</si>
  <si>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</si>
  <si>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</si>
  <si>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</si>
  <si>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</si>
  <si>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</si>
  <si>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</si>
  <si>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</si>
  <si>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</si>
  <si>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</si>
  <si>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</si>
  <si>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</si>
  <si>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</si>
  <si>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</si>
  <si>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</si>
  <si>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</si>
  <si>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</si>
  <si>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</si>
  <si>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</si>
  <si>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</si>
  <si>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</si>
  <si>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</si>
  <si>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</si>
  <si>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</si>
  <si>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</si>
  <si>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</si>
  <si>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</si>
  <si>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</si>
  <si>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</si>
  <si>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</si>
  <si>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</si>
  <si>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</si>
  <si>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</si>
  <si>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</si>
  <si>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</si>
  <si>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</si>
  <si>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</si>
  <si>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</si>
  <si>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</si>
  <si>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</si>
  <si>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</si>
  <si>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</si>
  <si>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</si>
  <si>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</si>
  <si>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</si>
  <si>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</si>
  <si>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</si>
  <si>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</si>
  <si>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</si>
  <si>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</si>
  <si>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</si>
  <si>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</si>
  <si>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</si>
  <si>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</si>
  <si>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</si>
  <si>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</si>
  <si>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</si>
  <si>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</si>
  <si>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</si>
  <si>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</si>
  <si>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</si>
  <si>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</si>
  <si>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</si>
  <si>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</si>
  <si>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</si>
  <si>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</si>
  <si>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</si>
  <si>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</si>
  <si>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</si>
  <si>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</si>
  <si>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</si>
  <si>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</si>
  <si>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</si>
  <si>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</si>
  <si>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</si>
  <si>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</si>
  <si>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</si>
  <si>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</si>
  <si>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</si>
  <si>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</si>
  <si>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</si>
  <si>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</si>
  <si>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</si>
  <si>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</si>
  <si>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</si>
  <si>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</si>
  <si>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</si>
  <si>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</si>
  <si>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</si>
  <si>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</si>
  <si>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</si>
  <si>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</si>
  <si>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</si>
  <si>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</si>
  <si>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</si>
  <si>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</si>
  <si>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</si>
  <si>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</si>
  <si>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</si>
  <si>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</si>
  <si>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</si>
  <si>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</si>
  <si>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</si>
  <si>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</si>
  <si>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</si>
  <si>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</si>
  <si>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</si>
  <si>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</si>
  <si>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</si>
  <si>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</si>
  <si>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</si>
  <si>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</si>
  <si>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</si>
  <si>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</si>
  <si>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</si>
  <si>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</si>
  <si>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</si>
  <si>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</si>
  <si>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</si>
  <si>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</si>
  <si>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</si>
  <si>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</si>
  <si>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</si>
  <si>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</si>
  <si>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</si>
  <si>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</si>
  <si>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</si>
  <si>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</si>
  <si>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</si>
  <si>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</si>
  <si>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</si>
  <si>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</si>
  <si>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</si>
  <si>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</si>
  <si>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</si>
  <si>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</si>
  <si>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</si>
  <si>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</si>
  <si>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</si>
  <si>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</si>
  <si>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</si>
  <si>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</si>
  <si>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</si>
  <si>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</si>
  <si>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</si>
  <si>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</si>
  <si>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</si>
  <si>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</si>
  <si>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</si>
  <si>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</si>
  <si>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</si>
  <si>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</si>
  <si>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</si>
  <si>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</si>
  <si>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</si>
  <si>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</si>
  <si>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</si>
  <si>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</si>
  <si>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</si>
  <si>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</si>
  <si>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</si>
  <si>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</si>
  <si>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</si>
  <si>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</si>
  <si>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</si>
  <si>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</si>
  <si>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</si>
  <si>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</si>
  <si>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</si>
  <si>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</si>
  <si>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</si>
  <si>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</si>
  <si>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</si>
  <si>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</si>
  <si>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</si>
  <si>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</si>
  <si>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</si>
  <si>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</si>
  <si>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</si>
  <si>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</si>
  <si>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</si>
  <si>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</si>
  <si>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</si>
  <si>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</si>
  <si>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</si>
  <si>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</si>
  <si>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</si>
  <si>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</si>
  <si>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</si>
  <si>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</si>
  <si>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</si>
  <si>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</si>
  <si>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</si>
  <si>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</si>
  <si>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</si>
  <si>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</si>
  <si>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</si>
  <si>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</si>
  <si>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</si>
  <si>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</si>
  <si>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</si>
  <si>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</si>
  <si>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</si>
  <si>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</si>
  <si>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</si>
  <si>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</si>
  <si>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</si>
  <si>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</si>
  <si>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</si>
  <si>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</si>
  <si>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</si>
  <si>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</si>
  <si>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</si>
  <si>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</si>
  <si>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</si>
  <si>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</si>
  <si>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</si>
  <si>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</si>
  <si>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</si>
  <si>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</si>
  <si>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</si>
  <si>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</si>
  <si>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</si>
  <si>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</si>
  <si>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</si>
  <si>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</si>
  <si>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</si>
  <si>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</si>
  <si>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</si>
  <si>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</si>
  <si>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</si>
  <si>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</si>
  <si>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</si>
  <si>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</si>
  <si>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</si>
  <si>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</si>
  <si>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</si>
  <si>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</si>
  <si>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</si>
  <si>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</si>
  <si>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</si>
  <si>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</si>
  <si>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</si>
  <si>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</si>
  <si>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</si>
  <si>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</si>
  <si>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</si>
  <si>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</si>
  <si>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</si>
  <si>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</si>
  <si>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</si>
  <si>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</si>
  <si>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</si>
  <si>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</si>
  <si>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</si>
  <si>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</si>
  <si>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</si>
  <si>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</si>
  <si>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</si>
  <si>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</si>
  <si>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</si>
  <si>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</si>
  <si>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</si>
  <si>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</si>
  <si>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</si>
  <si>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</si>
  <si>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</si>
  <si>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</si>
  <si>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</si>
  <si>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</si>
  <si>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</si>
  <si>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</si>
  <si>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</si>
  <si>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</si>
  <si>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</si>
  <si>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</si>
  <si>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</si>
  <si>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</si>
  <si>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</si>
  <si>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</si>
  <si>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</si>
  <si>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</si>
  <si>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</si>
  <si>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</si>
  <si>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</si>
  <si>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</si>
  <si>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</si>
  <si>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</si>
  <si>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</si>
  <si>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</si>
  <si>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</si>
  <si>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</si>
  <si>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</si>
  <si>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</si>
  <si>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</si>
  <si>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</si>
  <si>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</si>
  <si>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</si>
  <si>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</si>
  <si>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</si>
  <si>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</si>
  <si>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</si>
  <si>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</si>
  <si>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</si>
  <si>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</si>
  <si>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</si>
  <si>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</si>
  <si>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</si>
  <si>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</si>
  <si>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</si>
  <si>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</si>
  <si>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</si>
  <si>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</si>
  <si>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</si>
  <si>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</si>
  <si>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</si>
  <si>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</si>
  <si>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</si>
  <si>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</si>
  <si>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</si>
  <si>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</si>
  <si>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</si>
  <si>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</si>
  <si>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</si>
  <si>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</si>
  <si>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</si>
  <si>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</si>
  <si>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</si>
  <si>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</si>
  <si>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</si>
  <si>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</si>
  <si>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</si>
  <si>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</si>
  <si>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</si>
  <si>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</si>
  <si>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</si>
  <si>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</si>
  <si>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</si>
  <si>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</si>
  <si>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</si>
  <si>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</si>
  <si>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</si>
  <si>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</si>
  <si>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</si>
  <si>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</si>
  <si>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</si>
  <si>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</si>
  <si>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</si>
  <si>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</si>
  <si>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</si>
  <si>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</si>
  <si>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</si>
  <si>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</si>
  <si>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</si>
  <si>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</si>
  <si>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</si>
  <si>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</si>
  <si>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</si>
  <si>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</si>
  <si>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</si>
  <si>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</si>
  <si>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</si>
  <si>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</si>
  <si>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</si>
  <si>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</si>
  <si>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</si>
  <si>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</si>
  <si>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</si>
  <si>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</si>
  <si>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</si>
  <si>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</si>
  <si>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</si>
  <si>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</si>
  <si>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</si>
  <si>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</si>
  <si>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</si>
  <si>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</si>
  <si>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</si>
  <si>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</si>
  <si>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</si>
  <si>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</si>
  <si>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</si>
  <si>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</si>
  <si>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</si>
  <si>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</si>
  <si>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</si>
  <si>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</si>
  <si>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</si>
  <si>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</si>
  <si>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</si>
  <si>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</si>
  <si>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</si>
  <si>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</si>
  <si>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</si>
  <si>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</si>
  <si>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</si>
  <si>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</si>
  <si>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</si>
  <si>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</si>
  <si>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</si>
  <si>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</si>
  <si>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</si>
  <si>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</si>
  <si>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</si>
  <si>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</si>
  <si>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</si>
  <si>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</si>
  <si>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</si>
  <si>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</si>
  <si>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</si>
  <si>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</si>
  <si>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</si>
  <si>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</si>
  <si>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</si>
  <si>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</si>
  <si>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</si>
  <si>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</si>
  <si>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</si>
  <si>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</si>
  <si>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</si>
  <si>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</si>
  <si>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</si>
  <si>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</si>
  <si>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</si>
  <si>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</si>
  <si>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</si>
  <si>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</si>
  <si>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</si>
  <si>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</si>
  <si>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</si>
  <si>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</si>
  <si>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</si>
  <si>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</si>
  <si>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</si>
  <si>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</si>
  <si>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</si>
  <si>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</si>
  <si>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</si>
  <si>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</si>
  <si>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</si>
  <si>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</si>
  <si>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</si>
  <si>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</si>
  <si>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</si>
  <si>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</si>
  <si>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</si>
  <si>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</si>
  <si>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</si>
  <si>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</si>
  <si>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</si>
  <si>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</si>
  <si>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</si>
  <si>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</si>
  <si>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</si>
  <si>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</si>
  <si>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</si>
  <si>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</si>
  <si>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</si>
  <si>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</si>
  <si>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</si>
  <si>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</si>
  <si>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</si>
  <si>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</si>
  <si>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</si>
  <si>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</si>
  <si>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</si>
  <si>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</si>
  <si>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</si>
  <si>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</si>
  <si>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</si>
  <si>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</si>
  <si>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</si>
  <si>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</si>
  <si>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</si>
  <si>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</si>
  <si>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</si>
  <si>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</si>
  <si>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</si>
  <si>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</si>
  <si>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</si>
  <si>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</si>
  <si>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</si>
  <si>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</si>
  <si>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</si>
  <si>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</si>
  <si>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</si>
  <si>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</si>
  <si>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</si>
  <si>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</si>
  <si>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</si>
  <si>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</si>
  <si>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</si>
  <si>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</si>
  <si>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</si>
  <si>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</si>
  <si>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</si>
  <si>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</si>
  <si>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</si>
  <si>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</si>
  <si>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</si>
  <si>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</si>
  <si>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</si>
  <si>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</si>
  <si>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</si>
  <si>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</si>
  <si>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</si>
  <si>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</si>
  <si>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</si>
  <si>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</si>
  <si>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</si>
  <si>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</si>
  <si>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</si>
  <si>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</si>
  <si>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</si>
  <si>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</si>
  <si>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</si>
  <si>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</si>
  <si>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</si>
  <si>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</si>
  <si>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</si>
  <si>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</si>
  <si>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</si>
  <si>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</si>
  <si>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</si>
  <si>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</si>
  <si>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</si>
  <si>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</si>
  <si>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</si>
  <si>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</si>
  <si>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</si>
  <si>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</si>
  <si>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</si>
  <si>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</si>
  <si>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</si>
  <si>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</si>
  <si>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</si>
  <si>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</si>
  <si>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</si>
  <si>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</si>
  <si>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</si>
  <si>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</si>
  <si>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</si>
  <si>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</si>
  <si>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</si>
  <si>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</si>
  <si>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</si>
  <si>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</si>
  <si>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</si>
  <si>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</si>
  <si>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</si>
  <si>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</si>
  <si>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</si>
  <si>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</si>
  <si>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</si>
  <si>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</si>
  <si>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</si>
  <si>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</si>
  <si>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</si>
  <si>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</si>
  <si>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</si>
  <si>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</si>
  <si>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</si>
  <si>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</si>
  <si>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</si>
  <si>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</si>
  <si>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</si>
  <si>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</si>
  <si>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</si>
  <si>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</si>
  <si>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</si>
  <si>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</si>
  <si>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</si>
  <si>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</si>
  <si>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</si>
  <si>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</si>
  <si>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</si>
  <si>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</si>
  <si>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</si>
  <si>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</si>
  <si>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</si>
  <si>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</si>
  <si>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</si>
  <si>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</si>
  <si>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</si>
  <si>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</si>
  <si>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</si>
  <si>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</si>
  <si>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</si>
  <si>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</si>
  <si>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</si>
  <si>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</si>
  <si>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</si>
  <si>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</si>
  <si>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</si>
  <si>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</si>
  <si>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</si>
  <si>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</si>
  <si>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</si>
  <si>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</si>
  <si>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</si>
  <si>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</si>
  <si>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</si>
  <si>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</si>
  <si>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</si>
  <si>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</si>
  <si>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</si>
  <si>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</si>
  <si>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</si>
  <si>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</si>
  <si>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</si>
  <si>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</si>
  <si>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</si>
  <si>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</si>
  <si>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</si>
  <si>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</si>
  <si>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</si>
  <si>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</si>
  <si>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</si>
  <si>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</si>
  <si>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</si>
  <si>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</si>
  <si>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</si>
  <si>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</si>
  <si>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</si>
  <si>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</si>
  <si>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</si>
  <si>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</si>
  <si>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</si>
  <si>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</si>
  <si>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</si>
  <si>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</si>
  <si>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</si>
  <si>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</si>
  <si>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</si>
  <si>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</si>
  <si>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</si>
  <si>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</si>
  <si>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</si>
  <si>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</si>
  <si>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</si>
  <si>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</si>
  <si>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</si>
  <si>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</si>
  <si>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</si>
  <si>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</si>
  <si>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</si>
  <si>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</si>
  <si>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</si>
  <si>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</si>
  <si>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</si>
  <si>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</si>
  <si>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</si>
  <si>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</si>
  <si>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</si>
  <si>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</si>
  <si>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</si>
  <si>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</si>
  <si>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</si>
  <si>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</si>
  <si>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</si>
  <si>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</si>
  <si>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</si>
  <si>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</si>
  <si>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</si>
  <si>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</si>
  <si>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</si>
  <si>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</si>
  <si>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</si>
  <si>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</si>
  <si>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</si>
  <si>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</si>
  <si>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</si>
  <si>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</si>
  <si>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</si>
  <si>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</si>
  <si>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</si>
  <si>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</si>
  <si>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</si>
  <si>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</si>
  <si>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</si>
  <si>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</si>
  <si>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</si>
  <si>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</si>
  <si>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</si>
  <si>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</si>
  <si>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</si>
  <si>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</si>
  <si>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</si>
  <si>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</si>
  <si>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</si>
  <si>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</si>
  <si>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</si>
  <si>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</si>
  <si>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</si>
  <si>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</si>
  <si>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</si>
  <si>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</si>
  <si>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</si>
  <si>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</si>
  <si>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</si>
  <si>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</si>
  <si>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</si>
  <si>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</si>
  <si>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</si>
  <si>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</si>
  <si>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</si>
  <si>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</si>
  <si>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</si>
  <si>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</si>
  <si>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</si>
  <si>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</si>
  <si>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</si>
  <si>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</si>
  <si>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</si>
  <si>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</si>
  <si>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</si>
  <si>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</si>
  <si>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</si>
  <si>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</si>
  <si>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</si>
  <si>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</si>
  <si>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</si>
  <si>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</si>
  <si>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</si>
  <si>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</si>
  <si>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</si>
  <si>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</si>
  <si>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</si>
  <si>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</si>
  <si>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</si>
  <si>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</si>
  <si>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</si>
  <si>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</si>
  <si>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</si>
  <si>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</si>
  <si>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</si>
  <si>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</si>
  <si>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</si>
  <si>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</si>
  <si>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</si>
  <si>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</si>
  <si>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</si>
  <si>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</si>
  <si>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</si>
  <si>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</si>
  <si>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</si>
  <si>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</si>
  <si>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</si>
  <si>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</si>
  <si>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</si>
  <si>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</si>
  <si>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</si>
  <si>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</si>
  <si>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</si>
  <si>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</si>
  <si>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</si>
  <si>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</si>
  <si>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</si>
  <si>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</si>
  <si>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</si>
  <si>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</si>
  <si>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</si>
  <si>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</si>
  <si>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</si>
  <si>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</si>
  <si>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</si>
  <si>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</si>
  <si>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</si>
  <si>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</si>
  <si>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</si>
  <si>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</si>
  <si>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</si>
  <si>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</si>
  <si>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</si>
  <si>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</si>
  <si>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</si>
  <si>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</si>
  <si>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</si>
  <si>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</si>
  <si>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</si>
  <si>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</si>
  <si>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</si>
  <si>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</si>
  <si>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</si>
  <si>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</si>
  <si>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</si>
  <si>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</si>
  <si>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</si>
  <si>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</si>
  <si>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</si>
  <si>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</si>
  <si>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</si>
  <si>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</si>
  <si>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</si>
  <si>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</si>
  <si>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</si>
  <si>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</si>
  <si>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</si>
  <si>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</si>
  <si>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</si>
  <si>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</si>
  <si>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</si>
  <si>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</si>
  <si>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</si>
  <si>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</si>
  <si>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</si>
  <si>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</si>
  <si>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</si>
  <si>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</si>
  <si>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</si>
  <si>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</si>
  <si>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</si>
  <si>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</si>
  <si>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</si>
  <si>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</si>
  <si>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</si>
  <si>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</si>
  <si>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</si>
  <si>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</si>
  <si>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</si>
  <si>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</si>
  <si>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</si>
  <si>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</si>
  <si>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</si>
  <si>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</si>
  <si>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</si>
  <si>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</si>
  <si>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</si>
  <si>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</si>
  <si>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</si>
  <si>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</si>
  <si>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</si>
  <si>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</si>
  <si>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</si>
  <si>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</si>
  <si>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</si>
  <si>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</si>
  <si>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</si>
  <si>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</si>
  <si>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</si>
  <si>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</si>
  <si>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</si>
  <si>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</si>
  <si>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</si>
  <si>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</si>
  <si>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</si>
  <si>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</si>
  <si>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</si>
  <si>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</si>
  <si>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</si>
  <si>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</si>
  <si>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</si>
  <si>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</si>
  <si>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</si>
  <si>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</si>
  <si>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</si>
  <si>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</si>
  <si>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</si>
  <si>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</si>
  <si>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</si>
  <si>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</si>
  <si>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</si>
  <si>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</si>
  <si>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</si>
  <si>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</si>
  <si>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</si>
  <si>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</si>
  <si>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</si>
  <si>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</si>
  <si>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</si>
  <si>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</si>
  <si>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</si>
  <si>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</si>
  <si>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</si>
  <si>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</si>
  <si>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</si>
  <si>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</si>
  <si>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</si>
  <si>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</si>
  <si>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</si>
  <si>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</si>
  <si>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</si>
  <si>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</si>
  <si>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</si>
  <si>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</si>
  <si>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</si>
  <si>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</si>
  <si>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</si>
  <si>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</si>
  <si>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</si>
  <si>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</si>
  <si>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</si>
  <si>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</si>
  <si>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</si>
  <si>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</si>
  <si>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</si>
  <si>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</si>
  <si>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</si>
  <si>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</si>
  <si>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</si>
  <si>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</si>
  <si>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</si>
  <si>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</si>
  <si>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</si>
  <si>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</si>
  <si>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</si>
  <si>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</si>
  <si>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</si>
  <si>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</si>
  <si>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</si>
  <si>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</si>
  <si>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</si>
  <si>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</si>
  <si>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</si>
  <si>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</si>
  <si>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</si>
  <si>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</si>
  <si>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</si>
  <si>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</si>
  <si>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</si>
  <si>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</si>
  <si>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</si>
  <si>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</si>
  <si>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</si>
  <si>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</si>
  <si>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</si>
  <si>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</si>
  <si>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</si>
  <si>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</si>
  <si>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</si>
  <si>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</si>
  <si>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</si>
  <si>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</si>
  <si>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</si>
  <si>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</si>
  <si>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</si>
  <si>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</si>
  <si>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</si>
  <si>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</si>
  <si>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</si>
  <si>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</si>
  <si>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</si>
  <si>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</si>
  <si>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</si>
  <si>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</si>
  <si>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</si>
  <si>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</si>
  <si>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</si>
  <si>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</si>
  <si>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</si>
  <si>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</si>
  <si>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</si>
  <si>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</si>
  <si>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</si>
  <si>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</si>
  <si>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</si>
  <si>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</si>
  <si>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</si>
  <si>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</si>
  <si>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</si>
  <si>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</si>
  <si>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</si>
  <si>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</si>
  <si>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</si>
  <si>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</si>
  <si>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</si>
  <si>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</si>
  <si>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</si>
  <si>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</si>
  <si>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</si>
  <si>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</si>
  <si>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</si>
  <si>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</si>
  <si>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</si>
  <si>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</si>
  <si>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</si>
  <si>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</si>
  <si>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</si>
  <si>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</si>
  <si>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</si>
  <si>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</si>
  <si>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</si>
  <si>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</si>
  <si>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</si>
  <si>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</si>
  <si>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</si>
  <si>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</si>
  <si>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</si>
  <si>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</si>
  <si>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</si>
  <si>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</si>
  <si>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</si>
  <si>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</si>
  <si>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</si>
  <si>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</si>
  <si>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</si>
  <si>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</si>
  <si>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</si>
  <si>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</si>
  <si>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</si>
  <si>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</si>
  <si>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</si>
  <si>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</si>
  <si>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</si>
  <si>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</si>
  <si>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</si>
  <si>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</si>
  <si>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</si>
  <si>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</si>
  <si>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</si>
  <si>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</si>
  <si>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</si>
  <si>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</si>
  <si>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</si>
  <si>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</si>
  <si>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</si>
  <si>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</si>
  <si>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</si>
  <si>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</si>
  <si>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</si>
  <si>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</si>
  <si>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</si>
  <si>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</si>
  <si>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</si>
  <si>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</si>
  <si>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</si>
  <si>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</si>
  <si>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</si>
  <si>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</si>
  <si>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</si>
  <si>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</si>
  <si>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</si>
  <si>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</si>
  <si>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</si>
  <si>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</si>
  <si>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</si>
  <si>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</si>
  <si>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</si>
  <si>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</si>
  <si>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</si>
  <si>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</si>
  <si>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</si>
  <si>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</si>
  <si>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</si>
  <si>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</si>
  <si>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</si>
  <si>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</si>
  <si>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</si>
  <si>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</si>
  <si>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</si>
  <si>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</si>
  <si>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</si>
  <si>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</si>
  <si>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</si>
  <si>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</si>
  <si>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</si>
  <si>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</si>
  <si>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</si>
  <si>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</si>
  <si>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</si>
  <si>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</si>
  <si>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</si>
  <si>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</si>
  <si>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</si>
  <si>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</si>
  <si>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</si>
  <si>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</si>
  <si>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</si>
  <si>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</si>
  <si>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</si>
  <si>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</si>
  <si>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</si>
  <si>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</si>
  <si>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</si>
  <si>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</si>
  <si>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</si>
  <si>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</si>
  <si>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</si>
  <si>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</si>
  <si>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</si>
  <si>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</si>
  <si>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</si>
  <si>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</si>
  <si>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</si>
  <si>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</si>
  <si>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</si>
  <si>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</si>
  <si>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</si>
  <si>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</si>
  <si>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</si>
  <si>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</si>
  <si>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</si>
  <si>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</si>
  <si>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</si>
  <si>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</si>
  <si>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</si>
  <si>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</si>
  <si>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</si>
  <si>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</si>
  <si>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</si>
  <si>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</si>
  <si>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</si>
  <si>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</si>
  <si>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</si>
  <si>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</si>
  <si>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</si>
  <si>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</si>
  <si>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</si>
  <si>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</si>
  <si>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</si>
  <si>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</si>
  <si>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</si>
  <si>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</si>
  <si>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</si>
  <si>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</si>
  <si>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</si>
  <si>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</si>
  <si>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</si>
  <si>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</si>
  <si>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</si>
  <si>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</si>
  <si>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</si>
  <si>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</si>
  <si>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</si>
  <si>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</si>
  <si>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</si>
  <si>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</si>
  <si>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</si>
  <si>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</si>
  <si>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</si>
  <si>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</si>
  <si>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</si>
  <si>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</si>
  <si>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</si>
  <si>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</si>
  <si>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</si>
  <si>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</si>
  <si>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</si>
  <si>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</si>
  <si>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</si>
  <si>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</si>
  <si>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</si>
  <si>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</si>
  <si>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</si>
  <si>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</si>
  <si>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</si>
  <si>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</si>
  <si>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</si>
  <si>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</si>
  <si>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</si>
  <si>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</si>
  <si>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</si>
  <si>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</si>
  <si>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</si>
  <si>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</si>
  <si>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</si>
  <si>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</si>
  <si>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</si>
  <si>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</si>
  <si>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</si>
  <si>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</si>
  <si>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</si>
  <si>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</si>
  <si>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</si>
  <si>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</si>
  <si>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</si>
  <si>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</si>
  <si>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</si>
  <si>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</si>
  <si>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</si>
  <si>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</si>
  <si>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</si>
  <si>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</si>
  <si>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</si>
  <si>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</si>
  <si>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</si>
  <si>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</si>
  <si>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</si>
  <si>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</si>
  <si>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</si>
  <si>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</si>
  <si>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</si>
  <si>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</si>
  <si>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</si>
  <si>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</si>
  <si>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</si>
  <si>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</si>
  <si>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</si>
  <si>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</si>
  <si>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</si>
  <si>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</si>
  <si>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</si>
  <si>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</si>
  <si>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</si>
  <si>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</si>
  <si>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</si>
  <si>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</si>
  <si>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</si>
  <si>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</si>
  <si>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</si>
  <si>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</si>
  <si>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</si>
  <si>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</si>
  <si>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</si>
  <si>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</si>
  <si>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</si>
  <si>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</si>
  <si>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</si>
  <si>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</si>
  <si>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</si>
  <si>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</si>
  <si>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</si>
  <si>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</si>
  <si>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</si>
  <si>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</si>
  <si>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</si>
  <si>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</si>
  <si>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</si>
  <si>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</si>
  <si>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</si>
  <si>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</si>
  <si>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</si>
  <si>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</si>
  <si>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</si>
  <si>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</si>
  <si>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</si>
  <si>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</si>
  <si>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</si>
  <si>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</si>
  <si>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</si>
  <si>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</si>
  <si>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</si>
  <si>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</si>
  <si>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</si>
  <si>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</si>
  <si>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</si>
  <si>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</si>
  <si>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</si>
  <si>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</si>
  <si>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</si>
  <si>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</si>
  <si>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</si>
  <si>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</si>
  <si>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</si>
  <si>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</si>
  <si>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</si>
  <si>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</si>
  <si>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</si>
  <si>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</si>
  <si>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</si>
  <si>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</si>
  <si>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</si>
  <si>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</si>
  <si>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</si>
  <si>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</si>
  <si>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</si>
  <si>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</si>
  <si>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</si>
  <si>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</si>
  <si>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</si>
  <si>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</si>
  <si>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</si>
  <si>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</si>
  <si>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</si>
  <si>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</si>
  <si>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</si>
  <si>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</si>
  <si>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</si>
  <si>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</si>
  <si>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</si>
  <si>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</si>
  <si>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</si>
  <si>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</si>
  <si>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</si>
  <si>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</si>
  <si>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</si>
  <si>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</si>
  <si>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</si>
  <si>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</si>
  <si>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</si>
  <si>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</si>
  <si>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</si>
  <si>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</si>
  <si>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</si>
  <si>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</si>
  <si>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</si>
  <si>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</si>
  <si>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</si>
  <si>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</si>
  <si>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</si>
  <si>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</si>
  <si>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</si>
  <si>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</si>
  <si>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</si>
  <si>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</si>
  <si>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</si>
  <si>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</si>
  <si>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</si>
  <si>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</si>
  <si>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</si>
  <si>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</si>
  <si>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</si>
  <si>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</si>
  <si>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</si>
  <si>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</si>
  <si>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</si>
  <si>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</si>
  <si>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</si>
  <si>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</si>
  <si>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</si>
  <si>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</si>
  <si>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</si>
  <si>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</si>
  <si>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</si>
  <si>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</si>
  <si>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</si>
  <si>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</si>
  <si>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</si>
  <si>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</si>
  <si>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</si>
  <si>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</si>
  <si>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</si>
  <si>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</si>
  <si>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</si>
  <si>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</si>
  <si>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</si>
  <si>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</si>
  <si>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</si>
  <si>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</si>
  <si>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</si>
  <si>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</si>
  <si>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</si>
  <si>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</si>
  <si>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</si>
  <si>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</si>
  <si>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</si>
  <si>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</si>
  <si>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</si>
  <si>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</si>
  <si>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</si>
  <si>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</si>
  <si>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</si>
  <si>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</si>
  <si>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</si>
  <si>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</si>
  <si>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</si>
  <si>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</si>
  <si>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</si>
  <si>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</si>
  <si>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</si>
  <si>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</si>
  <si>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</si>
  <si>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</si>
  <si>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</si>
  <si>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</si>
  <si>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</si>
  <si>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</si>
  <si>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</si>
  <si>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</si>
  <si>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</si>
  <si>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</si>
  <si>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</si>
  <si>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</si>
  <si>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</si>
  <si>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</si>
  <si>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</si>
  <si>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</si>
  <si>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</si>
  <si>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</si>
  <si>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</si>
  <si>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</si>
  <si>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</si>
  <si>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</si>
  <si>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</si>
  <si>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</si>
  <si>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</si>
  <si>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</si>
  <si>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</si>
  <si>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</si>
  <si>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</si>
  <si>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</si>
  <si>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</si>
  <si>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</si>
  <si>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</si>
  <si>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</si>
  <si>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</si>
  <si>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</si>
  <si>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</si>
  <si>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</si>
  <si>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</si>
  <si>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</si>
  <si>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</si>
  <si>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</si>
  <si>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</si>
  <si>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</si>
  <si>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</si>
  <si>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</si>
  <si>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</si>
  <si>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</si>
  <si>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</si>
  <si>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</si>
  <si>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</si>
  <si>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</si>
  <si>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</si>
  <si>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</si>
  <si>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</si>
  <si>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</si>
  <si>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</si>
  <si>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</si>
  <si>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</si>
  <si>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</si>
  <si>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</si>
  <si>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</si>
  <si>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</si>
  <si>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</si>
  <si>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</si>
  <si>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</si>
  <si>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</si>
  <si>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</si>
  <si>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</si>
  <si>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</si>
  <si>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</si>
  <si>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</si>
  <si>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</si>
  <si>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</si>
  <si>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</si>
  <si>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</si>
  <si>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</si>
  <si>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</si>
  <si>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</si>
  <si>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</si>
  <si>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</si>
  <si>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</si>
  <si>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</si>
  <si>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</si>
  <si>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</si>
  <si>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</si>
  <si>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</si>
  <si>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</si>
  <si>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</si>
  <si>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</si>
  <si>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</si>
  <si>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</si>
  <si>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</si>
  <si>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</si>
  <si>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</si>
  <si>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</si>
  <si>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</si>
  <si>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</si>
  <si>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</si>
  <si>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</si>
  <si>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</si>
  <si>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</si>
  <si>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</si>
  <si>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</si>
  <si>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</si>
  <si>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</si>
  <si>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</si>
  <si>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</si>
  <si>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</si>
  <si>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</si>
  <si>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</si>
  <si>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</si>
  <si>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</si>
  <si>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</si>
  <si>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</si>
  <si>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</si>
  <si>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</si>
  <si>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</si>
  <si>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</si>
  <si>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</si>
  <si>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</si>
  <si>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</si>
  <si>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</si>
  <si>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</si>
  <si>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</si>
  <si>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</si>
  <si>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</si>
  <si>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</si>
  <si>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</si>
  <si>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</si>
  <si>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</si>
  <si>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</si>
  <si>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</si>
  <si>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</si>
  <si>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</si>
  <si>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</si>
  <si>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</si>
  <si>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</si>
  <si>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</si>
  <si>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</si>
  <si>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</si>
  <si>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</si>
  <si>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</si>
  <si>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</si>
  <si>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</si>
  <si>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</si>
  <si>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</si>
  <si>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</si>
  <si>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</si>
  <si>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</si>
  <si>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</si>
  <si>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</si>
  <si>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</si>
  <si>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</si>
  <si>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</si>
  <si>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</si>
  <si>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</si>
  <si>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</si>
  <si>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</si>
  <si>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</si>
  <si>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</si>
  <si>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</si>
  <si>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</si>
  <si>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</si>
  <si>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</si>
  <si>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</si>
  <si>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</si>
  <si>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</si>
  <si>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</si>
  <si>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</si>
  <si>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</si>
  <si>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</si>
  <si>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</si>
  <si>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</si>
  <si>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</si>
  <si>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</si>
  <si>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</si>
  <si>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</si>
  <si>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</si>
  <si>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</si>
  <si>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</si>
  <si>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</si>
  <si>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</si>
  <si>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</si>
  <si>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</si>
  <si>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</si>
  <si>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</si>
  <si>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</si>
  <si>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</si>
  <si>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</si>
  <si>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</si>
  <si>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</si>
  <si>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</si>
  <si>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</si>
  <si>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</si>
  <si>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</si>
  <si>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</si>
  <si>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</si>
  <si>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</si>
  <si>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</si>
  <si>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</si>
  <si>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</si>
  <si>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</si>
  <si>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</si>
  <si>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</si>
  <si>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</si>
  <si>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</si>
  <si>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</si>
  <si>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</si>
  <si>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</si>
  <si>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</si>
  <si>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</si>
  <si>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</si>
  <si>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</si>
  <si>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</si>
  <si>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</si>
  <si>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</si>
  <si>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</si>
  <si>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</si>
  <si>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</si>
  <si>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</si>
  <si>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</si>
  <si>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</si>
  <si>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</si>
  <si>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</si>
  <si>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</si>
  <si>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</si>
  <si>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</si>
  <si>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</si>
  <si>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</si>
  <si>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</si>
  <si>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</si>
  <si>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</si>
  <si>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</si>
  <si>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</si>
  <si>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</si>
  <si>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</si>
  <si>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</si>
  <si>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</si>
  <si>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</si>
  <si>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</si>
  <si>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</si>
  <si>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</si>
  <si>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</si>
  <si>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</si>
  <si>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</si>
  <si>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</si>
  <si>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</si>
  <si>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</si>
  <si>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</si>
  <si>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</si>
  <si>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</si>
  <si>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</si>
  <si>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</si>
  <si>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</si>
  <si>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</si>
  <si>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</si>
  <si>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</si>
  <si>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</si>
  <si>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</si>
  <si>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</si>
  <si>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</si>
  <si>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</si>
  <si>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</si>
  <si>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</si>
  <si>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</si>
  <si>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</si>
  <si>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</si>
  <si>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</si>
  <si>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</si>
  <si>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</si>
  <si>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</si>
  <si>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</si>
  <si>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</si>
  <si>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</si>
  <si>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</si>
  <si>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</si>
  <si>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</si>
  <si>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</si>
  <si>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</si>
  <si>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</si>
  <si>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</si>
  <si>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</si>
  <si>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</si>
  <si>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</si>
  <si>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</si>
  <si>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</si>
  <si>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</si>
  <si>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</si>
  <si>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</si>
  <si>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</si>
  <si>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</si>
  <si>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</si>
  <si>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</si>
  <si>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</si>
  <si>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</si>
  <si>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</si>
  <si>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</si>
  <si>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</si>
  <si>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</si>
  <si>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</si>
  <si>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</si>
  <si>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</si>
  <si>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</si>
  <si>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</si>
  <si>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</si>
  <si>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</si>
  <si>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</si>
  <si>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</si>
  <si>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</si>
  <si>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</si>
  <si>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</si>
  <si>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</si>
  <si>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</si>
  <si>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</si>
  <si>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</si>
  <si>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</si>
  <si>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</si>
  <si>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</si>
  <si>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</si>
  <si>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</si>
  <si>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</si>
  <si>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</si>
  <si>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</si>
  <si>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</si>
  <si>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</si>
  <si>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</si>
  <si>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</si>
  <si>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</si>
  <si>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</si>
  <si>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</si>
  <si>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</si>
  <si>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</si>
  <si>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</si>
  <si>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</si>
  <si>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</si>
  <si>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</si>
  <si>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</si>
  <si>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</si>
  <si>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</si>
  <si>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</si>
  <si>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</si>
  <si>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</si>
  <si>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</si>
  <si>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</si>
  <si>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</si>
  <si>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</si>
  <si>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</si>
  <si>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</si>
  <si>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</si>
  <si>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</si>
  <si>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</si>
  <si>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</si>
  <si>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</si>
  <si>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</si>
  <si>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</si>
  <si>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</si>
  <si>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</si>
  <si>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</si>
  <si>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</si>
  <si>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</si>
  <si>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</si>
  <si>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</si>
  <si>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</si>
  <si>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</si>
  <si>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</si>
  <si>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</si>
  <si>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</si>
  <si>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</si>
  <si>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</si>
  <si>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</si>
  <si>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</si>
  <si>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</si>
  <si>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</si>
  <si>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</si>
  <si>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</si>
  <si>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</si>
  <si>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</si>
  <si>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</si>
  <si>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</si>
  <si>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</si>
  <si>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</si>
  <si>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</si>
  <si>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</si>
  <si>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</si>
  <si>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</si>
  <si>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</si>
  <si>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</si>
  <si>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</si>
  <si>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</si>
  <si>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</si>
  <si>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</si>
  <si>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</si>
  <si>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</si>
  <si>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</si>
  <si>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</si>
  <si>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</si>
  <si>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</si>
  <si>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</si>
  <si>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</si>
  <si>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</si>
  <si>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</si>
  <si>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</si>
  <si>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</si>
  <si>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</si>
  <si>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</si>
  <si>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</si>
  <si>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</si>
  <si>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</si>
  <si>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</si>
  <si>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</si>
  <si>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</si>
  <si>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</si>
  <si>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</si>
  <si>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</si>
  <si>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</si>
  <si>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</si>
  <si>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</si>
  <si>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</si>
  <si>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</si>
  <si>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</si>
  <si>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</si>
  <si>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</si>
  <si>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</si>
  <si>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</si>
  <si>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</si>
  <si>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</si>
  <si>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</si>
  <si>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</si>
  <si>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</si>
  <si>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</si>
  <si>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</si>
  <si>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</si>
  <si>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</si>
  <si>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</si>
  <si>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</si>
  <si>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</si>
  <si>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</si>
  <si>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</si>
  <si>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</si>
  <si>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</si>
  <si>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</si>
  <si>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</si>
  <si>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</si>
  <si>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</si>
  <si>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</si>
  <si>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</si>
  <si>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</si>
  <si>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</si>
  <si>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</si>
  <si>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</si>
  <si>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</si>
  <si>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</si>
  <si>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</si>
  <si>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</si>
  <si>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</si>
  <si>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</si>
  <si>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</si>
  <si>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</si>
  <si>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</si>
  <si>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</si>
  <si>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</si>
  <si>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</si>
  <si>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</si>
  <si>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</si>
  <si>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</si>
  <si>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</si>
  <si>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</si>
  <si>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</si>
  <si>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</si>
  <si>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</si>
  <si>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</si>
  <si>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</si>
  <si>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</si>
  <si>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</si>
  <si>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</si>
  <si>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</si>
  <si>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</si>
  <si>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</si>
  <si>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</si>
  <si>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</si>
  <si>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</si>
  <si>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</si>
  <si>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</si>
  <si>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</si>
  <si>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</si>
  <si>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</si>
  <si>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</si>
  <si>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</si>
  <si>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</si>
  <si>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</si>
  <si>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</si>
  <si>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</si>
  <si>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</si>
  <si>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</si>
  <si>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</si>
  <si>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</si>
  <si>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</si>
  <si>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</si>
  <si>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</si>
  <si>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</si>
  <si>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</si>
  <si>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</si>
  <si>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</si>
  <si>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</si>
  <si>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</si>
  <si>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</si>
  <si>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</si>
  <si>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</si>
  <si>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</si>
  <si>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</si>
  <si>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</si>
  <si>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</si>
  <si>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</si>
  <si>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</si>
  <si>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</si>
  <si>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</si>
  <si>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</si>
  <si>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</si>
  <si>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</si>
  <si>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</si>
  <si>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</si>
  <si>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</si>
  <si>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</si>
  <si>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</si>
  <si>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</si>
  <si>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</si>
  <si>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</si>
  <si>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</si>
  <si>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</si>
  <si>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</si>
  <si>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</si>
  <si>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</si>
  <si>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</si>
  <si>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</si>
  <si>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</si>
  <si>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</si>
  <si>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</si>
  <si>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</si>
  <si>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</si>
  <si>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</si>
  <si>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</si>
  <si>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</si>
  <si>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</si>
  <si>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</si>
  <si>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</si>
  <si>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</si>
  <si>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</si>
  <si>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</si>
  <si>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</si>
  <si>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</si>
  <si>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</si>
  <si>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</si>
  <si>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</si>
  <si>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</si>
  <si>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</si>
  <si>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</si>
  <si>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</si>
  <si>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</si>
  <si>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</si>
  <si>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</si>
  <si>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</si>
  <si>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</si>
  <si>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</si>
  <si>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</si>
  <si>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</si>
  <si>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</si>
  <si>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</si>
  <si>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</si>
  <si>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</si>
  <si>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</si>
  <si>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</si>
  <si>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</si>
  <si>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</si>
  <si>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</si>
  <si>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</si>
  <si>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</si>
  <si>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</si>
  <si>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</si>
  <si>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</si>
  <si>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</si>
  <si>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</si>
  <si>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</si>
  <si>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</si>
  <si>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</si>
  <si>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</si>
  <si>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</si>
  <si>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</si>
  <si>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</si>
  <si>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</si>
  <si>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</si>
  <si>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</si>
  <si>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</si>
  <si>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</si>
  <si>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</si>
  <si>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</si>
  <si>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</si>
  <si>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</si>
  <si>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</si>
  <si>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</si>
  <si>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</si>
  <si>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</si>
  <si>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</si>
  <si>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</si>
  <si>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</si>
  <si>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</si>
  <si>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</si>
  <si>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</si>
  <si>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</si>
  <si>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</si>
  <si>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</si>
  <si>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</si>
  <si>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</si>
  <si>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</si>
  <si>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</si>
  <si>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</si>
  <si>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</si>
  <si>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</si>
  <si>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</si>
  <si>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</si>
  <si>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</si>
  <si>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</si>
  <si>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</si>
  <si>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</si>
  <si>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</si>
  <si>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</si>
  <si>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</si>
  <si>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</si>
  <si>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</si>
  <si>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</si>
  <si>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</si>
  <si>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</si>
  <si>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</si>
  <si>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</si>
  <si>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</si>
  <si>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</si>
  <si>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</si>
  <si>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</si>
  <si>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</si>
  <si>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</si>
  <si>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</si>
  <si>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</si>
  <si>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</si>
  <si>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</si>
  <si>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</si>
  <si>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</si>
  <si>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</si>
  <si>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</si>
  <si>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</si>
  <si>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</si>
  <si>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</si>
  <si>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</si>
  <si>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</si>
  <si>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</si>
  <si>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</si>
  <si>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</si>
  <si>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</si>
  <si>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</si>
  <si>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</si>
  <si>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</si>
  <si>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</si>
  <si>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</si>
  <si>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</si>
  <si>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</si>
  <si>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</si>
  <si>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</si>
  <si>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</si>
  <si>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</si>
  <si>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</si>
  <si>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</si>
  <si>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</si>
  <si>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</si>
  <si>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</si>
  <si>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</si>
  <si>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</si>
  <si>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</si>
  <si>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</si>
  <si>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</si>
  <si>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</si>
  <si>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</si>
  <si>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</si>
  <si>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</si>
  <si>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</si>
  <si>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</si>
  <si>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</si>
  <si>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</si>
  <si>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</si>
  <si>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</si>
  <si>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</si>
  <si>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</si>
  <si>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</si>
  <si>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</si>
  <si>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</si>
  <si>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</si>
  <si>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</si>
  <si>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</si>
  <si>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</si>
  <si>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</si>
  <si>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</si>
  <si>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</si>
  <si>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</si>
  <si>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</si>
  <si>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</si>
  <si>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</si>
  <si>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</si>
  <si>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</si>
  <si>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</si>
  <si>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</si>
  <si>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</si>
  <si>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</si>
  <si>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</si>
  <si>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</si>
  <si>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</si>
  <si>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</si>
  <si>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</si>
  <si>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</si>
  <si>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</si>
  <si>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</si>
  <si>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</si>
  <si>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</si>
  <si>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</si>
  <si>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</si>
  <si>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</si>
  <si>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</si>
  <si>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</si>
  <si>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</si>
  <si>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</si>
  <si>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</si>
  <si>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</si>
  <si>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</si>
  <si>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</si>
  <si>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</si>
  <si>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</si>
  <si>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</si>
  <si>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</si>
  <si>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</si>
  <si>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</si>
  <si>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</si>
  <si>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</si>
  <si>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</si>
  <si>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</si>
  <si>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</si>
  <si>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</si>
  <si>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</si>
  <si>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</si>
  <si>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</si>
  <si>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</si>
  <si>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</si>
  <si>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</si>
  <si>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</si>
  <si>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</si>
  <si>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</si>
  <si>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</si>
  <si>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</si>
  <si>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</si>
  <si>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</si>
  <si>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</si>
  <si>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</si>
  <si>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</si>
  <si>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</si>
  <si>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</si>
  <si>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</si>
  <si>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</si>
  <si>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</si>
  <si>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</si>
  <si>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</si>
  <si>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</si>
  <si>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</si>
  <si>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</si>
  <si>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</si>
  <si>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</si>
  <si>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</si>
  <si>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</si>
  <si>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</si>
  <si>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</si>
  <si>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</si>
  <si>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</si>
  <si>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</si>
  <si>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</si>
  <si>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</si>
  <si>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</si>
  <si>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</si>
  <si>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</si>
  <si>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</si>
  <si>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</si>
  <si>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</si>
  <si>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</si>
  <si>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</si>
  <si>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</si>
  <si>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</si>
  <si>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</si>
  <si>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</si>
  <si>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</si>
  <si>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</si>
  <si>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</si>
  <si>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</si>
  <si>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</si>
  <si>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</si>
  <si>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</si>
  <si>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</si>
  <si>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</si>
  <si>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</si>
  <si>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</si>
  <si>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</si>
  <si>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</si>
  <si>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</si>
  <si>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</si>
  <si>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</si>
  <si>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</si>
  <si>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</si>
  <si>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</si>
  <si>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</si>
  <si>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</si>
  <si>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</si>
  <si>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</si>
  <si>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</si>
  <si>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</si>
  <si>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</si>
  <si>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</si>
  <si>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</si>
  <si>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</si>
  <si>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</si>
  <si>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</si>
  <si>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</si>
  <si>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</si>
  <si>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</si>
  <si>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</si>
  <si>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</si>
  <si>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</si>
  <si>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</si>
  <si>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</si>
  <si>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</si>
  <si>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</si>
  <si>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</si>
  <si>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</si>
  <si>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</si>
  <si>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</si>
  <si>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</si>
  <si>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</si>
  <si>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</si>
  <si>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</si>
  <si>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</si>
  <si>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</si>
  <si>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</si>
  <si>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</si>
  <si>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</si>
  <si>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</si>
  <si>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</si>
  <si>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</si>
  <si>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</si>
  <si>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</si>
  <si>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</si>
  <si>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</si>
  <si>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</si>
  <si>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</si>
  <si>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</si>
  <si>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</si>
  <si>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</si>
  <si>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</si>
  <si>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</si>
  <si>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</si>
  <si>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</si>
  <si>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</si>
  <si>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</si>
  <si>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</si>
  <si>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</si>
  <si>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</si>
  <si>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</si>
  <si>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</si>
  <si>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</si>
  <si>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</si>
  <si>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</si>
  <si>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</si>
  <si>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</si>
  <si>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</si>
  <si>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</si>
  <si>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</si>
  <si>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</si>
  <si>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</si>
  <si>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</si>
  <si>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</si>
  <si>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</si>
  <si>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</si>
  <si>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</si>
  <si>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</si>
  <si>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</si>
  <si>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</si>
  <si>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</si>
  <si>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</si>
  <si>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</si>
  <si>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</si>
  <si>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</si>
  <si>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</si>
  <si>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</si>
  <si>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</si>
  <si>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</si>
  <si>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</si>
  <si>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</si>
  <si>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</si>
  <si>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</si>
  <si>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</si>
  <si>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</si>
  <si>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</si>
  <si>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</si>
  <si>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</si>
  <si>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</si>
  <si>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</si>
  <si>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</si>
  <si>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</si>
  <si>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</si>
  <si>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</si>
  <si>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</si>
  <si>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</si>
  <si>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</si>
  <si>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</si>
  <si>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</si>
  <si>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</si>
  <si>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</si>
  <si>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</si>
  <si>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</si>
  <si>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</si>
  <si>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</si>
  <si>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</si>
  <si>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</si>
  <si>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</si>
  <si>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</si>
  <si>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</si>
  <si>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</si>
  <si>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</si>
  <si>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</si>
  <si>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</si>
  <si>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</si>
  <si>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</si>
  <si>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</si>
  <si>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</si>
  <si>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</si>
  <si>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</si>
  <si>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</si>
  <si>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</si>
  <si>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</si>
  <si>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</si>
  <si>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</si>
  <si>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</si>
  <si>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</si>
  <si>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</si>
  <si>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</si>
  <si>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</si>
  <si>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</si>
  <si>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</si>
  <si>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</si>
  <si>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</si>
  <si>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</si>
  <si>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</si>
  <si>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</si>
  <si>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</si>
  <si>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</si>
  <si>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</si>
  <si>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</si>
  <si>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</si>
  <si>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</si>
  <si>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</si>
  <si>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</si>
  <si>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</si>
  <si>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</si>
  <si>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</si>
  <si>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</si>
  <si>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</si>
  <si>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</si>
  <si>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</si>
  <si>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</si>
  <si>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</si>
  <si>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</si>
  <si>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</si>
  <si>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</si>
  <si>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</si>
  <si>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</si>
  <si>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</si>
  <si>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</si>
  <si>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</si>
  <si>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</si>
  <si>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</si>
  <si>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</si>
  <si>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</si>
  <si>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</si>
  <si>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</si>
  <si>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</si>
  <si>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</si>
  <si>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</si>
  <si>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</si>
  <si>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</si>
  <si>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</si>
  <si>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</si>
  <si>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</si>
  <si>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</si>
  <si>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</si>
  <si>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</si>
  <si>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</si>
  <si>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</si>
  <si>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</si>
  <si>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</si>
  <si>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</si>
  <si>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</si>
  <si>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</si>
  <si>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</si>
  <si>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</si>
  <si>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</si>
  <si>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</si>
  <si>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</si>
  <si>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</si>
  <si>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</si>
  <si>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</si>
  <si>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</si>
  <si>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</si>
  <si>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</si>
  <si>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</si>
  <si>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</si>
  <si>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</si>
  <si>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</si>
  <si>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</si>
  <si>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</si>
  <si>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</si>
  <si>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</si>
  <si>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</si>
  <si>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</si>
  <si>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</si>
  <si>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</si>
  <si>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</si>
  <si>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</si>
  <si>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</si>
  <si>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</si>
  <si>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</si>
  <si>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</si>
  <si>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</si>
  <si>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</si>
  <si>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</si>
  <si>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</si>
  <si>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</si>
  <si>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</si>
  <si>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</si>
  <si>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</si>
  <si>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</si>
  <si>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</si>
  <si>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</si>
  <si>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</si>
  <si>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</si>
  <si>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</si>
  <si>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</si>
  <si>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</si>
  <si>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</si>
  <si>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</si>
  <si>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</si>
  <si>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</si>
  <si>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</si>
  <si>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</si>
  <si>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</si>
  <si>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</si>
  <si>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</si>
  <si>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</si>
  <si>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</si>
  <si>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</si>
  <si>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</si>
  <si>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</si>
  <si>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</si>
  <si>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</si>
  <si>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</si>
  <si>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</si>
  <si>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</si>
  <si>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</si>
  <si>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</si>
  <si>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</si>
  <si>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</si>
  <si>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</si>
  <si>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</si>
  <si>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</si>
  <si>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</si>
  <si>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</si>
  <si>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</si>
  <si>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</si>
  <si>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</si>
  <si>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</si>
  <si>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</si>
  <si>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</si>
  <si>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</si>
  <si>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</si>
  <si>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</si>
  <si>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</si>
  <si>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</si>
  <si>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</si>
  <si>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</si>
  <si>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</si>
  <si>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</si>
  <si>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</si>
  <si>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</si>
  <si>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</si>
  <si>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</si>
  <si>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</si>
  <si>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</si>
  <si>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</si>
  <si>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</si>
  <si>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</si>
  <si>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</si>
  <si>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</si>
  <si>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</si>
  <si>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</si>
  <si>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</si>
  <si>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</si>
  <si>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</si>
  <si>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</si>
  <si>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</si>
  <si>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</si>
  <si>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</si>
  <si>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</si>
  <si>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</si>
  <si>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</si>
  <si>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</si>
  <si>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</si>
  <si>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</si>
  <si>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</si>
  <si>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</si>
  <si>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</si>
  <si>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</si>
  <si>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</si>
  <si>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</si>
  <si>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</si>
  <si>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</si>
  <si>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</si>
  <si>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</si>
  <si>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</si>
  <si>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</si>
  <si>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</si>
  <si>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</si>
  <si>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</si>
  <si>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</si>
  <si>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</si>
  <si>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</si>
  <si>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</si>
  <si>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</si>
  <si>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</si>
  <si>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</si>
  <si>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</si>
  <si>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</si>
  <si>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</si>
  <si>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</si>
  <si>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</si>
  <si>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</si>
  <si>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</si>
  <si>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</si>
  <si>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</si>
  <si>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</si>
  <si>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</si>
  <si>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</si>
  <si>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</si>
  <si>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</si>
  <si>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</si>
  <si>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</si>
  <si>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</si>
  <si>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</si>
  <si>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</si>
  <si>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</si>
  <si>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</si>
  <si>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</si>
  <si>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</si>
  <si>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</si>
  <si>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</si>
  <si>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</si>
  <si>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</si>
  <si>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</si>
  <si>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</si>
  <si>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</si>
  <si>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</si>
  <si>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</si>
  <si>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</si>
  <si>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</si>
  <si>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</si>
  <si>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</si>
  <si>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</si>
  <si>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</si>
  <si>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</si>
  <si>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</si>
  <si>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</si>
  <si>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</si>
  <si>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</si>
  <si>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</si>
  <si>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</si>
  <si>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</si>
  <si>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</si>
  <si>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</si>
  <si>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</si>
  <si>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</si>
  <si>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</si>
  <si>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</si>
  <si>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</si>
  <si>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</si>
  <si>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</si>
  <si>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</si>
  <si>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</si>
  <si>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</si>
  <si>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</si>
  <si>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</si>
  <si>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</si>
  <si>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</si>
  <si>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</si>
  <si>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</si>
  <si>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</si>
  <si>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</si>
  <si>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</si>
  <si>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</si>
  <si>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</si>
  <si>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</si>
  <si>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</si>
  <si>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</si>
  <si>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</si>
  <si>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</si>
  <si>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</si>
  <si>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</si>
  <si>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</si>
  <si>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</si>
  <si>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</si>
  <si>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</si>
  <si>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</si>
  <si>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</si>
  <si>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</si>
  <si>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</si>
  <si>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</si>
  <si>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</si>
  <si>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</si>
  <si>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</si>
  <si>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</si>
  <si>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</si>
  <si>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</si>
  <si>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</si>
  <si>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</si>
  <si>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</si>
  <si>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</si>
  <si>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</si>
  <si>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</si>
  <si>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</si>
  <si>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</si>
  <si>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</si>
  <si>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</si>
  <si>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</si>
  <si>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</si>
  <si>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</si>
  <si>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</si>
  <si>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</si>
  <si>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</si>
  <si>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</si>
  <si>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</si>
  <si>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</si>
  <si>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</si>
  <si>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</si>
  <si>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</si>
  <si>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</si>
  <si>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</si>
  <si>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</si>
  <si>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</si>
  <si>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</si>
  <si>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</si>
  <si>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</si>
  <si>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</si>
  <si>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</si>
  <si>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</si>
  <si>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</si>
  <si>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</si>
  <si>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</si>
  <si>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</si>
  <si>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</si>
  <si>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</si>
  <si>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</si>
  <si>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</si>
  <si>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</si>
  <si>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</si>
  <si>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</si>
  <si>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</si>
  <si>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</si>
  <si>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</si>
  <si>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</si>
  <si>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</si>
  <si>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</si>
  <si>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</si>
  <si>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</si>
  <si>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</si>
  <si>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</si>
  <si>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</si>
  <si>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</si>
  <si>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</si>
  <si>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</si>
  <si>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</si>
  <si>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</si>
  <si>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</si>
  <si>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</si>
  <si>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</si>
  <si>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</si>
  <si>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</si>
  <si>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</si>
  <si>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</si>
  <si>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</si>
  <si>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</si>
  <si>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</si>
  <si>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</si>
  <si>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</si>
  <si>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</si>
  <si>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</si>
  <si>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</si>
  <si>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</si>
  <si>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</si>
  <si>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</si>
  <si>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</si>
  <si>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</si>
  <si>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</si>
  <si>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</si>
  <si>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</si>
  <si>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</si>
  <si>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</si>
  <si>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</si>
  <si>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</si>
  <si>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</si>
  <si>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</si>
  <si>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</si>
  <si>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</si>
  <si>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</si>
  <si>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</si>
  <si>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</si>
  <si>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</si>
  <si>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</si>
  <si>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</si>
  <si>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</si>
  <si>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</si>
  <si>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</si>
  <si>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</si>
  <si>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</si>
  <si>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</si>
  <si>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</si>
  <si>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</si>
  <si>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</si>
  <si>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</si>
  <si>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</si>
  <si>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</si>
  <si>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</si>
  <si>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</si>
  <si>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</si>
  <si>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</si>
  <si>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</si>
  <si>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</si>
  <si>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</si>
  <si>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</si>
  <si>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</si>
  <si>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</si>
  <si>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</si>
  <si>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</si>
  <si>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</si>
  <si>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</si>
  <si>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</si>
  <si>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</si>
  <si>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</si>
  <si>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</si>
  <si>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</si>
  <si>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</si>
  <si>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</si>
  <si>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</si>
  <si>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</si>
  <si>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</si>
  <si>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</si>
  <si>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</si>
  <si>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</si>
  <si>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</si>
  <si>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</si>
  <si>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</si>
  <si>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</si>
  <si>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</si>
  <si>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</si>
  <si>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</si>
  <si>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</si>
  <si>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</si>
  <si>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</si>
  <si>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</si>
  <si>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</si>
  <si>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</si>
  <si>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</si>
  <si>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</si>
  <si>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</si>
  <si>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</si>
  <si>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</si>
  <si>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</si>
  <si>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</si>
  <si>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</si>
  <si>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</si>
  <si>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</si>
  <si>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</si>
  <si>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</si>
  <si>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</si>
  <si>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</si>
  <si>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</si>
  <si>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</si>
  <si>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</si>
  <si>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</si>
  <si>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</si>
  <si>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</si>
  <si>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</si>
  <si>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</si>
  <si>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</si>
  <si>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</si>
  <si>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</si>
  <si>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</si>
  <si>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</si>
  <si>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</si>
  <si>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</si>
  <si>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</si>
  <si>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</si>
  <si>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</si>
  <si>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</si>
  <si>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</si>
  <si>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</si>
  <si>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</si>
  <si>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</si>
  <si>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</si>
  <si>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</si>
  <si>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</si>
  <si>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</si>
  <si>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</si>
  <si>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</si>
  <si>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</si>
  <si>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</si>
  <si>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</si>
  <si>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</si>
  <si>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</si>
  <si>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</si>
  <si>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</si>
  <si>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</si>
  <si>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</si>
  <si>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</si>
  <si>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</si>
  <si>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</si>
  <si>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</si>
  <si>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</si>
  <si>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</si>
  <si>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</si>
  <si>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</si>
  <si>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</si>
  <si>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</si>
  <si>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</si>
  <si>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</si>
  <si>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</si>
  <si>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</si>
  <si>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</si>
  <si>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</si>
  <si>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</si>
  <si>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</si>
  <si>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</si>
  <si>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</si>
  <si>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</si>
  <si>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</si>
  <si>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</si>
  <si>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</si>
  <si>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</si>
  <si>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</si>
  <si>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</si>
  <si>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</si>
  <si>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</si>
  <si>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</si>
  <si>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</si>
  <si>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</si>
  <si>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</si>
  <si>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</si>
  <si>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</si>
  <si>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</si>
  <si>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</si>
  <si>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</si>
  <si>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</si>
  <si>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</si>
  <si>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</si>
  <si>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</si>
  <si>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</si>
  <si>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</si>
  <si>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</si>
  <si>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</si>
  <si>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</si>
  <si>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</si>
  <si>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</si>
  <si>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</si>
  <si>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</si>
  <si>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</si>
  <si>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</si>
  <si>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</si>
  <si>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</si>
  <si>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</si>
  <si>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</si>
  <si>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</si>
  <si>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</si>
  <si>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</si>
  <si>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</si>
  <si>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</si>
  <si>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</si>
  <si>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</si>
  <si>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</si>
  <si>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</si>
  <si>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</si>
  <si>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</si>
  <si>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</si>
  <si>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</si>
  <si>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</si>
  <si>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</si>
  <si>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</si>
  <si>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</si>
  <si>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</si>
  <si>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</si>
  <si>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</si>
  <si>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</si>
  <si>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</si>
  <si>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</si>
  <si>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</si>
  <si>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</si>
  <si>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</si>
  <si>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</si>
  <si>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</si>
  <si>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</si>
  <si>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</si>
  <si>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</si>
  <si>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</si>
  <si>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</si>
  <si>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</si>
  <si>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</si>
  <si>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</si>
  <si>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</si>
  <si>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</si>
  <si>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</si>
  <si>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</si>
  <si>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</si>
  <si>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</si>
  <si>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</si>
  <si>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</si>
  <si>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</si>
  <si>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</si>
  <si>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</si>
  <si>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</si>
  <si>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</si>
  <si>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</si>
  <si>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</si>
  <si>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</si>
  <si>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</si>
  <si>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</si>
  <si>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</si>
  <si>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</si>
  <si>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</si>
  <si>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</si>
  <si>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</si>
  <si>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</si>
  <si>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</si>
  <si>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</si>
  <si>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</si>
  <si>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</si>
  <si>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</si>
  <si>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</si>
  <si>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</si>
  <si>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</si>
  <si>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</si>
  <si>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</si>
  <si>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</si>
  <si>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</si>
  <si>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</si>
  <si>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</si>
  <si>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</si>
  <si>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</si>
  <si>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</si>
  <si>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</si>
  <si>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</si>
  <si>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</si>
  <si>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</si>
  <si>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</si>
  <si>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</si>
  <si>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</si>
  <si>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</si>
  <si>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</si>
  <si>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</si>
  <si>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</si>
  <si>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</si>
  <si>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</si>
  <si>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</si>
  <si>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</si>
  <si>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</si>
  <si>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</si>
  <si>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</si>
  <si>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</si>
  <si>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</si>
  <si>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</si>
  <si>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</si>
  <si>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</si>
  <si>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</si>
  <si>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</si>
  <si>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</si>
  <si>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</si>
  <si>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</si>
  <si>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</si>
  <si>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</si>
  <si>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</si>
  <si>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</si>
  <si>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</si>
  <si>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</si>
  <si>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</si>
  <si>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</si>
  <si>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</si>
  <si>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</si>
  <si>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</si>
  <si>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</si>
  <si>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</si>
  <si>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</si>
  <si>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</si>
  <si>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</si>
  <si>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</si>
  <si>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</si>
  <si>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</si>
  <si>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</si>
  <si>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</si>
  <si>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</si>
  <si>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</si>
  <si>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</si>
  <si>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</si>
  <si>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</si>
  <si>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</si>
  <si>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</si>
  <si>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</si>
  <si>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</si>
  <si>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</si>
  <si>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</si>
  <si>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</si>
  <si>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</si>
  <si>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</si>
  <si>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</si>
  <si>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</si>
  <si>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</si>
  <si>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</si>
  <si>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</si>
  <si>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</si>
  <si>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</si>
  <si>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</si>
  <si>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</si>
  <si>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</si>
  <si>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</si>
  <si>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</si>
  <si>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</si>
  <si>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</si>
  <si>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</si>
  <si>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</si>
  <si>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</si>
  <si>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</si>
  <si>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</si>
  <si>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</si>
  <si>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</si>
  <si>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</si>
  <si>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</si>
  <si>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</si>
  <si>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</si>
  <si>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</si>
  <si>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</si>
  <si>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</si>
  <si>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</si>
  <si>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</si>
  <si>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</si>
  <si>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</si>
  <si>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</si>
  <si>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</si>
  <si>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</si>
  <si>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</si>
  <si>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</si>
  <si>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</si>
  <si>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</si>
  <si>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</si>
  <si>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</si>
  <si>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</si>
  <si>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</si>
  <si>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</si>
  <si>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</si>
  <si>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</si>
  <si>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</si>
  <si>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</si>
  <si>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</si>
  <si>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</si>
  <si>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</si>
  <si>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</si>
  <si>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</si>
  <si>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</si>
  <si>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</si>
  <si>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</si>
  <si>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</si>
  <si>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</si>
  <si>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</si>
  <si>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</si>
  <si>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</si>
  <si>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</si>
  <si>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</si>
  <si>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</si>
  <si>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</si>
  <si>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</si>
  <si>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</si>
  <si>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</si>
  <si>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</si>
  <si>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</si>
  <si>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</si>
  <si>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</si>
  <si>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</si>
  <si>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</si>
  <si>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</si>
  <si>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</si>
  <si>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</si>
  <si>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</si>
  <si>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</si>
  <si>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</si>
  <si>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</si>
  <si>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</si>
  <si>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</si>
  <si>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</si>
  <si>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</si>
  <si>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</si>
  <si>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</si>
  <si>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</si>
  <si>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</si>
  <si>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</si>
  <si>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</si>
  <si>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</si>
  <si>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</si>
  <si>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</si>
  <si>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</si>
  <si>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</si>
  <si>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</si>
  <si>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</si>
  <si>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</si>
  <si>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</si>
  <si>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</si>
  <si>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</si>
  <si>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</si>
  <si>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</si>
  <si>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</si>
  <si>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</si>
  <si>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</si>
  <si>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</si>
  <si>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</si>
  <si>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</si>
  <si>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</si>
  <si>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</si>
  <si>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</si>
  <si>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</si>
  <si>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</si>
  <si>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</si>
  <si>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</si>
  <si>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</si>
  <si>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</si>
  <si>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</si>
  <si>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</si>
  <si>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</si>
  <si>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</si>
  <si>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</si>
  <si>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</si>
  <si>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</si>
  <si>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</si>
  <si>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</si>
  <si>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</si>
  <si>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</si>
  <si>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</si>
  <si>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</si>
  <si>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</si>
  <si>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</si>
  <si>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</si>
  <si>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</si>
  <si>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</si>
  <si>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</si>
  <si>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</si>
  <si>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</si>
  <si>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</si>
  <si>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</si>
  <si>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</si>
  <si>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</si>
  <si>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</si>
  <si>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</si>
  <si>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</si>
  <si>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</si>
  <si>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</si>
  <si>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</si>
  <si>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</si>
  <si>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</si>
  <si>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</si>
  <si>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</si>
  <si>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</si>
  <si>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</si>
  <si>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</si>
  <si>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</si>
  <si>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</si>
  <si>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</si>
  <si>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</si>
  <si>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</si>
  <si>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</si>
  <si>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</si>
  <si>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</si>
  <si>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</si>
  <si>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</si>
  <si>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</si>
  <si>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</si>
  <si>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</si>
  <si>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</si>
  <si>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</si>
  <si>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</si>
  <si>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</si>
  <si>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</si>
  <si>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</si>
  <si>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</si>
  <si>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</si>
  <si>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</si>
  <si>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</si>
  <si>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</si>
  <si>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</si>
  <si>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</si>
  <si>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</si>
  <si>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</si>
  <si>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</si>
  <si>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</si>
  <si>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</si>
  <si>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</si>
  <si>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</si>
  <si>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</si>
  <si>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</si>
  <si>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</si>
  <si>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</si>
  <si>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</si>
  <si>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</si>
  <si>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</si>
  <si>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</si>
  <si>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</si>
  <si>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</si>
  <si>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</si>
  <si>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</si>
  <si>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</si>
  <si>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</si>
  <si>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</si>
  <si>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</si>
  <si>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</si>
  <si>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</si>
  <si>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</si>
  <si>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</si>
  <si>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</si>
  <si>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</si>
  <si>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</si>
  <si>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</si>
  <si>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</si>
  <si>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</si>
  <si>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</si>
  <si>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</si>
  <si>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</si>
  <si>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</si>
  <si>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</si>
  <si>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</si>
  <si>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</si>
  <si>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</si>
  <si>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</si>
  <si>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</si>
  <si>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</si>
  <si>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</si>
  <si>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</si>
  <si>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</si>
  <si>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</si>
  <si>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</si>
  <si>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</si>
  <si>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</si>
  <si>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</si>
  <si>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</si>
  <si>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</si>
  <si>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</si>
  <si>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</si>
  <si>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</si>
  <si>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</si>
  <si>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</si>
  <si>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</si>
  <si>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</si>
  <si>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</si>
  <si>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</si>
  <si>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</si>
  <si>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</si>
  <si>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</si>
  <si>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</si>
  <si>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</si>
  <si>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</si>
  <si>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</si>
  <si>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</si>
  <si>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</si>
  <si>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</si>
  <si>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</si>
  <si>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</si>
  <si>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</si>
  <si>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</si>
  <si>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</si>
  <si>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</si>
  <si>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</si>
  <si>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</si>
  <si>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</si>
  <si>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</si>
  <si>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</si>
  <si>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</si>
  <si>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</si>
  <si>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</si>
  <si>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</si>
  <si>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</si>
  <si>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</si>
  <si>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</si>
  <si>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</si>
  <si>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</si>
  <si>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</si>
  <si>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</si>
  <si>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</si>
  <si>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</si>
  <si>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</si>
  <si>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</si>
  <si>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</si>
  <si>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</si>
  <si>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</si>
  <si>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</si>
  <si>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</si>
  <si>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</si>
  <si>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</si>
  <si>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</si>
  <si>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</si>
  <si>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</si>
  <si>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</si>
  <si>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</si>
  <si>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</si>
  <si>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</si>
  <si>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</si>
  <si>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</si>
  <si>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</si>
  <si>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</si>
  <si>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</si>
  <si>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</si>
  <si>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</si>
  <si>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</si>
  <si>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</si>
  <si>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</si>
  <si>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</si>
  <si>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</si>
  <si>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</si>
  <si>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</si>
  <si>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</si>
  <si>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</si>
  <si>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</si>
  <si>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</si>
  <si>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</si>
  <si>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</si>
  <si>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</si>
  <si>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</si>
  <si>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</si>
  <si>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</si>
  <si>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</si>
  <si>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</si>
  <si>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</si>
  <si>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</si>
  <si>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</si>
  <si>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</si>
  <si>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</si>
  <si>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</si>
  <si>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</si>
  <si>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</si>
  <si>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</si>
  <si>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</si>
  <si>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</si>
  <si>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</si>
  <si>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</si>
  <si>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</si>
  <si>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</si>
  <si>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</si>
  <si>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</si>
  <si>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</si>
  <si>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</si>
  <si>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</si>
  <si>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</si>
  <si>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</si>
  <si>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</si>
  <si>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</si>
  <si>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</si>
  <si>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</si>
  <si>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</si>
  <si>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</si>
  <si>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</si>
  <si>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</si>
  <si>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</si>
  <si>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</si>
  <si>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</si>
  <si>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</si>
  <si>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</si>
  <si>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</si>
  <si>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</si>
  <si>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</si>
  <si>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</si>
  <si>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</si>
  <si>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</si>
  <si>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</si>
  <si>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</si>
  <si>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</si>
  <si>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</si>
  <si>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</si>
  <si>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</si>
  <si>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</si>
  <si>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</si>
  <si>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</si>
  <si>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</si>
  <si>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</si>
  <si>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</si>
  <si>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</si>
  <si>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</si>
  <si>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</si>
  <si>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</si>
  <si>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</si>
  <si>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</si>
  <si>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</si>
  <si>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</si>
  <si>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</si>
  <si>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</si>
  <si>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</si>
  <si>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</si>
  <si>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</si>
  <si>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</si>
  <si>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</si>
  <si>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</si>
  <si>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</si>
  <si>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</si>
  <si>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</si>
  <si>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</si>
  <si>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</si>
  <si>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</si>
  <si>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</si>
  <si>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</si>
  <si>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</si>
  <si>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</si>
  <si>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</si>
  <si>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</si>
  <si>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</si>
  <si>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</si>
  <si>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</si>
  <si>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</si>
  <si>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</si>
  <si>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</si>
  <si>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</si>
  <si>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</si>
  <si>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</si>
  <si>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</si>
  <si>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</si>
  <si>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</si>
  <si>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</si>
  <si>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</si>
  <si>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</si>
  <si>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</si>
  <si>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</si>
  <si>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</si>
  <si>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</si>
  <si>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</si>
  <si>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</si>
  <si>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</si>
  <si>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</si>
  <si>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</si>
  <si>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</si>
  <si>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</si>
  <si>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</si>
  <si>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</si>
  <si>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</si>
  <si>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</si>
  <si>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</si>
  <si>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</si>
  <si>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</si>
  <si>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</si>
  <si>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</si>
  <si>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</si>
  <si>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</si>
  <si>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</si>
  <si>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</si>
  <si>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</si>
  <si>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</si>
  <si>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</si>
  <si>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</si>
  <si>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</si>
  <si>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</si>
  <si>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</si>
  <si>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</si>
  <si>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</si>
  <si>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</si>
  <si>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</si>
  <si>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</si>
  <si>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</si>
  <si>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</si>
  <si>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</si>
  <si>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</si>
  <si>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</si>
  <si>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</si>
  <si>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</si>
  <si>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</si>
  <si>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</si>
  <si>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</si>
  <si>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</si>
  <si>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</si>
  <si>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</si>
  <si>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</si>
  <si>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</si>
  <si>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</si>
  <si>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</si>
  <si>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</si>
  <si>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</si>
  <si>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</si>
  <si>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</si>
  <si>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</si>
  <si>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</si>
  <si>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</si>
  <si>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</si>
  <si>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</si>
  <si>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</si>
  <si>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</si>
  <si>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</si>
  <si>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</si>
  <si>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</si>
  <si>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</si>
  <si>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</si>
  <si>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</si>
  <si>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</si>
  <si>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</si>
  <si>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</si>
  <si>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</si>
  <si>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</si>
  <si>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</si>
  <si>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</si>
  <si>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</si>
  <si>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</si>
  <si>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</si>
  <si>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</si>
  <si>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</si>
  <si>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</si>
  <si>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</si>
  <si>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</si>
  <si>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</si>
  <si>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</si>
  <si>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</si>
  <si>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</si>
  <si>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</si>
  <si>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</si>
  <si>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</si>
  <si>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</si>
  <si>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</si>
  <si>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</si>
  <si>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</si>
  <si>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</si>
  <si>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</si>
  <si>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</si>
  <si>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</si>
  <si>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</si>
  <si>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</si>
  <si>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</si>
  <si>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</si>
  <si>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</si>
  <si>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</si>
  <si>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</si>
  <si>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</si>
  <si>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</si>
  <si>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</si>
  <si>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</si>
  <si>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</si>
  <si>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</si>
  <si>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</si>
  <si>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</si>
  <si>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</si>
  <si>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</si>
  <si>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</si>
  <si>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</si>
  <si>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</si>
  <si>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</si>
  <si>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</si>
  <si>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</si>
  <si>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</si>
  <si>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</si>
  <si>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</si>
  <si>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</si>
  <si>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</si>
  <si>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</si>
  <si>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</si>
  <si>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</si>
  <si>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</si>
  <si>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</si>
  <si>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</si>
  <si>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</si>
  <si>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</si>
  <si>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</si>
  <si>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</si>
  <si>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</si>
  <si>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</si>
  <si>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</si>
  <si>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</si>
  <si>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</si>
  <si>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</si>
  <si>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</si>
  <si>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</si>
  <si>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</si>
  <si>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</si>
  <si>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</si>
  <si>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</si>
  <si>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</si>
  <si>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</si>
  <si>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</si>
  <si>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</si>
  <si>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</si>
  <si>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</si>
  <si>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</si>
  <si>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</si>
  <si>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</si>
  <si>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</si>
  <si>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</si>
  <si>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</si>
  <si>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</si>
  <si>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</si>
  <si>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</si>
  <si>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</si>
  <si>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</si>
  <si>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</si>
  <si>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</si>
  <si>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</si>
  <si>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</si>
  <si>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</si>
  <si>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</si>
  <si>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</si>
  <si>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</si>
  <si>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</si>
  <si>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</si>
  <si>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</si>
  <si>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</si>
  <si>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</si>
  <si>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</si>
  <si>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</si>
  <si>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</si>
  <si>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</si>
  <si>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</si>
  <si>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</si>
  <si>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</si>
  <si>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</si>
  <si>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</si>
  <si>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</si>
  <si>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</si>
  <si>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</si>
  <si>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</si>
  <si>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</si>
  <si>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</si>
  <si>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</si>
  <si>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</si>
  <si>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</si>
  <si>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</si>
  <si>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</si>
  <si>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</si>
  <si>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</si>
  <si>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</si>
  <si>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</si>
  <si>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</si>
  <si>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</si>
  <si>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</si>
  <si>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</si>
  <si>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</si>
  <si>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</si>
  <si>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</si>
  <si>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</si>
  <si>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</si>
  <si>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</si>
  <si>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</si>
  <si>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</si>
  <si>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</si>
  <si>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</si>
  <si>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</si>
  <si>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</si>
  <si>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</si>
  <si>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</si>
  <si>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</si>
  <si>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</si>
  <si>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</si>
  <si>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</si>
  <si>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</si>
  <si>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</si>
  <si>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</si>
  <si>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</si>
  <si>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</si>
  <si>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</si>
  <si>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</si>
  <si>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</si>
  <si>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</si>
  <si>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</si>
  <si>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</si>
  <si>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</si>
  <si>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</si>
  <si>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</si>
  <si>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</si>
  <si>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</si>
  <si>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</si>
  <si>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</si>
  <si>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</si>
  <si>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</si>
  <si>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</si>
  <si>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</si>
  <si>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</si>
  <si>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</si>
  <si>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</si>
  <si>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</si>
  <si>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</si>
  <si>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</si>
  <si>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</si>
  <si>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</si>
  <si>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</si>
  <si>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</si>
  <si>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</si>
  <si>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</si>
  <si>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</si>
  <si>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</si>
  <si>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</si>
  <si>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</si>
  <si>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</si>
  <si>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</si>
  <si>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</si>
  <si>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</si>
  <si>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</si>
  <si>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</si>
  <si>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</si>
  <si>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</si>
  <si>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</si>
  <si>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</si>
  <si>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</si>
  <si>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</si>
  <si>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</si>
  <si>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</si>
  <si>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</si>
  <si>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</si>
  <si>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</si>
  <si>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</si>
  <si>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</si>
  <si>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</si>
  <si>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</si>
  <si>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</si>
  <si>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</si>
  <si>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</si>
  <si>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</si>
  <si>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</si>
  <si>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</si>
  <si>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</si>
  <si>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</si>
  <si>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</si>
  <si>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</si>
  <si>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</si>
  <si>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</si>
  <si>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</si>
  <si>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</si>
  <si>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</si>
  <si>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</si>
  <si>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</si>
  <si>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</si>
  <si>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</si>
  <si>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</si>
  <si>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</si>
  <si>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</si>
  <si>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</si>
  <si>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</si>
  <si>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</si>
  <si>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</si>
  <si>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</si>
  <si>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</si>
  <si>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</si>
  <si>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</si>
  <si>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</si>
  <si>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</si>
  <si>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</si>
  <si>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</si>
  <si>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</si>
  <si>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</si>
  <si>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</si>
  <si>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</si>
  <si>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</si>
  <si>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</si>
  <si>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</si>
  <si>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</si>
  <si>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</si>
  <si>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</si>
  <si>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</si>
  <si>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</si>
  <si>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</si>
  <si>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</si>
  <si>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</si>
  <si>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</si>
  <si>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</si>
  <si>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</si>
  <si>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</si>
  <si>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</si>
  <si>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</si>
  <si>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</si>
  <si>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</si>
  <si>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</si>
  <si>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</si>
  <si>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</si>
  <si>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</si>
  <si>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</si>
  <si>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</si>
  <si>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</si>
  <si>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</si>
  <si>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</si>
  <si>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</si>
  <si>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</si>
  <si>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</si>
  <si>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</si>
  <si>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</si>
  <si>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</si>
  <si>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</si>
  <si>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</si>
  <si>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</si>
  <si>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</si>
  <si>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</si>
  <si>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</si>
  <si>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</si>
  <si>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</si>
  <si>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</si>
  <si>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</si>
  <si>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</si>
  <si>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</si>
  <si>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</si>
  <si>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</si>
  <si>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</si>
  <si>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</si>
  <si>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</si>
  <si>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</si>
  <si>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</si>
  <si>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</si>
  <si>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</si>
  <si>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</si>
  <si>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</si>
  <si>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</si>
  <si>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</si>
  <si>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</si>
  <si>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</si>
  <si>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</si>
  <si>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</si>
  <si>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</si>
  <si>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</si>
  <si>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</si>
  <si>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</si>
  <si>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</si>
  <si>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</si>
  <si>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</si>
  <si>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</si>
  <si>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</si>
  <si>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</si>
  <si>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</si>
  <si>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</si>
  <si>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</si>
  <si>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</si>
  <si>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</si>
  <si>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</si>
  <si>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</si>
  <si>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</si>
  <si>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</si>
  <si>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</si>
  <si>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</si>
  <si>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</si>
  <si>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</si>
  <si>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</si>
  <si>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</si>
  <si>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</si>
  <si>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</si>
  <si>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</si>
  <si>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</si>
  <si>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</si>
  <si>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</si>
  <si>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</si>
  <si>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</si>
  <si>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</si>
  <si>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</si>
  <si>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</si>
  <si>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</si>
  <si>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</si>
  <si>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</si>
  <si>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</si>
  <si>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</si>
  <si>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</si>
  <si>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</si>
  <si>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</si>
  <si>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</si>
  <si>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</si>
  <si>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</si>
  <si>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</si>
  <si>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</si>
  <si>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</si>
  <si>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</si>
  <si>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</si>
  <si>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</si>
  <si>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</si>
  <si>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</si>
  <si>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</si>
  <si>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</si>
  <si>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</si>
  <si>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</si>
  <si>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</si>
  <si>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</si>
  <si>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</si>
  <si>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</si>
  <si>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</si>
  <si>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</si>
  <si>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</si>
  <si>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</si>
  <si>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</si>
  <si>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</si>
  <si>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</si>
  <si>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</si>
  <si>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</si>
  <si>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</si>
  <si>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</si>
  <si>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</si>
  <si>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</si>
  <si>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</si>
  <si>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</si>
  <si>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</si>
  <si>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</si>
  <si>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</si>
  <si>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</si>
  <si>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</si>
  <si>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</si>
  <si>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</si>
  <si>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</si>
  <si>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</si>
  <si>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</si>
  <si>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</si>
  <si>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</si>
  <si>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</si>
  <si>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</si>
  <si>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</si>
  <si>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</si>
  <si>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</si>
  <si>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</si>
  <si>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</si>
  <si>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</si>
  <si>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</si>
  <si>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</si>
  <si>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</si>
  <si>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</si>
  <si>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</si>
  <si>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</si>
  <si>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</si>
  <si>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</si>
  <si>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</si>
  <si>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</si>
  <si>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</si>
  <si>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</si>
  <si>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</si>
  <si>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</si>
  <si>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</si>
  <si>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</si>
  <si>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</si>
  <si>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</si>
  <si>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</si>
  <si>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</si>
  <si>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</si>
  <si>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</si>
  <si>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</si>
  <si>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</si>
  <si>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</si>
  <si>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</si>
  <si>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</si>
  <si>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</si>
  <si>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</si>
  <si>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</si>
  <si>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</si>
  <si>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</si>
  <si>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</si>
  <si>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</si>
  <si>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</si>
  <si>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</si>
  <si>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</si>
  <si>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</si>
  <si>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</si>
  <si>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</si>
  <si>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</si>
  <si>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</si>
  <si>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</si>
  <si>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</si>
  <si>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</si>
  <si>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</si>
  <si>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</si>
  <si>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</si>
  <si>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</si>
  <si>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</si>
  <si>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</si>
  <si>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</si>
  <si>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</si>
  <si>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</si>
  <si>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</si>
  <si>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</si>
  <si>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</si>
  <si>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</si>
  <si>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</si>
  <si>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</si>
  <si>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</si>
  <si>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</si>
  <si>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</si>
  <si>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</si>
  <si>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</si>
  <si>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</si>
  <si>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</si>
  <si>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</si>
  <si>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</si>
  <si>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</si>
  <si>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</si>
  <si>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</si>
  <si>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</si>
  <si>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</si>
  <si>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</si>
  <si>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</si>
  <si>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</si>
  <si>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</si>
  <si>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</si>
  <si>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</si>
  <si>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</si>
  <si>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</si>
  <si>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</si>
  <si>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</si>
  <si>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</si>
  <si>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</si>
  <si>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</si>
  <si>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</si>
  <si>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</si>
  <si>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</si>
  <si>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</si>
  <si>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</si>
  <si>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</si>
  <si>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</si>
  <si>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</si>
  <si>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</si>
  <si>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</si>
  <si>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</si>
  <si>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</si>
  <si>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</si>
  <si>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</si>
  <si>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</si>
  <si>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</si>
  <si>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</si>
  <si>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</si>
  <si>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</si>
  <si>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</si>
  <si>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</si>
  <si>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</si>
  <si>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</si>
  <si>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</si>
  <si>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</si>
  <si>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</si>
  <si>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</si>
  <si>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</si>
  <si>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</si>
  <si>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</si>
  <si>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</si>
  <si>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</si>
  <si>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</si>
  <si>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</si>
  <si>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</si>
  <si>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</si>
  <si>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</si>
  <si>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</si>
  <si>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</si>
  <si>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</si>
  <si>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</si>
  <si>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</si>
  <si>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</si>
  <si>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</si>
  <si>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</si>
  <si>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</si>
  <si>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</si>
  <si>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</si>
  <si>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</si>
  <si>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</si>
  <si>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</si>
  <si>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</si>
  <si>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</si>
  <si>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</si>
  <si>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</si>
  <si>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</si>
  <si>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</si>
  <si>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</si>
  <si>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</si>
  <si>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</si>
  <si>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</si>
  <si>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</si>
  <si>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</si>
  <si>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</si>
  <si>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</si>
  <si>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</si>
  <si>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</si>
  <si>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</si>
  <si>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</si>
  <si>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</si>
  <si>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</si>
  <si>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</si>
  <si>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</si>
  <si>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</si>
  <si>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</si>
  <si>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</si>
  <si>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</si>
  <si>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</si>
  <si>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</si>
  <si>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</si>
  <si>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</si>
  <si>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</si>
  <si>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</si>
  <si>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</si>
  <si>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</si>
  <si>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</si>
  <si>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</si>
  <si>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</si>
  <si>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</si>
  <si>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</si>
  <si>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</si>
  <si>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</si>
  <si>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</si>
  <si>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</si>
  <si>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</si>
  <si>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</si>
  <si>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</si>
  <si>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</si>
  <si>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</si>
  <si>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</si>
  <si>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</si>
  <si>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</si>
  <si>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</si>
  <si>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</si>
  <si>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</si>
  <si>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</si>
  <si>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</si>
  <si>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</si>
  <si>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</si>
  <si>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</si>
  <si>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</si>
  <si>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</si>
  <si>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</si>
  <si>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</si>
  <si>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</si>
  <si>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</si>
  <si>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</si>
  <si>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</si>
  <si>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</si>
  <si>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</si>
  <si>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</si>
  <si>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</si>
  <si>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</si>
  <si>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</si>
  <si>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</si>
  <si>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</si>
  <si>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</si>
  <si>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</si>
  <si>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</si>
  <si>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</si>
  <si>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</si>
  <si>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</si>
  <si>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</si>
  <si>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</si>
  <si>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</si>
  <si>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</si>
  <si>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</si>
  <si>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</si>
  <si>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</si>
  <si>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</si>
  <si>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</si>
  <si>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</si>
  <si>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</si>
  <si>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</si>
  <si>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</si>
  <si>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</si>
  <si>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</si>
  <si>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</si>
  <si>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</si>
  <si>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</si>
  <si>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</si>
  <si>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</si>
  <si>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</si>
  <si>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</si>
  <si>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</si>
  <si>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</si>
  <si>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</si>
  <si>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</si>
  <si>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</si>
  <si>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</si>
  <si>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</si>
  <si>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</si>
  <si>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</si>
  <si>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</si>
  <si>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</si>
  <si>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</si>
  <si>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</si>
  <si>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</si>
  <si>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</si>
  <si>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</si>
  <si>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</si>
  <si>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</si>
  <si>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</si>
  <si>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</si>
  <si>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</si>
  <si>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</si>
  <si>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</si>
  <si>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</si>
  <si>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</si>
  <si>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</si>
  <si>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</si>
  <si>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</si>
  <si>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</si>
  <si>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</si>
  <si>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</si>
  <si>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</si>
  <si>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</si>
  <si>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</si>
  <si>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</si>
  <si>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</si>
  <si>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</si>
  <si>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</si>
  <si>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</si>
  <si>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</si>
  <si>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</si>
  <si>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</si>
  <si>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</si>
  <si>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</si>
  <si>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</si>
  <si>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</si>
  <si>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</si>
  <si>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</si>
  <si>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</si>
  <si>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</si>
  <si>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</si>
  <si>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</si>
  <si>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</si>
  <si>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</si>
  <si>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</si>
  <si>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</si>
  <si>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</si>
  <si>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</si>
  <si>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</si>
  <si>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</si>
  <si>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</si>
  <si>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</si>
  <si>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</si>
  <si>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</si>
  <si>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</si>
  <si>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</si>
  <si>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</si>
  <si>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</si>
  <si>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</si>
  <si>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</si>
  <si>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</si>
  <si>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</si>
  <si>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</si>
  <si>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</si>
  <si>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</si>
  <si>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</si>
  <si>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</si>
  <si>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</si>
  <si>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</si>
  <si>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</si>
  <si>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</si>
  <si>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</si>
  <si>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</si>
  <si>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</si>
  <si>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</si>
  <si>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</si>
  <si>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</si>
  <si>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</si>
  <si>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</si>
  <si>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</si>
  <si>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</si>
  <si>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</si>
  <si>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</si>
  <si>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</si>
  <si>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</si>
  <si>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</si>
  <si>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</si>
  <si>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</si>
  <si>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</si>
  <si>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</si>
  <si>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</si>
  <si>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</si>
  <si>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</si>
  <si>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</si>
  <si>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</si>
  <si>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</si>
  <si>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</si>
  <si>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</si>
  <si>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</si>
  <si>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</si>
  <si>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</si>
  <si>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</si>
  <si>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</si>
  <si>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</si>
  <si>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</si>
  <si>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</si>
  <si>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</si>
  <si>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</si>
  <si>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</si>
  <si>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</si>
  <si>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</si>
  <si>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</si>
  <si>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</si>
  <si>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</si>
  <si>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</si>
  <si>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</si>
  <si>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</si>
  <si>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</si>
  <si>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</si>
  <si>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</si>
  <si>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</si>
  <si>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</si>
  <si>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</si>
  <si>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</si>
  <si>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</si>
  <si>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</si>
  <si>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</si>
  <si>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</si>
  <si>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</si>
  <si>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</si>
  <si>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</si>
  <si>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</si>
  <si>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</si>
  <si>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</si>
  <si>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</si>
  <si>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</si>
  <si>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</si>
  <si>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</si>
  <si>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</si>
  <si>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</si>
  <si>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</si>
  <si>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</si>
  <si>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</si>
  <si>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</si>
  <si>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</si>
  <si>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</si>
  <si>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</si>
  <si>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</si>
  <si>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</si>
  <si>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</si>
  <si>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</si>
  <si>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</si>
  <si>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</si>
  <si>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</si>
  <si>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</si>
  <si>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</si>
  <si>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</si>
  <si>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</si>
  <si>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</si>
  <si>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</si>
  <si>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</si>
  <si>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</si>
  <si>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</si>
  <si>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</si>
  <si>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</si>
  <si>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</si>
  <si>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</si>
  <si>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</si>
  <si>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</si>
  <si>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</si>
  <si>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</si>
  <si>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</si>
  <si>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</si>
  <si>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</si>
  <si>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</si>
  <si>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</si>
  <si>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</si>
  <si>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</si>
  <si>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</si>
  <si>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</si>
  <si>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</si>
  <si>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</si>
  <si>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</si>
  <si>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</si>
  <si>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</si>
  <si>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</si>
  <si>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</si>
  <si>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</si>
  <si>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</si>
  <si>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</si>
  <si>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</si>
  <si>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</si>
  <si>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</si>
  <si>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</si>
  <si>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</si>
  <si>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</si>
  <si>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</si>
  <si>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</si>
  <si>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</si>
  <si>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</si>
  <si>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</si>
  <si>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</si>
  <si>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</si>
  <si>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</si>
  <si>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</si>
  <si>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</si>
  <si>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</si>
  <si>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</si>
  <si>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</si>
  <si>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</si>
  <si>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</si>
  <si>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</si>
  <si>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</si>
  <si>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</si>
  <si>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</si>
  <si>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</si>
  <si>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</si>
  <si>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</si>
  <si>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</si>
  <si>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</si>
  <si>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</si>
  <si>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</si>
  <si>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</si>
  <si>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</si>
  <si>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</si>
  <si>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</si>
  <si>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</si>
  <si>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</si>
  <si>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</si>
  <si>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</si>
  <si>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</si>
  <si>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</si>
  <si>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</si>
  <si>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</si>
  <si>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</si>
  <si>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</si>
  <si>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</si>
  <si>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</si>
  <si>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</si>
  <si>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</si>
  <si>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</si>
  <si>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</si>
  <si>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</si>
  <si>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</si>
  <si>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</si>
  <si>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</si>
  <si>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</si>
  <si>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</si>
  <si>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</si>
  <si>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</si>
  <si>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</si>
  <si>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</si>
  <si>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</si>
  <si>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</si>
  <si>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</si>
  <si>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</si>
  <si>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</si>
  <si>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</si>
  <si>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</si>
  <si>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</si>
  <si>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</si>
  <si>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</si>
  <si>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</si>
  <si>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</si>
  <si>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</si>
  <si>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</si>
  <si>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</si>
  <si>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</si>
  <si>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</si>
  <si>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</si>
  <si>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</si>
  <si>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</si>
  <si>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</si>
  <si>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</si>
  <si>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</si>
  <si>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</si>
  <si>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</si>
  <si>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</si>
  <si>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</si>
  <si>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</si>
  <si>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</si>
  <si>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</si>
  <si>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</si>
  <si>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</si>
  <si>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</si>
  <si>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</si>
  <si>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</si>
  <si>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</si>
  <si>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</si>
  <si>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</si>
  <si>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</si>
  <si>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</si>
  <si>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</si>
  <si>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</si>
  <si>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</si>
  <si>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</si>
  <si>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</si>
  <si>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</si>
  <si>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</si>
  <si>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</si>
  <si>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</si>
  <si>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</si>
  <si>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</si>
  <si>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</si>
  <si>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</si>
  <si>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</si>
  <si>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</si>
  <si>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</si>
  <si>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</si>
  <si>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</si>
  <si>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</si>
  <si>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</si>
  <si>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</si>
  <si>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</si>
  <si>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</si>
  <si>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</si>
  <si>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</si>
  <si>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</si>
  <si>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</si>
  <si>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</si>
  <si>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</si>
  <si>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</si>
  <si>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</si>
  <si>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</si>
  <si>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</si>
  <si>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</si>
  <si>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</si>
  <si>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</si>
  <si>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</si>
  <si>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</si>
  <si>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</si>
  <si>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</si>
  <si>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</si>
  <si>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</si>
  <si>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</si>
  <si>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</si>
  <si>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</si>
  <si>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</si>
  <si>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</si>
  <si>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</si>
  <si>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</si>
  <si>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</si>
  <si>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</si>
  <si>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</si>
  <si>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</si>
  <si>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</si>
  <si>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</si>
  <si>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</si>
  <si>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</si>
  <si>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</si>
  <si>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</si>
  <si>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</si>
  <si>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</si>
  <si>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</si>
  <si>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</si>
  <si>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</si>
  <si>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</si>
  <si>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</si>
  <si>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</si>
  <si>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</si>
  <si>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</si>
  <si>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</si>
  <si>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</si>
  <si>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</si>
  <si>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</si>
  <si>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</si>
  <si>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</si>
  <si>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</si>
  <si>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</si>
  <si>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</si>
  <si>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</si>
  <si>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</si>
  <si>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</si>
  <si>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</si>
  <si>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</si>
  <si>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</si>
  <si>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</si>
  <si>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</si>
  <si>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</si>
  <si>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</si>
  <si>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</si>
  <si>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</si>
  <si>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</si>
  <si>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</si>
  <si>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</si>
  <si>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</si>
  <si>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</si>
  <si>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</si>
  <si>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</si>
  <si>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</si>
  <si>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</si>
  <si>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</si>
  <si>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</si>
  <si>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</si>
  <si>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</si>
  <si>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</si>
  <si>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</si>
  <si>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</si>
  <si>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</si>
  <si>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</si>
  <si>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</si>
  <si>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</si>
  <si>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</si>
  <si>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</si>
  <si>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</si>
  <si>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</si>
  <si>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</si>
  <si>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</si>
  <si>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</si>
  <si>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</si>
  <si>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</si>
  <si>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</si>
  <si>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</si>
  <si>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</si>
  <si>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</si>
  <si>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</si>
  <si>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</si>
  <si>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</si>
  <si>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</si>
  <si>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</si>
  <si>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</si>
  <si>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</si>
  <si>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</si>
  <si>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</si>
  <si>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</si>
  <si>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</si>
  <si>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</si>
  <si>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</si>
  <si>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</si>
  <si>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</si>
  <si>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</si>
  <si>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</si>
  <si>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</si>
  <si>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</si>
  <si>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</si>
  <si>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</si>
  <si>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</si>
  <si>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</si>
  <si>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</si>
  <si>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</si>
  <si>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</si>
  <si>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</si>
  <si>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</si>
  <si>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</si>
  <si>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</si>
  <si>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</si>
  <si>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</si>
  <si>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</si>
  <si>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</si>
  <si>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</si>
  <si>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</si>
  <si>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</si>
  <si>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</si>
  <si>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</si>
  <si>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</si>
  <si>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</si>
  <si>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</si>
  <si>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</si>
  <si>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</si>
  <si>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</si>
  <si>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</si>
  <si>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</si>
  <si>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</si>
  <si>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</si>
  <si>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</si>
  <si>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</si>
  <si>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</si>
  <si>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</si>
  <si>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</si>
  <si>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</si>
  <si>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</si>
  <si>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</si>
  <si>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</si>
  <si>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</si>
  <si>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</si>
  <si>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</si>
  <si>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</si>
  <si>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</si>
  <si>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</si>
  <si>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</si>
  <si>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</si>
  <si>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</si>
  <si>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</si>
  <si>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</si>
  <si>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</si>
  <si>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</si>
  <si>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</si>
  <si>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</si>
  <si>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</si>
  <si>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</si>
  <si>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</si>
  <si>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</si>
  <si>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</si>
  <si>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</si>
  <si>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</si>
  <si>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</si>
  <si>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</si>
  <si>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</si>
  <si>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</si>
  <si>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</si>
  <si>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</si>
  <si>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</si>
  <si>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</si>
  <si>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</si>
  <si>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</si>
  <si>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</si>
  <si>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</si>
  <si>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</si>
  <si>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</si>
  <si>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</si>
  <si>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</si>
  <si>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</si>
  <si>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</si>
  <si>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</si>
  <si>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</si>
  <si>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</si>
  <si>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</si>
  <si>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</si>
  <si>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</si>
  <si>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</si>
  <si>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</si>
  <si>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</si>
  <si>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</si>
  <si>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</si>
  <si>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</si>
  <si>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</si>
  <si>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</si>
  <si>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</si>
  <si>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</si>
  <si>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</si>
  <si>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</si>
  <si>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</si>
  <si>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</si>
  <si>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</si>
  <si>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</si>
  <si>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</si>
  <si>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</si>
  <si>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</si>
  <si>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</si>
  <si>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</si>
  <si>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</si>
  <si>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</si>
  <si>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</si>
  <si>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</si>
  <si>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</si>
  <si>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</si>
  <si>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</si>
  <si>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</si>
  <si>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</si>
  <si>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</si>
  <si>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</si>
  <si>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</si>
  <si>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</si>
  <si>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</si>
  <si>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</si>
  <si>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</si>
  <si>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</si>
  <si>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</si>
  <si>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</si>
  <si>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</si>
  <si>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</si>
  <si>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</si>
  <si>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</si>
  <si>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</si>
  <si>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</si>
  <si>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</si>
  <si>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</si>
  <si>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</si>
  <si>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</si>
  <si>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</si>
  <si>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</si>
  <si>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</si>
  <si>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</si>
  <si>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</si>
  <si>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</si>
  <si>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</si>
  <si>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</si>
  <si>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</si>
  <si>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</si>
  <si>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</si>
  <si>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</si>
  <si>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</si>
  <si>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</si>
  <si>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</si>
  <si>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</si>
  <si>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</si>
  <si>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</si>
  <si>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</si>
  <si>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</si>
  <si>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</si>
  <si>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</si>
  <si>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</si>
  <si>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</si>
  <si>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</si>
  <si>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</si>
  <si>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</si>
  <si>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</si>
  <si>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</si>
  <si>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</si>
  <si>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</si>
  <si>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</si>
  <si>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</si>
  <si>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</si>
  <si>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</si>
  <si>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</si>
  <si>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</si>
  <si>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</si>
  <si>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</si>
  <si>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</si>
  <si>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</si>
  <si>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</si>
  <si>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</si>
  <si>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</si>
  <si>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</si>
  <si>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</si>
  <si>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</si>
  <si>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</si>
  <si>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</si>
  <si>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</si>
  <si>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</si>
  <si>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</si>
  <si>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</si>
  <si>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</si>
  <si>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</si>
  <si>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</si>
  <si>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</si>
  <si>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</si>
  <si>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</si>
  <si>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</si>
  <si>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</si>
  <si>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</si>
  <si>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</si>
  <si>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</si>
  <si>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</si>
  <si>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</si>
  <si>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</si>
  <si>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</si>
  <si>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</si>
  <si>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</si>
  <si>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</si>
  <si>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</si>
  <si>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</si>
  <si>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</si>
  <si>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</si>
  <si>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</si>
  <si>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</si>
  <si>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</si>
  <si>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</si>
  <si>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</si>
  <si>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</si>
  <si>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</si>
  <si>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</si>
  <si>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</si>
  <si>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</si>
  <si>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</si>
  <si>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</si>
  <si>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</si>
  <si>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</si>
  <si>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</si>
  <si>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</si>
  <si>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</si>
  <si>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</si>
  <si>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</si>
  <si>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</si>
  <si>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</si>
  <si>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</si>
  <si>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</si>
  <si>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</si>
  <si>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</si>
  <si>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</si>
  <si>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</si>
  <si>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</si>
  <si>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</si>
  <si>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</si>
  <si>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</si>
  <si>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</si>
  <si>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</si>
  <si>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</si>
  <si>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</si>
  <si>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</si>
  <si>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</si>
  <si>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</si>
  <si>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</si>
  <si>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</si>
  <si>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</si>
  <si>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</si>
  <si>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</si>
  <si>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</si>
  <si>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</si>
  <si>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</si>
  <si>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</si>
  <si>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</si>
  <si>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</si>
  <si>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</si>
  <si>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</si>
  <si>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</si>
  <si>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</si>
  <si>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</si>
  <si>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</si>
  <si>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</si>
  <si>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</si>
  <si>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</si>
  <si>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</si>
  <si>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</si>
  <si>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</si>
  <si>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</si>
  <si>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</si>
  <si>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</si>
  <si>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</si>
  <si>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</si>
  <si>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</si>
  <si>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</si>
  <si>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</si>
  <si>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</si>
  <si>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</si>
  <si>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</si>
  <si>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</si>
  <si>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</si>
  <si>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</si>
  <si>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</si>
  <si>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</si>
  <si>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</si>
  <si>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</si>
  <si>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</si>
  <si>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</si>
  <si>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</si>
  <si>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</si>
  <si>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</si>
  <si>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</si>
  <si>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</si>
  <si>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</si>
  <si>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</si>
  <si>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</si>
  <si>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</si>
  <si>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</si>
  <si>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</si>
  <si>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</si>
  <si>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</si>
  <si>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</si>
  <si>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</si>
  <si>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</si>
  <si>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</si>
  <si>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</si>
  <si>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</si>
  <si>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</si>
  <si>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</si>
  <si>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</si>
  <si>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</si>
  <si>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</si>
  <si>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</si>
  <si>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</si>
  <si>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</si>
  <si>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</si>
  <si>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</si>
  <si>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</si>
  <si>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</si>
  <si>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</si>
  <si>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</si>
  <si>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</si>
  <si>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</si>
  <si>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</si>
  <si>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</si>
  <si>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</si>
  <si>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</si>
  <si>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</si>
  <si>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</si>
  <si>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</si>
  <si>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</si>
  <si>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</si>
  <si>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</si>
  <si>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</si>
  <si>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</si>
  <si>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</si>
  <si>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</si>
  <si>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</si>
  <si>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</si>
  <si>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</si>
  <si>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</si>
  <si>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</si>
  <si>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</si>
  <si>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</si>
  <si>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</si>
  <si>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</si>
  <si>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</si>
  <si>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</si>
  <si>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</si>
  <si>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</si>
  <si>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</si>
  <si>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</si>
  <si>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</si>
  <si>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</si>
  <si>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</si>
  <si>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</si>
  <si>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</si>
  <si>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</si>
  <si>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</si>
  <si>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</si>
  <si>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</si>
  <si>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</si>
  <si>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</si>
  <si>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</si>
  <si>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</si>
  <si>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</si>
  <si>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</si>
  <si>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</si>
  <si>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</si>
  <si>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</si>
  <si>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</si>
  <si>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</si>
  <si>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</si>
  <si>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</si>
  <si>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</si>
  <si>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</si>
  <si>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</si>
  <si>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</si>
  <si>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</si>
  <si>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</si>
  <si>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</si>
  <si>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</si>
  <si>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</si>
  <si>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</si>
  <si>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</si>
  <si>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</si>
  <si>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</si>
  <si>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</si>
  <si>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</si>
  <si>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</si>
  <si>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</si>
  <si>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</si>
  <si>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</si>
  <si>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</si>
  <si>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</si>
  <si>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</si>
  <si>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</si>
  <si>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</si>
  <si>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</si>
  <si>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</si>
  <si>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</si>
  <si>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</si>
  <si>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</si>
  <si>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</si>
  <si>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</si>
  <si>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</si>
  <si>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</si>
  <si>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</si>
  <si>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</si>
  <si>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</si>
  <si>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</si>
  <si>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</si>
  <si>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</si>
  <si>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</si>
  <si>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</si>
  <si>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</si>
  <si>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</si>
  <si>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</si>
  <si>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</si>
  <si>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</si>
  <si>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</si>
  <si>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</si>
  <si>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</si>
  <si>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</si>
  <si>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</si>
  <si>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</si>
  <si>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</si>
  <si>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</si>
  <si>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</si>
  <si>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</si>
  <si>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</si>
  <si>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</si>
  <si>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</si>
  <si>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</si>
  <si>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</si>
  <si>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</si>
  <si>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</si>
  <si>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</si>
  <si>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</si>
  <si>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</si>
  <si>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</si>
  <si>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</si>
  <si>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</si>
  <si>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</si>
  <si>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</si>
  <si>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</si>
  <si>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</si>
  <si>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</si>
  <si>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</si>
  <si>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</si>
  <si>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</si>
  <si>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</si>
  <si>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</si>
  <si>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</si>
  <si>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</si>
  <si>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</si>
  <si>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</si>
  <si>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</si>
  <si>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</si>
  <si>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</si>
  <si>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</si>
  <si>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</si>
  <si>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</si>
  <si>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</si>
  <si>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</si>
  <si>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</si>
  <si>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</si>
  <si>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</si>
  <si>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</si>
  <si>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</si>
  <si>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</si>
  <si>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</si>
  <si>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</si>
  <si>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</si>
  <si>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</si>
  <si>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</si>
  <si>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</si>
  <si>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</si>
  <si>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</si>
  <si>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</si>
  <si>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</si>
  <si>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</si>
  <si>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</si>
  <si>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</si>
  <si>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</si>
  <si>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</si>
  <si>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</si>
  <si>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</si>
  <si>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</si>
  <si>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</si>
  <si>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</si>
  <si>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</si>
  <si>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</si>
  <si>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</si>
  <si>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</si>
  <si>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</si>
  <si>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</si>
  <si>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</si>
  <si>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</si>
  <si>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</si>
  <si>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</si>
  <si>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</si>
  <si>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</si>
  <si>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</si>
  <si>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</si>
  <si>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</si>
  <si>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</si>
  <si>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</si>
  <si>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</si>
  <si>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</si>
  <si>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</si>
  <si>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</si>
  <si>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</si>
  <si>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</si>
  <si>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</si>
  <si>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</si>
  <si>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</si>
  <si>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</si>
  <si>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</si>
  <si>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</si>
  <si>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</si>
  <si>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</si>
  <si>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</si>
  <si>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</si>
  <si>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</si>
  <si>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</si>
  <si>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</si>
  <si>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</si>
  <si>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</si>
  <si>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</si>
  <si>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</si>
  <si>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</si>
  <si>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</si>
  <si>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</si>
  <si>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</si>
  <si>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</si>
  <si>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</si>
  <si>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</si>
  <si>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</si>
  <si>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</si>
  <si>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</si>
  <si>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</si>
  <si>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</si>
  <si>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</si>
  <si>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</si>
  <si>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</si>
  <si>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</si>
  <si>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</si>
  <si>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</si>
  <si>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</si>
  <si>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</si>
  <si>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</si>
  <si>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</si>
  <si>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</si>
  <si>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</si>
  <si>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</si>
  <si>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</si>
  <si>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</si>
  <si>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</si>
  <si>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</si>
  <si>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</si>
  <si>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</si>
  <si>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</si>
  <si>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</si>
  <si>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</si>
  <si>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</si>
  <si>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</si>
  <si>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</si>
  <si>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</si>
  <si>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</si>
  <si>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</si>
  <si>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</si>
  <si>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</si>
  <si>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</si>
  <si>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</si>
  <si>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</si>
  <si>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</si>
  <si>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</si>
  <si>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</si>
  <si>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</si>
  <si>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</si>
  <si>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</si>
  <si>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</si>
  <si>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</si>
  <si>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</si>
  <si>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</si>
  <si>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</si>
  <si>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</si>
  <si>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</si>
  <si>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</si>
  <si>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</si>
  <si>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</si>
  <si>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</si>
  <si>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</si>
  <si>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</si>
  <si>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</si>
  <si>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</si>
  <si>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</si>
  <si>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</si>
  <si>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</si>
  <si>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</si>
  <si>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</si>
  <si>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</si>
  <si>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</si>
  <si>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</si>
  <si>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</si>
  <si>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</si>
  <si>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</si>
  <si>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</si>
  <si>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</si>
  <si>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</si>
  <si>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</si>
  <si>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</si>
  <si>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</si>
  <si>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</si>
  <si>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</si>
  <si>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</si>
  <si>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</si>
  <si>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</si>
  <si>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</si>
  <si>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</si>
  <si>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</si>
  <si>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</si>
  <si>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</si>
  <si>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</si>
  <si>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</si>
  <si>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</si>
  <si>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</si>
  <si>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</si>
  <si>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</si>
  <si>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</si>
  <si>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</si>
  <si>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</si>
  <si>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</si>
  <si>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</si>
  <si>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</si>
  <si>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</si>
  <si>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</si>
  <si>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</si>
  <si>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</si>
  <si>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</si>
  <si>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</si>
  <si>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</si>
  <si>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</si>
  <si>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</si>
  <si>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</si>
  <si>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</si>
  <si>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</si>
  <si>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</si>
  <si>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</si>
  <si>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</si>
  <si>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</si>
  <si>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</si>
  <si>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</si>
  <si>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</si>
  <si>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</si>
  <si>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</si>
  <si>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</si>
  <si>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</si>
  <si>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</si>
  <si>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</si>
  <si>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</si>
  <si>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</si>
  <si>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</si>
  <si>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</si>
  <si>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</si>
  <si>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</si>
  <si>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</si>
  <si>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</si>
  <si>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</si>
  <si>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</si>
  <si>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</si>
  <si>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</si>
  <si>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</si>
  <si>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</si>
  <si>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</si>
  <si>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</si>
  <si>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</si>
  <si>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</si>
  <si>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</si>
  <si>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</si>
  <si>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</si>
  <si>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</si>
  <si>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</si>
  <si>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</si>
  <si>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</si>
  <si>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</si>
  <si>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</si>
  <si>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</si>
  <si>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</si>
  <si>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</si>
  <si>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</si>
  <si>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</si>
  <si>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</si>
  <si>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</si>
  <si>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</si>
  <si>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</si>
  <si>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</si>
  <si>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</si>
  <si>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</si>
  <si>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</si>
  <si>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</si>
  <si>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</si>
  <si>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</si>
  <si>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</si>
  <si>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</si>
  <si>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</si>
  <si>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</si>
  <si>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</si>
  <si>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</si>
  <si>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</si>
  <si>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</si>
  <si>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</si>
  <si>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</si>
  <si>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</si>
  <si>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</si>
  <si>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</si>
  <si>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</si>
  <si>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</si>
  <si>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</si>
  <si>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</si>
  <si>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</si>
  <si>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</si>
  <si>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</si>
  <si>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</si>
  <si>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</si>
  <si>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</si>
  <si>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</si>
  <si>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</si>
  <si>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</si>
  <si>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</si>
  <si>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</si>
  <si>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</si>
  <si>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</si>
  <si>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</si>
  <si>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</si>
  <si>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</si>
  <si>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</si>
  <si>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</si>
  <si>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</si>
  <si>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</si>
  <si>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</si>
  <si>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</si>
  <si>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</si>
  <si>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</si>
  <si>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</si>
  <si>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</si>
  <si>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</si>
  <si>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</si>
  <si>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</si>
  <si>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</si>
  <si>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</si>
  <si>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</si>
  <si>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</si>
  <si>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</si>
  <si>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</si>
  <si>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</si>
  <si>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</si>
  <si>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</si>
  <si>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</si>
  <si>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</si>
  <si>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</si>
  <si>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</si>
  <si>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</si>
  <si>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</si>
  <si>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</si>
  <si>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</si>
  <si>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</si>
  <si>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</si>
  <si>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</si>
  <si>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</si>
  <si>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</si>
  <si>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</si>
  <si>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</si>
  <si>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</si>
  <si>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</si>
  <si>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</si>
  <si>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</si>
  <si>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</si>
  <si>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</si>
  <si>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</si>
  <si>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</si>
  <si>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</si>
  <si>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</si>
  <si>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</si>
  <si>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</si>
  <si>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</si>
  <si>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</si>
  <si>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</si>
  <si>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</si>
  <si>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</si>
  <si>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</si>
  <si>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</si>
  <si>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</si>
  <si>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</si>
  <si>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</si>
  <si>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</si>
  <si>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</si>
  <si>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</si>
  <si>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</si>
  <si>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</si>
  <si>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</si>
  <si>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</si>
  <si>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</si>
  <si>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</si>
  <si>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</si>
  <si>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</si>
  <si>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</si>
  <si>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</si>
  <si>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</si>
  <si>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</si>
  <si>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</si>
  <si>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</si>
  <si>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</si>
  <si>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</si>
  <si>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</si>
  <si>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</si>
  <si>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</si>
  <si>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</si>
  <si>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</si>
  <si>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</si>
  <si>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</si>
  <si>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</si>
  <si>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</si>
  <si>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</si>
  <si>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</si>
  <si>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</si>
  <si>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</si>
  <si>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</si>
  <si>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</si>
  <si>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</si>
  <si>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</si>
  <si>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</si>
  <si>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</si>
  <si>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</si>
  <si>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</si>
  <si>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</si>
  <si>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</si>
  <si>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</si>
  <si>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</si>
  <si>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</si>
  <si>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</si>
  <si>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</si>
  <si>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</si>
  <si>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</si>
  <si>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</si>
  <si>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</si>
  <si>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</si>
  <si>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</si>
  <si>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</si>
  <si>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</si>
  <si>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</si>
  <si>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</si>
  <si>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</si>
  <si>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</si>
  <si>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</si>
  <si>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</si>
  <si>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</si>
  <si>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</si>
  <si>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</si>
  <si>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</si>
  <si>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</si>
  <si>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</si>
  <si>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</si>
  <si>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</si>
  <si>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</si>
  <si>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</si>
  <si>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</si>
  <si>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</si>
  <si>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</si>
  <si>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</si>
  <si>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</si>
  <si>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</si>
  <si>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</si>
  <si>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</si>
  <si>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</si>
  <si>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</si>
  <si>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</si>
  <si>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</si>
  <si>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</si>
  <si>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</si>
  <si>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</si>
  <si>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</si>
  <si>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</si>
  <si>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</si>
  <si>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</si>
  <si>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</si>
  <si>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</si>
  <si>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</si>
  <si>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</si>
  <si>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</si>
  <si>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</si>
  <si>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</si>
  <si>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</si>
  <si>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</si>
  <si>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</si>
  <si>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</si>
  <si>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</si>
  <si>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</si>
  <si>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</si>
  <si>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</si>
  <si>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</si>
  <si>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</si>
  <si>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</si>
  <si>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</si>
  <si>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</si>
  <si>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</si>
  <si>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</si>
  <si>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</si>
  <si>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</si>
  <si>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</si>
  <si>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</si>
  <si>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</si>
  <si>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</si>
  <si>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</si>
  <si>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</si>
  <si>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</si>
  <si>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</si>
  <si>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</si>
  <si>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</si>
  <si>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</si>
  <si>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</si>
  <si>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</si>
  <si>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</si>
  <si>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</si>
  <si>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</si>
  <si>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</si>
  <si>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</si>
  <si>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</si>
  <si>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</si>
  <si>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</si>
  <si>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</si>
  <si>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</si>
  <si>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</si>
  <si>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</si>
  <si>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</si>
  <si>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</si>
  <si>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</si>
  <si>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</si>
  <si>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</si>
  <si>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</si>
  <si>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</si>
  <si>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</si>
  <si>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</si>
  <si>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</si>
  <si>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</si>
  <si>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</si>
  <si>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</si>
  <si>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</si>
  <si>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</si>
  <si>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</si>
  <si>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</si>
  <si>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</si>
  <si>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</si>
  <si>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</si>
  <si>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</si>
  <si>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</si>
  <si>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</si>
  <si>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</si>
  <si>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</si>
  <si>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</si>
  <si>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</si>
  <si>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</si>
  <si>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</si>
  <si>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</si>
  <si>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</si>
  <si>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</si>
  <si>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</si>
  <si>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</si>
  <si>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</si>
  <si>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</si>
  <si>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</si>
  <si>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</si>
  <si>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</si>
  <si>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</si>
  <si>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</si>
  <si>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</si>
  <si>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</si>
  <si>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</si>
  <si>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</si>
  <si>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</si>
  <si>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</si>
  <si>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</si>
  <si>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</si>
  <si>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</si>
  <si>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</si>
  <si>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</si>
  <si>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</si>
  <si>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</si>
  <si>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</si>
  <si>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</si>
  <si>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</si>
  <si>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</si>
  <si>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</si>
  <si>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</si>
  <si>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</si>
  <si>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</si>
  <si>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</si>
  <si>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</si>
  <si>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</si>
  <si>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</si>
  <si>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</si>
  <si>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</si>
  <si>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</si>
  <si>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</si>
  <si>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</si>
  <si>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</si>
  <si>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</si>
  <si>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</si>
  <si>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</si>
  <si>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</si>
  <si>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</si>
  <si>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</si>
  <si>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</si>
  <si>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</si>
  <si>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</si>
  <si>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</si>
  <si>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</si>
  <si>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</si>
  <si>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</si>
  <si>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</si>
  <si>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</si>
  <si>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</si>
  <si>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</si>
  <si>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</si>
  <si>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</si>
  <si>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</si>
  <si>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</si>
  <si>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</si>
  <si>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</si>
  <si>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</si>
  <si>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</si>
  <si>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</si>
  <si>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</si>
  <si>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</si>
  <si>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</si>
  <si>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</si>
  <si>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</si>
  <si>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</si>
  <si>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</si>
  <si>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</si>
  <si>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</si>
  <si>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</si>
  <si>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</si>
  <si>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</si>
  <si>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</si>
  <si>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</si>
  <si>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</si>
  <si>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</si>
  <si>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</si>
  <si>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</si>
  <si>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</si>
  <si>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</si>
  <si>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</si>
  <si>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</si>
  <si>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</si>
  <si>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</si>
  <si>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</si>
  <si>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</si>
  <si>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</si>
  <si>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</si>
  <si>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</si>
  <si>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</si>
  <si>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</si>
  <si>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</si>
  <si>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</si>
  <si>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</si>
  <si>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</si>
  <si>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</si>
  <si>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</si>
  <si>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</si>
  <si>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</si>
  <si>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</si>
  <si>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</si>
  <si>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</si>
  <si>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</si>
  <si>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</si>
  <si>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</si>
  <si>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</si>
  <si>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</si>
  <si>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</si>
  <si>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</si>
  <si>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</si>
  <si>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</si>
  <si>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</si>
  <si>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</si>
  <si>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</si>
  <si>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</si>
  <si>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</si>
  <si>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</si>
  <si>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</si>
  <si>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</si>
  <si>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</si>
  <si>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</si>
  <si>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</si>
  <si>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</si>
  <si>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</si>
  <si>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</si>
  <si>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</si>
  <si>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</si>
  <si>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</si>
  <si>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</si>
  <si>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</si>
  <si>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</si>
  <si>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</si>
  <si>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</si>
  <si>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</si>
  <si>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</si>
  <si>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</si>
  <si>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</si>
  <si>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</si>
  <si>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</si>
  <si>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</si>
  <si>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</si>
  <si>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</si>
  <si>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</si>
  <si>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</si>
  <si>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</si>
  <si>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</si>
  <si>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</si>
  <si>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</si>
  <si>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</si>
  <si>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</si>
  <si>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</si>
  <si>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</si>
  <si>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</si>
  <si>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</si>
  <si>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</si>
  <si>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</si>
  <si>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</si>
  <si>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</si>
  <si>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</si>
  <si>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</si>
  <si>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</si>
  <si>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</si>
  <si>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</si>
  <si>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</si>
  <si>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</si>
  <si>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</si>
  <si>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</si>
  <si>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</si>
  <si>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</si>
  <si>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</si>
  <si>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</si>
  <si>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</si>
  <si>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</si>
  <si>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</si>
  <si>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</si>
  <si>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</si>
  <si>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</si>
  <si>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</si>
  <si>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</si>
  <si>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</si>
  <si>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</si>
  <si>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</si>
  <si>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</si>
  <si>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</si>
  <si>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</si>
  <si>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</si>
  <si>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</si>
  <si>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</si>
  <si>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</si>
  <si>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</si>
  <si>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</si>
  <si>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</si>
  <si>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</si>
  <si>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</si>
  <si>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</si>
  <si>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</si>
  <si>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</si>
  <si>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</si>
  <si>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</si>
  <si>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</si>
  <si>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</si>
  <si>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</si>
  <si>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</si>
  <si>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</si>
  <si>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</si>
  <si>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</si>
  <si>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</si>
  <si>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</si>
  <si>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</si>
  <si>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</si>
  <si>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</si>
  <si>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</si>
  <si>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</si>
  <si>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</si>
  <si>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</si>
  <si>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</si>
  <si>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</si>
  <si>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</si>
  <si>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</si>
  <si>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</si>
  <si>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</si>
  <si>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</si>
  <si>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</si>
  <si>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</si>
  <si>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</si>
  <si>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</si>
  <si>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</si>
  <si>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</si>
  <si>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</si>
  <si>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</si>
  <si>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</si>
  <si>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</si>
  <si>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</si>
  <si>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</si>
  <si>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</si>
  <si>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</si>
  <si>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</si>
  <si>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</si>
  <si>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</si>
  <si>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</si>
  <si>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</si>
  <si>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</si>
  <si>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</si>
  <si>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</si>
  <si>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</si>
  <si>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</si>
  <si>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</si>
  <si>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</si>
  <si>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</si>
  <si>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</si>
  <si>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</si>
  <si>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</si>
  <si>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</si>
  <si>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</si>
  <si>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</si>
  <si>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</si>
  <si>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</si>
  <si>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</si>
  <si>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</si>
  <si>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</si>
  <si>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</si>
  <si>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</si>
  <si>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</si>
  <si>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</si>
  <si>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</si>
  <si>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</si>
  <si>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</si>
  <si>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</si>
  <si>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</si>
  <si>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</si>
  <si>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</si>
  <si>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</si>
  <si>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</si>
  <si>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</si>
  <si>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</si>
  <si>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</si>
  <si>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</si>
  <si>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</si>
  <si>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</si>
  <si>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</si>
  <si>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</si>
  <si>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</si>
  <si>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</si>
  <si>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</si>
  <si>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</si>
  <si>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</si>
  <si>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</si>
  <si>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</si>
  <si>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</si>
  <si>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</si>
  <si>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</si>
  <si>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</si>
  <si>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</si>
  <si>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</si>
  <si>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</si>
  <si>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</si>
  <si>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</si>
  <si>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</si>
  <si>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</si>
  <si>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</si>
  <si>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</si>
  <si>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</si>
  <si>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</si>
  <si>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</si>
  <si>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</si>
  <si>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</si>
  <si>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</si>
  <si>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</si>
  <si>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</si>
  <si>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</si>
  <si>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</si>
  <si>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</si>
  <si>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</si>
  <si>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</si>
  <si>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</si>
  <si>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</si>
  <si>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</si>
  <si>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</si>
  <si>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</si>
  <si>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</si>
  <si>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</si>
  <si>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</si>
  <si>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</si>
  <si>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</si>
  <si>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</si>
  <si>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</si>
  <si>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</si>
  <si>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</si>
  <si>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</si>
  <si>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</si>
  <si>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</si>
  <si>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</si>
  <si>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</si>
  <si>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</si>
  <si>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</si>
  <si>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</si>
  <si>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</si>
  <si>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</si>
  <si>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</si>
  <si>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</si>
  <si>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</si>
  <si>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</si>
  <si>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</si>
  <si>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</si>
  <si>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</si>
  <si>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</si>
  <si>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</si>
  <si>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</si>
  <si>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</si>
  <si>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</si>
  <si>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</si>
  <si>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</si>
  <si>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</si>
  <si>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</si>
  <si>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</si>
  <si>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</si>
  <si>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</si>
  <si>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</si>
  <si>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</si>
  <si>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</si>
  <si>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</si>
  <si>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</si>
  <si>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</si>
  <si>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</si>
  <si>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</si>
  <si>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</si>
  <si>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</si>
  <si>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</si>
  <si>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</si>
  <si>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</si>
  <si>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</si>
  <si>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</si>
  <si>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</si>
  <si>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</si>
  <si>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</si>
  <si>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</si>
  <si>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</si>
  <si>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</si>
  <si>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</si>
  <si>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</si>
  <si>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</si>
  <si>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</si>
  <si>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</si>
  <si>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</si>
  <si>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</si>
  <si>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</si>
  <si>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</si>
  <si>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</si>
  <si>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</si>
  <si>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</si>
  <si>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</si>
  <si>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</si>
  <si>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</si>
  <si>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</si>
  <si>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</si>
  <si>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</si>
  <si>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</si>
  <si>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</si>
  <si>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</si>
  <si>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</si>
  <si>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</si>
  <si>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</si>
  <si>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</si>
  <si>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</si>
  <si>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</si>
  <si>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</si>
  <si>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</si>
  <si>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</si>
  <si>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</si>
  <si>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</si>
  <si>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</si>
  <si>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</si>
  <si>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</si>
  <si>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</si>
  <si>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</si>
  <si>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</si>
  <si>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</si>
  <si>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</si>
  <si>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</si>
  <si>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</si>
  <si>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</si>
  <si>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</si>
  <si>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</si>
  <si>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</si>
  <si>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</si>
  <si>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</si>
  <si>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</si>
  <si>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</si>
  <si>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</si>
  <si>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</si>
  <si>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</si>
  <si>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</si>
  <si>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</si>
  <si>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</si>
  <si>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</si>
  <si>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</si>
  <si>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</si>
  <si>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</si>
  <si>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</si>
  <si>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</si>
  <si>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</si>
  <si>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</si>
  <si>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</si>
  <si>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</si>
  <si>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</si>
  <si>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</si>
  <si>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</si>
  <si>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</si>
  <si>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</si>
  <si>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</si>
  <si>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</si>
  <si>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</si>
  <si>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</si>
  <si>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</si>
  <si>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</si>
  <si>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</si>
  <si>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</si>
  <si>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</si>
  <si>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</si>
  <si>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</si>
  <si>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</si>
  <si>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</si>
  <si>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</si>
  <si>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</si>
  <si>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</si>
  <si>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</si>
  <si>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</si>
  <si>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</si>
  <si>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</si>
  <si>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</si>
  <si>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</si>
  <si>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</si>
  <si>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</si>
  <si>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</si>
  <si>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</si>
  <si>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</si>
  <si>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</si>
  <si>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</si>
  <si>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</si>
  <si>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</si>
  <si>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</si>
  <si>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</si>
  <si>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</si>
  <si>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</si>
  <si>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</si>
  <si>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</si>
  <si>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</si>
  <si>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</si>
  <si>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</si>
  <si>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</si>
  <si>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</si>
  <si>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</si>
  <si>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</si>
  <si>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</si>
  <si>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</si>
  <si>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</si>
  <si>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</si>
  <si>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</si>
  <si>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</si>
  <si>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</si>
  <si>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</si>
  <si>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</si>
  <si>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</si>
  <si>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</si>
  <si>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</si>
  <si>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</si>
  <si>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</si>
  <si>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</si>
  <si>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</si>
  <si>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</si>
  <si>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</si>
  <si>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</si>
  <si>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</si>
  <si>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</si>
  <si>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</si>
  <si>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</si>
  <si>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</si>
  <si>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</si>
  <si>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</si>
  <si>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</si>
  <si>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</si>
  <si>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</si>
  <si>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</si>
  <si>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</si>
  <si>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</si>
  <si>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</si>
  <si>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</si>
  <si>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</si>
  <si>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</si>
  <si>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</si>
  <si>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</si>
  <si>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</si>
  <si>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</si>
  <si>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</si>
  <si>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</si>
  <si>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</si>
  <si>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</si>
  <si>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</si>
  <si>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</si>
  <si>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</si>
  <si>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</si>
  <si>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</si>
  <si>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</si>
  <si>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</si>
  <si>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</si>
  <si>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</si>
  <si>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</si>
  <si>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</si>
  <si>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</si>
  <si>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</si>
  <si>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</si>
  <si>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</si>
  <si>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</si>
  <si>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</si>
  <si>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</si>
  <si>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</si>
  <si>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</si>
  <si>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</si>
  <si>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</si>
  <si>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</si>
  <si>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</si>
  <si>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</si>
  <si>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</si>
  <si>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</si>
  <si>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</si>
  <si>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</si>
  <si>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</si>
  <si>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</si>
  <si>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</si>
  <si>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</si>
  <si>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</si>
  <si>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</si>
  <si>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</si>
  <si>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</si>
  <si>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</si>
  <si>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</si>
  <si>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</si>
  <si>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</si>
  <si>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</si>
  <si>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</si>
  <si>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</si>
  <si>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</si>
  <si>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</si>
  <si>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</si>
  <si>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</si>
  <si>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</si>
  <si>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</si>
  <si>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</si>
  <si>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</si>
  <si>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</si>
  <si>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</si>
  <si>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</si>
  <si>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</si>
  <si>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</si>
  <si>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</si>
  <si>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</si>
  <si>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</si>
  <si>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</si>
  <si>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</si>
  <si>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</si>
  <si>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</si>
  <si>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</si>
  <si>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</si>
  <si>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</si>
  <si>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</si>
  <si>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</si>
  <si>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</si>
  <si>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</si>
  <si>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</si>
  <si>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</si>
  <si>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</si>
  <si>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</si>
  <si>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</si>
  <si>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</si>
  <si>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</si>
  <si>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</si>
  <si>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</si>
  <si>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</si>
  <si>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</si>
  <si>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</si>
  <si>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</si>
  <si>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</si>
  <si>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</si>
  <si>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</si>
  <si>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</si>
  <si>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</si>
  <si>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</si>
  <si>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</si>
  <si>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</si>
  <si>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</si>
  <si>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</si>
  <si>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</si>
  <si>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</si>
  <si>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</si>
  <si>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</si>
  <si>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</si>
  <si>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</si>
  <si>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</si>
  <si>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</si>
  <si>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</si>
  <si>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</si>
  <si>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</si>
  <si>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</si>
  <si>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</si>
  <si>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</si>
  <si>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</si>
  <si>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</si>
  <si>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</si>
  <si>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</si>
  <si>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</si>
  <si>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</si>
  <si>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</si>
  <si>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</si>
  <si>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</si>
  <si>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</si>
  <si>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</si>
  <si>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</si>
  <si>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</si>
  <si>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</si>
  <si>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</si>
  <si>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</si>
  <si>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</si>
  <si>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</si>
  <si>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</si>
  <si>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</si>
  <si>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</si>
  <si>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</si>
  <si>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</si>
  <si>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</si>
  <si>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</si>
  <si>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</si>
  <si>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</si>
  <si>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</si>
  <si>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</si>
  <si>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</si>
  <si>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</si>
  <si>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</si>
  <si>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</si>
  <si>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</si>
  <si>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</si>
  <si>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</si>
  <si>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</si>
  <si>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</si>
  <si>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</si>
  <si>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</si>
  <si>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</si>
  <si>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</si>
  <si>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</si>
  <si>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</si>
  <si>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</si>
  <si>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</si>
  <si>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</si>
  <si>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</si>
  <si>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</si>
  <si>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</si>
  <si>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</si>
  <si>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</si>
  <si>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</si>
  <si>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</si>
  <si>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</si>
  <si>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</si>
  <si>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</si>
  <si>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</si>
  <si>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</si>
  <si>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</si>
  <si>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</si>
  <si>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</si>
  <si>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</si>
  <si>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</si>
  <si>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</si>
  <si>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</si>
  <si>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</si>
  <si>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</si>
  <si>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</si>
  <si>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</si>
  <si>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</si>
  <si>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</si>
  <si>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</si>
  <si>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</si>
  <si>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</si>
  <si>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</si>
  <si>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</si>
  <si>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</si>
  <si>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</si>
  <si>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</si>
  <si>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</si>
  <si>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</si>
  <si>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</si>
  <si>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</si>
  <si>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</si>
  <si>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</si>
  <si>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</si>
  <si>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</si>
  <si>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</si>
  <si>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</si>
  <si>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</si>
  <si>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</si>
  <si>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</si>
  <si>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</si>
  <si>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</si>
  <si>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</si>
  <si>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</si>
  <si>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</si>
  <si>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</si>
  <si>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</si>
  <si>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</si>
  <si>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</si>
  <si>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</si>
  <si>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</si>
  <si>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</si>
  <si>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</si>
  <si>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</si>
  <si>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</si>
  <si>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</si>
  <si>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</si>
  <si>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</si>
  <si>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</si>
  <si>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</si>
  <si>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</si>
  <si>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</si>
  <si>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</si>
  <si>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</si>
  <si>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</si>
  <si>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</si>
  <si>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</si>
  <si>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</si>
  <si>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</si>
  <si>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</si>
  <si>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</si>
  <si>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</si>
  <si>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</si>
  <si>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</si>
  <si>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</si>
  <si>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</si>
  <si>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</si>
  <si>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</si>
  <si>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</si>
  <si>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</si>
  <si>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</si>
  <si>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</si>
  <si>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</si>
  <si>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</si>
  <si>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</si>
  <si>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</si>
  <si>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</si>
  <si>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</si>
  <si>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</si>
  <si>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</si>
  <si>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</si>
  <si>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</si>
  <si>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</si>
  <si>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</si>
  <si>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</si>
  <si>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</si>
  <si>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</si>
  <si>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</si>
  <si>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</si>
  <si>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</si>
  <si>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</si>
  <si>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</si>
  <si>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</si>
  <si>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</si>
  <si>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</si>
  <si>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</si>
  <si>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</si>
  <si>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</si>
  <si>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</si>
  <si>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</si>
  <si>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</si>
  <si>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</si>
  <si>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</si>
  <si>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</si>
  <si>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</si>
  <si>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</si>
  <si>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</si>
  <si>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</si>
  <si>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</si>
  <si>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</si>
  <si>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</si>
  <si>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</si>
  <si>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</si>
  <si>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</si>
  <si>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</si>
  <si>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</si>
  <si>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</si>
  <si>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</si>
  <si>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</si>
  <si>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</si>
  <si>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</si>
  <si>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</si>
  <si>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</si>
  <si>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</si>
  <si>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</si>
  <si>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</si>
  <si>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</si>
  <si>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</si>
  <si>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</si>
  <si>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</si>
  <si>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</si>
  <si>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</si>
  <si>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</si>
  <si>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</si>
  <si>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</si>
  <si>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</si>
  <si>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</si>
  <si>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</si>
  <si>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</si>
  <si>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</si>
  <si>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</si>
  <si>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</si>
  <si>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</si>
  <si>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</si>
  <si>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</si>
  <si>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</si>
  <si>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</si>
  <si>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</si>
  <si>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</si>
  <si>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</si>
  <si>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</si>
  <si>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</si>
  <si>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</si>
  <si>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</si>
  <si>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</si>
  <si>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</si>
  <si>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</si>
  <si>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</si>
  <si>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</si>
  <si>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</si>
  <si>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</si>
  <si>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</si>
  <si>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</si>
  <si>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</si>
  <si>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</si>
  <si>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</si>
  <si>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</si>
  <si>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</si>
  <si>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</si>
  <si>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</si>
  <si>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</si>
  <si>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</si>
  <si>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</si>
  <si>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</si>
  <si>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</si>
  <si>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</si>
  <si>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</si>
  <si>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</si>
  <si>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</si>
  <si>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</si>
  <si>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</si>
  <si>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</si>
  <si>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</si>
  <si>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</si>
  <si>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</si>
  <si>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</si>
  <si>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</si>
  <si>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</si>
  <si>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</si>
  <si>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</si>
  <si>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</si>
  <si>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</si>
  <si>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</si>
  <si>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</si>
  <si>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</si>
  <si>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</si>
  <si>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</si>
  <si>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</si>
  <si>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</si>
  <si>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</si>
  <si>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</si>
  <si>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</si>
  <si>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</si>
  <si>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</si>
  <si>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</si>
  <si>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</si>
  <si>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</si>
  <si>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</si>
  <si>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</si>
  <si>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</si>
  <si>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</si>
  <si>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</si>
  <si>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</si>
  <si>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</si>
  <si>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</si>
  <si>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</si>
  <si>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</si>
  <si>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</si>
  <si>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</si>
  <si>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</si>
  <si>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</si>
  <si>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</si>
  <si>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</si>
  <si>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</si>
  <si>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</si>
  <si>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</si>
  <si>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</si>
  <si>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</si>
  <si>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</si>
  <si>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</si>
  <si>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</si>
  <si>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</si>
  <si>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</si>
  <si>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</si>
  <si>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</si>
  <si>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</si>
  <si>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</si>
  <si>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</si>
  <si>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</si>
  <si>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</si>
  <si>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</si>
  <si>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</si>
  <si>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</si>
  <si>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</si>
  <si>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</si>
  <si>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</si>
  <si>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</si>
  <si>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</si>
  <si>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</si>
  <si>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</si>
  <si>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</si>
  <si>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</si>
  <si>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</si>
  <si>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</si>
  <si>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</si>
  <si>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</si>
  <si>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</si>
  <si>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</si>
  <si>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</si>
  <si>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</si>
  <si>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</si>
  <si>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</si>
  <si>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</si>
  <si>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</si>
  <si>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</si>
  <si>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</si>
  <si>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</si>
  <si>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</si>
  <si>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</si>
  <si>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</si>
  <si>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</si>
  <si>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</si>
  <si>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</si>
  <si>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</si>
  <si>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</si>
  <si>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</si>
  <si>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</si>
  <si>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</si>
  <si>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</si>
  <si>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</si>
  <si>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</si>
  <si>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</si>
  <si>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</si>
  <si>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</si>
  <si>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</si>
  <si>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</si>
  <si>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</si>
  <si>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</si>
  <si>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</si>
  <si>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</si>
  <si>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</si>
  <si>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</si>
  <si>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</si>
  <si>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</si>
  <si>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</si>
  <si>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</si>
  <si>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</si>
  <si>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</si>
  <si>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</si>
  <si>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</si>
  <si>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</si>
  <si>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</si>
  <si>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</si>
  <si>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</si>
  <si>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</si>
  <si>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</si>
  <si>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</si>
  <si>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</si>
  <si>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</si>
  <si>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</si>
  <si>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</si>
  <si>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</si>
  <si>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</si>
  <si>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</si>
  <si>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</si>
  <si>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</si>
  <si>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</si>
  <si>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</si>
  <si>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</si>
  <si>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</si>
  <si>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</si>
  <si>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</si>
  <si>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</si>
  <si>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</si>
  <si>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</si>
  <si>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</si>
  <si>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</si>
  <si>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</si>
  <si>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</si>
  <si>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</si>
  <si>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</si>
  <si>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</si>
  <si>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</si>
  <si>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</si>
  <si>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</si>
  <si>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</si>
  <si>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</si>
  <si>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</si>
  <si>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</si>
  <si>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</si>
  <si>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</si>
  <si>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</si>
  <si>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</si>
  <si>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</si>
  <si>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</si>
  <si>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</si>
  <si>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</si>
  <si>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</si>
  <si>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</si>
  <si>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</si>
  <si>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</si>
  <si>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</si>
  <si>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</si>
  <si>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</si>
  <si>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</si>
  <si>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</si>
  <si>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</si>
  <si>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</si>
  <si>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</si>
  <si>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</si>
  <si>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</si>
  <si>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</si>
  <si>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</si>
  <si>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</si>
  <si>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</si>
  <si>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</si>
  <si>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</si>
  <si>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</si>
  <si>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</si>
  <si>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</si>
  <si>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</si>
  <si>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</si>
  <si>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</si>
  <si>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</si>
  <si>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</si>
  <si>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</si>
  <si>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</si>
  <si>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</si>
  <si>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</si>
  <si>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</si>
  <si>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</si>
  <si>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</si>
  <si>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</si>
  <si>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</si>
  <si>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</si>
  <si>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</si>
  <si>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</si>
  <si>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</si>
  <si>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</si>
  <si>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</si>
  <si>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</si>
  <si>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</si>
  <si>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</si>
  <si>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</si>
  <si>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</si>
  <si>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</si>
  <si>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</si>
  <si>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</si>
  <si>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</si>
  <si>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</si>
  <si>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</si>
  <si>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</si>
  <si>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</si>
  <si>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</si>
  <si>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</si>
  <si>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</si>
  <si>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</si>
  <si>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</si>
  <si>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</si>
  <si>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</si>
  <si>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</si>
  <si>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</si>
  <si>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</si>
  <si>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</si>
  <si>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</si>
  <si>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</si>
  <si>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</si>
  <si>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</si>
  <si>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</si>
  <si>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</si>
  <si>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</si>
  <si>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</si>
  <si>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</si>
  <si>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</si>
  <si>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</si>
  <si>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</si>
  <si>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</si>
  <si>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</si>
  <si>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</si>
  <si>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</si>
  <si>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</si>
  <si>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</si>
  <si>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</si>
  <si>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</si>
  <si>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</si>
  <si>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</si>
  <si>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</si>
  <si>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</si>
  <si>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</si>
  <si>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</si>
  <si>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</si>
  <si>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</si>
  <si>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</si>
  <si>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</si>
  <si>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</si>
  <si>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</si>
  <si>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</si>
  <si>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</si>
  <si>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</si>
  <si>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</si>
  <si>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</si>
  <si>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</si>
  <si>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</si>
  <si>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</si>
  <si>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</si>
  <si>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</si>
  <si>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</si>
  <si>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</si>
  <si>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</si>
  <si>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</si>
  <si>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</si>
  <si>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</si>
  <si>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</si>
  <si>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</si>
  <si>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</si>
  <si>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</si>
  <si>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</si>
  <si>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</si>
  <si>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</si>
  <si>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</si>
  <si>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</si>
  <si>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</si>
  <si>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</si>
  <si>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</si>
  <si>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</si>
  <si>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</si>
  <si>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</si>
  <si>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</si>
  <si>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</si>
  <si>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</si>
  <si>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</si>
  <si>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</si>
  <si>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</si>
  <si>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</si>
  <si>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</si>
  <si>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</si>
  <si>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</si>
  <si>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</si>
  <si>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</si>
  <si>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</si>
  <si>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</si>
  <si>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</si>
  <si>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</si>
  <si>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</si>
  <si>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</si>
  <si>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</si>
  <si>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</si>
  <si>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</si>
  <si>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</si>
  <si>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</si>
  <si>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</si>
  <si>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</si>
  <si>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</si>
  <si>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</si>
  <si>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</si>
  <si>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</si>
  <si>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</si>
  <si>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</si>
  <si>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</si>
  <si>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</si>
  <si>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</si>
  <si>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</si>
  <si>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</si>
  <si>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</si>
  <si>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</si>
  <si>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</si>
  <si>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</si>
  <si>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</si>
  <si>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</si>
  <si>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</si>
  <si>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</si>
  <si>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</si>
  <si>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</si>
  <si>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</si>
  <si>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</si>
  <si>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</si>
  <si>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</si>
  <si>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</si>
  <si>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</si>
  <si>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</si>
  <si>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</si>
  <si>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</si>
  <si>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</si>
  <si>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</si>
  <si>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</si>
  <si>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</si>
  <si>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</si>
  <si>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</si>
  <si>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</si>
  <si>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</si>
  <si>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</si>
  <si>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</si>
  <si>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</si>
  <si>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</si>
  <si>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</si>
  <si>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</si>
  <si>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</si>
  <si>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</si>
  <si>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</si>
  <si>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</si>
  <si>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</si>
  <si>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</si>
  <si>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</si>
  <si>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</si>
  <si>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</si>
  <si>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</si>
  <si>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</si>
  <si>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</si>
  <si>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</si>
  <si>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</si>
  <si>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</si>
  <si>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</si>
  <si>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</si>
  <si>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</si>
  <si>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</si>
  <si>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</si>
  <si>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</si>
  <si>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</si>
  <si>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</si>
  <si>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</si>
  <si>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</si>
  <si>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</si>
  <si>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</si>
  <si>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</si>
  <si>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</si>
  <si>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</si>
  <si>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</si>
  <si>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</si>
  <si>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</si>
  <si>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</si>
  <si>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</si>
  <si>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</si>
  <si>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</si>
  <si>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</si>
  <si>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</si>
  <si>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</si>
  <si>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</si>
  <si>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</si>
  <si>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</si>
  <si>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</si>
  <si>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</si>
  <si>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</si>
  <si>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</si>
  <si>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</si>
  <si>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</si>
  <si>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</si>
  <si>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</si>
  <si>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</si>
  <si>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</si>
  <si>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</si>
  <si>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</si>
  <si>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</si>
  <si>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</si>
  <si>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</si>
  <si>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</si>
  <si>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</si>
  <si>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</si>
  <si>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</si>
  <si>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</si>
  <si>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</si>
  <si>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</si>
  <si>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</si>
  <si>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</si>
  <si>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</si>
  <si>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</si>
  <si>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</si>
  <si>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</si>
  <si>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</si>
  <si>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</si>
  <si>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</si>
  <si>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</si>
  <si>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</si>
  <si>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</si>
  <si>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</si>
  <si>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</si>
  <si>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</si>
  <si>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</si>
  <si>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</si>
  <si>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</si>
  <si>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</si>
  <si>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</si>
  <si>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</si>
  <si>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</si>
  <si>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</si>
  <si>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</si>
  <si>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</si>
  <si>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</si>
  <si>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</si>
  <si>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</si>
  <si>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</si>
  <si>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</si>
  <si>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</si>
  <si>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</si>
  <si>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</si>
  <si>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</si>
  <si>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</si>
  <si>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</si>
  <si>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</si>
  <si>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</si>
  <si>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</si>
  <si>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</si>
  <si>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</si>
  <si>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</si>
  <si>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</si>
  <si>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</si>
  <si>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</si>
  <si>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</si>
  <si>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</si>
  <si>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</si>
  <si>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</si>
  <si>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</si>
  <si>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</si>
  <si>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</si>
  <si>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</si>
  <si>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</si>
  <si>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</si>
  <si>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</si>
  <si>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</si>
  <si>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</si>
  <si>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</si>
  <si>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</si>
  <si>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</si>
  <si>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</si>
  <si>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</si>
  <si>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</si>
  <si>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</si>
  <si>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</si>
  <si>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</si>
  <si>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</si>
  <si>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</si>
  <si>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</si>
  <si>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</si>
  <si>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</si>
  <si>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</si>
  <si>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</si>
  <si>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</si>
  <si>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</si>
  <si>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</si>
  <si>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</si>
  <si>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</si>
  <si>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</si>
  <si>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</si>
  <si>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</si>
  <si>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</si>
  <si>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</si>
  <si>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</si>
  <si>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</si>
  <si>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</si>
  <si>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</si>
  <si>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</si>
  <si>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</si>
  <si>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</si>
  <si>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</si>
  <si>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</si>
  <si>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</si>
  <si>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</si>
  <si>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</si>
  <si>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</si>
  <si>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</si>
  <si>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</si>
  <si>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</si>
  <si>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</si>
  <si>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</si>
  <si>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</si>
  <si>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</si>
  <si>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</si>
  <si>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</si>
  <si>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</si>
  <si>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</si>
  <si>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</si>
  <si>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</si>
  <si>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</si>
  <si>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</si>
  <si>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</si>
  <si>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</si>
  <si>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</si>
  <si>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</si>
  <si>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</si>
  <si>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</si>
  <si>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</si>
  <si>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</si>
  <si>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</si>
  <si>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</si>
  <si>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</si>
  <si>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</si>
  <si>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</si>
  <si>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</si>
  <si>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</si>
  <si>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</si>
  <si>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</si>
  <si>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</si>
  <si>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</si>
  <si>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</si>
  <si>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</si>
  <si>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</si>
  <si>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</si>
  <si>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</si>
  <si>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</si>
  <si>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</si>
  <si>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</si>
  <si>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</si>
  <si>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</si>
  <si>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</si>
  <si>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</si>
  <si>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</si>
  <si>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</si>
  <si>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</si>
  <si>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</si>
  <si>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</si>
  <si>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</si>
  <si>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</si>
  <si>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</si>
  <si>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</si>
  <si>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</si>
  <si>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</si>
  <si>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</si>
  <si>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</si>
  <si>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</si>
  <si>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</si>
  <si>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</si>
  <si>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</si>
  <si>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</si>
  <si>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</si>
  <si>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</si>
  <si>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</si>
  <si>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</si>
  <si>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</si>
  <si>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</si>
  <si>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</si>
  <si>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</si>
  <si>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</si>
  <si>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</si>
  <si>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</si>
  <si>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</si>
  <si>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</si>
  <si>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</si>
  <si>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</si>
  <si>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</si>
  <si>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</si>
  <si>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</si>
  <si>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</si>
  <si>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</si>
  <si>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</si>
  <si>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</si>
  <si>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</si>
  <si>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</si>
  <si>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</si>
  <si>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</si>
  <si>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</si>
  <si>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</si>
  <si>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</si>
  <si>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</si>
  <si>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</si>
  <si>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</si>
  <si>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</si>
  <si>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</si>
  <si>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</si>
  <si>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</si>
  <si>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</si>
  <si>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</si>
  <si>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</si>
  <si>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</si>
  <si>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</si>
  <si>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</si>
  <si>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</si>
  <si>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</si>
  <si>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</si>
  <si>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</si>
  <si>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</si>
  <si>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</si>
  <si>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</si>
  <si>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</si>
  <si>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</si>
  <si>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</si>
  <si>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</si>
  <si>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</si>
  <si>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</si>
  <si>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</si>
  <si>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</si>
  <si>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</si>
  <si>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</si>
  <si>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</si>
  <si>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</si>
  <si>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</si>
  <si>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</si>
  <si>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</si>
  <si>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</si>
  <si>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</si>
  <si>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</si>
  <si>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</si>
  <si>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</si>
  <si>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</si>
  <si>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</si>
  <si>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</si>
  <si>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</si>
  <si>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</si>
  <si>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</si>
  <si>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</si>
  <si>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</si>
  <si>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</si>
  <si>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</si>
  <si>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</si>
  <si>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</si>
  <si>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</si>
  <si>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</si>
  <si>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</si>
  <si>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</si>
  <si>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</si>
  <si>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</si>
  <si>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</si>
  <si>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</si>
  <si>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</si>
  <si>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</si>
  <si>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</si>
  <si>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</si>
  <si>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</si>
  <si>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</si>
  <si>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</si>
  <si>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</si>
  <si>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</si>
  <si>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</si>
  <si>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</si>
  <si>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</si>
  <si>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</si>
  <si>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</si>
  <si>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</si>
  <si>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</si>
  <si>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</si>
  <si>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</si>
  <si>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</si>
  <si>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</si>
  <si>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</si>
  <si>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</si>
  <si>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</si>
  <si>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</si>
  <si>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</si>
  <si>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</si>
  <si>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</si>
  <si>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</si>
  <si>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</si>
  <si>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</si>
  <si>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</si>
  <si>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</si>
  <si>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</si>
  <si>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</si>
  <si>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</si>
  <si>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</si>
  <si>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</si>
  <si>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</si>
  <si>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</si>
  <si>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</si>
  <si>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</si>
  <si>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</si>
  <si>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</si>
  <si>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</si>
  <si>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</si>
  <si>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</si>
  <si>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</si>
  <si>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</si>
  <si>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</si>
  <si>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</si>
  <si>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</si>
  <si>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</si>
  <si>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</si>
  <si>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</si>
  <si>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</si>
  <si>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</si>
  <si>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</si>
  <si>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</si>
  <si>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</si>
  <si>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</si>
  <si>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</si>
  <si>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</si>
  <si>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</si>
  <si>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</si>
  <si>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</si>
  <si>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</si>
  <si>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</si>
  <si>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</si>
  <si>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</si>
  <si>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</si>
  <si>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</si>
  <si>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</si>
  <si>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</si>
  <si>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</si>
  <si>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</si>
  <si>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</si>
  <si>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</si>
  <si>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</si>
  <si>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</si>
  <si>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</si>
  <si>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</si>
  <si>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</si>
  <si>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</si>
  <si>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</si>
  <si>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</si>
  <si>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</si>
  <si>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</si>
  <si>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</si>
  <si>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</si>
  <si>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</si>
  <si>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</si>
  <si>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</si>
  <si>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</si>
  <si>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</si>
  <si>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</si>
  <si>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</si>
  <si>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</si>
  <si>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</si>
  <si>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</si>
  <si>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</si>
  <si>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</si>
  <si>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</si>
  <si>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</si>
  <si>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</si>
  <si>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</si>
  <si>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</si>
  <si>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</si>
  <si>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</si>
  <si>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</si>
  <si>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</si>
  <si>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</si>
  <si>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</si>
  <si>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</si>
  <si>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</si>
  <si>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</si>
  <si>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</si>
  <si>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</si>
  <si>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</si>
  <si>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</si>
  <si>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</si>
  <si>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</si>
  <si>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</si>
  <si>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</si>
  <si>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</si>
  <si>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</si>
  <si>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</si>
  <si>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</si>
  <si>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</si>
  <si>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</si>
  <si>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</si>
  <si>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</si>
  <si>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</si>
  <si>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</si>
  <si>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</si>
  <si>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</si>
  <si>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</si>
  <si>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</si>
  <si>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</si>
  <si>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</si>
  <si>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</si>
  <si>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</si>
  <si>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</si>
  <si>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</si>
  <si>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</si>
  <si>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</si>
  <si>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</si>
  <si>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</si>
  <si>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</si>
  <si>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</si>
  <si>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</si>
  <si>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</si>
  <si>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</si>
  <si>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</si>
  <si>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</si>
  <si>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</si>
  <si>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</si>
  <si>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</si>
  <si>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</si>
  <si>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</si>
  <si>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</si>
  <si>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</si>
  <si>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</si>
  <si>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</si>
  <si>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</si>
  <si>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</si>
  <si>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</si>
  <si>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</si>
  <si>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</si>
  <si>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</si>
  <si>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</si>
  <si>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</si>
  <si>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</si>
  <si>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</si>
  <si>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</si>
  <si>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</si>
  <si>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</si>
  <si>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</si>
  <si>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</si>
  <si>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</si>
  <si>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</si>
  <si>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</si>
  <si>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</si>
  <si>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</si>
  <si>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</si>
  <si>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</si>
  <si>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</si>
  <si>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</si>
  <si>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</si>
  <si>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</si>
  <si>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</si>
  <si>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</si>
  <si>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</si>
  <si>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</si>
  <si>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</si>
  <si>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</si>
  <si>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</si>
  <si>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</si>
  <si>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</si>
  <si>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</si>
  <si>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</si>
  <si>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</si>
  <si>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</si>
  <si>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</si>
  <si>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</si>
  <si>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</si>
  <si>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</si>
  <si>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</si>
  <si>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</si>
  <si>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</si>
  <si>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</si>
  <si>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</si>
  <si>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</si>
  <si>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</si>
  <si>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</si>
  <si>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</si>
  <si>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</si>
  <si>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</si>
  <si>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</si>
  <si>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</si>
  <si>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</si>
  <si>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</si>
  <si>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</si>
  <si>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</si>
  <si>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</si>
  <si>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</si>
  <si>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</si>
  <si>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</si>
  <si>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</si>
  <si>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</si>
  <si>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</si>
  <si>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</si>
  <si>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</si>
  <si>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</si>
  <si>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</si>
  <si>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</si>
  <si>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</si>
  <si>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</si>
  <si>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</si>
  <si>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</si>
  <si>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</si>
  <si>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</si>
  <si>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</si>
  <si>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</si>
  <si>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</si>
  <si>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</si>
  <si>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</si>
  <si>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</si>
  <si>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</si>
  <si>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</si>
  <si>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</si>
  <si>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</si>
  <si>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</si>
  <si>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</si>
  <si>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</si>
  <si>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</si>
  <si>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</si>
  <si>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</si>
  <si>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</si>
  <si>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</si>
  <si>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</si>
  <si>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</si>
  <si>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</si>
  <si>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</si>
  <si>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</si>
  <si>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</si>
  <si>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</si>
  <si>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</si>
  <si>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</si>
  <si>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</si>
  <si>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</si>
  <si>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</si>
  <si>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</si>
  <si>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</si>
  <si>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</si>
  <si>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</si>
  <si>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</si>
  <si>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</si>
  <si>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</si>
  <si>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</si>
  <si>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</si>
  <si>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</si>
  <si>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</si>
  <si>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</si>
  <si>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</si>
  <si>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</si>
  <si>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</si>
  <si>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</si>
  <si>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</si>
  <si>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</si>
  <si>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</si>
  <si>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</si>
  <si>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</si>
  <si>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</si>
  <si>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</si>
  <si>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</si>
  <si>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</si>
  <si>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</si>
  <si>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</si>
  <si>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</si>
  <si>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</si>
  <si>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</si>
  <si>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</si>
  <si>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</si>
  <si>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</si>
  <si>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</si>
  <si>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</si>
  <si>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</si>
  <si>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</si>
  <si>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</si>
  <si>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</si>
  <si>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</si>
  <si>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</si>
  <si>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</si>
  <si>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</si>
  <si>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</si>
  <si>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</si>
  <si>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</si>
  <si>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</si>
  <si>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</si>
  <si>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</si>
  <si>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</si>
  <si>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</si>
  <si>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</si>
  <si>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</si>
  <si>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</si>
  <si>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</si>
  <si>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</si>
  <si>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</si>
  <si>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</si>
  <si>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</si>
  <si>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</si>
  <si>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</si>
  <si>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</si>
  <si>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</si>
  <si>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</si>
  <si>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</si>
  <si>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</si>
  <si>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</si>
  <si>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</si>
  <si>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</si>
  <si>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</si>
  <si>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</si>
  <si>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</si>
  <si>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</si>
  <si>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</si>
  <si>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</si>
  <si>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</si>
  <si>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</si>
  <si>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</si>
  <si>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</si>
  <si>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</si>
  <si>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</si>
  <si>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</si>
  <si>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</si>
  <si>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</si>
  <si>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</si>
  <si>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</si>
  <si>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</si>
  <si>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</si>
  <si>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</si>
  <si>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</si>
  <si>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</si>
  <si>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</si>
  <si>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</si>
  <si>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</si>
  <si>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</si>
  <si>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</si>
  <si>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</si>
  <si>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</si>
  <si>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</si>
  <si>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</si>
  <si>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</si>
  <si>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</si>
  <si>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</si>
  <si>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</si>
  <si>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</si>
  <si>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</si>
  <si>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</si>
  <si>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</si>
  <si>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</si>
  <si>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</si>
  <si>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</si>
  <si>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</si>
  <si>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</si>
  <si>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</si>
  <si>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</si>
  <si>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</si>
  <si>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</si>
  <si>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</si>
  <si>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</si>
  <si>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</si>
  <si>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</si>
  <si>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</si>
  <si>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</si>
  <si>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</si>
  <si>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</si>
  <si>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</si>
  <si>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</si>
  <si>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</si>
  <si>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</si>
  <si>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</si>
  <si>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</si>
  <si>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</si>
  <si>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</si>
  <si>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</si>
  <si>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</si>
  <si>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</si>
  <si>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</si>
  <si>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</si>
  <si>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</si>
  <si>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</si>
  <si>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</si>
  <si>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</si>
  <si>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</si>
  <si>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</si>
  <si>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</si>
  <si>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</si>
  <si>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</si>
  <si>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</si>
  <si>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</si>
  <si>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</si>
  <si>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</si>
  <si>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</si>
  <si>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</si>
  <si>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</si>
  <si>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</si>
  <si>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</si>
  <si>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</si>
  <si>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</si>
  <si>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</si>
  <si>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</si>
  <si>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</si>
  <si>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</si>
  <si>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</si>
  <si>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</si>
  <si>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</si>
  <si>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</si>
  <si>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</si>
  <si>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</si>
  <si>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</si>
  <si>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</si>
  <si>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</si>
  <si>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</si>
  <si>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</si>
  <si>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</si>
  <si>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</si>
  <si>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</si>
  <si>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</si>
  <si>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</si>
  <si>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</si>
  <si>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</si>
  <si>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</si>
  <si>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</si>
  <si>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</si>
  <si>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</si>
  <si>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</si>
  <si>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</si>
  <si>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</si>
  <si>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</si>
  <si>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</si>
  <si>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</si>
  <si>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</si>
  <si>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</si>
  <si>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</si>
  <si>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</si>
  <si>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</si>
  <si>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</si>
  <si>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</si>
  <si>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</si>
  <si>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</si>
  <si>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</si>
  <si>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</si>
  <si>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</si>
  <si>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</si>
  <si>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</si>
  <si>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</si>
  <si>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</si>
  <si>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</si>
  <si>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</si>
  <si>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</si>
  <si>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</si>
  <si>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</si>
  <si>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</si>
  <si>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</si>
  <si>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</si>
  <si>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</si>
  <si>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</si>
  <si>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</si>
  <si>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</si>
  <si>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</si>
  <si>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</si>
  <si>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</si>
  <si>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</si>
  <si>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</si>
  <si>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</si>
  <si>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</si>
  <si>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</si>
  <si>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</si>
  <si>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</si>
  <si>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</si>
  <si>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</si>
  <si>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</si>
  <si>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</si>
  <si>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</si>
  <si>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</si>
  <si>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</si>
  <si>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</si>
  <si>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</si>
  <si>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</si>
  <si>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</si>
  <si>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</si>
  <si>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</si>
  <si>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</si>
  <si>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</si>
  <si>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</si>
  <si>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</si>
  <si>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</si>
  <si>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</si>
  <si>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</si>
  <si>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</si>
  <si>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</si>
  <si>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</si>
  <si>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</si>
  <si>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</si>
  <si>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</si>
  <si>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</si>
  <si>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</si>
  <si>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</si>
  <si>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</si>
  <si>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</si>
  <si>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</si>
  <si>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</si>
  <si>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</si>
  <si>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</si>
  <si>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</si>
  <si>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</si>
  <si>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</si>
  <si>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</si>
  <si>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</si>
  <si>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</si>
  <si>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</si>
  <si>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</si>
  <si>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</si>
  <si>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</si>
  <si>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</si>
  <si>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</si>
  <si>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</si>
  <si>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</si>
  <si>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</si>
  <si>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</si>
  <si>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</si>
  <si>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</si>
  <si>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</si>
  <si>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</si>
  <si>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</si>
  <si>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</si>
  <si>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</si>
  <si>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</si>
  <si>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</si>
  <si>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</si>
  <si>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</si>
  <si>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</si>
  <si>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</si>
  <si>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</si>
  <si>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</si>
  <si>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</si>
  <si>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</si>
  <si>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</si>
  <si>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</si>
  <si>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</si>
  <si>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</si>
  <si>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</si>
  <si>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</si>
  <si>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</si>
  <si>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</si>
  <si>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</si>
  <si>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</si>
  <si>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</si>
  <si>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</si>
  <si>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</si>
  <si>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</si>
  <si>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</si>
  <si>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</si>
  <si>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</si>
  <si>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</si>
  <si>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</si>
  <si>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</si>
  <si>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</si>
  <si>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</si>
  <si>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</si>
  <si>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</si>
  <si>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</si>
  <si>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</si>
  <si>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</si>
  <si>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</si>
  <si>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</si>
  <si>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</si>
  <si>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</si>
  <si>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</si>
  <si>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</si>
  <si>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</si>
  <si>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</si>
  <si>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</si>
  <si>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</si>
  <si>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</si>
  <si>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</si>
  <si>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</si>
  <si>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</si>
  <si>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</si>
  <si>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</si>
  <si>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</si>
  <si>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</si>
  <si>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</si>
  <si>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</si>
  <si>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</si>
  <si>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</si>
  <si>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</si>
  <si>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</si>
  <si>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</si>
  <si>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</si>
  <si>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</si>
  <si>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</si>
  <si>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</si>
  <si>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</si>
  <si>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</si>
  <si>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</si>
  <si>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</si>
  <si>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</si>
  <si>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</si>
  <si>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</si>
  <si>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</si>
  <si>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</si>
  <si>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</si>
  <si>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</si>
  <si>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</si>
  <si>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</si>
  <si>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</si>
  <si>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</si>
  <si>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</si>
  <si>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</si>
  <si>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</si>
  <si>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</si>
  <si>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</si>
  <si>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</si>
  <si>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</si>
  <si>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</si>
  <si>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</si>
  <si>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</si>
  <si>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</si>
  <si>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</si>
  <si>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</si>
  <si>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</si>
  <si>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</si>
  <si>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</si>
  <si>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</si>
  <si>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</si>
  <si>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</si>
  <si>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</si>
  <si>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</si>
  <si>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</si>
  <si>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</si>
  <si>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</si>
  <si>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</si>
  <si>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</si>
  <si>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</si>
  <si>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</si>
  <si>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</si>
  <si>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</si>
  <si>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</si>
  <si>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</si>
  <si>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</si>
  <si>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</si>
  <si>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</si>
  <si>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</si>
  <si>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</si>
  <si>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</si>
  <si>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</si>
  <si>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</si>
  <si>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</si>
  <si>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</si>
  <si>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</si>
  <si>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</si>
  <si>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</si>
  <si>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</si>
  <si>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</si>
  <si>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</si>
  <si>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</si>
  <si>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</si>
  <si>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</si>
  <si>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</si>
  <si>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</si>
  <si>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</si>
  <si>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</si>
  <si>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</si>
  <si>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</si>
  <si>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</si>
  <si>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</si>
  <si>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</si>
  <si>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</si>
  <si>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</si>
  <si>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</si>
  <si>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</si>
  <si>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</si>
  <si>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</si>
  <si>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</si>
  <si>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</si>
  <si>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</si>
  <si>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</si>
  <si>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</si>
  <si>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</si>
  <si>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</si>
  <si>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</si>
  <si>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</si>
  <si>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</si>
  <si>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</si>
  <si>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</si>
  <si>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</si>
  <si>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</si>
  <si>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</si>
  <si>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</si>
  <si>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</si>
  <si>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</si>
  <si>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</si>
  <si>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</si>
  <si>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</si>
  <si>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</si>
  <si>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</si>
  <si>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</si>
  <si>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</si>
  <si>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</si>
  <si>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</si>
  <si>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</si>
  <si>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</si>
  <si>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</si>
  <si>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</si>
  <si>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</si>
  <si>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</si>
  <si>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</si>
  <si>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</si>
  <si>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</si>
  <si>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</si>
  <si>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</si>
  <si>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</si>
  <si>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</si>
  <si>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</si>
  <si>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</si>
  <si>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</si>
  <si>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</si>
  <si>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</si>
  <si>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</si>
  <si>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</si>
  <si>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</si>
  <si>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</si>
  <si>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</si>
  <si>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</si>
  <si>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</si>
  <si>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</si>
  <si>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</si>
  <si>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</si>
  <si>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</si>
  <si>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</si>
  <si>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</si>
  <si>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</si>
  <si>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</si>
  <si>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</si>
  <si>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</si>
  <si>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</si>
  <si>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</si>
  <si>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</si>
  <si>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</si>
  <si>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</si>
  <si>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</si>
  <si>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</si>
  <si>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</si>
  <si>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</si>
  <si>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</si>
  <si>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</si>
  <si>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</si>
  <si>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</si>
  <si>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</si>
  <si>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</si>
  <si>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</si>
  <si>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</si>
  <si>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</si>
  <si>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</si>
  <si>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</si>
  <si>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</si>
  <si>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</si>
  <si>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</si>
  <si>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</si>
  <si>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</si>
  <si>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</si>
  <si>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</si>
  <si>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</si>
  <si>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</si>
  <si>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</si>
  <si>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</si>
  <si>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</si>
  <si>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</si>
  <si>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</si>
  <si>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</si>
  <si>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</si>
  <si>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</si>
  <si>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</si>
  <si>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</si>
  <si>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</si>
  <si>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</si>
  <si>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</si>
  <si>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</si>
  <si>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</si>
  <si>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</si>
  <si>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</si>
  <si>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</si>
  <si>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</si>
  <si>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</si>
  <si>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</si>
  <si>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</si>
  <si>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</si>
  <si>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</si>
  <si>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</si>
  <si>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</si>
  <si>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</si>
  <si>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</si>
  <si>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</si>
  <si>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</si>
  <si>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</si>
  <si>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</si>
  <si>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</si>
  <si>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</si>
  <si>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</si>
  <si>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</si>
  <si>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</si>
  <si>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</si>
  <si>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</si>
  <si>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</si>
  <si>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</si>
  <si>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</si>
  <si>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</si>
  <si>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</si>
  <si>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</si>
  <si>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</si>
  <si>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</si>
  <si>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</si>
  <si>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</si>
  <si>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</si>
  <si>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</si>
  <si>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</si>
  <si>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</si>
  <si>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</si>
  <si>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</si>
  <si>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</si>
  <si>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</si>
  <si>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</si>
  <si>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</si>
  <si>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</si>
  <si>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</si>
  <si>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</si>
  <si>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</si>
  <si>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</si>
  <si>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</si>
  <si>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</si>
  <si>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</si>
  <si>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</si>
  <si>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</si>
  <si>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</si>
  <si>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</si>
  <si>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</si>
  <si>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</si>
  <si>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</si>
  <si>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</si>
  <si>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</si>
  <si>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</si>
  <si>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</si>
  <si>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</si>
  <si>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</si>
  <si>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</si>
  <si>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</si>
  <si>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</si>
  <si>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</si>
  <si>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</si>
  <si>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</si>
  <si>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</si>
  <si>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</si>
  <si>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</si>
  <si>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</si>
  <si>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</si>
  <si>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</si>
  <si>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</si>
  <si>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</si>
  <si>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</si>
  <si>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</si>
  <si>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</si>
  <si>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</si>
  <si>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</si>
  <si>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</si>
  <si>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</si>
  <si>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</si>
  <si>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</si>
  <si>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</si>
  <si>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</si>
  <si>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</si>
  <si>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</si>
  <si>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</si>
  <si>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</si>
  <si>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</si>
  <si>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</si>
  <si>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</si>
  <si>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</si>
  <si>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</si>
  <si>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</si>
  <si>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</si>
  <si>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</si>
  <si>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</si>
  <si>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</si>
  <si>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</si>
  <si>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</si>
  <si>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</si>
  <si>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</si>
  <si>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</si>
  <si>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</si>
  <si>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</si>
  <si>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</si>
  <si>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</si>
  <si>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</si>
  <si>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</si>
  <si>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</si>
  <si>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</si>
  <si>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</si>
  <si>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</si>
  <si>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</si>
  <si>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</si>
  <si>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</si>
  <si>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</si>
  <si>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</si>
  <si>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</si>
  <si>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</si>
  <si>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</si>
  <si>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</si>
  <si>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</si>
  <si>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</si>
  <si>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</si>
  <si>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</si>
  <si>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</si>
  <si>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</si>
  <si>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</si>
  <si>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</si>
  <si>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</si>
  <si>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</si>
  <si>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</si>
  <si>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</si>
  <si>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</si>
  <si>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</si>
  <si>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</si>
  <si>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</si>
  <si>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</si>
  <si>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</si>
  <si>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</si>
  <si>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</si>
  <si>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</si>
  <si>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</si>
  <si>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</si>
  <si>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</si>
  <si>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</si>
  <si>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</si>
  <si>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</si>
  <si>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</si>
  <si>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</si>
  <si>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</si>
  <si>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</si>
  <si>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</si>
  <si>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</si>
  <si>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</si>
  <si>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</si>
  <si>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</si>
  <si>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</si>
  <si>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</si>
  <si>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</si>
  <si>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</si>
  <si>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</si>
  <si>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</si>
  <si>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</si>
  <si>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</si>
  <si>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</si>
  <si>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</si>
  <si>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</si>
  <si>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</si>
  <si>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</si>
  <si>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</si>
  <si>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</si>
  <si>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</si>
  <si>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</si>
  <si>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</si>
  <si>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</si>
  <si>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</si>
  <si>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</si>
  <si>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</si>
  <si>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</si>
  <si>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</si>
  <si>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</si>
  <si>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</si>
  <si>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</si>
  <si>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</si>
  <si>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</si>
  <si>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</si>
  <si>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</si>
  <si>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</si>
  <si>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</si>
  <si>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</si>
  <si>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</si>
  <si>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</si>
  <si>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</si>
  <si>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</si>
  <si>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</si>
  <si>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</si>
  <si>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</si>
  <si>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</si>
  <si>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</si>
  <si>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</si>
  <si>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</si>
  <si>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</si>
  <si>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</si>
  <si>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</si>
  <si>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</si>
  <si>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</si>
  <si>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</si>
  <si>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</si>
  <si>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</si>
  <si>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</si>
  <si>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</si>
  <si>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</si>
  <si>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</si>
  <si>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</si>
  <si>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</si>
  <si>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</si>
  <si>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</si>
  <si>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</si>
  <si>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</si>
  <si>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</si>
  <si>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</si>
  <si>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</si>
  <si>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</si>
  <si>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</si>
  <si>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</si>
  <si>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</si>
  <si>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</si>
  <si>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</si>
  <si>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</si>
  <si>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</si>
  <si>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</si>
  <si>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</si>
  <si>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</si>
  <si>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</si>
  <si>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</si>
  <si>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</si>
  <si>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</si>
  <si>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</si>
  <si>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</si>
  <si>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</si>
  <si>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</si>
  <si>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</si>
  <si>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</si>
  <si>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</si>
  <si>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</si>
  <si>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</si>
  <si>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</si>
  <si>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</si>
  <si>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</si>
  <si>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</si>
  <si>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</si>
  <si>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</si>
  <si>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</si>
  <si>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</si>
  <si>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</si>
  <si>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</si>
  <si>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</si>
  <si>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</si>
  <si>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</si>
  <si>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</si>
  <si>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</si>
  <si>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</si>
  <si>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</si>
  <si>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</si>
  <si>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</si>
  <si>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</si>
  <si>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</si>
  <si>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</si>
  <si>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</si>
  <si>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</si>
  <si>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</si>
  <si>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</si>
  <si>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</si>
  <si>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</si>
  <si>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</si>
  <si>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</si>
  <si>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</si>
  <si>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</si>
  <si>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</si>
  <si>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</si>
  <si>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</si>
  <si>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</si>
  <si>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</si>
  <si>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</si>
  <si>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</si>
  <si>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</si>
  <si>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</si>
  <si>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</si>
  <si>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</si>
  <si>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</si>
  <si>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</si>
  <si>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</si>
  <si>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</si>
  <si>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</si>
  <si>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</si>
  <si>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</si>
  <si>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</si>
  <si>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</si>
  <si>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</si>
  <si>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</si>
  <si>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</si>
  <si>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</si>
  <si>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</si>
  <si>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</si>
  <si>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</si>
  <si>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</si>
  <si>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</si>
  <si>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</si>
  <si>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</si>
  <si>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</si>
  <si>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</si>
  <si>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</si>
  <si>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</si>
  <si>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</si>
  <si>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</si>
  <si>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</si>
  <si>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</si>
  <si>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</si>
  <si>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</si>
  <si>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</si>
  <si>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</si>
  <si>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</si>
  <si>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</si>
  <si>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</si>
  <si>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</si>
  <si>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</si>
  <si>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</si>
  <si>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</si>
  <si>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</si>
  <si>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</si>
  <si>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</si>
  <si>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</si>
  <si>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</si>
  <si>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</si>
  <si>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</si>
  <si>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</si>
  <si>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</si>
  <si>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</si>
  <si>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</si>
  <si>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</si>
  <si>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</si>
  <si>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</si>
  <si>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</si>
  <si>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</si>
  <si>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</si>
  <si>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</si>
  <si>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</si>
  <si>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</si>
  <si>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</si>
  <si>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</si>
  <si>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</si>
  <si>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</si>
  <si>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</si>
  <si>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</si>
  <si>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</si>
  <si>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</si>
  <si>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</si>
  <si>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</si>
  <si>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</si>
  <si>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</si>
  <si>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</si>
  <si>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</si>
  <si>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</si>
  <si>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</si>
  <si>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</si>
  <si>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</si>
  <si>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</si>
  <si>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</si>
  <si>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</si>
  <si>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</si>
  <si>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</si>
  <si>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</si>
  <si>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</si>
  <si>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</si>
  <si>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</si>
  <si>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</si>
  <si>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</si>
  <si>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</si>
  <si>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</si>
  <si>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</si>
  <si>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</si>
  <si>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</si>
  <si>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</si>
  <si>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</si>
  <si>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</si>
  <si>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</si>
  <si>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</si>
  <si>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</si>
  <si>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</si>
  <si>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</si>
  <si>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</si>
  <si>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</si>
  <si>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</si>
  <si>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</si>
  <si>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</si>
  <si>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</si>
  <si>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</si>
  <si>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</si>
  <si>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</si>
  <si>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</si>
  <si>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</si>
  <si>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</si>
  <si>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</si>
  <si>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</si>
  <si>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</si>
  <si>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</si>
  <si>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</si>
  <si>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</si>
  <si>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</si>
  <si>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</si>
  <si>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</si>
  <si>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</si>
  <si>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</si>
  <si>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</si>
  <si>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</si>
  <si>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</si>
  <si>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</si>
  <si>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</si>
  <si>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</si>
  <si>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</si>
  <si>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</si>
  <si>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</si>
  <si>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</si>
  <si>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</si>
  <si>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</si>
  <si>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</si>
  <si>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</si>
  <si>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</si>
  <si>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</si>
  <si>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</si>
  <si>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</si>
  <si>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</si>
  <si>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</si>
  <si>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</si>
  <si>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</si>
  <si>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</si>
  <si>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</si>
  <si>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</si>
  <si>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</si>
  <si>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</si>
  <si>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</si>
  <si>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</si>
  <si>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</si>
  <si>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</si>
  <si>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</si>
  <si>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</si>
  <si>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</si>
  <si>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</si>
  <si>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</si>
  <si>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</si>
  <si>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</si>
  <si>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</si>
  <si>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</si>
  <si>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</si>
  <si>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</si>
  <si>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</si>
  <si>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</si>
  <si>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</si>
  <si>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</si>
  <si>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</si>
  <si>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</si>
  <si>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</si>
  <si>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</si>
  <si>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</si>
  <si>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</si>
  <si>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</si>
  <si>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</si>
  <si>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</si>
  <si>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</si>
  <si>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</si>
  <si>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</si>
  <si>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</si>
  <si>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</si>
  <si>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</si>
  <si>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</si>
  <si>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</si>
  <si>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</si>
  <si>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</si>
  <si>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</si>
  <si>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</si>
  <si>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</si>
  <si>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</si>
  <si>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</si>
  <si>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</si>
  <si>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</si>
  <si>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</si>
  <si>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</si>
  <si>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</si>
  <si>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</si>
  <si>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</si>
  <si>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</si>
  <si>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</si>
  <si>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</si>
  <si>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</si>
  <si>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</si>
  <si>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</si>
  <si>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</si>
  <si>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</si>
  <si>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</si>
  <si>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</si>
  <si>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</si>
  <si>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</si>
  <si>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</si>
  <si>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</si>
  <si>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</si>
  <si>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</si>
  <si>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</si>
  <si>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</si>
  <si>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</si>
  <si>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</si>
  <si>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</si>
  <si>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</si>
  <si>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</si>
  <si>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</si>
  <si>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</si>
  <si>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</si>
  <si>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</si>
  <si>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</si>
  <si>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</si>
  <si>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</si>
  <si>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</si>
  <si>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</si>
  <si>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</si>
  <si>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</si>
  <si>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</si>
  <si>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</si>
  <si>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</si>
  <si>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</si>
  <si>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</si>
  <si>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</si>
  <si>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</si>
  <si>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</si>
  <si>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</si>
  <si>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</si>
  <si>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</si>
  <si>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</si>
  <si>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</si>
  <si>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</si>
  <si>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</si>
  <si>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</si>
  <si>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</si>
  <si>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</si>
  <si>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</si>
  <si>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</si>
  <si>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</si>
  <si>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</si>
  <si>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</si>
  <si>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</si>
  <si>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</si>
  <si>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</si>
  <si>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</si>
  <si>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</si>
  <si>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</si>
  <si>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</si>
  <si>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</si>
  <si>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</si>
  <si>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</si>
  <si>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</si>
  <si>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</si>
  <si>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</si>
  <si>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</si>
  <si>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</si>
  <si>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</si>
  <si>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</si>
  <si>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</si>
  <si>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</si>
  <si>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</si>
  <si>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</si>
  <si>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</si>
  <si>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</si>
  <si>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</si>
  <si>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</si>
  <si>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</si>
  <si>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</si>
  <si>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</si>
  <si>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</si>
  <si>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</si>
  <si>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</si>
  <si>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</si>
  <si>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</si>
  <si>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</si>
  <si>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</si>
  <si>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</si>
  <si>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</si>
  <si>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</si>
  <si>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</si>
  <si>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</si>
  <si>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</si>
  <si>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</si>
  <si>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</si>
  <si>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</si>
  <si>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</si>
  <si>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</si>
  <si>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</si>
  <si>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</si>
  <si>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</si>
  <si>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</si>
  <si>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</si>
  <si>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</si>
  <si>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</si>
  <si>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</si>
  <si>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</si>
  <si>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</si>
  <si>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</si>
  <si>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</si>
  <si>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</si>
  <si>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</si>
  <si>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</si>
  <si>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</si>
  <si>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</si>
  <si>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</si>
  <si>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</si>
  <si>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</si>
  <si>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</si>
  <si>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</si>
  <si>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</si>
  <si>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</si>
  <si>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</si>
  <si>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</si>
  <si>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</si>
  <si>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</si>
  <si>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</si>
  <si>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</si>
  <si>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</si>
  <si>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</si>
  <si>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</si>
  <si>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</si>
  <si>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</si>
  <si>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</si>
  <si>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</si>
  <si>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</si>
  <si>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</si>
  <si>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</si>
  <si>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</si>
  <si>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</si>
  <si>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</si>
  <si>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</si>
  <si>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</si>
  <si>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</si>
  <si>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</si>
  <si>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</si>
  <si>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</si>
  <si>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</si>
  <si>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</si>
  <si>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</si>
  <si>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</si>
  <si>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</si>
  <si>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</si>
  <si>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</si>
  <si>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</si>
  <si>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</si>
  <si>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</si>
  <si>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</si>
  <si>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</si>
  <si>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</si>
  <si>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</si>
  <si>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</si>
  <si>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</si>
  <si>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</si>
  <si>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</si>
  <si>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</si>
  <si>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</si>
  <si>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</si>
  <si>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</si>
  <si>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</si>
  <si>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</si>
  <si>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</si>
  <si>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</si>
  <si>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</si>
  <si>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</si>
  <si>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</si>
  <si>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</si>
  <si>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</si>
  <si>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</si>
  <si>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</si>
  <si>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</si>
  <si>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</si>
  <si>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</si>
  <si>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</si>
  <si>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</si>
  <si>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</si>
  <si>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</si>
  <si>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</si>
  <si>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</si>
  <si>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</si>
  <si>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</si>
  <si>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</si>
  <si>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</si>
  <si>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</si>
  <si>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</si>
  <si>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</si>
  <si>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</si>
  <si>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</si>
  <si>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</si>
  <si>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</si>
  <si>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</si>
  <si>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</si>
  <si>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</si>
  <si>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</si>
  <si>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</si>
  <si>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</si>
  <si>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</si>
  <si>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</si>
  <si>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</si>
  <si>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</si>
  <si>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</si>
  <si>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</si>
  <si>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</si>
  <si>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</si>
  <si>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</si>
  <si>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</si>
  <si>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</si>
  <si>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</si>
  <si>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</si>
  <si>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</si>
  <si>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</si>
  <si>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</si>
  <si>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</si>
  <si>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</si>
  <si>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</si>
  <si>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</si>
  <si>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</si>
  <si>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</si>
  <si>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</si>
  <si>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</si>
  <si>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</si>
  <si>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</si>
  <si>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</si>
  <si>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</si>
  <si>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</si>
  <si>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</si>
  <si>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</si>
  <si>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</si>
  <si>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</si>
  <si>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</si>
  <si>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</si>
  <si>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</si>
  <si>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</si>
  <si>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</si>
  <si>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</si>
  <si>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</si>
  <si>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</si>
  <si>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</si>
  <si>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</si>
  <si>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</si>
  <si>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</si>
  <si>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</si>
  <si>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</si>
  <si>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</si>
  <si>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</si>
  <si>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</si>
  <si>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</si>
  <si>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</si>
  <si>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</si>
  <si>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</si>
  <si>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</si>
  <si>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</si>
  <si>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</si>
  <si>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</si>
  <si>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</si>
  <si>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</si>
  <si>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</si>
  <si>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</si>
  <si>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</si>
  <si>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</si>
  <si>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</si>
  <si>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</si>
  <si>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</si>
  <si>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</si>
  <si>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</si>
  <si>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</si>
  <si>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</si>
  <si>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</si>
  <si>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</si>
  <si>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</si>
  <si>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</si>
  <si>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</si>
  <si>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</si>
  <si>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</si>
  <si>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</si>
  <si>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</si>
  <si>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</si>
  <si>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</si>
  <si>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</si>
  <si>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</si>
  <si>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</si>
  <si>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</si>
  <si>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</si>
  <si>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</si>
  <si>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</si>
  <si>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</si>
  <si>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</si>
  <si>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</si>
  <si>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</si>
  <si>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</si>
  <si>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</si>
  <si>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</si>
  <si>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</si>
  <si>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</si>
  <si>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</si>
  <si>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</si>
  <si>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</si>
  <si>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</si>
  <si>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</si>
  <si>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</si>
  <si>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</si>
  <si>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</si>
  <si>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</si>
  <si>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</si>
  <si>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</si>
  <si>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</si>
  <si>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</si>
  <si>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</si>
  <si>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</si>
  <si>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</si>
  <si>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</si>
  <si>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</si>
  <si>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</si>
  <si>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</si>
  <si>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</si>
  <si>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</si>
  <si>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</si>
  <si>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</si>
  <si>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</si>
  <si>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</si>
  <si>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</si>
  <si>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</si>
  <si>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</si>
  <si>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</si>
  <si>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</si>
  <si>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</si>
  <si>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</si>
  <si>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</si>
  <si>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</si>
  <si>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</si>
  <si>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</si>
  <si>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</si>
  <si>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</si>
  <si>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</si>
  <si>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</si>
  <si>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</si>
  <si>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</si>
  <si>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</si>
  <si>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</si>
  <si>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</si>
  <si>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</si>
  <si>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</si>
  <si>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</si>
  <si>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</si>
  <si>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</si>
  <si>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</si>
  <si>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</si>
  <si>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</si>
  <si>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</si>
  <si>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</si>
  <si>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</si>
  <si>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</si>
  <si>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</si>
  <si>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</si>
  <si>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</si>
  <si>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</si>
  <si>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</si>
  <si>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</si>
  <si>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</si>
  <si>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</si>
  <si>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</si>
  <si>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</si>
  <si>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</si>
  <si>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</si>
  <si>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</si>
  <si>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</si>
  <si>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</si>
  <si>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</si>
  <si>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</si>
  <si>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</si>
  <si>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</si>
  <si>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</si>
  <si>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</si>
  <si>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</si>
  <si>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</si>
  <si>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</si>
  <si>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</si>
  <si>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</si>
  <si>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</si>
  <si>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</si>
  <si>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</si>
  <si>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</si>
  <si>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</si>
  <si>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</si>
  <si>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</si>
  <si>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</si>
  <si>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</si>
  <si>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</si>
  <si>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</si>
  <si>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</si>
  <si>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</si>
  <si>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</si>
  <si>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</si>
  <si>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</si>
  <si>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</si>
  <si>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</si>
  <si>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</si>
  <si>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</si>
  <si>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</si>
  <si>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</si>
  <si>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</si>
  <si>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</si>
  <si>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</si>
  <si>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</si>
  <si>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</si>
  <si>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</si>
  <si>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</si>
  <si>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</si>
  <si>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</si>
  <si>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</si>
  <si>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</si>
  <si>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</si>
  <si>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</si>
  <si>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</si>
  <si>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</si>
  <si>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</si>
  <si>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</si>
  <si>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</si>
  <si>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</si>
  <si>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</si>
  <si>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</si>
  <si>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</si>
  <si>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</si>
  <si>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</si>
  <si>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</si>
  <si>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</si>
  <si>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</si>
  <si>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</si>
  <si>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</si>
  <si>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</si>
  <si>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</si>
  <si>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</si>
  <si>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</si>
  <si>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</si>
  <si>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</si>
  <si>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</si>
  <si>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</si>
  <si>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</si>
  <si>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</si>
  <si>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</si>
  <si>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</si>
  <si>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</si>
  <si>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</si>
  <si>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</si>
  <si>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</si>
  <si>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</si>
  <si>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</si>
  <si>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</si>
  <si>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</si>
  <si>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</si>
  <si>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</si>
  <si>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</si>
  <si>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</si>
  <si>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</si>
  <si>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</si>
  <si>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</si>
  <si>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</si>
  <si>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</si>
  <si>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</si>
  <si>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</si>
  <si>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</si>
  <si>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</si>
  <si>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</si>
  <si>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</si>
  <si>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</si>
  <si>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</si>
  <si>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</si>
  <si>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</si>
  <si>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</si>
  <si>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</si>
  <si>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</si>
  <si>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</si>
  <si>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</si>
  <si>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</si>
  <si>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</si>
  <si>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</si>
  <si>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</si>
  <si>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</si>
  <si>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</si>
  <si>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</si>
  <si>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</si>
  <si>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</si>
  <si>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</si>
  <si>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</si>
  <si>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</si>
  <si>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</si>
  <si>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</si>
  <si>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</si>
  <si>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</si>
  <si>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</si>
  <si>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</si>
  <si>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</si>
  <si>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</si>
  <si>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</si>
  <si>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</si>
  <si>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</si>
  <si>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</si>
  <si>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</si>
  <si>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</si>
  <si>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</si>
  <si>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</si>
  <si>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</si>
  <si>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</si>
  <si>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</si>
  <si>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</si>
  <si>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</si>
  <si>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</si>
  <si>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</si>
  <si>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</si>
  <si>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</si>
  <si>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</si>
  <si>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</si>
  <si>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</si>
  <si>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</si>
  <si>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</si>
  <si>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</si>
  <si>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</si>
  <si>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</si>
  <si>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</si>
  <si>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</si>
  <si>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</si>
  <si>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</si>
  <si>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</si>
  <si>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</si>
  <si>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</si>
  <si>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</si>
  <si>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</si>
  <si>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</si>
  <si>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</si>
  <si>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</si>
  <si>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</si>
  <si>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</si>
  <si>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</si>
  <si>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</si>
  <si>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</si>
  <si>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</si>
  <si>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</si>
  <si>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</si>
  <si>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</si>
  <si>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</si>
  <si>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</si>
  <si>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</si>
  <si>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</si>
  <si>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</si>
  <si>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</si>
  <si>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</si>
  <si>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</si>
  <si>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</si>
  <si>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</si>
  <si>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</si>
  <si>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</si>
  <si>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</si>
  <si>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</si>
  <si>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</si>
  <si>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</si>
  <si>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</si>
  <si>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</si>
  <si>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</si>
  <si>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</si>
  <si>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</si>
  <si>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</si>
  <si>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</si>
  <si>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</si>
  <si>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</si>
  <si>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</si>
  <si>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</si>
  <si>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</si>
  <si>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</si>
  <si>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</si>
  <si>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</si>
  <si>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</si>
  <si>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</si>
  <si>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</si>
  <si>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</si>
  <si>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</si>
  <si>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</si>
  <si>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</si>
  <si>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</si>
  <si>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</si>
  <si>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</si>
  <si>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</si>
  <si>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</si>
  <si>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</si>
  <si>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</si>
  <si>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</si>
  <si>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</si>
  <si>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</si>
  <si>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</si>
  <si>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</si>
  <si>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</si>
  <si>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</si>
  <si>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</si>
  <si>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</si>
  <si>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</si>
  <si>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</si>
  <si>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</si>
  <si>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</si>
  <si>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</si>
  <si>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</si>
  <si>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</si>
  <si>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</si>
  <si>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</si>
  <si>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</si>
  <si>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</si>
  <si>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</si>
  <si>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</si>
  <si>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</si>
  <si>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</si>
  <si>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</si>
  <si>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</si>
  <si>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</si>
  <si>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</si>
  <si>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</si>
  <si>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</si>
  <si>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</si>
  <si>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</si>
  <si>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</si>
  <si>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</si>
  <si>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</si>
  <si>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</si>
  <si>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</si>
  <si>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</si>
  <si>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</si>
  <si>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</si>
  <si>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</si>
  <si>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</si>
  <si>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</si>
  <si>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</si>
  <si>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</si>
  <si>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</si>
  <si>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</si>
  <si>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</si>
  <si>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</si>
  <si>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</si>
  <si>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</si>
  <si>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</si>
  <si>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</si>
  <si>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</si>
  <si>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</si>
  <si>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</si>
  <si>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</si>
  <si>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</si>
  <si>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</si>
  <si>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</si>
  <si>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</si>
  <si>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</si>
  <si>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</si>
  <si>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</si>
  <si>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</si>
  <si>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</si>
  <si>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</si>
  <si>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</si>
  <si>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</si>
  <si>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</si>
  <si>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</si>
  <si>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</si>
  <si>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</si>
  <si>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</si>
  <si>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</si>
  <si>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</si>
  <si>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</si>
  <si>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</si>
  <si>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</si>
  <si>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</si>
  <si>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</si>
  <si>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</si>
  <si>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</si>
  <si>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</si>
  <si>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</si>
  <si>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</si>
  <si>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</si>
  <si>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</si>
  <si>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</si>
  <si>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</si>
  <si>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</si>
  <si>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</si>
  <si>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</si>
  <si>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</si>
  <si>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</si>
  <si>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</si>
  <si>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</si>
  <si>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</si>
  <si>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</si>
  <si>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</si>
  <si>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</si>
  <si>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</si>
  <si>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</si>
  <si>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</si>
  <si>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</si>
  <si>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</si>
  <si>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</si>
  <si>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</si>
  <si>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</si>
  <si>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</si>
  <si>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</si>
  <si>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</si>
  <si>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</si>
  <si>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</si>
  <si>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</si>
  <si>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</si>
  <si>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</si>
  <si>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</si>
  <si>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</si>
  <si>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</si>
  <si>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</si>
  <si>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</si>
  <si>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</si>
  <si>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</si>
  <si>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</si>
  <si>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</si>
  <si>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</si>
  <si>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</si>
  <si>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</si>
  <si>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</si>
  <si>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</si>
  <si>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</si>
  <si>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</si>
  <si>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</si>
  <si>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</si>
  <si>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</si>
  <si>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</si>
  <si>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</si>
  <si>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</si>
  <si>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</si>
  <si>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</si>
  <si>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</si>
  <si>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</si>
  <si>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</si>
  <si>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</si>
  <si>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</si>
  <si>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</si>
  <si>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</si>
  <si>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</si>
  <si>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</si>
  <si>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</si>
  <si>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</si>
  <si>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</si>
  <si>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</si>
  <si>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</si>
  <si>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</si>
  <si>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</si>
  <si>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</si>
  <si>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</si>
  <si>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</si>
  <si>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</si>
  <si>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</si>
  <si>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</si>
  <si>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</si>
  <si>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</si>
  <si>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</si>
  <si>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</si>
  <si>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</si>
  <si>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</si>
  <si>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</si>
  <si>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</si>
  <si>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</si>
  <si>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</si>
  <si>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</si>
  <si>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</si>
  <si>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</si>
  <si>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</si>
  <si>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</si>
  <si>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</si>
  <si>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</si>
  <si>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</si>
  <si>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</si>
  <si>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</si>
  <si>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</si>
  <si>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</si>
  <si>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</si>
  <si>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</si>
  <si>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</si>
  <si>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</si>
  <si>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</si>
  <si>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</si>
  <si>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</si>
  <si>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</si>
  <si>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</si>
  <si>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</si>
  <si>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</si>
  <si>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</si>
  <si>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</si>
  <si>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</si>
  <si>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</si>
  <si>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</si>
  <si>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</si>
  <si>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</si>
  <si>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</si>
  <si>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</si>
  <si>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</si>
  <si>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</si>
  <si>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</si>
  <si>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</si>
  <si>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</si>
  <si>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</si>
  <si>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</si>
  <si>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</si>
  <si>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</si>
  <si>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</si>
  <si>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</si>
  <si>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</si>
  <si>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</si>
  <si>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</si>
  <si>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</si>
  <si>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</si>
  <si>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</si>
  <si>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</si>
  <si>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</si>
  <si>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</si>
  <si>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</si>
  <si>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</si>
  <si>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</si>
  <si>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</si>
  <si>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</si>
  <si>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</si>
  <si>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</si>
  <si>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</si>
  <si>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</si>
  <si>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</si>
  <si>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</si>
  <si>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</si>
  <si>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</si>
  <si>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</si>
  <si>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</si>
  <si>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</si>
  <si>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</si>
  <si>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</si>
  <si>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</si>
  <si>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</si>
  <si>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</si>
  <si>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</si>
  <si>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</si>
  <si>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</si>
  <si>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</si>
  <si>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</si>
  <si>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</si>
  <si>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</si>
  <si>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</si>
  <si>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</si>
  <si>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</si>
  <si>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</si>
  <si>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</si>
  <si>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</si>
  <si>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</si>
  <si>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</si>
  <si>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</si>
  <si>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</si>
  <si>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</si>
  <si>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</si>
  <si>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</si>
  <si>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</si>
  <si>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</si>
  <si>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</si>
  <si>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</si>
  <si>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</si>
  <si>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</si>
  <si>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</si>
  <si>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</si>
  <si>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</si>
  <si>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</si>
  <si>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</si>
  <si>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</si>
  <si>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</si>
  <si>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</si>
  <si>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</si>
  <si>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</si>
  <si>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</si>
  <si>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</si>
  <si>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</si>
  <si>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</si>
  <si>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</si>
  <si>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</si>
  <si>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</si>
  <si>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</si>
  <si>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</si>
  <si>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</si>
  <si>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</si>
  <si>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</si>
  <si>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</si>
  <si>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</si>
  <si>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</si>
  <si>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</si>
  <si>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</si>
  <si>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</si>
  <si>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</si>
  <si>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</si>
  <si>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</si>
  <si>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</si>
  <si>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</si>
  <si>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</si>
  <si>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</si>
  <si>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</si>
  <si>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</si>
  <si>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</si>
  <si>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</si>
  <si>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</si>
  <si>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</si>
  <si>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</si>
  <si>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</si>
  <si>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</si>
  <si>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</si>
  <si>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</si>
  <si>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</si>
  <si>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</si>
  <si>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</si>
  <si>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</si>
  <si>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</si>
  <si>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</si>
  <si>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</si>
  <si>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</si>
  <si>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</si>
  <si>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</si>
  <si>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</si>
  <si>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</si>
  <si>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</si>
  <si>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</si>
  <si>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</si>
  <si>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</si>
  <si>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</si>
  <si>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</si>
  <si>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</si>
  <si>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</si>
  <si>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</si>
  <si>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</si>
  <si>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</si>
  <si>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</si>
  <si>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</si>
  <si>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</si>
  <si>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</si>
  <si>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</si>
  <si>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</si>
  <si>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</si>
  <si>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</si>
  <si>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</si>
  <si>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</si>
  <si>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</si>
  <si>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</si>
  <si>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</si>
  <si>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</si>
  <si>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</si>
  <si>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</si>
  <si>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</si>
  <si>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</si>
  <si>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</si>
  <si>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</si>
  <si>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</si>
  <si>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</si>
  <si>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</si>
  <si>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</si>
  <si>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</si>
  <si>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</si>
  <si>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</si>
  <si>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</si>
  <si>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</si>
  <si>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</si>
  <si>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</si>
  <si>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</si>
  <si>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</si>
  <si>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</si>
  <si>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</si>
  <si>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</si>
  <si>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</si>
  <si>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</si>
  <si>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</si>
  <si>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</si>
  <si>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</si>
  <si>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</si>
  <si>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</si>
  <si>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</si>
  <si>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</si>
  <si>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</si>
  <si>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</si>
  <si>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</si>
  <si>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</si>
  <si>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</si>
  <si>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</si>
  <si>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</si>
  <si>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</si>
  <si>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</si>
  <si>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</si>
  <si>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</si>
  <si>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</si>
  <si>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</si>
  <si>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</si>
  <si>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</si>
  <si>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</si>
  <si>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</si>
  <si>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</si>
  <si>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</si>
  <si>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</si>
  <si>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</si>
  <si>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</si>
  <si>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</si>
  <si>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</si>
  <si>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</si>
  <si>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</si>
  <si>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</si>
  <si>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</si>
  <si>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</si>
  <si>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</si>
  <si>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</si>
  <si>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</si>
  <si>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</si>
  <si>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</si>
  <si>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</si>
  <si>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</si>
  <si>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</si>
  <si>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</si>
  <si>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</si>
  <si>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</si>
  <si>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</si>
  <si>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</si>
  <si>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</si>
  <si>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</si>
  <si>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</si>
  <si>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</si>
  <si>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</si>
  <si>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</si>
  <si>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</si>
  <si>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</si>
  <si>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</si>
  <si>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</si>
  <si>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</si>
  <si>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</si>
  <si>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</si>
  <si>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</si>
  <si>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</si>
  <si>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</si>
  <si>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</si>
  <si>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</si>
  <si>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</si>
  <si>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</si>
  <si>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</si>
  <si>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</si>
  <si>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</si>
  <si>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</si>
  <si>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</si>
  <si>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</si>
  <si>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</si>
  <si>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</si>
  <si>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</si>
  <si>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</si>
  <si>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</si>
  <si>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</si>
  <si>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</si>
  <si>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</si>
  <si>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</si>
  <si>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</si>
  <si>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</si>
  <si>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</si>
  <si>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</si>
  <si>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</si>
  <si>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</si>
  <si>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</si>
  <si>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</si>
  <si>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</si>
  <si>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</si>
  <si>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</si>
  <si>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</si>
  <si>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</si>
  <si>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</si>
  <si>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</si>
  <si>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</si>
  <si>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</si>
  <si>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</si>
  <si>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</si>
  <si>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</si>
  <si>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</si>
  <si>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</si>
  <si>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</si>
  <si>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</si>
  <si>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</si>
  <si>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</si>
  <si>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</si>
  <si>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</si>
  <si>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</si>
  <si>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</si>
  <si>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</si>
  <si>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</si>
  <si>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</si>
  <si>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</si>
  <si>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</si>
  <si>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</si>
  <si>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</si>
  <si>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</si>
  <si>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</si>
  <si>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</si>
  <si>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</si>
  <si>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</si>
  <si>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</si>
  <si>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</si>
  <si>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</si>
  <si>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</si>
  <si>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</si>
  <si>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</si>
  <si>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</si>
  <si>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</si>
  <si>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</si>
  <si>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</si>
  <si>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</si>
  <si>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</si>
  <si>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</si>
  <si>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</si>
  <si>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</si>
  <si>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</si>
  <si>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</si>
  <si>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</si>
  <si>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</si>
  <si>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</si>
  <si>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</si>
  <si>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</si>
  <si>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</si>
  <si>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</si>
  <si>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</si>
  <si>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</si>
  <si>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</si>
  <si>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</si>
  <si>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</si>
  <si>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</si>
  <si>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</si>
  <si>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</si>
  <si>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</si>
  <si>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</si>
  <si>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</si>
  <si>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</si>
  <si>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</si>
  <si>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</si>
  <si>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</si>
  <si>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</si>
  <si>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</si>
  <si>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</si>
  <si>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</si>
  <si>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</si>
  <si>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</si>
  <si>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</si>
  <si>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</si>
  <si>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</si>
  <si>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</si>
  <si>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</si>
  <si>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</si>
  <si>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</si>
  <si>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</si>
  <si>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</si>
  <si>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</si>
  <si>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</si>
  <si>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</si>
  <si>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</si>
  <si>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</si>
  <si>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</si>
  <si>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</si>
  <si>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</si>
  <si>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</si>
  <si>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</si>
  <si>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</si>
  <si>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</si>
  <si>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</si>
  <si>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</si>
  <si>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</si>
  <si>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</si>
  <si>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</si>
  <si>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</si>
  <si>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</si>
  <si>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</si>
  <si>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</si>
  <si>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</si>
  <si>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</si>
  <si>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</si>
  <si>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</si>
  <si>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</si>
  <si>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</si>
  <si>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</si>
  <si>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</si>
  <si>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</si>
  <si>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</si>
  <si>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</si>
  <si>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</si>
  <si>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</si>
  <si>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</si>
  <si>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</si>
  <si>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</si>
  <si>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</si>
  <si>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</si>
  <si>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</si>
  <si>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</si>
  <si>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</si>
  <si>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</si>
  <si>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</si>
  <si>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</si>
  <si>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</si>
  <si>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</si>
  <si>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</si>
  <si>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</si>
  <si>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</si>
  <si>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</si>
  <si>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</si>
  <si>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</si>
  <si>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</si>
  <si>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</si>
  <si>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</si>
  <si>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</si>
  <si>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</si>
  <si>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</si>
  <si>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</si>
  <si>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</si>
  <si>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</si>
  <si>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</si>
  <si>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</si>
  <si>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</si>
  <si>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</si>
  <si>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</si>
  <si>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</si>
  <si>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</si>
  <si>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</si>
  <si>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</si>
  <si>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</si>
  <si>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</si>
  <si>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</si>
  <si>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</si>
  <si>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</si>
  <si>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</si>
  <si>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</si>
  <si>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</si>
  <si>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</si>
  <si>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</si>
  <si>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</si>
  <si>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</si>
  <si>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</si>
  <si>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</si>
  <si>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</si>
  <si>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</si>
  <si>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</si>
  <si>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</si>
  <si>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</si>
  <si>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</si>
  <si>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</si>
  <si>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</si>
  <si>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</si>
  <si>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</si>
  <si>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</si>
  <si>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</si>
  <si>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</si>
  <si>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</si>
  <si>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</si>
  <si>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</si>
  <si>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</si>
  <si>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</si>
  <si>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</si>
  <si>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</si>
  <si>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</si>
  <si>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</si>
  <si>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</si>
  <si>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</si>
  <si>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</si>
  <si>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</si>
  <si>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</si>
  <si>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</si>
  <si>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</si>
  <si>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</si>
  <si>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</si>
  <si>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</si>
  <si>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</si>
  <si>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</si>
  <si>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</si>
  <si>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</si>
  <si>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</si>
  <si>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</si>
  <si>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</si>
  <si>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</si>
  <si>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</si>
  <si>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</si>
  <si>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</si>
  <si>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</si>
  <si>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</si>
  <si>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</si>
  <si>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</si>
  <si>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</si>
  <si>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</si>
  <si>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</si>
  <si>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</si>
  <si>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</si>
  <si>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</si>
  <si>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</si>
  <si>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</si>
  <si>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</si>
  <si>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</si>
  <si>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</si>
  <si>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</si>
  <si>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</si>
  <si>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</si>
  <si>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</si>
  <si>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</si>
  <si>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</si>
  <si>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</si>
  <si>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</si>
  <si>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</si>
  <si>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</si>
  <si>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</si>
  <si>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</si>
  <si>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</si>
  <si>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</si>
  <si>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</si>
  <si>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</si>
  <si>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</si>
  <si>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</si>
  <si>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</si>
  <si>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</si>
  <si>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</si>
  <si>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</si>
  <si>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</si>
  <si>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</si>
  <si>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</si>
  <si>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</si>
  <si>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</si>
  <si>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</si>
  <si>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</si>
  <si>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</si>
  <si>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</si>
  <si>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</si>
  <si>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</si>
  <si>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</si>
  <si>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</si>
  <si>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</si>
  <si>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</si>
  <si>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</si>
  <si>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</si>
  <si>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</si>
  <si>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</si>
  <si>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</si>
  <si>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</si>
  <si>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</si>
  <si>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</si>
  <si>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</si>
  <si>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</si>
  <si>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</si>
  <si>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</si>
  <si>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</si>
  <si>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</si>
  <si>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</si>
  <si>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</si>
  <si>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</si>
  <si>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</si>
  <si>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</si>
  <si>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</si>
  <si>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</si>
  <si>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</si>
  <si>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</si>
  <si>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</si>
  <si>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</si>
  <si>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</si>
  <si>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</si>
  <si>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</si>
  <si>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</si>
  <si>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</si>
  <si>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</si>
  <si>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</si>
  <si>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</si>
  <si>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</si>
  <si>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</si>
  <si>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</si>
  <si>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</si>
  <si>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</si>
  <si>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</si>
  <si>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</si>
  <si>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</si>
  <si>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</si>
  <si>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</si>
  <si>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</si>
  <si>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</si>
  <si>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</si>
  <si>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</si>
  <si>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</si>
  <si>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</si>
  <si>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</si>
  <si>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</si>
  <si>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</si>
  <si>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</si>
  <si>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</si>
  <si>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</si>
  <si>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</si>
  <si>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</si>
  <si>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</si>
  <si>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</si>
  <si>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</si>
  <si>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</si>
  <si>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</si>
  <si>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</si>
  <si>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</si>
  <si>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</si>
  <si>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</si>
  <si>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</si>
  <si>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</si>
  <si>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</si>
  <si>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</si>
  <si>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</si>
  <si>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</si>
  <si>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</si>
  <si>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</si>
  <si>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</si>
  <si>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</si>
  <si>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</si>
  <si>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</si>
  <si>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</si>
  <si>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</si>
  <si>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</si>
  <si>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</si>
  <si>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</si>
  <si>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</si>
  <si>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</si>
  <si>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</si>
  <si>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</si>
  <si>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</si>
  <si>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</si>
  <si>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</si>
  <si>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</si>
  <si>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</si>
  <si>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</si>
  <si>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</si>
  <si>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</si>
  <si>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</si>
  <si>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</si>
  <si>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</si>
  <si>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</si>
  <si>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</si>
  <si>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</si>
  <si>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</si>
  <si>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</si>
  <si>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</si>
  <si>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</si>
  <si>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</si>
  <si>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</si>
  <si>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</si>
  <si>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</si>
  <si>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</si>
  <si>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</si>
  <si>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</si>
  <si>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</si>
  <si>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</si>
  <si>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</si>
  <si>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</si>
  <si>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</si>
  <si>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</si>
  <si>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</si>
  <si>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</si>
  <si>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</si>
  <si>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</si>
  <si>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</si>
  <si>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</si>
  <si>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</si>
  <si>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</si>
  <si>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</si>
  <si>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</si>
  <si>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</si>
  <si>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</si>
  <si>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</si>
  <si>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</si>
  <si>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</si>
  <si>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</si>
  <si>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</si>
  <si>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</si>
  <si>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</si>
  <si>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</si>
  <si>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</si>
  <si>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</si>
  <si>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</si>
  <si>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</si>
  <si>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</si>
  <si>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</si>
  <si>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</si>
  <si>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</si>
  <si>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</si>
  <si>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</si>
  <si>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</si>
  <si>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</si>
  <si>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</si>
  <si>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</si>
  <si>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</si>
  <si>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</si>
  <si>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</si>
  <si>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</si>
  <si>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</si>
  <si>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</si>
  <si>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</si>
  <si>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</si>
  <si>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</si>
  <si>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</si>
  <si>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</si>
  <si>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</si>
  <si>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</si>
  <si>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</si>
  <si>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</si>
  <si>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</si>
  <si>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</si>
  <si>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</si>
  <si>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</si>
  <si>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</si>
  <si>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</si>
  <si>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</si>
  <si>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</si>
  <si>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</si>
  <si>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</si>
  <si>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</si>
  <si>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</si>
  <si>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</si>
  <si>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</si>
  <si>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</si>
  <si>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</si>
  <si>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</si>
  <si>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</si>
  <si>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</si>
  <si>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</si>
  <si>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</si>
  <si>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</si>
  <si>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</si>
  <si>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</si>
  <si>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</si>
  <si>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</si>
  <si>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</si>
  <si>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</si>
  <si>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</si>
  <si>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</si>
  <si>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</si>
  <si>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</si>
  <si>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</si>
  <si>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</si>
  <si>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</si>
  <si>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</si>
  <si>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</si>
  <si>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</si>
  <si>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</si>
  <si>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</si>
  <si>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</si>
  <si>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</si>
  <si>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</si>
  <si>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</si>
  <si>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</si>
  <si>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</si>
  <si>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</si>
  <si>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</si>
  <si>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</si>
  <si>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</si>
  <si>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</si>
  <si>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</si>
  <si>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</si>
  <si>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</si>
  <si>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</si>
  <si>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</si>
  <si>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</si>
  <si>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</si>
  <si>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</si>
  <si>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</si>
  <si>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</si>
  <si>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</si>
  <si>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</si>
  <si>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</si>
  <si>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</si>
  <si>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</si>
  <si>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</si>
  <si>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</si>
  <si>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</si>
  <si>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</si>
  <si>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</si>
  <si>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</si>
  <si>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</si>
  <si>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</si>
  <si>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</si>
  <si>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</si>
  <si>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</si>
  <si>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</si>
  <si>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</si>
  <si>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</si>
  <si>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</si>
  <si>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</si>
  <si>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</si>
  <si>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</si>
  <si>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</si>
  <si>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</si>
  <si>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</si>
  <si>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</si>
  <si>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</si>
  <si>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</si>
  <si>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</si>
  <si>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</si>
  <si>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</si>
  <si>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</si>
  <si>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</si>
  <si>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</si>
  <si>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</si>
  <si>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</si>
  <si>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</si>
  <si>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</si>
  <si>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</si>
  <si>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</si>
  <si>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</si>
  <si>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</si>
  <si>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</si>
  <si>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</si>
  <si>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</si>
  <si>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</si>
  <si>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</si>
  <si>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</si>
  <si>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</si>
  <si>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</si>
  <si>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</si>
  <si>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</si>
  <si>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</si>
  <si>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</si>
  <si>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</si>
  <si>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</si>
  <si>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</si>
  <si>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</si>
  <si>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</si>
  <si>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</si>
  <si>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</si>
  <si>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</si>
  <si>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</si>
  <si>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</si>
  <si>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</si>
  <si>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</si>
  <si>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</si>
  <si>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</si>
  <si>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</si>
  <si>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</si>
  <si>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</si>
  <si>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</si>
  <si>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</si>
  <si>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</si>
  <si>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</si>
  <si>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</si>
  <si>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</si>
  <si>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</si>
  <si>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</si>
  <si>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</si>
  <si>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</si>
  <si>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</si>
  <si>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</si>
  <si>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</si>
  <si>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</si>
  <si>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</si>
  <si>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</si>
  <si>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</si>
  <si>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</si>
  <si>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</si>
  <si>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</si>
  <si>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</si>
  <si>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</si>
  <si>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</si>
  <si>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</si>
  <si>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</si>
  <si>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</si>
  <si>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</si>
  <si>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</si>
  <si>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</si>
  <si>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</si>
  <si>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</si>
  <si>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</si>
  <si>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</si>
  <si>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</si>
  <si>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</si>
  <si>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</si>
  <si>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</si>
  <si>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</si>
  <si>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</si>
  <si>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</si>
  <si>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</si>
  <si>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</si>
  <si>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</si>
  <si>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</si>
  <si>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</si>
  <si>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</si>
  <si>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</si>
  <si>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</si>
  <si>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</si>
  <si>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</si>
  <si>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</si>
  <si>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</si>
  <si>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</si>
  <si>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</si>
  <si>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</si>
  <si>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</si>
  <si>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</si>
  <si>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</si>
  <si>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</si>
  <si>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</si>
  <si>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</si>
  <si>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</si>
  <si>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</si>
  <si>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</si>
  <si>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</si>
  <si>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</si>
  <si>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</si>
  <si>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</si>
  <si>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</si>
  <si>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</si>
  <si>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</si>
  <si>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</si>
  <si>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</si>
  <si>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</si>
  <si>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</si>
  <si>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</si>
  <si>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</si>
  <si>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</si>
  <si>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</si>
  <si>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</si>
  <si>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</si>
  <si>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</si>
  <si>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</si>
  <si>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</si>
  <si>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</si>
  <si>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</si>
  <si>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</si>
  <si>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</si>
  <si>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</si>
  <si>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</si>
  <si>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</si>
  <si>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</si>
  <si>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</si>
  <si>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</si>
  <si>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</si>
  <si>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</si>
  <si>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</si>
  <si>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</si>
  <si>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</si>
  <si>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</si>
  <si>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</si>
  <si>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</si>
  <si>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</si>
  <si>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</si>
  <si>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</si>
  <si>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</si>
  <si>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</si>
  <si>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</si>
  <si>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</si>
  <si>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</si>
  <si>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</si>
  <si>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</si>
  <si>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</si>
  <si>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</si>
  <si>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</si>
  <si>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</si>
  <si>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</si>
  <si>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</si>
  <si>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</si>
  <si>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</si>
  <si>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</si>
  <si>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</si>
  <si>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</si>
  <si>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</si>
  <si>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</si>
  <si>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</si>
  <si>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</si>
  <si>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</si>
  <si>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</si>
  <si>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</si>
  <si>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</si>
  <si>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</si>
  <si>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</si>
  <si>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</si>
  <si>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</si>
  <si>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</si>
  <si>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</si>
  <si>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</si>
  <si>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</si>
  <si>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</si>
  <si>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</si>
  <si>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</si>
  <si>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</si>
  <si>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</si>
  <si>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</si>
  <si>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</si>
  <si>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</si>
  <si>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</si>
  <si>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</si>
  <si>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</si>
  <si>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</si>
  <si>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</si>
  <si>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</si>
  <si>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</si>
  <si>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</si>
  <si>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</si>
  <si>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</si>
  <si>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</si>
  <si>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</si>
  <si>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</si>
  <si>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</si>
  <si>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</si>
  <si>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</si>
  <si>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</si>
  <si>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</si>
  <si>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</si>
  <si>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</si>
  <si>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</si>
  <si>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</si>
  <si>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</si>
  <si>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</si>
  <si>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</si>
  <si>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</si>
  <si>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</si>
  <si>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</si>
  <si>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</si>
  <si>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</si>
  <si>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</si>
  <si>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</si>
  <si>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</si>
  <si>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</si>
  <si>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</si>
  <si>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</si>
  <si>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</si>
  <si>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</si>
  <si>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</si>
  <si>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</si>
  <si>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</si>
  <si>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</si>
  <si>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</si>
  <si>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</si>
  <si>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</si>
  <si>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</si>
  <si>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</si>
  <si>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</si>
  <si>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</si>
  <si>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</si>
  <si>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</si>
  <si>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</si>
  <si>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</si>
  <si>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</si>
  <si>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</si>
  <si>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</si>
  <si>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</si>
  <si>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</si>
  <si>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</si>
  <si>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</si>
  <si>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</si>
  <si>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</si>
  <si>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</si>
  <si>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</si>
  <si>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</si>
  <si>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</si>
  <si>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</si>
  <si>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</si>
  <si>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</si>
  <si>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</si>
  <si>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</si>
  <si>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</si>
  <si>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</si>
  <si>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</si>
  <si>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</si>
  <si>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</si>
  <si>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</si>
  <si>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</si>
  <si>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</si>
  <si>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</si>
  <si>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</si>
  <si>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</si>
  <si>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</si>
  <si>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</si>
  <si>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</si>
  <si>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</si>
  <si>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</si>
  <si>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</si>
  <si>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</si>
  <si>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</si>
  <si>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</si>
  <si>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</si>
  <si>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</si>
  <si>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</si>
  <si>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</si>
  <si>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</si>
  <si>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</si>
  <si>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</si>
  <si>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</si>
  <si>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</si>
  <si>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</si>
  <si>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</si>
  <si>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</si>
  <si>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</si>
  <si>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</si>
  <si>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</si>
  <si>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</si>
  <si>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</si>
  <si>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</si>
  <si>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</si>
  <si>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</si>
  <si>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</si>
  <si>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</si>
  <si>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</si>
  <si>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</si>
  <si>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</si>
  <si>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</si>
  <si>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</si>
  <si>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</si>
  <si>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</si>
  <si>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</si>
  <si>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</si>
  <si>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</si>
  <si>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</si>
  <si>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</si>
  <si>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</si>
  <si>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</si>
  <si>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</si>
  <si>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</si>
  <si>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</si>
  <si>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</si>
  <si>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</si>
  <si>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</si>
  <si>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</si>
  <si>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</si>
  <si>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</si>
  <si>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</si>
  <si>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</si>
  <si>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</si>
  <si>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</si>
  <si>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</si>
  <si>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</si>
  <si>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</si>
  <si>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</si>
  <si>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</si>
  <si>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</si>
  <si>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</si>
  <si>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</si>
  <si>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</si>
  <si>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</si>
  <si>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</si>
  <si>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</si>
  <si>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</si>
  <si>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</si>
  <si>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</si>
  <si>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</si>
  <si>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</si>
  <si>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</si>
  <si>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</si>
  <si>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</si>
  <si>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</si>
  <si>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</si>
  <si>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</si>
  <si>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</si>
  <si>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</si>
  <si>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</si>
  <si>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</si>
  <si>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</si>
  <si>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</si>
  <si>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</si>
  <si>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</si>
  <si>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</si>
  <si>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</si>
  <si>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</si>
  <si>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</si>
  <si>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</si>
  <si>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</si>
  <si>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</si>
  <si>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</si>
  <si>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</si>
  <si>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</si>
  <si>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</si>
  <si>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</si>
  <si>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</si>
  <si>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</si>
  <si>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</si>
  <si>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</si>
  <si>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</si>
  <si>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</si>
  <si>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</si>
  <si>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</si>
  <si>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</si>
  <si>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</si>
  <si>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</si>
  <si>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</si>
  <si>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</si>
  <si>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</si>
  <si>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</si>
  <si>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</si>
  <si>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</si>
  <si>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</si>
  <si>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</si>
  <si>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</si>
  <si>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</si>
  <si>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</si>
  <si>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</si>
  <si>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</si>
  <si>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</si>
  <si>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</si>
  <si>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</si>
  <si>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</si>
  <si>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</si>
  <si>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</si>
  <si>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</si>
  <si>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</si>
  <si>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</si>
  <si>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</si>
  <si>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</si>
  <si>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</si>
  <si>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</si>
  <si>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</si>
  <si>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</si>
  <si>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</si>
  <si>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</si>
  <si>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</si>
  <si>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</si>
  <si>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</si>
  <si>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</si>
  <si>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</si>
  <si>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</si>
  <si>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</si>
  <si>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</si>
  <si>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</si>
  <si>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</si>
  <si>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</si>
  <si>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</si>
  <si>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</si>
  <si>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</si>
  <si>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</si>
  <si>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</si>
  <si>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</si>
  <si>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</si>
  <si>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</si>
  <si>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</si>
  <si>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</si>
  <si>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</si>
  <si>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</si>
  <si>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</si>
  <si>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</si>
  <si>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</si>
  <si>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</si>
  <si>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</si>
  <si>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</si>
  <si>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</si>
  <si>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</si>
  <si>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</si>
  <si>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</si>
  <si>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</si>
  <si>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</si>
  <si>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</si>
  <si>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</si>
  <si>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</si>
  <si>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</si>
  <si>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</si>
  <si>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</si>
  <si>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</si>
  <si>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</si>
  <si>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</si>
  <si>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</si>
  <si>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</si>
  <si>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</si>
  <si>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</si>
  <si>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</si>
  <si>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</si>
  <si>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</si>
  <si>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</si>
  <si>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</si>
  <si>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</si>
  <si>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</si>
  <si>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</si>
  <si>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</si>
  <si>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</si>
  <si>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</si>
  <si>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</si>
  <si>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</si>
  <si>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</si>
  <si>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</si>
  <si>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</si>
  <si>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</si>
  <si>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</si>
  <si>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</si>
  <si>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</si>
  <si>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</si>
  <si>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</si>
  <si>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</si>
  <si>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</si>
  <si>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</si>
  <si>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</si>
  <si>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</si>
  <si>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</si>
  <si>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</si>
  <si>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</si>
  <si>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</si>
  <si>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</si>
  <si>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</si>
  <si>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</si>
  <si>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</si>
  <si>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</si>
  <si>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</si>
  <si>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</si>
  <si>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</si>
  <si>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</si>
  <si>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</si>
  <si>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</si>
  <si>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</si>
  <si>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</si>
  <si>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</si>
  <si>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</si>
  <si>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</si>
  <si>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</si>
  <si>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</si>
  <si>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</si>
  <si>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</si>
  <si>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</si>
  <si>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</si>
  <si>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</si>
  <si>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</si>
  <si>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</si>
  <si>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</si>
  <si>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</si>
  <si>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</si>
  <si>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</si>
  <si>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</si>
  <si>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</si>
  <si>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</si>
  <si>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</si>
  <si>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</si>
  <si>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</si>
  <si>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</si>
  <si>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</si>
  <si>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</si>
  <si>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</si>
  <si>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</si>
  <si>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</si>
  <si>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</si>
  <si>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</si>
  <si>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</si>
  <si>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</si>
  <si>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</si>
  <si>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</si>
  <si>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</si>
  <si>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</si>
  <si>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</si>
  <si>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</si>
  <si>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</si>
  <si>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</si>
  <si>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</si>
  <si>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</si>
  <si>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</si>
  <si>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</si>
  <si>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</si>
  <si>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</si>
  <si>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</si>
  <si>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</si>
  <si>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</si>
  <si>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</si>
  <si>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</si>
  <si>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</si>
  <si>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</si>
  <si>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</si>
  <si>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</si>
  <si>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</si>
  <si>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</si>
  <si>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</si>
  <si>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</si>
  <si>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</si>
  <si>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</si>
  <si>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</si>
  <si>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</si>
  <si>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</si>
  <si>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</si>
  <si>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</si>
  <si>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</si>
  <si>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</si>
  <si>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</si>
  <si>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</si>
  <si>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</si>
  <si>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</si>
  <si>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</si>
  <si>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</si>
  <si>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</si>
  <si>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</si>
  <si>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</si>
  <si>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</si>
  <si>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</si>
  <si>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</si>
  <si>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</si>
  <si>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</si>
  <si>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</si>
  <si>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</si>
  <si>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</si>
  <si>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</si>
  <si>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</si>
  <si>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</si>
  <si>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</si>
  <si>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</si>
  <si>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</si>
  <si>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</si>
  <si>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</si>
  <si>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</si>
  <si>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</si>
  <si>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</si>
  <si>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</si>
  <si>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</si>
  <si>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</si>
  <si>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</si>
  <si>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</si>
  <si>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</si>
  <si>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</si>
  <si>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</si>
  <si>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</si>
  <si>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</si>
  <si>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</si>
  <si>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</si>
  <si>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</si>
  <si>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</si>
  <si>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</si>
  <si>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</si>
  <si>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</si>
  <si>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</si>
  <si>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</si>
  <si>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</si>
  <si>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</si>
  <si>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</si>
  <si>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</si>
  <si>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</si>
  <si>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</si>
  <si>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</si>
  <si>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</si>
  <si>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</si>
  <si>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</si>
  <si>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</si>
  <si>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</si>
  <si>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</si>
  <si>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</si>
  <si>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</si>
  <si>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</si>
  <si>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</si>
  <si>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</si>
  <si>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</si>
  <si>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</si>
  <si>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</si>
  <si>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</si>
  <si>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</si>
  <si>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</si>
  <si>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</si>
  <si>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</si>
  <si>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</si>
  <si>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</si>
  <si>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</si>
  <si>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</si>
  <si>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</si>
  <si>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</si>
  <si>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</si>
  <si>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</si>
  <si>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</si>
  <si>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</si>
  <si>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</si>
  <si>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</si>
  <si>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</si>
  <si>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</si>
  <si>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</si>
  <si>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</si>
  <si>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</si>
  <si>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</si>
  <si>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</si>
  <si>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</si>
  <si>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</si>
  <si>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</si>
  <si>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</si>
  <si>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</si>
  <si>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</si>
  <si>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</si>
  <si>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</si>
  <si>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</si>
  <si>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</si>
  <si>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</si>
  <si>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</si>
  <si>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</si>
  <si>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</si>
  <si>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</si>
  <si>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</si>
  <si>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</si>
  <si>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</si>
  <si>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</si>
  <si>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</si>
  <si>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</si>
  <si>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</si>
  <si>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</si>
  <si>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</si>
  <si>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</si>
  <si>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</si>
  <si>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</si>
  <si>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</si>
  <si>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</si>
  <si>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</si>
  <si>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</si>
  <si>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</si>
  <si>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</si>
  <si>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</si>
  <si>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</si>
  <si>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</si>
  <si>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</si>
  <si>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</si>
  <si>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</si>
  <si>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</si>
  <si>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</si>
  <si>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</si>
  <si>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</si>
  <si>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</si>
  <si>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</si>
  <si>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</si>
  <si>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</si>
  <si>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</si>
  <si>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</si>
  <si>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</si>
  <si>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</si>
  <si>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</si>
  <si>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</si>
  <si>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</si>
  <si>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</si>
  <si>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</si>
  <si>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</si>
  <si>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</si>
  <si>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</si>
  <si>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</si>
  <si>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</si>
  <si>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</si>
  <si>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</si>
  <si>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</si>
  <si>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</si>
  <si>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</si>
  <si>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</si>
  <si>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</si>
  <si>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</si>
  <si>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</si>
  <si>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</si>
  <si>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</si>
  <si>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</si>
  <si>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</si>
  <si>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</si>
  <si>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</si>
  <si>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</si>
  <si>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</si>
  <si>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</si>
  <si>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</si>
  <si>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</si>
  <si>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</si>
  <si>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</si>
  <si>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</si>
  <si>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</si>
  <si>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</si>
  <si>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</si>
  <si>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</si>
  <si>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</si>
  <si>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</si>
  <si>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</si>
  <si>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</si>
  <si>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</si>
  <si>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</si>
  <si>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</si>
  <si>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</si>
  <si>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</si>
  <si>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</si>
  <si>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</si>
  <si>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</si>
  <si>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</si>
  <si>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</si>
  <si>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</si>
  <si>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</si>
  <si>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</si>
  <si>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</si>
  <si>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</si>
  <si>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</si>
  <si>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</si>
  <si>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</si>
  <si>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</si>
  <si>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</si>
  <si>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</si>
  <si>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</si>
  <si>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</si>
  <si>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</si>
  <si>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</si>
  <si>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</si>
  <si>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</si>
  <si>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</si>
  <si>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</si>
  <si>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</si>
  <si>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</si>
  <si>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</si>
  <si>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</si>
  <si>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</si>
  <si>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</si>
  <si>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</si>
  <si>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</si>
  <si>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</si>
  <si>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</si>
  <si>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</si>
  <si>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</si>
  <si>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</si>
  <si>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</si>
  <si>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</si>
  <si>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</si>
  <si>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</si>
  <si>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</si>
  <si>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</si>
  <si>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</si>
  <si>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</si>
  <si>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</si>
  <si>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</si>
  <si>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</si>
  <si>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</si>
  <si>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</si>
  <si>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</si>
  <si>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</si>
  <si>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</si>
  <si>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</si>
  <si>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</si>
  <si>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</si>
  <si>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</si>
  <si>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</si>
  <si>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</si>
  <si>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</si>
  <si>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</si>
  <si>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</si>
  <si>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</si>
  <si>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</si>
  <si>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</si>
  <si>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</si>
  <si>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</si>
  <si>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</si>
  <si>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</si>
  <si>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</si>
  <si>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</si>
  <si>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</si>
  <si>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</si>
  <si>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</si>
  <si>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</si>
  <si>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</si>
  <si>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</si>
  <si>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</si>
  <si>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</si>
  <si>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</si>
  <si>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</si>
  <si>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</si>
  <si>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</si>
  <si>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</si>
  <si>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</si>
  <si>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</si>
  <si>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</si>
  <si>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</si>
  <si>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</si>
  <si>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</si>
  <si>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</si>
  <si>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</si>
  <si>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</si>
  <si>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</si>
  <si>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</si>
  <si>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</si>
  <si>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</si>
  <si>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</si>
  <si>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</si>
  <si>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</si>
  <si>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</si>
  <si>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</si>
  <si>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</si>
  <si>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</si>
  <si>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</si>
  <si>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</si>
  <si>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</si>
  <si>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</si>
  <si>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</si>
  <si>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</si>
  <si>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</si>
  <si>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</si>
  <si>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</si>
  <si>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</si>
  <si>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</si>
  <si>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</si>
  <si>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</si>
  <si>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</si>
  <si>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</si>
  <si>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</si>
  <si>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</si>
  <si>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</si>
  <si>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</si>
  <si>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</si>
  <si>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</si>
  <si>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</si>
  <si>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</si>
  <si>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</si>
  <si>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</si>
  <si>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</si>
  <si>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</si>
  <si>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</si>
  <si>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</si>
  <si>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</si>
  <si>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</si>
  <si>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</si>
  <si>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</si>
  <si>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</si>
  <si>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</si>
  <si>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</si>
  <si>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</si>
  <si>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</si>
  <si>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</si>
  <si>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</si>
  <si>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</si>
  <si>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</si>
  <si>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</si>
  <si>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</si>
  <si>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</si>
  <si>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</si>
  <si>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</si>
  <si>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</si>
  <si>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</si>
  <si>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</si>
  <si>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</si>
  <si>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</si>
  <si>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</si>
  <si>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</si>
  <si>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</si>
  <si>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</si>
  <si>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</si>
  <si>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</si>
  <si>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</si>
  <si>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</si>
  <si>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</si>
  <si>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</si>
  <si>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</si>
  <si>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</si>
  <si>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</si>
  <si>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</si>
  <si>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</si>
  <si>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</si>
  <si>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</si>
  <si>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</si>
  <si>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</si>
  <si>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</si>
  <si>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</si>
  <si>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</si>
  <si>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</si>
  <si>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</si>
  <si>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</si>
  <si>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</si>
  <si>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</si>
  <si>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</si>
  <si>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</si>
  <si>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</si>
  <si>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</si>
  <si>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</si>
  <si>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</si>
  <si>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</si>
  <si>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</si>
  <si>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</si>
  <si>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</si>
  <si>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</si>
  <si>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</si>
  <si>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</si>
  <si>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</si>
  <si>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</si>
  <si>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</si>
  <si>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</si>
  <si>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</si>
  <si>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</si>
  <si>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</si>
  <si>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</si>
  <si>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</si>
  <si>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</si>
  <si>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</si>
  <si>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</si>
  <si>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</si>
  <si>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</si>
  <si>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</si>
  <si>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</si>
  <si>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</si>
  <si>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</si>
  <si>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</si>
  <si>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</si>
  <si>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</si>
  <si>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</si>
  <si>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</si>
  <si>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</si>
  <si>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</si>
  <si>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</si>
  <si>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</si>
  <si>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</si>
  <si>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</si>
  <si>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</si>
  <si>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</si>
  <si>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</si>
  <si>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</si>
  <si>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</si>
  <si>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</si>
  <si>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</si>
  <si>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</si>
  <si>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</si>
  <si>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</si>
  <si>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</si>
  <si>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</si>
  <si>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</si>
  <si>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</si>
  <si>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</si>
  <si>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</si>
  <si>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</si>
  <si>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</si>
  <si>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</si>
  <si>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</si>
  <si>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</si>
  <si>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</si>
  <si>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</si>
  <si>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</si>
  <si>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</si>
  <si>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</si>
  <si>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</si>
  <si>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</si>
  <si>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</si>
  <si>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</si>
  <si>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</si>
  <si>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</si>
  <si>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</si>
  <si>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</si>
  <si>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</si>
  <si>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</si>
  <si>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</si>
  <si>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</si>
  <si>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</si>
  <si>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</si>
  <si>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</si>
  <si>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</si>
  <si>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</si>
  <si>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</si>
  <si>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</si>
  <si>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</si>
  <si>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</si>
  <si>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</si>
  <si>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</si>
  <si>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</si>
  <si>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</si>
  <si>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</si>
  <si>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</si>
  <si>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</si>
  <si>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</si>
  <si>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</si>
  <si>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</si>
  <si>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</si>
  <si>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</si>
  <si>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</si>
  <si>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</si>
  <si>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</si>
  <si>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</si>
  <si>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</si>
  <si>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</si>
  <si>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</si>
  <si>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</si>
  <si>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</si>
  <si>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</si>
  <si>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</si>
  <si>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</si>
  <si>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</si>
  <si>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</si>
  <si>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</si>
  <si>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</si>
  <si>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</si>
  <si>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</si>
  <si>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</si>
  <si>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</si>
  <si>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</si>
  <si>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</si>
  <si>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</si>
  <si>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</si>
  <si>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</si>
  <si>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</si>
  <si>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</si>
  <si>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</si>
  <si>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</si>
  <si>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</si>
  <si>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</si>
  <si>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</si>
  <si>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</si>
  <si>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</si>
  <si>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</si>
  <si>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</si>
  <si>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</si>
  <si>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</si>
  <si>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</si>
  <si>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</si>
  <si>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</si>
  <si>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</si>
  <si>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</si>
  <si>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</si>
  <si>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</si>
  <si>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</si>
  <si>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</si>
  <si>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</si>
  <si>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</si>
  <si>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</si>
  <si>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</si>
  <si>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</si>
  <si>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</si>
  <si>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</si>
  <si>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</si>
  <si>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</si>
  <si>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</si>
  <si>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</si>
  <si>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</si>
  <si>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</si>
  <si>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</si>
  <si>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</si>
  <si>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</si>
  <si>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</si>
  <si>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</si>
  <si>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</si>
  <si>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</si>
  <si>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</si>
  <si>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</si>
  <si>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</si>
  <si>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</si>
  <si>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</si>
  <si>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</si>
  <si>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</si>
  <si>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</si>
  <si>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</si>
  <si>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</si>
  <si>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</si>
  <si>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</si>
  <si>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</si>
  <si>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</si>
  <si>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</si>
  <si>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</si>
  <si>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</si>
  <si>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</si>
  <si>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</si>
  <si>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</si>
  <si>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</si>
  <si>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</si>
  <si>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</si>
  <si>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</si>
  <si>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</si>
  <si>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</si>
  <si>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</si>
  <si>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</si>
  <si>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</si>
  <si>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</si>
  <si>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</si>
  <si>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</si>
  <si>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</si>
  <si>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</si>
  <si>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</si>
  <si>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</si>
  <si>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</si>
  <si>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</si>
  <si>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</si>
  <si>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</si>
  <si>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</si>
  <si>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</si>
  <si>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</si>
  <si>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</si>
  <si>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</si>
  <si>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</si>
  <si>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</si>
  <si>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</si>
  <si>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</si>
  <si>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</si>
  <si>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</si>
  <si>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</si>
  <si>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</si>
  <si>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</si>
  <si>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</si>
  <si>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</si>
  <si>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</si>
  <si>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</si>
  <si>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</si>
  <si>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</si>
  <si>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</si>
  <si>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</si>
  <si>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</si>
  <si>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</si>
  <si>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</si>
  <si>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</si>
  <si>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</si>
  <si>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</si>
  <si>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</si>
  <si>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</si>
  <si>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</si>
  <si>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</si>
  <si>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</si>
  <si>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</si>
  <si>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</si>
  <si>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</si>
  <si>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</si>
  <si>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</si>
  <si>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</si>
  <si>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</si>
  <si>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</si>
  <si>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</si>
  <si>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</si>
  <si>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</si>
  <si>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</si>
  <si>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</si>
  <si>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</si>
  <si>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</si>
  <si>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</si>
  <si>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</si>
  <si>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</si>
  <si>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</si>
  <si>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</si>
  <si>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</si>
  <si>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</si>
  <si>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</si>
  <si>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</si>
  <si>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</si>
  <si>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</si>
  <si>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</si>
  <si>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</si>
  <si>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</si>
  <si>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</si>
  <si>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</si>
  <si>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</si>
  <si>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</si>
  <si>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</si>
  <si>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</si>
  <si>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</si>
  <si>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</si>
  <si>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</si>
  <si>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</si>
  <si>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</si>
  <si>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</si>
  <si>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</si>
  <si>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</si>
  <si>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</si>
  <si>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</si>
  <si>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</si>
  <si>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</si>
  <si>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</si>
  <si>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</si>
  <si>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</si>
  <si>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</si>
  <si>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</si>
  <si>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</si>
  <si>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</si>
  <si>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</si>
  <si>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</si>
  <si>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</si>
  <si>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</si>
  <si>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</si>
  <si>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</si>
  <si>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</si>
  <si>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</si>
  <si>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</si>
  <si>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</si>
  <si>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</si>
  <si>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</si>
  <si>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</si>
  <si>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</si>
  <si>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</si>
  <si>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</si>
  <si>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</si>
  <si>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</si>
  <si>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</si>
  <si>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</si>
  <si>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</si>
  <si>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</si>
  <si>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</si>
  <si>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</si>
  <si>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</si>
  <si>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</si>
  <si>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</si>
  <si>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</si>
  <si>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</si>
  <si>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</si>
  <si>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</si>
  <si>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</si>
  <si>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</si>
  <si>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</si>
  <si>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</si>
  <si>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</si>
  <si>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</si>
  <si>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</si>
  <si>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</si>
  <si>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</si>
  <si>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</si>
  <si>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</si>
  <si>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</si>
  <si>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</si>
  <si>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</si>
  <si>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</si>
  <si>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</si>
  <si>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</si>
  <si>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</si>
  <si>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</si>
  <si>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</si>
  <si>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</si>
  <si>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</si>
  <si>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</si>
  <si>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</si>
  <si>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</si>
  <si>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</si>
  <si>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</si>
  <si>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</si>
  <si>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</si>
  <si>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</si>
  <si>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</si>
  <si>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</si>
  <si>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</si>
  <si>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</si>
  <si>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</si>
  <si>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</si>
  <si>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</si>
  <si>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</si>
  <si>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</si>
  <si>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</si>
  <si>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</si>
  <si>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</si>
  <si>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</si>
  <si>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</si>
  <si>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</si>
  <si>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</si>
  <si>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</si>
  <si>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</si>
  <si>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</si>
  <si>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</si>
  <si>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</si>
  <si>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</si>
  <si>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</si>
  <si>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</si>
  <si>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</si>
  <si>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</si>
  <si>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</si>
  <si>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</si>
  <si>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</si>
  <si>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</si>
  <si>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</si>
  <si>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</si>
  <si>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</si>
  <si>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</si>
  <si>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</si>
  <si>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</si>
  <si>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</si>
  <si>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</si>
  <si>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</si>
  <si>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</si>
  <si>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</si>
  <si>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</si>
  <si>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</si>
  <si>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</si>
  <si>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</si>
  <si>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</si>
  <si>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</si>
  <si>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</si>
  <si>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</si>
  <si>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</si>
  <si>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</si>
  <si>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</si>
  <si>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</si>
  <si>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</si>
  <si>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</si>
  <si>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</si>
  <si>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</si>
  <si>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</si>
  <si>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</si>
  <si>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</si>
  <si>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</si>
  <si>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</si>
  <si>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</si>
  <si>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</si>
  <si>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</si>
  <si>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</si>
  <si>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</si>
  <si>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</si>
  <si>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</si>
  <si>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</si>
  <si>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</si>
  <si>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</si>
  <si>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</si>
  <si>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</si>
  <si>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</si>
  <si>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</si>
  <si>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</si>
  <si>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</si>
  <si>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</si>
  <si>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</si>
  <si>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</si>
  <si>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</si>
  <si>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</si>
  <si>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</si>
  <si>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</si>
  <si>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</si>
  <si>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</si>
  <si>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</si>
  <si>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</si>
  <si>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</si>
  <si>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</si>
  <si>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</si>
  <si>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</si>
  <si>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</si>
  <si>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</si>
  <si>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</si>
  <si>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</si>
  <si>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</si>
  <si>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</si>
  <si>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</si>
  <si>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</si>
  <si>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</si>
  <si>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</si>
  <si>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</si>
  <si>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</si>
  <si>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</si>
  <si>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</si>
  <si>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</si>
  <si>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</si>
  <si>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</si>
  <si>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</si>
  <si>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</si>
  <si>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</si>
  <si>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</si>
  <si>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</si>
  <si>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</si>
  <si>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</si>
  <si>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</si>
  <si>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</si>
  <si>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</si>
  <si>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</si>
  <si>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</si>
  <si>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</si>
  <si>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</si>
  <si>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</si>
  <si>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</si>
  <si>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</si>
  <si>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</si>
  <si>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</si>
  <si>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</si>
  <si>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</si>
  <si>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</si>
  <si>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</si>
  <si>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</si>
  <si>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</si>
  <si>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</si>
  <si>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</si>
  <si>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</si>
  <si>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</si>
  <si>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</si>
  <si>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</si>
  <si>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</si>
  <si>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</si>
  <si>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</si>
  <si>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</si>
  <si>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</si>
  <si>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</si>
  <si>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</si>
  <si>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</si>
  <si>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</si>
  <si>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</si>
  <si>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</si>
  <si>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</si>
  <si>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</si>
  <si>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</si>
  <si>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</si>
  <si>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</si>
  <si>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</si>
  <si>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</si>
  <si>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</si>
  <si>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</si>
  <si>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</si>
  <si>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</si>
  <si>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</si>
  <si>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</si>
  <si>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</si>
  <si>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</si>
  <si>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</si>
  <si>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</si>
  <si>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</si>
  <si>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</si>
  <si>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</si>
  <si>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</si>
  <si>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</si>
  <si>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</si>
  <si>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</si>
  <si>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</si>
  <si>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</si>
  <si>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</si>
  <si>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</si>
  <si>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</si>
  <si>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</si>
  <si>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</si>
  <si>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</si>
  <si>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</si>
  <si>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</si>
  <si>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</si>
  <si>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</si>
  <si>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</si>
  <si>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</si>
  <si>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</si>
  <si>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</si>
  <si>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</si>
  <si>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</si>
  <si>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</si>
  <si>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</si>
  <si>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</si>
  <si>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</si>
  <si>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</si>
  <si>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</si>
  <si>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</si>
  <si>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</si>
  <si>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</si>
  <si>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</si>
  <si>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</si>
  <si>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</si>
  <si>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</si>
  <si>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</si>
  <si>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</si>
  <si>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</si>
  <si>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</si>
  <si>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</si>
  <si>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</si>
  <si>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</si>
  <si>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</si>
  <si>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</si>
  <si>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</si>
  <si>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</si>
  <si>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</si>
  <si>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</si>
  <si>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</si>
  <si>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</si>
  <si>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</si>
  <si>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</si>
  <si>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</si>
  <si>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</si>
  <si>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</si>
  <si>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</si>
  <si>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</si>
  <si>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</si>
  <si>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</si>
  <si>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</si>
  <si>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</si>
  <si>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</si>
  <si>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</si>
  <si>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</si>
  <si>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</si>
  <si>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</si>
  <si>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</si>
  <si>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</si>
  <si>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</si>
  <si>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</si>
  <si>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</si>
  <si>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</si>
  <si>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</si>
  <si>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</si>
  <si>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</si>
  <si>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</si>
  <si>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</si>
  <si>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</si>
  <si>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</si>
  <si>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</si>
  <si>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</si>
  <si>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</si>
  <si>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</si>
  <si>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</si>
  <si>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</si>
  <si>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</si>
  <si>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</si>
  <si>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</si>
  <si>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</si>
  <si>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</si>
  <si>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</si>
  <si>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</si>
  <si>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</si>
  <si>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</si>
  <si>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</si>
  <si>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</si>
  <si>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</si>
  <si>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</si>
  <si>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</si>
  <si>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</si>
  <si>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</si>
  <si>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</si>
  <si>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</si>
  <si>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</si>
  <si>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</si>
  <si>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</si>
  <si>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</si>
  <si>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</si>
  <si>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</si>
  <si>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</si>
  <si>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</si>
  <si>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</si>
  <si>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</si>
  <si>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</si>
  <si>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</si>
  <si>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</si>
  <si>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</si>
  <si>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</si>
  <si>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</si>
  <si>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</si>
  <si>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</si>
  <si>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</si>
  <si>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</si>
  <si>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</si>
  <si>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</si>
  <si>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</si>
  <si>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</si>
  <si>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</si>
  <si>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</si>
  <si>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</si>
  <si>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</si>
  <si>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</si>
  <si>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</si>
  <si>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</si>
  <si>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</si>
  <si>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</si>
  <si>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</si>
  <si>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</si>
  <si>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</si>
  <si>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</si>
  <si>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</si>
  <si>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</si>
  <si>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</si>
  <si>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</si>
  <si>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</si>
  <si>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</si>
  <si>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</si>
  <si>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</si>
  <si>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</si>
  <si>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</si>
  <si>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</si>
  <si>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</si>
  <si>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</si>
  <si>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</si>
  <si>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</si>
  <si>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</si>
  <si>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</si>
  <si>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</si>
  <si>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</si>
  <si>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</si>
  <si>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</si>
  <si>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</si>
  <si>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</si>
  <si>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</si>
  <si>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</si>
  <si>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</si>
  <si>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</si>
  <si>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</si>
  <si>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</si>
  <si>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</si>
  <si>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</si>
  <si>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</si>
  <si>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</si>
  <si>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</si>
  <si>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</si>
  <si>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</si>
  <si>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</si>
  <si>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</si>
  <si>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</si>
  <si>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</si>
  <si>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</si>
  <si>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</si>
  <si>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</si>
  <si>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</si>
  <si>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</si>
  <si>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</si>
  <si>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</si>
  <si>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</si>
  <si>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</si>
  <si>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</si>
  <si>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</si>
  <si>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</si>
  <si>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</si>
  <si>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</si>
  <si>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</si>
  <si>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</si>
  <si>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</si>
  <si>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</si>
  <si>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</si>
  <si>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</si>
  <si>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</si>
  <si>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</si>
  <si>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</si>
  <si>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</si>
  <si>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</si>
  <si>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</si>
  <si>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</si>
  <si>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</si>
  <si>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</si>
  <si>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</si>
  <si>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</si>
  <si>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</si>
  <si>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</si>
  <si>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</si>
  <si>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</si>
  <si>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</si>
  <si>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</si>
  <si>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</si>
  <si>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</si>
  <si>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</si>
  <si>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</si>
  <si>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</si>
  <si>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</si>
  <si>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</si>
  <si>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</si>
  <si>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</si>
  <si>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</si>
  <si>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</si>
  <si>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</si>
  <si>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</si>
  <si>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</si>
  <si>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</si>
  <si>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</si>
  <si>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</si>
  <si>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</si>
  <si>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</si>
  <si>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</si>
  <si>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</si>
  <si>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</si>
  <si>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</si>
  <si>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</si>
  <si>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</si>
  <si>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</si>
  <si>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</si>
  <si>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</si>
  <si>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</si>
  <si>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</si>
  <si>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</si>
  <si>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</si>
  <si>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</si>
  <si>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</si>
  <si>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</si>
  <si>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</si>
  <si>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</si>
  <si>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</si>
  <si>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</si>
  <si>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</si>
  <si>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</si>
  <si>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</si>
  <si>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</si>
  <si>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</si>
  <si>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</si>
  <si>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</si>
  <si>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</si>
  <si>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</si>
  <si>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</si>
  <si>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</si>
  <si>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</si>
  <si>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</si>
  <si>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</si>
  <si>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</si>
  <si>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</si>
  <si>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</si>
  <si>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</si>
  <si>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</si>
  <si>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</si>
  <si>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</si>
  <si>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</si>
  <si>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</si>
  <si>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</si>
  <si>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</si>
  <si>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</si>
  <si>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</si>
  <si>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</si>
  <si>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</si>
  <si>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</si>
  <si>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</si>
  <si>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</si>
  <si>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</si>
  <si>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</si>
  <si>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</si>
  <si>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</si>
  <si>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</si>
  <si>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</si>
  <si>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</si>
  <si>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</si>
  <si>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</si>
  <si>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</si>
  <si>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</si>
  <si>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</si>
  <si>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</si>
  <si>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</si>
  <si>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</si>
  <si>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</si>
  <si>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</si>
  <si>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</si>
  <si>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</si>
  <si>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</si>
  <si>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</si>
  <si>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</si>
  <si>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</si>
  <si>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</si>
  <si>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</si>
  <si>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</si>
  <si>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</si>
  <si>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</si>
  <si>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</si>
  <si>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</si>
  <si>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</si>
  <si>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</si>
  <si>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</si>
  <si>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</si>
  <si>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</si>
  <si>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</si>
  <si>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</si>
  <si>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</si>
  <si>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</si>
  <si>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</si>
  <si>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</si>
  <si>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</si>
  <si>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</si>
  <si>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</si>
  <si>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</si>
  <si>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</si>
  <si>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</si>
  <si>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</si>
  <si>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</si>
  <si>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</si>
  <si>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</si>
  <si>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</si>
  <si>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</si>
  <si>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</si>
  <si>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</si>
  <si>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</si>
  <si>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</si>
  <si>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</si>
  <si>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</si>
  <si>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</si>
  <si>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</si>
  <si>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</si>
  <si>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</si>
  <si>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</si>
  <si>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</si>
  <si>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</si>
  <si>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</si>
  <si>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</si>
  <si>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</si>
  <si>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</si>
  <si>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</si>
  <si>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</si>
  <si>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</si>
  <si>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</si>
  <si>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</si>
  <si>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</si>
  <si>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</si>
  <si>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</si>
  <si>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</si>
  <si>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</si>
  <si>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</si>
  <si>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</si>
  <si>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</si>
  <si>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</si>
  <si>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</si>
  <si>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</si>
  <si>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</si>
  <si>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</si>
  <si>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</si>
  <si>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</si>
  <si>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</si>
  <si>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</si>
  <si>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</si>
  <si>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</si>
  <si>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</si>
  <si>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</si>
  <si>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</si>
  <si>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</si>
  <si>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</si>
  <si>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</si>
  <si>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</si>
  <si>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</si>
  <si>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</si>
  <si>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</si>
  <si>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</si>
  <si>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</si>
  <si>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</si>
  <si>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</si>
  <si>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</si>
  <si>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</si>
  <si>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</si>
  <si>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</si>
  <si>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</si>
  <si>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</si>
  <si>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</si>
  <si>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</si>
  <si>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</si>
  <si>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</si>
  <si>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</si>
  <si>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</si>
  <si>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</si>
  <si>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</si>
  <si>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</si>
  <si>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</si>
  <si>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</si>
  <si>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</si>
  <si>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</si>
  <si>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</si>
  <si>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</si>
  <si>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</si>
  <si>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</si>
  <si>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</si>
  <si>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</si>
  <si>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</si>
  <si>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</si>
  <si>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</si>
  <si>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</si>
  <si>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</si>
  <si>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</si>
  <si>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</si>
  <si>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</si>
  <si>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</si>
  <si>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</si>
  <si>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</si>
  <si>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</si>
  <si>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</si>
  <si>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</si>
  <si>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</si>
  <si>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</si>
  <si>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</si>
  <si>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</si>
  <si>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</si>
  <si>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</si>
  <si>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</si>
  <si>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</si>
  <si>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</si>
  <si>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</si>
  <si>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</si>
  <si>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</si>
  <si>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</si>
  <si>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</si>
  <si>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</si>
  <si>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</si>
  <si>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</si>
  <si>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</si>
  <si>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</si>
  <si>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</si>
  <si>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</si>
  <si>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</si>
  <si>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</si>
  <si>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</si>
  <si>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</si>
  <si>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</si>
  <si>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</si>
  <si>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</si>
  <si>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</si>
  <si>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</si>
  <si>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</si>
  <si>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</si>
  <si>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</si>
  <si>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</si>
  <si>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</si>
  <si>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</si>
  <si>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</si>
  <si>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</si>
  <si>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</si>
  <si>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</si>
  <si>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</si>
  <si>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</si>
  <si>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</si>
  <si>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</si>
  <si>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</si>
  <si>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</si>
  <si>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</si>
  <si>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</si>
  <si>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</si>
  <si>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</si>
  <si>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</si>
  <si>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</si>
  <si>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</si>
  <si>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</si>
  <si>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</si>
  <si>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</si>
  <si>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</si>
  <si>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</si>
  <si>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</si>
  <si>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</si>
  <si>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</si>
  <si>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</si>
  <si>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</si>
  <si>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</si>
  <si>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</si>
  <si>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</si>
  <si>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</si>
  <si>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</si>
  <si>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</si>
  <si>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</si>
  <si>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</si>
  <si>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</si>
  <si>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</si>
  <si>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</si>
  <si>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</si>
  <si>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</si>
  <si>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</si>
  <si>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</si>
  <si>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</si>
  <si>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</si>
  <si>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</si>
  <si>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</si>
  <si>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</si>
  <si>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</si>
  <si>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</si>
  <si>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</si>
  <si>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</si>
  <si>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</si>
  <si>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</si>
  <si>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</si>
  <si>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</si>
  <si>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</si>
  <si>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</si>
  <si>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</si>
  <si>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</si>
  <si>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</si>
  <si>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</si>
  <si>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</si>
  <si>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</si>
  <si>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</si>
  <si>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</si>
  <si>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</si>
  <si>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</si>
  <si>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</si>
  <si>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</si>
  <si>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</si>
  <si>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</si>
  <si>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</si>
  <si>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</si>
  <si>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</si>
  <si>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</si>
  <si>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</si>
  <si>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</si>
  <si>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</si>
  <si>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</si>
  <si>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</si>
  <si>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</si>
  <si>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</si>
  <si>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</si>
  <si>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</si>
  <si>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</si>
  <si>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</si>
  <si>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</si>
  <si>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</si>
  <si>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</si>
  <si>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</si>
  <si>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</si>
  <si>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</si>
  <si>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</si>
  <si>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</si>
  <si>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</si>
  <si>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</si>
  <si>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</si>
  <si>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</si>
  <si>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</si>
  <si>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</si>
  <si>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</si>
  <si>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</si>
  <si>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</si>
  <si>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</si>
  <si>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</si>
  <si>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</si>
  <si>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</si>
  <si>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</si>
  <si>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</si>
  <si>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</si>
  <si>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</si>
  <si>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</si>
  <si>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</si>
  <si>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</si>
  <si>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</si>
  <si>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</si>
  <si>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</si>
  <si>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</si>
  <si>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</si>
  <si>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</si>
  <si>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</si>
  <si>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</si>
  <si>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</si>
  <si>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</si>
  <si>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</si>
  <si>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</si>
  <si>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</si>
  <si>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</si>
  <si>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</si>
  <si>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</si>
  <si>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</si>
  <si>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</si>
  <si>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</si>
  <si>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</si>
  <si>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</si>
  <si>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</si>
  <si>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</si>
  <si>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</si>
  <si>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</si>
  <si>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</si>
  <si>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</si>
  <si>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</si>
  <si>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</si>
  <si>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</si>
  <si>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</si>
  <si>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</si>
  <si>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</si>
  <si>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</si>
  <si>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</si>
  <si>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</si>
  <si>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</si>
  <si>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</si>
  <si>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</si>
  <si>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</si>
  <si>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</si>
  <si>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</si>
  <si>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</si>
  <si>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</si>
  <si>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</si>
  <si>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</si>
  <si>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</si>
  <si>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</si>
  <si>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</si>
  <si>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</si>
  <si>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</si>
  <si>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</si>
  <si>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</si>
  <si>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</si>
  <si>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</si>
  <si>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</si>
  <si>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</si>
  <si>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</si>
  <si>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</si>
  <si>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</si>
  <si>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</si>
  <si>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</si>
  <si>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</si>
  <si>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</si>
  <si>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</si>
  <si>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</si>
  <si>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</si>
  <si>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</si>
  <si>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</si>
  <si>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</si>
  <si>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</si>
  <si>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</si>
  <si>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</si>
  <si>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</si>
  <si>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</si>
  <si>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</si>
  <si>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</si>
  <si>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</si>
  <si>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</si>
  <si>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</si>
  <si>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</si>
  <si>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</si>
  <si>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</si>
  <si>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</si>
  <si>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</si>
  <si>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</si>
  <si>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</si>
  <si>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</si>
  <si>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</si>
  <si>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</si>
  <si>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</si>
  <si>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</si>
  <si>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</si>
  <si>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</si>
  <si>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</si>
  <si>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</si>
  <si>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</si>
  <si>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</si>
  <si>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</si>
  <si>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</si>
  <si>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</si>
  <si>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</si>
  <si>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</si>
  <si>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</si>
  <si>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</si>
  <si>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</si>
  <si>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</si>
  <si>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</si>
  <si>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</si>
  <si>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</si>
  <si>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</si>
  <si>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</si>
  <si>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</si>
  <si>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</si>
  <si>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</si>
  <si>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</si>
  <si>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</si>
  <si>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</si>
  <si>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</si>
  <si>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</si>
  <si>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</si>
  <si>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</si>
  <si>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</si>
  <si>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</si>
  <si>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</si>
  <si>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</si>
  <si>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</si>
  <si>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</si>
  <si>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</si>
  <si>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</si>
  <si>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</si>
  <si>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</si>
  <si>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</si>
  <si>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</si>
  <si>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</si>
  <si>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</si>
  <si>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</si>
  <si>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</si>
  <si>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</si>
  <si>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</si>
  <si>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</si>
  <si>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</si>
  <si>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</si>
  <si>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</si>
  <si>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</si>
  <si>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</si>
  <si>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</si>
  <si>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</si>
  <si>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</si>
  <si>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</si>
  <si>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</si>
  <si>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</si>
  <si>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</si>
  <si>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</si>
  <si>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</si>
  <si>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</si>
  <si>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</si>
  <si>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</si>
  <si>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</si>
  <si>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</si>
  <si>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</si>
  <si>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</si>
  <si>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</si>
  <si>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</si>
  <si>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</si>
  <si>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</si>
  <si>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</si>
  <si>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</si>
  <si>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</si>
  <si>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</si>
  <si>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</si>
  <si>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</si>
  <si>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</si>
  <si>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</si>
  <si>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</si>
  <si>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</si>
  <si>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</si>
  <si>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</si>
  <si>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</si>
  <si>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</si>
  <si>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</si>
  <si>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</si>
  <si>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</si>
  <si>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</si>
  <si>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</si>
  <si>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</si>
  <si>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</si>
  <si>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</si>
  <si>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</si>
  <si>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</si>
  <si>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</si>
  <si>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</si>
  <si>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</si>
  <si>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</si>
  <si>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</si>
  <si>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</si>
  <si>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</si>
  <si>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</si>
  <si>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</si>
  <si>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</si>
  <si>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</si>
  <si>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</si>
  <si>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</si>
  <si>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</si>
  <si>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</si>
  <si>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</si>
  <si>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</si>
  <si>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</si>
  <si>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</si>
  <si>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</si>
  <si>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</si>
  <si>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</si>
  <si>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</si>
  <si>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</si>
  <si>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</si>
  <si>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</si>
  <si>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</si>
  <si>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</si>
  <si>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</si>
  <si>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</si>
  <si>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</si>
  <si>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</si>
  <si>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</si>
  <si>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</si>
  <si>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</si>
  <si>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</si>
  <si>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</si>
  <si>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</si>
  <si>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</si>
  <si>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</si>
  <si>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</si>
  <si>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</si>
  <si>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</si>
  <si>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</si>
  <si>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</si>
  <si>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</si>
  <si>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</si>
  <si>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</si>
  <si>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</si>
  <si>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</si>
  <si>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</si>
  <si>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</si>
  <si>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</si>
  <si>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</si>
  <si>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</si>
  <si>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</si>
  <si>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</si>
  <si>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</si>
  <si>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</si>
  <si>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</si>
  <si>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</si>
  <si>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</si>
  <si>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</si>
  <si>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</si>
  <si>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</si>
  <si>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</si>
  <si>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</si>
  <si>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</si>
  <si>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</si>
  <si>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</si>
  <si>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</si>
  <si>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</si>
  <si>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</si>
  <si>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</si>
  <si>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</si>
  <si>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</si>
  <si>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</si>
  <si>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</si>
  <si>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</si>
  <si>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</si>
  <si>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</si>
  <si>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</si>
  <si>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</si>
  <si>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</si>
  <si>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</si>
  <si>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</si>
  <si>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</si>
  <si>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</si>
  <si>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</si>
  <si>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</si>
  <si>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</si>
  <si>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</si>
  <si>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</si>
  <si>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</si>
  <si>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</si>
  <si>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</si>
  <si>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</si>
  <si>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</si>
  <si>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</si>
  <si>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</si>
  <si>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</si>
  <si>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</si>
  <si>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</si>
  <si>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</si>
  <si>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</si>
  <si>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</si>
  <si>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</si>
  <si>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</si>
  <si>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</si>
  <si>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</si>
  <si>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</si>
  <si>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</si>
  <si>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</si>
  <si>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</si>
  <si>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</si>
  <si>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</si>
  <si>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</si>
  <si>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</si>
  <si>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</si>
  <si>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</si>
  <si>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</si>
  <si>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</si>
  <si>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</si>
  <si>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</si>
  <si>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</si>
  <si>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</si>
  <si>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</si>
  <si>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</si>
  <si>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</si>
  <si>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</si>
  <si>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</si>
  <si>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</si>
  <si>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</si>
  <si>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</si>
  <si>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</si>
  <si>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</si>
  <si>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</si>
  <si>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</si>
  <si>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</si>
  <si>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</si>
  <si>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</si>
  <si>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</si>
  <si>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</si>
  <si>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</si>
  <si>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</si>
  <si>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</si>
  <si>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</si>
  <si>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</si>
  <si>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</si>
  <si>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</si>
  <si>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</si>
  <si>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</si>
  <si>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</si>
  <si>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</si>
  <si>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</si>
  <si>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</si>
  <si>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</si>
  <si>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</si>
  <si>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</si>
  <si>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</si>
  <si>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</si>
  <si>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</si>
  <si>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</si>
  <si>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</si>
  <si>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</si>
  <si>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</si>
  <si>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</si>
  <si>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</si>
  <si>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</si>
  <si>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</si>
  <si>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</si>
  <si>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</si>
  <si>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</si>
  <si>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</si>
  <si>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</si>
  <si>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</si>
  <si>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</si>
  <si>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</si>
  <si>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</si>
  <si>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</si>
  <si>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</si>
  <si>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</si>
  <si>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</si>
  <si>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</si>
  <si>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</si>
  <si>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</si>
  <si>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</si>
  <si>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</si>
  <si>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</si>
  <si>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</si>
  <si>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</si>
  <si>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</si>
  <si>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</si>
  <si>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</si>
  <si>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</si>
  <si>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</si>
  <si>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</si>
  <si>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</si>
  <si>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</si>
  <si>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</si>
  <si>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</si>
  <si>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</si>
  <si>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</si>
  <si>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</si>
  <si>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</si>
  <si>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</si>
  <si>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</si>
  <si>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</si>
  <si>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</si>
  <si>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</si>
  <si>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</si>
  <si>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</si>
  <si>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</si>
  <si>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</si>
  <si>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</si>
  <si>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</si>
  <si>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</si>
  <si>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</si>
  <si>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</si>
  <si>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</si>
  <si>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</si>
  <si>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</si>
  <si>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</si>
  <si>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</si>
  <si>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</si>
  <si>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</si>
  <si>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</si>
  <si>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</si>
  <si>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</si>
  <si>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</si>
  <si>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</si>
  <si>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</si>
  <si>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</si>
  <si>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</si>
  <si>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</si>
  <si>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</si>
  <si>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</si>
  <si>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</si>
  <si>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</si>
  <si>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</si>
  <si>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</si>
  <si>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</si>
  <si>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</si>
  <si>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</si>
  <si>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</si>
  <si>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</si>
  <si>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</si>
  <si>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</si>
  <si>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</si>
  <si>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</si>
  <si>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</si>
  <si>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</si>
  <si>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</si>
  <si>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</si>
  <si>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</si>
  <si>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</si>
  <si>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</si>
  <si>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</si>
  <si>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</si>
  <si>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</si>
  <si>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</si>
  <si>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</si>
  <si>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</si>
  <si>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</si>
  <si>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</si>
  <si>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</si>
  <si>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</si>
  <si>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</si>
  <si>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</si>
  <si>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</si>
  <si>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</si>
  <si>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</si>
  <si>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</si>
  <si>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</si>
  <si>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</si>
  <si>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</si>
  <si>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</si>
  <si>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</si>
  <si>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</si>
  <si>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</si>
  <si>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</si>
  <si>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</si>
  <si>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</si>
  <si>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</si>
  <si>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</si>
  <si>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</si>
  <si>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</si>
  <si>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</si>
  <si>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</si>
  <si>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</si>
  <si>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</si>
  <si>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</si>
  <si>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</si>
  <si>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</si>
  <si>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</si>
  <si>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</si>
  <si>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</si>
  <si>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</si>
  <si>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</si>
  <si>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</si>
  <si>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</si>
  <si>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</si>
  <si>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</si>
  <si>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</si>
  <si>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</si>
  <si>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</si>
  <si>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</si>
  <si>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</si>
  <si>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</si>
  <si>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</si>
  <si>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</si>
  <si>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</si>
  <si>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</si>
  <si>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</si>
  <si>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</si>
  <si>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</si>
  <si>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</si>
  <si>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</si>
  <si>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</si>
  <si>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</si>
  <si>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</si>
  <si>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</si>
  <si>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</si>
  <si>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</si>
  <si>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</si>
  <si>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</si>
  <si>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</si>
  <si>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</si>
  <si>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</si>
  <si>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</si>
  <si>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</si>
  <si>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</si>
  <si>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</si>
  <si>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</si>
  <si>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</si>
  <si>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</si>
  <si>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</si>
  <si>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</si>
  <si>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</si>
  <si>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</si>
  <si>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</si>
  <si>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</si>
  <si>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</si>
  <si>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</si>
  <si>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</si>
  <si>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</si>
  <si>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</si>
  <si>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</si>
  <si>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</si>
  <si>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</si>
  <si>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</si>
  <si>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</si>
  <si>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</si>
  <si>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</si>
  <si>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</si>
  <si>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</si>
  <si>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</si>
  <si>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</si>
  <si>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</si>
  <si>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</si>
  <si>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</si>
  <si>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</si>
  <si>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</si>
  <si>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</si>
  <si>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</si>
  <si>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</si>
  <si>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</si>
  <si>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</si>
  <si>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</si>
  <si>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</si>
  <si>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</si>
  <si>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</si>
  <si>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</si>
  <si>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</si>
  <si>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</si>
  <si>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</si>
  <si>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</si>
  <si>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</si>
  <si>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</si>
  <si>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</si>
  <si>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</si>
  <si>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</si>
  <si>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</si>
  <si>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</si>
  <si>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</si>
  <si>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</si>
  <si>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</si>
  <si>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</si>
  <si>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</si>
  <si>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</si>
  <si>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</si>
  <si>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</si>
  <si>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</si>
  <si>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</si>
  <si>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</si>
  <si>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</si>
  <si>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</si>
  <si>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</si>
  <si>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</si>
  <si>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</si>
  <si>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</si>
  <si>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</si>
  <si>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</si>
  <si>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</si>
  <si>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</si>
  <si>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</si>
  <si>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</si>
  <si>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</si>
  <si>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</si>
  <si>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</si>
  <si>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</si>
  <si>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</si>
  <si>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</si>
  <si>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</si>
  <si>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</si>
  <si>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</si>
  <si>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</si>
  <si>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</si>
  <si>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</si>
  <si>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</si>
  <si>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</si>
  <si>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</si>
  <si>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</si>
  <si>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</si>
  <si>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</si>
  <si>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</si>
  <si>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</si>
  <si>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</si>
  <si>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</si>
  <si>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</si>
  <si>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</si>
  <si>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</si>
  <si>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</si>
  <si>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</si>
  <si>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</si>
  <si>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</si>
  <si>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</si>
  <si>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</si>
  <si>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</si>
  <si>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</si>
  <si>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</si>
  <si>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</si>
  <si>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</si>
  <si>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</si>
  <si>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</si>
  <si>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</si>
  <si>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</si>
  <si>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</si>
  <si>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</si>
  <si>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</si>
  <si>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</si>
  <si>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</si>
  <si>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</si>
  <si>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</si>
  <si>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</si>
  <si>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</si>
  <si>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</si>
  <si>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</si>
  <si>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</si>
  <si>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</si>
  <si>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</si>
  <si>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</si>
  <si>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</si>
  <si>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</si>
  <si>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</si>
  <si>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</si>
  <si>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</si>
  <si>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</si>
  <si>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</si>
  <si>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</si>
  <si>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</si>
  <si>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</si>
  <si>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</si>
  <si>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</si>
  <si>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</si>
  <si>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</si>
  <si>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</si>
  <si>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</si>
  <si>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</si>
  <si>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</si>
  <si>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</si>
  <si>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</si>
  <si>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</si>
  <si>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</si>
  <si>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</si>
  <si>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</si>
  <si>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</si>
  <si>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</si>
  <si>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</si>
  <si>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</si>
  <si>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</si>
  <si>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</si>
  <si>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</si>
  <si>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</si>
  <si>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</si>
  <si>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</si>
  <si>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</si>
  <si>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</si>
  <si>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</si>
  <si>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</si>
  <si>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</si>
  <si>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</si>
  <si>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</si>
  <si>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</si>
  <si>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</si>
  <si>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</si>
  <si>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</si>
  <si>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</si>
  <si>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</si>
  <si>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</si>
  <si>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</si>
  <si>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</si>
  <si>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</si>
  <si>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</si>
  <si>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</si>
  <si>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</si>
  <si>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</si>
  <si>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</si>
  <si>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</si>
  <si>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</si>
  <si>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</si>
  <si>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</si>
  <si>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</si>
  <si>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</si>
  <si>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</si>
  <si>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</si>
  <si>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</si>
  <si>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</si>
  <si>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</si>
  <si>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</si>
  <si>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</si>
  <si>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</si>
  <si>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</si>
  <si>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</si>
  <si>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</si>
  <si>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</si>
  <si>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</si>
  <si>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</si>
  <si>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</si>
  <si>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</si>
  <si>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</si>
  <si>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</si>
  <si>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</si>
  <si>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</si>
  <si>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</si>
  <si>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</si>
  <si>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</si>
  <si>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</si>
  <si>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</si>
  <si>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</si>
  <si>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</si>
  <si>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</si>
  <si>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</si>
  <si>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</si>
  <si>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</si>
  <si>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</si>
  <si>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</si>
  <si>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</si>
  <si>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</si>
  <si>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</si>
  <si>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</si>
  <si>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</si>
  <si>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</si>
  <si>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</si>
  <si>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</si>
  <si>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</si>
  <si>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</si>
  <si>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</si>
  <si>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</si>
  <si>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</si>
  <si>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</si>
  <si>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</si>
  <si>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</si>
  <si>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</si>
  <si>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</si>
  <si>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</si>
  <si>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</si>
  <si>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</si>
  <si>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</si>
  <si>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</si>
  <si>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</si>
  <si>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</si>
  <si>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</si>
  <si>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</si>
  <si>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</si>
  <si>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</si>
  <si>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</si>
  <si>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</si>
  <si>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</si>
  <si>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</si>
  <si>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</si>
  <si>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</si>
  <si>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</si>
  <si>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</si>
  <si>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</si>
  <si>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</si>
  <si>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</si>
  <si>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</si>
  <si>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</si>
  <si>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</si>
  <si>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</si>
  <si>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</si>
  <si>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</si>
  <si>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</si>
  <si>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</si>
  <si>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</si>
  <si>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</si>
  <si>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</si>
  <si>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</si>
  <si>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</si>
  <si>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</si>
  <si>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</si>
  <si>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</si>
  <si>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</si>
  <si>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</si>
  <si>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</si>
  <si>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</si>
  <si>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</si>
  <si>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</si>
  <si>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</si>
  <si>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</si>
  <si>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</si>
  <si>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</si>
  <si>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</si>
  <si>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</si>
  <si>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</si>
  <si>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</si>
  <si>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</si>
  <si>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</si>
  <si>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</si>
  <si>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</si>
  <si>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</si>
  <si>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</si>
  <si>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</si>
  <si>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</si>
  <si>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</si>
  <si>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</si>
  <si>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</si>
  <si>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</si>
  <si>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</si>
  <si>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</si>
  <si>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</si>
  <si>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</si>
  <si>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</si>
  <si>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</si>
  <si>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</si>
  <si>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</si>
  <si>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</si>
  <si>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</si>
  <si>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</si>
  <si>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</si>
  <si>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</si>
  <si>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</si>
  <si>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</si>
  <si>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</si>
  <si>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</si>
  <si>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</si>
  <si>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</si>
  <si>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</si>
  <si>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</si>
  <si>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</si>
  <si>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</si>
  <si>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</si>
  <si>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</si>
  <si>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</si>
  <si>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</si>
  <si>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</si>
  <si>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</si>
  <si>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</si>
  <si>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</si>
  <si>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</si>
  <si>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</si>
  <si>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</si>
  <si>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</si>
  <si>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</si>
  <si>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</si>
  <si>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</si>
  <si>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</si>
  <si>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</si>
  <si>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</si>
  <si>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</si>
  <si>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</si>
  <si>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</si>
  <si>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</si>
  <si>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</si>
  <si>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</si>
  <si>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</si>
  <si>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</si>
  <si>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</si>
  <si>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</si>
  <si>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</si>
  <si>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</si>
  <si>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</si>
  <si>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</si>
  <si>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</si>
  <si>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</si>
  <si>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</si>
  <si>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</si>
  <si>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</si>
  <si>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</si>
  <si>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</si>
  <si>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</si>
  <si>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</si>
  <si>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</si>
  <si>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</si>
  <si>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</si>
  <si>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</si>
  <si>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</si>
  <si>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</si>
  <si>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</si>
  <si>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</si>
  <si>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</si>
  <si>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</si>
  <si>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</si>
  <si>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</si>
  <si>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</si>
  <si>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</si>
  <si>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</si>
  <si>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</si>
  <si>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</si>
  <si>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</si>
  <si>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</si>
  <si>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</si>
  <si>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</si>
  <si>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</si>
  <si>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</si>
  <si>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</si>
  <si>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</si>
  <si>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</si>
  <si>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</si>
  <si>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</si>
  <si>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</si>
  <si>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</si>
  <si>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</si>
  <si>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</si>
  <si>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</si>
  <si>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</si>
  <si>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</si>
  <si>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</si>
  <si>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</si>
  <si>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</si>
  <si>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</si>
  <si>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</si>
  <si>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</si>
  <si>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</si>
  <si>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</si>
  <si>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</si>
  <si>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</si>
  <si>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</si>
  <si>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</si>
  <si>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</si>
  <si>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</si>
  <si>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</si>
  <si>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</si>
  <si>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</si>
  <si>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</si>
  <si>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</si>
  <si>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</si>
  <si>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</si>
  <si>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</si>
  <si>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</si>
  <si>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</si>
  <si>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</si>
  <si>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</si>
  <si>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</si>
  <si>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</si>
  <si>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</si>
  <si>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</si>
  <si>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</si>
  <si>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</si>
  <si>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</si>
  <si>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</si>
  <si>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</si>
  <si>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</si>
  <si>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</si>
  <si>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</si>
  <si>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</si>
  <si>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</si>
  <si>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</si>
  <si>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</si>
  <si>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</si>
  <si>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</si>
  <si>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</si>
  <si>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</si>
  <si>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</si>
  <si>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</si>
  <si>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</si>
  <si>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</si>
  <si>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</si>
  <si>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</si>
  <si>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</si>
  <si>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</si>
  <si>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</si>
  <si>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</si>
  <si>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</si>
  <si>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</si>
  <si>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</si>
  <si>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</si>
  <si>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</si>
  <si>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</si>
  <si>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</si>
  <si>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</si>
  <si>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</si>
  <si>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</si>
  <si>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</si>
  <si>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</si>
  <si>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</si>
  <si>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</si>
  <si>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</si>
  <si>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</si>
  <si>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</si>
  <si>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</si>
  <si>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</si>
  <si>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</si>
  <si>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</si>
  <si>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</si>
  <si>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</si>
  <si>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</si>
  <si>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</si>
  <si>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</si>
  <si>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</si>
  <si>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</si>
  <si>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</si>
  <si>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</si>
  <si>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</si>
  <si>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</si>
  <si>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</si>
  <si>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</si>
  <si>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</si>
  <si>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</si>
  <si>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</si>
  <si>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</si>
  <si>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</si>
  <si>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</si>
  <si>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</si>
  <si>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</si>
  <si>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</si>
  <si>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</si>
  <si>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</si>
  <si>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</si>
  <si>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</si>
  <si>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</si>
  <si>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</si>
  <si>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</si>
  <si>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</si>
  <si>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</si>
  <si>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</si>
  <si>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</si>
  <si>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</si>
  <si>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</si>
  <si>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</si>
  <si>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</si>
  <si>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</si>
  <si>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</si>
  <si>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</si>
  <si>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</si>
  <si>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</si>
  <si>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</si>
  <si>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</si>
  <si>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</si>
  <si>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</si>
  <si>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</si>
  <si>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</si>
  <si>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</si>
  <si>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</si>
  <si>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</si>
  <si>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</si>
  <si>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</si>
  <si>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</si>
  <si>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</si>
  <si>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</si>
  <si>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</si>
  <si>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</si>
  <si>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</si>
  <si>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</si>
  <si>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</si>
  <si>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</si>
  <si>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</si>
  <si>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</si>
  <si>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</si>
  <si>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</si>
  <si>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</si>
  <si>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</si>
  <si>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</si>
  <si>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</si>
  <si>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</si>
  <si>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</si>
  <si>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</si>
  <si>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</si>
  <si>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</si>
  <si>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</si>
  <si>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</si>
  <si>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</si>
  <si>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</si>
  <si>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</si>
  <si>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</si>
  <si>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</si>
  <si>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</si>
  <si>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</si>
  <si>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</si>
  <si>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</si>
  <si>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</si>
  <si>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</si>
  <si>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</si>
  <si>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</si>
  <si>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</si>
  <si>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</si>
  <si>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</si>
  <si>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</si>
  <si>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</si>
  <si>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</si>
  <si>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</si>
  <si>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</si>
  <si>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</si>
  <si>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</si>
  <si>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</si>
  <si>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</si>
  <si>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</si>
  <si>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</si>
  <si>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</si>
  <si>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</si>
  <si>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</si>
  <si>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</si>
  <si>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</si>
  <si>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</si>
  <si>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</si>
  <si>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</si>
  <si>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</si>
  <si>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</si>
  <si>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</si>
  <si>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</si>
  <si>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</si>
  <si>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</si>
  <si>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</si>
  <si>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</si>
  <si>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</si>
  <si>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</si>
  <si>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</si>
  <si>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</si>
  <si>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</si>
  <si>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</si>
  <si>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</si>
  <si>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</si>
  <si>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</si>
  <si>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</si>
  <si>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</si>
  <si>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</si>
  <si>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</si>
  <si>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</si>
  <si>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</si>
  <si>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</si>
  <si>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</si>
  <si>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</si>
  <si>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</si>
  <si>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</si>
  <si>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</si>
  <si>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</si>
  <si>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</si>
  <si>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</si>
  <si>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</si>
  <si>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</si>
  <si>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</si>
  <si>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</si>
  <si>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</si>
  <si>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</si>
  <si>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</si>
  <si>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</si>
  <si>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</si>
  <si>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</si>
  <si>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</si>
  <si>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</si>
  <si>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</si>
  <si>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</si>
  <si>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</si>
  <si>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</si>
  <si>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</si>
  <si>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</si>
  <si>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</si>
  <si>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</si>
  <si>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</si>
  <si>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</si>
  <si>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</si>
  <si>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</si>
  <si>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</si>
  <si>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</si>
  <si>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</si>
  <si>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</si>
  <si>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</si>
  <si>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</si>
  <si>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</si>
  <si>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</si>
  <si>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</si>
  <si>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</si>
  <si>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</si>
  <si>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</si>
  <si>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</si>
  <si>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</si>
  <si>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</si>
  <si>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</si>
  <si>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</si>
  <si>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</si>
  <si>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</si>
  <si>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</si>
  <si>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</si>
  <si>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</si>
  <si>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</si>
  <si>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</si>
  <si>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</si>
  <si>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</si>
  <si>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</si>
  <si>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</si>
  <si>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</si>
  <si>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</si>
  <si>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</si>
  <si>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</si>
  <si>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</si>
  <si>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</si>
  <si>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</si>
  <si>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</si>
  <si>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</si>
  <si>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</si>
  <si>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</si>
  <si>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</si>
  <si>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</si>
  <si>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</si>
  <si>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</si>
  <si>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</si>
  <si>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</si>
  <si>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</si>
  <si>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</si>
  <si>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</si>
  <si>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</si>
  <si>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</si>
  <si>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</si>
  <si>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</si>
  <si>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</si>
  <si>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</si>
  <si>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</si>
  <si>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</si>
  <si>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</si>
  <si>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</si>
  <si>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</si>
  <si>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</si>
  <si>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</si>
  <si>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</si>
  <si>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</si>
  <si>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</si>
  <si>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</si>
  <si>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</si>
  <si>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</si>
  <si>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</si>
  <si>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</si>
  <si>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</si>
  <si>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</si>
  <si>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</si>
  <si>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</si>
  <si>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</si>
  <si>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</si>
  <si>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</si>
  <si>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</si>
  <si>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</si>
  <si>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</si>
  <si>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</si>
  <si>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</si>
  <si>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</si>
  <si>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</si>
  <si>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</si>
  <si>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</si>
  <si>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</si>
  <si>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</si>
  <si>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</si>
  <si>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</si>
  <si>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</si>
  <si>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</si>
  <si>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</si>
  <si>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</si>
  <si>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</si>
  <si>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</si>
  <si>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</si>
  <si>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</si>
  <si>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</si>
  <si>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</si>
  <si>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</si>
  <si>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</si>
  <si>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</si>
  <si>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</si>
  <si>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</si>
  <si>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</si>
  <si>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</si>
  <si>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</si>
  <si>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</si>
  <si>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</si>
  <si>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</si>
  <si>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</si>
  <si>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</si>
  <si>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</si>
  <si>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</si>
  <si>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</si>
  <si>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</si>
  <si>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</si>
  <si>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</si>
  <si>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</si>
  <si>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</si>
  <si>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</si>
  <si>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</si>
  <si>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</si>
  <si>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</si>
  <si>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</si>
  <si>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</si>
  <si>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</si>
  <si>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</si>
  <si>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</si>
  <si>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</si>
  <si>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</si>
  <si>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</si>
  <si>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</si>
  <si>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</si>
  <si>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</si>
  <si>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</si>
  <si>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</si>
  <si>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</si>
  <si>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</si>
  <si>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</si>
  <si>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</si>
  <si>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</si>
  <si>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</si>
  <si>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</si>
  <si>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</si>
  <si>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</si>
  <si>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</si>
  <si>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</si>
  <si>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</si>
  <si>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</si>
  <si>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</si>
  <si>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</si>
  <si>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</si>
  <si>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</si>
  <si>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</si>
  <si>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</si>
  <si>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</si>
  <si>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</si>
  <si>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</si>
  <si>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</si>
  <si>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</si>
  <si>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</si>
  <si>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</si>
  <si>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</si>
  <si>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</si>
  <si>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</si>
  <si>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</si>
  <si>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</si>
  <si>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</si>
  <si>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</si>
  <si>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</si>
  <si>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</si>
  <si>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</si>
  <si>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</si>
  <si>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</si>
  <si>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</si>
  <si>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</si>
  <si>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</si>
  <si>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</si>
  <si>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</si>
  <si>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</si>
  <si>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</si>
  <si>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</si>
  <si>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</si>
  <si>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</si>
  <si>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</si>
  <si>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</si>
  <si>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</si>
  <si>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</si>
  <si>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</si>
  <si>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</si>
  <si>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</si>
  <si>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</si>
  <si>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</si>
  <si>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</si>
  <si>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</si>
  <si>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</si>
  <si>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</si>
  <si>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</si>
  <si>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</si>
  <si>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</si>
  <si>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</si>
  <si>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</si>
  <si>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</si>
  <si>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</si>
  <si>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</si>
  <si>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</si>
  <si>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</si>
  <si>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</si>
  <si>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</si>
  <si>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</si>
  <si>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</si>
  <si>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</si>
  <si>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</si>
  <si>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</si>
  <si>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</si>
  <si>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</si>
  <si>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</si>
  <si>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</si>
  <si>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</si>
  <si>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</si>
  <si>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</si>
  <si>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</si>
  <si>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</si>
  <si>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</si>
  <si>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</si>
  <si>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</si>
  <si>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</si>
  <si>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</si>
  <si>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</si>
  <si>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</si>
  <si>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</si>
  <si>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</si>
  <si>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</si>
  <si>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</si>
  <si>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</si>
  <si>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</si>
  <si>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</si>
  <si>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</si>
  <si>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</si>
  <si>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</si>
  <si>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</si>
  <si>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</si>
  <si>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</si>
  <si>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</si>
  <si>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</si>
  <si>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</si>
  <si>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</si>
  <si>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</si>
  <si>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</si>
  <si>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</si>
  <si>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</si>
  <si>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</si>
  <si>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</si>
  <si>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</si>
  <si>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</si>
  <si>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</si>
  <si>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</si>
  <si>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</si>
  <si>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</si>
  <si>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</si>
  <si>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</si>
  <si>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</si>
  <si>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</si>
  <si>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</si>
  <si>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</si>
  <si>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</si>
  <si>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</si>
  <si>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</si>
  <si>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</si>
  <si>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</si>
  <si>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</si>
  <si>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</si>
  <si>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</si>
  <si>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</si>
  <si>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</si>
  <si>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</si>
  <si>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</si>
  <si>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</si>
  <si>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</si>
  <si>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</si>
  <si>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</si>
  <si>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</si>
  <si>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</si>
  <si>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</si>
  <si>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</si>
  <si>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</si>
  <si>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</si>
  <si>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</si>
  <si>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</si>
  <si>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</si>
  <si>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</si>
  <si>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</si>
  <si>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</si>
  <si>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</si>
  <si>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</si>
  <si>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</si>
  <si>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</si>
  <si>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</si>
  <si>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</si>
  <si>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</si>
  <si>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</si>
  <si>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</si>
  <si>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</si>
  <si>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</si>
  <si>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</si>
  <si>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</si>
  <si>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</si>
  <si>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</si>
  <si>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</si>
  <si>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</si>
  <si>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</si>
  <si>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</si>
  <si>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</si>
  <si>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</si>
  <si>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</si>
  <si>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</si>
  <si>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</si>
  <si>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</si>
  <si>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</si>
  <si>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</si>
  <si>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</si>
  <si>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</si>
  <si>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</si>
  <si>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</si>
  <si>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</si>
  <si>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</si>
  <si>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</si>
  <si>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</si>
  <si>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</si>
  <si>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</si>
  <si>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</si>
  <si>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</si>
  <si>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</si>
  <si>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</si>
  <si>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</si>
  <si>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</si>
  <si>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</si>
  <si>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</si>
  <si>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</si>
  <si>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</si>
  <si>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</si>
  <si>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</si>
  <si>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</si>
  <si>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</si>
  <si>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</si>
  <si>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</si>
  <si>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</si>
  <si>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</si>
  <si>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</si>
  <si>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</si>
  <si>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</si>
  <si>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</si>
  <si>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</si>
  <si>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</si>
  <si>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</si>
  <si>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</si>
  <si>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</si>
  <si>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</si>
  <si>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</si>
  <si>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</si>
  <si>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</si>
  <si>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</si>
  <si>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</si>
  <si>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</si>
  <si>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</si>
  <si>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</si>
  <si>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</si>
  <si>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</si>
  <si>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</si>
  <si>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</si>
  <si>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</si>
  <si>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</si>
  <si>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</si>
  <si>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</si>
  <si>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</si>
  <si>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</si>
  <si>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</si>
  <si>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</si>
  <si>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</si>
  <si>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</si>
  <si>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</si>
  <si>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</si>
  <si>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</si>
  <si>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</si>
  <si>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</si>
  <si>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</si>
  <si>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</si>
  <si>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</si>
  <si>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</si>
  <si>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</si>
  <si>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</si>
  <si>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</si>
  <si>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</si>
  <si>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</si>
  <si>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</si>
  <si>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</si>
  <si>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</si>
  <si>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</si>
  <si>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</si>
  <si>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</si>
  <si>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</si>
  <si>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</si>
  <si>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</si>
  <si>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</si>
  <si>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</si>
  <si>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</si>
  <si>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</si>
  <si>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</si>
  <si>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</si>
  <si>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</si>
  <si>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</si>
  <si>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</si>
  <si>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</si>
  <si>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</si>
  <si>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</si>
  <si>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</si>
  <si>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</si>
  <si>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</si>
  <si>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</si>
  <si>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</si>
  <si>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</si>
  <si>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</si>
  <si>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</si>
  <si>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</si>
  <si>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</si>
  <si>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</si>
  <si>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</si>
  <si>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</si>
  <si>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</si>
  <si>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</si>
  <si>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</si>
  <si>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</si>
  <si>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</si>
  <si>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</si>
  <si>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</si>
  <si>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</si>
  <si>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</si>
  <si>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</si>
  <si>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</si>
  <si>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</si>
  <si>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</si>
  <si>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</si>
  <si>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</si>
  <si>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</si>
  <si>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</si>
  <si>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</si>
  <si>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</si>
  <si>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</si>
  <si>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</si>
  <si>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</si>
  <si>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</si>
  <si>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</si>
  <si>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</si>
  <si>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</si>
  <si>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</si>
  <si>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</si>
  <si>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</si>
  <si>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</si>
  <si>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</si>
  <si>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</si>
  <si>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</si>
  <si>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</si>
  <si>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</si>
  <si>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</si>
  <si>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</si>
  <si>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</si>
  <si>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</si>
  <si>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</si>
  <si>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</si>
  <si>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</si>
  <si>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</si>
  <si>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</si>
  <si>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</si>
  <si>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</si>
  <si>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</si>
  <si>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</si>
  <si>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</si>
  <si>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</si>
  <si>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</si>
  <si>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</si>
  <si>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</si>
  <si>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</si>
  <si>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</si>
  <si>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</si>
  <si>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</si>
  <si>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</si>
  <si>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</si>
  <si>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</si>
  <si>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</si>
  <si>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</si>
  <si>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</si>
  <si>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</si>
  <si>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</si>
  <si>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</si>
  <si>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</si>
  <si>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</si>
  <si>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</si>
  <si>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</si>
  <si>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</si>
  <si>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</si>
  <si>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</si>
  <si>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</si>
  <si>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</si>
  <si>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</si>
  <si>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</si>
  <si>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</si>
  <si>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</si>
  <si>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</si>
  <si>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</si>
  <si>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</si>
  <si>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</si>
  <si>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</si>
  <si>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</si>
  <si>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</si>
  <si>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</si>
  <si>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</si>
  <si>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</si>
  <si>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</si>
  <si>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</si>
  <si>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</si>
  <si>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</si>
  <si>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</si>
  <si>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</si>
  <si>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</si>
  <si>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</si>
  <si>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</si>
  <si>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</si>
  <si>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</si>
  <si>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</si>
  <si>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</si>
  <si>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</si>
  <si>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</si>
  <si>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</si>
  <si>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</si>
  <si>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</si>
  <si>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</si>
  <si>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</si>
  <si>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</si>
  <si>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</si>
  <si>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</si>
  <si>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</si>
  <si>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</si>
  <si>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</si>
  <si>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</si>
  <si>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</si>
  <si>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</si>
  <si>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</si>
  <si>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</si>
  <si>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</si>
  <si>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</si>
  <si>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</si>
  <si>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</si>
  <si>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</si>
  <si>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</si>
  <si>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</si>
  <si>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</si>
  <si>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</si>
  <si>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</si>
  <si>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</si>
  <si>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</si>
  <si>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</si>
  <si>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</si>
  <si>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</si>
  <si>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</si>
  <si>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</si>
  <si>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</si>
  <si>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</si>
  <si>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</si>
  <si>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</si>
  <si>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</si>
  <si>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</si>
  <si>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</si>
  <si>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</si>
  <si>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</si>
  <si>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</si>
  <si>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</si>
  <si>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</si>
  <si>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</si>
  <si>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</si>
  <si>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</si>
  <si>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</si>
  <si>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</si>
  <si>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</si>
  <si>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</si>
  <si>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</si>
  <si>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</si>
  <si>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</si>
  <si>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</si>
  <si>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</si>
  <si>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</si>
  <si>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</si>
  <si>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</si>
  <si>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</si>
  <si>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</si>
  <si>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</si>
  <si>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</si>
  <si>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</si>
  <si>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</si>
  <si>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</si>
  <si>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</si>
  <si>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</si>
  <si>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</si>
  <si>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</si>
  <si>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</si>
  <si>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</si>
  <si>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</si>
  <si>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</si>
  <si>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</si>
  <si>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</si>
  <si>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</si>
  <si>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</si>
  <si>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</si>
  <si>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</si>
  <si>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</si>
  <si>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</si>
  <si>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</si>
  <si>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</si>
  <si>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</si>
  <si>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</si>
  <si>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</si>
  <si>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</si>
  <si>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</si>
  <si>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</si>
  <si>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</si>
  <si>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</si>
  <si>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</si>
  <si>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</si>
  <si>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</si>
  <si>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</si>
  <si>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</si>
  <si>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</si>
  <si>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</si>
  <si>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</si>
  <si>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</si>
  <si>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</si>
  <si>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</si>
  <si>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</si>
  <si>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</si>
  <si>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</si>
  <si>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</si>
  <si>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</si>
  <si>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</si>
  <si>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</si>
  <si>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</si>
  <si>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</si>
  <si>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</si>
  <si>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</si>
  <si>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</si>
  <si>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</si>
  <si>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</si>
  <si>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</si>
  <si>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</si>
  <si>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</si>
  <si>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</si>
  <si>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</si>
  <si>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</si>
  <si>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</si>
  <si>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</si>
  <si>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</si>
  <si>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</si>
  <si>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</si>
  <si>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</si>
  <si>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</si>
  <si>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</si>
  <si>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</si>
  <si>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</si>
  <si>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</si>
  <si>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</si>
  <si>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</si>
  <si>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</si>
  <si>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</si>
  <si>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</si>
  <si>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</si>
  <si>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</si>
  <si>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</si>
  <si>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</si>
  <si>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</si>
  <si>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</si>
  <si>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</si>
  <si>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</si>
  <si>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</si>
  <si>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</si>
  <si>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</si>
  <si>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</si>
  <si>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</si>
  <si>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</si>
  <si>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</si>
  <si>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</si>
  <si>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</si>
  <si>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</si>
  <si>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</si>
  <si>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</si>
  <si>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</si>
  <si>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</si>
  <si>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</si>
  <si>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</si>
  <si>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</si>
  <si>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</si>
  <si>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</si>
  <si>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</si>
  <si>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</si>
  <si>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</si>
  <si>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</si>
  <si>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</si>
  <si>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</si>
  <si>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</si>
  <si>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</si>
  <si>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</si>
  <si>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</si>
  <si>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</si>
  <si>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</si>
  <si>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</si>
  <si>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</si>
  <si>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</si>
  <si>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</si>
  <si>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</si>
  <si>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</si>
  <si>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</si>
  <si>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</si>
  <si>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</si>
  <si>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</si>
  <si>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</si>
  <si>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</si>
  <si>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</si>
  <si>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</si>
  <si>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</si>
  <si>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</si>
  <si>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</si>
  <si>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</si>
  <si>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</si>
  <si>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</si>
  <si>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</si>
  <si>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</si>
  <si>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</si>
  <si>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</si>
  <si>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</si>
  <si>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</si>
  <si>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</si>
  <si>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</si>
  <si>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</si>
  <si>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</si>
  <si>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</si>
  <si>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</si>
  <si>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</si>
  <si>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</si>
  <si>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</si>
  <si>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</si>
  <si>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</si>
  <si>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</si>
  <si>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</si>
  <si>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</si>
  <si>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</si>
  <si>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</si>
  <si>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</si>
  <si>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</si>
  <si>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</si>
  <si>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</si>
  <si>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</si>
  <si>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</si>
  <si>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</si>
  <si>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</si>
  <si>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</si>
  <si>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</si>
  <si>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</si>
  <si>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</si>
  <si>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</si>
  <si>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</si>
  <si>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</si>
  <si>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</si>
  <si>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</si>
  <si>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</si>
  <si>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</si>
  <si>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</si>
  <si>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</si>
  <si>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</si>
  <si>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</si>
  <si>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</si>
  <si>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</si>
  <si>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</si>
  <si>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</si>
  <si>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</si>
  <si>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</si>
  <si>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</si>
  <si>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</si>
  <si>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</si>
  <si>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</si>
  <si>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</si>
  <si>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</si>
  <si>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</si>
  <si>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</si>
  <si>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</si>
  <si>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</si>
  <si>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</si>
  <si>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</si>
  <si>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</si>
  <si>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</si>
  <si>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</si>
  <si>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</si>
  <si>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</si>
  <si>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</si>
  <si>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</si>
  <si>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</si>
  <si>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</si>
  <si>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</si>
  <si>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</si>
  <si>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</si>
  <si>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</si>
  <si>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</si>
  <si>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</si>
  <si>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</si>
  <si>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</si>
  <si>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</si>
  <si>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</si>
  <si>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</si>
  <si>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</si>
  <si>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</si>
  <si>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</si>
  <si>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</si>
  <si>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</si>
  <si>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</si>
  <si>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</si>
  <si>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</si>
  <si>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</si>
  <si>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</si>
  <si>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</si>
  <si>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</si>
  <si>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</si>
  <si>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</si>
  <si>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</si>
  <si>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</si>
  <si>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</si>
  <si>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</si>
  <si>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</si>
  <si>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</si>
  <si>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</si>
  <si>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</si>
  <si>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</si>
  <si>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</si>
  <si>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</si>
  <si>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</si>
  <si>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</si>
  <si>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</si>
  <si>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</si>
  <si>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</si>
  <si>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</si>
  <si>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</si>
  <si>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</si>
  <si>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</si>
  <si>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</si>
  <si>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</si>
  <si>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</si>
  <si>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</si>
  <si>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</si>
  <si>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</si>
  <si>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</si>
  <si>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</si>
  <si>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</si>
  <si>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</si>
  <si>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</si>
  <si>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</si>
  <si>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</si>
  <si>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</si>
  <si>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</si>
  <si>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</si>
  <si>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</si>
  <si>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</si>
  <si>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</si>
  <si>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</si>
  <si>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</si>
  <si>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</si>
  <si>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</si>
  <si>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</si>
  <si>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</si>
  <si>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</si>
  <si>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</si>
  <si>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</si>
  <si>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</si>
  <si>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</si>
  <si>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</si>
  <si>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</si>
  <si>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</si>
  <si>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</si>
  <si>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</si>
  <si>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</si>
  <si>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</si>
  <si>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</si>
  <si>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</si>
  <si>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</si>
  <si>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</si>
  <si>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</si>
  <si>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</si>
  <si>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</si>
  <si>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</si>
  <si>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</si>
  <si>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</si>
  <si>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</si>
  <si>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</si>
  <si>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</si>
  <si>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</si>
  <si>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</si>
  <si>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</si>
  <si>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</si>
  <si>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</si>
  <si>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</si>
  <si>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</si>
  <si>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</si>
  <si>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</si>
  <si>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</si>
  <si>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</si>
  <si>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</si>
  <si>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</si>
  <si>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</si>
  <si>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</si>
  <si>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</si>
  <si>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</si>
  <si>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</si>
  <si>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</si>
  <si>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</si>
  <si>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</si>
  <si>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</si>
  <si>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</si>
  <si>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</si>
  <si>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</si>
  <si>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</si>
  <si>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</si>
  <si>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</si>
  <si>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</si>
  <si>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</si>
  <si>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</si>
  <si>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</si>
  <si>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</si>
  <si>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</si>
  <si>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</si>
  <si>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</si>
  <si>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</si>
  <si>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</si>
  <si>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</si>
  <si>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</si>
  <si>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</si>
  <si>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</si>
  <si>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</si>
  <si>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</si>
  <si>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</si>
  <si>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</si>
  <si>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</si>
  <si>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</si>
  <si>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</si>
  <si>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</si>
  <si>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</si>
  <si>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</si>
  <si>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</si>
  <si>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</si>
  <si>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</si>
  <si>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</si>
  <si>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</si>
  <si>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</si>
  <si>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</si>
  <si>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</si>
  <si>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</si>
  <si>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</si>
  <si>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</si>
  <si>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</si>
  <si>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</si>
  <si>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</si>
  <si>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</si>
  <si>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</si>
  <si>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</si>
  <si>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</si>
  <si>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</si>
  <si>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</si>
  <si>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</si>
  <si>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</si>
  <si>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</si>
  <si>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</si>
  <si>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</si>
  <si>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</si>
  <si>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</si>
  <si>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</si>
  <si>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</si>
  <si>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</si>
  <si>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</si>
  <si>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</si>
  <si>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</si>
  <si>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</si>
  <si>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</si>
  <si>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</si>
  <si>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</si>
  <si>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</si>
  <si>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</si>
  <si>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</si>
  <si>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</si>
  <si>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</si>
  <si>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</si>
  <si>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</si>
  <si>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</si>
  <si>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</si>
  <si>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</si>
  <si>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</si>
  <si>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</si>
  <si>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</si>
  <si>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</si>
  <si>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</si>
  <si>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</si>
  <si>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</si>
  <si>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</si>
  <si>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</si>
  <si>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</si>
  <si>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</si>
  <si>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</si>
  <si>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</si>
  <si>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</si>
  <si>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</si>
  <si>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</si>
  <si>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</si>
  <si>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</si>
  <si>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</si>
  <si>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</si>
  <si>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</si>
  <si>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</si>
  <si>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</si>
  <si>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</si>
  <si>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</si>
  <si>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</si>
  <si>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</si>
  <si>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</si>
  <si>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</si>
  <si>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</si>
  <si>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</si>
  <si>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</si>
  <si>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</si>
  <si>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</si>
  <si>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</si>
  <si>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</si>
  <si>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</si>
  <si>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</si>
  <si>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</si>
  <si>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</si>
  <si>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</si>
  <si>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</si>
  <si>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</si>
  <si>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</si>
  <si>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</si>
  <si>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</si>
  <si>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</si>
  <si>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</si>
  <si>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</si>
  <si>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</si>
  <si>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</si>
  <si>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</si>
  <si>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</si>
  <si>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</si>
  <si>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</si>
  <si>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</si>
  <si>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</si>
  <si>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</si>
  <si>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</si>
  <si>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</si>
  <si>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</si>
  <si>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</si>
  <si>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</si>
  <si>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</si>
  <si>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</si>
  <si>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</si>
  <si>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</si>
  <si>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</si>
  <si>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</si>
  <si>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</si>
  <si>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</si>
  <si>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</si>
  <si>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</si>
  <si>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</si>
  <si>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</si>
  <si>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</si>
  <si>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</si>
  <si>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</si>
  <si>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</si>
  <si>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</si>
  <si>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</si>
  <si>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</si>
  <si>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</si>
  <si>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</si>
  <si>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</si>
  <si>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</si>
  <si>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</si>
  <si>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</si>
  <si>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</si>
  <si>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</si>
  <si>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</si>
  <si>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</si>
  <si>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</si>
  <si>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</si>
  <si>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</si>
  <si>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</si>
  <si>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</si>
  <si>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</si>
  <si>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</si>
  <si>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</si>
  <si>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</si>
  <si>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</si>
  <si>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</si>
  <si>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</si>
  <si>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</si>
  <si>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</si>
  <si>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</si>
  <si>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</si>
  <si>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</si>
  <si>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</si>
  <si>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</si>
  <si>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</si>
  <si>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</si>
  <si>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</si>
  <si>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</si>
  <si>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</si>
  <si>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</si>
  <si>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</si>
  <si>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</si>
  <si>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</si>
  <si>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</si>
  <si>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</si>
  <si>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</si>
  <si>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</si>
  <si>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</si>
  <si>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</si>
  <si>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</si>
  <si>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</si>
  <si>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</si>
  <si>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</si>
  <si>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</si>
  <si>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</si>
  <si>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</si>
  <si>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</si>
  <si>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</si>
  <si>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</si>
  <si>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</si>
  <si>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</si>
  <si>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</si>
  <si>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</si>
  <si>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</si>
  <si>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</si>
  <si>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</si>
  <si>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</si>
  <si>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</si>
  <si>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</si>
  <si>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</si>
  <si>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</si>
  <si>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</si>
  <si>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</si>
  <si>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</si>
  <si>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</si>
  <si>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</si>
  <si>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</si>
  <si>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</si>
  <si>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</si>
  <si>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</si>
  <si>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</si>
  <si>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</si>
  <si>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</si>
  <si>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</si>
  <si>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</si>
  <si>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</si>
  <si>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</si>
  <si>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</si>
  <si>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</si>
  <si>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</si>
  <si>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</si>
  <si>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</si>
  <si>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</si>
  <si>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</si>
  <si>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</si>
  <si>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</si>
  <si>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</si>
  <si>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</si>
  <si>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</si>
  <si>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</si>
  <si>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</si>
  <si>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</si>
  <si>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</si>
  <si>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</si>
  <si>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</si>
  <si>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</si>
  <si>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</si>
  <si>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</si>
  <si>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</si>
  <si>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</si>
  <si>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</si>
  <si>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</si>
  <si>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</si>
  <si>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</si>
  <si>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</si>
  <si>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</si>
  <si>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</si>
  <si>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</si>
  <si>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</si>
  <si>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</si>
  <si>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</si>
  <si>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</si>
  <si>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</si>
  <si>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</si>
  <si>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</si>
  <si>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</si>
  <si>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</si>
  <si>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</si>
  <si>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</si>
  <si>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</si>
  <si>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</si>
  <si>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</si>
  <si>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</si>
  <si>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</si>
  <si>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</si>
  <si>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</si>
  <si>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</si>
  <si>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</si>
  <si>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</si>
  <si>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</si>
  <si>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</si>
  <si>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</si>
  <si>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</si>
  <si>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</si>
  <si>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</si>
  <si>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</si>
  <si>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</si>
  <si>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</si>
  <si>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</si>
  <si>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</si>
  <si>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</si>
  <si>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</si>
  <si>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</si>
  <si>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</si>
  <si>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</si>
  <si>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</si>
  <si>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</si>
  <si>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</si>
  <si>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</si>
  <si>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</si>
  <si>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</si>
  <si>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</si>
  <si>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</si>
  <si>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</si>
  <si>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</si>
  <si>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</si>
  <si>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</si>
  <si>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</si>
  <si>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</si>
  <si>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</si>
  <si>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</si>
  <si>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</si>
  <si>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</si>
  <si>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</si>
  <si>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</si>
  <si>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</si>
  <si>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</si>
  <si>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</si>
  <si>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</si>
  <si>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</si>
  <si>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</si>
  <si>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</si>
  <si>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</si>
  <si>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</si>
  <si>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</si>
  <si>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</si>
  <si>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</si>
  <si>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</si>
  <si>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</si>
  <si>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</si>
  <si>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</si>
  <si>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</si>
  <si>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</si>
  <si>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</si>
  <si>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</si>
  <si>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</si>
  <si>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</si>
  <si>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</si>
  <si>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</si>
  <si>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</si>
  <si>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</si>
  <si>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</si>
  <si>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</si>
  <si>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</si>
  <si>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</si>
  <si>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</si>
  <si>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</si>
  <si>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</si>
  <si>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</si>
  <si>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</si>
  <si>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</si>
  <si>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</si>
  <si>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</si>
  <si>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</si>
  <si>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</si>
  <si>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</si>
  <si>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</si>
  <si>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</si>
  <si>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</si>
  <si>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</si>
  <si>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</si>
  <si>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</si>
  <si>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</si>
  <si>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</si>
  <si>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</si>
  <si>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</si>
  <si>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</si>
  <si>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</si>
  <si>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</si>
  <si>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</si>
  <si>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</si>
  <si>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</si>
  <si>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</si>
  <si>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</si>
  <si>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</si>
  <si>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</si>
  <si>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</si>
  <si>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</si>
  <si>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</si>
  <si>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</si>
  <si>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</si>
  <si>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</si>
  <si>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</si>
  <si>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</si>
  <si>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</si>
  <si>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</si>
  <si>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</si>
  <si>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</si>
  <si>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</si>
  <si>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</si>
  <si>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</si>
  <si>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</si>
  <si>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</si>
  <si>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</si>
  <si>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</si>
  <si>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</si>
  <si>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</si>
  <si>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</si>
  <si>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</si>
  <si>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</si>
  <si>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</si>
  <si>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</si>
  <si>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</si>
  <si>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</si>
  <si>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</si>
  <si>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</si>
  <si>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</si>
  <si>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</si>
  <si>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</si>
  <si>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</si>
  <si>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</si>
  <si>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</si>
  <si>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</si>
  <si>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</si>
  <si>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</si>
  <si>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</si>
  <si>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</si>
  <si>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</si>
  <si>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</si>
  <si>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</si>
  <si>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</si>
  <si>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</si>
  <si>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</si>
  <si>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</si>
  <si>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</si>
  <si>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</si>
  <si>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</si>
  <si>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</si>
  <si>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</si>
  <si>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</si>
  <si>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</si>
  <si>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</si>
  <si>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</si>
  <si>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</si>
  <si>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</si>
  <si>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</si>
  <si>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</si>
  <si>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</si>
  <si>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</si>
  <si>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</si>
  <si>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</si>
  <si>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</si>
  <si>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</si>
  <si>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</si>
  <si>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</si>
  <si>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</si>
  <si>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</si>
  <si>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</si>
  <si>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</si>
  <si>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</si>
  <si>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</si>
  <si>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</si>
  <si>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</si>
  <si>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</si>
  <si>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</si>
  <si>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</si>
  <si>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</si>
  <si>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</si>
  <si>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</si>
  <si>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</si>
  <si>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</si>
  <si>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</si>
  <si>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</si>
  <si>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</si>
  <si>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</si>
  <si>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</si>
  <si>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</si>
  <si>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</si>
  <si>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</si>
  <si>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</si>
  <si>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</si>
  <si>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</si>
  <si>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</si>
  <si>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</si>
  <si>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</si>
  <si>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</si>
  <si>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</si>
  <si>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</si>
  <si>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</si>
  <si>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</si>
  <si>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</si>
  <si>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</si>
  <si>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</si>
  <si>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</si>
  <si>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</si>
  <si>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</si>
  <si>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</si>
  <si>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</si>
  <si>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</si>
  <si>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</si>
  <si>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</si>
  <si>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</si>
  <si>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</si>
  <si>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</si>
  <si>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</si>
  <si>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</si>
  <si>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</si>
  <si>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</si>
  <si>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</si>
  <si>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</si>
  <si>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</si>
  <si>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</si>
  <si>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</si>
  <si>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</si>
  <si>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</si>
  <si>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</si>
  <si>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</si>
  <si>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</si>
  <si>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</si>
  <si>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</si>
  <si>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</si>
  <si>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</si>
  <si>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</si>
  <si>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</si>
  <si>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</si>
  <si>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</si>
  <si>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</si>
  <si>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</si>
  <si>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</si>
  <si>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</si>
  <si>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</si>
  <si>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</si>
  <si>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</si>
  <si>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</si>
  <si>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</si>
  <si>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</si>
  <si>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</si>
  <si>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</si>
  <si>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</si>
  <si>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</si>
  <si>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</si>
  <si>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</si>
  <si>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</si>
  <si>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</si>
  <si>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</si>
  <si>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</si>
  <si>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</si>
  <si>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</si>
  <si>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</si>
  <si>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</si>
  <si>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</si>
  <si>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</si>
  <si>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</si>
  <si>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</si>
  <si>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</si>
  <si>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</si>
  <si>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</si>
  <si>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</si>
  <si>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</si>
  <si>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</si>
  <si>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</si>
  <si>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</si>
  <si>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</si>
  <si>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</si>
  <si>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</si>
  <si>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</si>
  <si>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</si>
  <si>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</si>
  <si>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</si>
  <si>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</si>
  <si>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</si>
  <si>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</si>
  <si>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</si>
  <si>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</si>
  <si>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</si>
  <si>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</si>
  <si>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</si>
  <si>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</si>
  <si>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</si>
  <si>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</si>
  <si>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</si>
  <si>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</si>
  <si>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</si>
  <si>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</si>
  <si>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</si>
  <si>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</si>
  <si>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</si>
  <si>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</si>
  <si>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</si>
  <si>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</si>
  <si>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</si>
  <si>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</si>
  <si>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</si>
  <si>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</si>
  <si>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</si>
  <si>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</si>
  <si>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</si>
  <si>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</si>
  <si>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</si>
  <si>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</si>
  <si>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</si>
  <si>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</si>
  <si>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</si>
  <si>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</si>
  <si>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</si>
  <si>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</si>
  <si>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</si>
  <si>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</si>
  <si>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</si>
  <si>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</si>
  <si>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</si>
  <si>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</si>
  <si>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</si>
  <si>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</si>
  <si>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</si>
  <si>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</si>
  <si>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</si>
  <si>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</si>
  <si>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</si>
  <si>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</si>
  <si>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</si>
  <si>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</si>
  <si>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</si>
  <si>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</si>
  <si>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</si>
  <si>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</si>
  <si>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</si>
  <si>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</si>
  <si>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</si>
  <si>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</si>
  <si>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</si>
  <si>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</si>
  <si>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</si>
  <si>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</si>
  <si>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</si>
  <si>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</si>
  <si>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</si>
  <si>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</si>
  <si>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</si>
  <si>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</si>
  <si>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</si>
  <si>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</si>
  <si>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</si>
  <si>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</si>
  <si>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</si>
  <si>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</si>
  <si>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</si>
  <si>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</si>
  <si>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</si>
  <si>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</si>
  <si>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</si>
  <si>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</si>
  <si>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</si>
  <si>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</si>
  <si>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</si>
  <si>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</si>
  <si>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</si>
  <si>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</si>
  <si>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</si>
  <si>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</si>
  <si>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</si>
  <si>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</si>
  <si>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</si>
  <si>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</si>
  <si>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</si>
  <si>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</si>
  <si>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</si>
  <si>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</si>
  <si>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</si>
  <si>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</si>
  <si>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</si>
  <si>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</si>
  <si>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</si>
  <si>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</si>
  <si>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</si>
  <si>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</si>
  <si>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</si>
  <si>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</si>
  <si>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</si>
  <si>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</si>
  <si>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</si>
  <si>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</si>
  <si>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</si>
  <si>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</si>
  <si>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</si>
  <si>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</si>
  <si>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</si>
  <si>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</si>
  <si>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</si>
  <si>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</si>
  <si>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</si>
  <si>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</si>
  <si>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</si>
  <si>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</si>
  <si>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</si>
  <si>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</si>
  <si>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</si>
  <si>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</si>
  <si>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</si>
  <si>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</si>
  <si>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</si>
  <si>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</si>
  <si>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</si>
  <si>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</si>
  <si>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</si>
  <si>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</si>
  <si>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</si>
  <si>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</si>
  <si>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</si>
  <si>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</si>
  <si>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</si>
  <si>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</si>
  <si>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</si>
  <si>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</si>
  <si>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</si>
  <si>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</si>
  <si>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</si>
  <si>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</si>
  <si>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</si>
  <si>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</si>
  <si>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</si>
  <si>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</si>
  <si>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</si>
  <si>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</si>
  <si>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</si>
  <si>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</si>
  <si>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</si>
  <si>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</si>
  <si>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</si>
  <si>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</si>
  <si>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</si>
  <si>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</si>
  <si>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</si>
  <si>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</si>
  <si>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</si>
  <si>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</si>
  <si>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</si>
  <si>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</si>
  <si>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</si>
  <si>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</si>
  <si>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</si>
  <si>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</si>
  <si>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</si>
  <si>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</si>
  <si>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</si>
  <si>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</si>
  <si>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</si>
  <si>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</si>
  <si>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</si>
  <si>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</si>
  <si>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</si>
  <si>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</si>
  <si>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</si>
  <si>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</si>
  <si>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</si>
  <si>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</si>
  <si>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</si>
  <si>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</si>
  <si>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</si>
  <si>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</si>
  <si>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</si>
  <si>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</si>
  <si>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</si>
  <si>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</si>
  <si>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</si>
  <si>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</si>
  <si>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</si>
  <si>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</si>
  <si>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</si>
  <si>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</si>
  <si>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</si>
  <si>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</si>
  <si>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</si>
  <si>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</si>
  <si>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</si>
  <si>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</si>
  <si>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</si>
  <si>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</si>
  <si>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</si>
  <si>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</si>
  <si>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</si>
  <si>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</si>
  <si>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</si>
  <si>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</si>
  <si>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</si>
  <si>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</si>
  <si>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</si>
  <si>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</si>
  <si>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</si>
  <si>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</si>
  <si>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</si>
  <si>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</si>
  <si>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</si>
  <si>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</si>
  <si>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</si>
  <si>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</si>
  <si>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</si>
  <si>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</si>
  <si>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</si>
  <si>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</si>
  <si>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</si>
  <si>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</si>
  <si>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</si>
  <si>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</si>
  <si>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</si>
  <si>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</si>
  <si>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</si>
  <si>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</si>
  <si>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</si>
  <si>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</si>
  <si>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</si>
  <si>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</si>
  <si>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</si>
  <si>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</si>
  <si>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</si>
  <si>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</si>
  <si>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</si>
  <si>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</si>
  <si>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</si>
  <si>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</si>
  <si>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</si>
  <si>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</si>
  <si>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</si>
  <si>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</si>
  <si>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</si>
  <si>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</si>
  <si>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</si>
  <si>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</si>
  <si>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</si>
  <si>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</si>
  <si>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</si>
  <si>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</si>
  <si>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</si>
  <si>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</si>
  <si>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</si>
  <si>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</si>
  <si>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</si>
  <si>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</si>
  <si>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</si>
  <si>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</si>
  <si>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</si>
  <si>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</si>
  <si>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</si>
  <si>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</si>
  <si>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</si>
  <si>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</si>
  <si>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</si>
  <si>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</si>
  <si>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</si>
  <si>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</si>
  <si>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</si>
  <si>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</si>
  <si>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</si>
  <si>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</si>
  <si>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</si>
  <si>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</si>
  <si>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</si>
  <si>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</si>
  <si>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</si>
  <si>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</si>
  <si>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</si>
  <si>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</si>
  <si>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</si>
  <si>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</si>
  <si>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</si>
  <si>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</si>
  <si>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</si>
  <si>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</si>
  <si>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</si>
  <si>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</si>
  <si>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</si>
  <si>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</si>
  <si>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</si>
  <si>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</si>
  <si>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</si>
  <si>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</si>
  <si>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</si>
  <si>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</si>
  <si>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</si>
  <si>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</si>
  <si>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</si>
  <si>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</si>
  <si>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</si>
  <si>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</si>
  <si>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</si>
  <si>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</si>
  <si>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</si>
  <si>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</si>
  <si>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</si>
  <si>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</si>
  <si>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</si>
  <si>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</si>
  <si>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</si>
  <si>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</si>
  <si>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</si>
  <si>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</si>
  <si>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</si>
  <si>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</si>
  <si>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</si>
  <si>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</si>
  <si>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</si>
  <si>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</si>
  <si>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</si>
  <si>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</si>
  <si>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</si>
  <si>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</si>
  <si>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</si>
  <si>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</si>
  <si>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</si>
  <si>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</si>
  <si>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</si>
  <si>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</si>
  <si>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</si>
  <si>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</si>
  <si>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</si>
  <si>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</si>
  <si>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</si>
  <si>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</si>
  <si>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</si>
  <si>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</si>
  <si>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</si>
  <si>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</si>
  <si>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</si>
  <si>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</si>
  <si>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</si>
  <si>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</si>
  <si>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</si>
  <si>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</si>
  <si>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</si>
  <si>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</si>
  <si>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</si>
  <si>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</si>
  <si>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</si>
  <si>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</si>
  <si>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</si>
  <si>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</si>
  <si>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</si>
  <si>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</si>
  <si>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</si>
  <si>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</si>
  <si>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</si>
  <si>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</si>
  <si>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</si>
  <si>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</si>
  <si>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</si>
  <si>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</si>
  <si>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</si>
  <si>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</si>
  <si>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</si>
  <si>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</si>
  <si>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</si>
  <si>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</si>
  <si>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</si>
  <si>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</si>
  <si>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</si>
  <si>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</si>
  <si>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</si>
  <si>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</si>
  <si>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</si>
  <si>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</si>
  <si>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</si>
  <si>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</si>
  <si>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</si>
  <si>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</si>
  <si>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</si>
  <si>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</si>
  <si>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</si>
  <si>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</si>
  <si>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</si>
  <si>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</si>
  <si>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</si>
  <si>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</si>
  <si>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</si>
  <si>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</si>
  <si>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</si>
  <si>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</si>
  <si>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</si>
  <si>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</si>
  <si>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</si>
  <si>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</si>
  <si>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</si>
  <si>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</si>
  <si>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</si>
  <si>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</si>
  <si>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</si>
  <si>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</si>
  <si>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</si>
  <si>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</si>
  <si>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</si>
  <si>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</si>
  <si>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</si>
  <si>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</si>
  <si>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</si>
  <si>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</si>
  <si>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</si>
  <si>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</si>
  <si>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</si>
  <si>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</si>
  <si>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</si>
  <si>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</si>
  <si>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</si>
  <si>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</si>
  <si>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</si>
  <si>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</si>
  <si>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</si>
  <si>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</si>
  <si>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</si>
  <si>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</si>
  <si>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</si>
  <si>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</si>
  <si>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</si>
  <si>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</si>
  <si>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</si>
  <si>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</si>
  <si>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</si>
  <si>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</si>
  <si>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</si>
  <si>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</si>
  <si>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</si>
  <si>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</si>
  <si>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</si>
  <si>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</si>
  <si>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</si>
  <si>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</si>
  <si>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</si>
  <si>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</si>
  <si>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</si>
  <si>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</si>
  <si>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</si>
  <si>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</si>
  <si>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</si>
  <si>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</si>
  <si>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</si>
  <si>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</si>
  <si>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</si>
  <si>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</si>
  <si>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</si>
  <si>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</si>
  <si>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</si>
  <si>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</si>
  <si>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</si>
  <si>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</si>
  <si>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</si>
  <si>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</si>
  <si>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</si>
  <si>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</si>
  <si>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</si>
  <si>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</si>
  <si>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</si>
  <si>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</si>
  <si>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</si>
  <si>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</si>
  <si>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</si>
  <si>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</si>
  <si>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</si>
  <si>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</si>
  <si>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</si>
  <si>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</si>
  <si>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</si>
  <si>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</si>
  <si>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</si>
  <si>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</si>
  <si>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</si>
  <si>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</si>
  <si>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</si>
  <si>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</si>
  <si>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</si>
  <si>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</si>
  <si>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</si>
  <si>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</si>
  <si>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</si>
  <si>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</si>
  <si>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</si>
  <si>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</si>
  <si>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</si>
  <si>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</si>
  <si>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</si>
  <si>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</si>
  <si>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</si>
  <si>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</si>
  <si>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</si>
  <si>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</si>
  <si>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</si>
  <si>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</si>
  <si>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</si>
  <si>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</si>
  <si>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</si>
  <si>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</si>
  <si>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</si>
  <si>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</si>
  <si>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</si>
  <si>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</si>
  <si>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</si>
  <si>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</si>
  <si>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</si>
  <si>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</si>
  <si>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</si>
  <si>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</si>
  <si>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</si>
  <si>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</si>
  <si>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</si>
  <si>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</si>
  <si>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</si>
  <si>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</si>
  <si>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</si>
  <si>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</si>
  <si>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</si>
  <si>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</si>
  <si>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</si>
  <si>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</si>
  <si>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</si>
  <si>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</si>
  <si>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</si>
  <si>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</si>
  <si>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</si>
  <si>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</si>
  <si>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</si>
  <si>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</si>
  <si>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</si>
  <si>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</si>
  <si>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</si>
  <si>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</si>
  <si>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</si>
  <si>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</si>
  <si>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</si>
  <si>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</si>
  <si>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</si>
  <si>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</si>
  <si>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</si>
  <si>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</si>
  <si>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</si>
  <si>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</si>
  <si>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</si>
  <si>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</si>
  <si>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</si>
  <si>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</si>
  <si>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</si>
  <si>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</si>
  <si>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</si>
  <si>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</si>
  <si>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</si>
  <si>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</si>
  <si>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</si>
  <si>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</si>
  <si>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</si>
  <si>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</si>
  <si>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</si>
  <si>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</si>
  <si>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</si>
  <si>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</si>
  <si>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</si>
  <si>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</si>
  <si>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</si>
  <si>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</si>
  <si>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</si>
  <si>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</si>
  <si>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</si>
  <si>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</si>
  <si>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</si>
  <si>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</si>
  <si>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</si>
  <si>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</si>
  <si>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</si>
  <si>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</si>
  <si>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</si>
  <si>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</si>
  <si>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</si>
  <si>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</si>
  <si>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</si>
  <si>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</si>
  <si>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</si>
  <si>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</si>
  <si>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</si>
  <si>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</si>
  <si>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</si>
  <si>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</si>
  <si>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</si>
  <si>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</si>
  <si>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</si>
  <si>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</si>
  <si>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</si>
  <si>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</si>
  <si>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</si>
  <si>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</si>
  <si>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</si>
  <si>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</si>
  <si>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</si>
  <si>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</si>
  <si>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</si>
  <si>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</si>
  <si>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</si>
  <si>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</si>
  <si>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</si>
  <si>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</si>
  <si>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</si>
  <si>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</si>
  <si>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</si>
  <si>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</si>
  <si>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</si>
  <si>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</si>
  <si>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</si>
  <si>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</si>
  <si>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</si>
  <si>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</si>
  <si>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</si>
  <si>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</si>
  <si>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</si>
  <si>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</si>
  <si>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</si>
  <si>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</si>
  <si>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</si>
  <si>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</si>
  <si>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</si>
  <si>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</si>
  <si>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</si>
  <si>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</si>
  <si>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</si>
  <si>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</si>
  <si>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</si>
  <si>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</si>
  <si>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</si>
  <si>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</si>
  <si>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</si>
  <si>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</si>
  <si>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</si>
  <si>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</si>
  <si>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</si>
  <si>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</si>
  <si>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</si>
  <si>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</si>
  <si>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</si>
  <si>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</si>
  <si>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</si>
  <si>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</si>
  <si>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</si>
  <si>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</si>
  <si>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</si>
  <si>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</si>
  <si>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</si>
  <si>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</si>
  <si>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</si>
  <si>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</si>
  <si>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</si>
  <si>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</si>
  <si>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</si>
  <si>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</si>
  <si>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</si>
  <si>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</si>
  <si>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</si>
  <si>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</si>
  <si>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</si>
  <si>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</si>
  <si>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</si>
  <si>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</si>
  <si>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</si>
  <si>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</si>
  <si>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</si>
  <si>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</si>
  <si>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</si>
  <si>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</si>
  <si>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</si>
  <si>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</si>
  <si>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</si>
  <si>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</si>
  <si>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</si>
  <si>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</si>
  <si>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</si>
  <si>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</si>
  <si>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</si>
  <si>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</si>
  <si>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</si>
  <si>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</si>
  <si>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</si>
  <si>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</si>
  <si>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</si>
  <si>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</si>
  <si>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</si>
  <si>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</si>
  <si>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</si>
  <si>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</si>
  <si>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</si>
  <si>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</si>
  <si>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</si>
  <si>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</si>
  <si>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</si>
  <si>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</si>
  <si>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</si>
  <si>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</si>
  <si>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</si>
  <si>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</si>
  <si>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</si>
  <si>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</si>
  <si>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</si>
  <si>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</si>
  <si>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</si>
  <si>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</si>
  <si>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</si>
  <si>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</si>
  <si>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</si>
  <si>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</si>
  <si>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</si>
  <si>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</si>
  <si>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</si>
  <si>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</si>
  <si>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</si>
  <si>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</si>
  <si>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</si>
  <si>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</si>
  <si>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</si>
  <si>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</si>
  <si>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</si>
  <si>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</si>
  <si>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</si>
  <si>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</si>
  <si>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</si>
  <si>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</si>
  <si>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</si>
  <si>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</si>
  <si>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</si>
  <si>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</si>
  <si>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</si>
  <si>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</si>
  <si>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</si>
  <si>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</si>
  <si>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</si>
  <si>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</si>
  <si>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</si>
  <si>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</si>
  <si>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</si>
  <si>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</si>
  <si>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</si>
  <si>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</si>
  <si>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</si>
  <si>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</si>
  <si>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</si>
  <si>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</si>
  <si>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</si>
  <si>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</si>
  <si>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</si>
  <si>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</si>
  <si>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</si>
  <si>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</si>
  <si>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</si>
  <si>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</si>
  <si>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</si>
  <si>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</si>
  <si>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</si>
  <si>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</si>
  <si>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</si>
  <si>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</si>
  <si>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</si>
  <si>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</si>
  <si>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</si>
  <si>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</si>
  <si>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</si>
  <si>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</si>
  <si>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</si>
  <si>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</si>
  <si>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</si>
  <si>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</si>
  <si>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</si>
  <si>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</si>
  <si>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</si>
  <si>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</si>
  <si>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</si>
  <si>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</si>
  <si>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</si>
  <si>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</si>
  <si>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</si>
  <si>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</si>
  <si>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</si>
  <si>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</si>
  <si>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</si>
  <si>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</si>
  <si>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</si>
  <si>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</si>
  <si>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</si>
  <si>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</si>
  <si>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</si>
  <si>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</si>
  <si>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</si>
  <si>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</si>
  <si>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</si>
  <si>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</si>
  <si>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</si>
  <si>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</si>
  <si>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</si>
  <si>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</si>
  <si>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</si>
  <si>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</si>
  <si>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</si>
  <si>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</si>
  <si>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</si>
  <si>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</si>
  <si>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</si>
  <si>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</si>
  <si>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</si>
  <si>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</si>
  <si>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</si>
  <si>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</si>
  <si>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</si>
  <si>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</si>
  <si>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</si>
  <si>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</si>
  <si>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</si>
  <si>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</si>
  <si>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</si>
  <si>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</si>
  <si>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</si>
  <si>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</si>
  <si>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</si>
  <si>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</si>
  <si>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</si>
  <si>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</si>
  <si>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</si>
  <si>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</si>
  <si>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</si>
  <si>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</si>
  <si>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</si>
  <si>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</si>
  <si>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</si>
  <si>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</si>
  <si>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</si>
  <si>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</si>
  <si>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</si>
  <si>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</si>
  <si>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</si>
  <si>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</si>
  <si>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</si>
  <si>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</si>
  <si>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</si>
  <si>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</si>
  <si>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</si>
  <si>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</si>
  <si>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</si>
  <si>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</si>
  <si>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</si>
  <si>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</si>
  <si>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</si>
  <si>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</si>
  <si>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</si>
  <si>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</si>
  <si>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</si>
  <si>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</si>
  <si>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</si>
  <si>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</si>
  <si>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</si>
  <si>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</si>
  <si>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</si>
  <si>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</si>
  <si>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</si>
  <si>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</si>
  <si>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</si>
  <si>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</si>
  <si>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</si>
  <si>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</si>
  <si>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</si>
  <si>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</si>
  <si>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</si>
  <si>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</si>
  <si>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</si>
  <si>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</si>
  <si>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</si>
  <si>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</si>
  <si>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</si>
  <si>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</si>
  <si>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</si>
  <si>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</si>
  <si>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</si>
  <si>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</si>
  <si>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</si>
  <si>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</si>
  <si>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</si>
  <si>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</si>
  <si>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</si>
  <si>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</si>
  <si>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</si>
  <si>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</si>
  <si>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</si>
  <si>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</si>
  <si>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</si>
  <si>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</si>
  <si>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</si>
  <si>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</si>
  <si>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</si>
  <si>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</si>
  <si>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</si>
  <si>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</si>
  <si>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</si>
  <si>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</si>
  <si>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</si>
  <si>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</si>
  <si>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</si>
  <si>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</si>
  <si>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</si>
  <si>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</si>
  <si>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</si>
  <si>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</si>
  <si>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</si>
  <si>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</si>
  <si>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</si>
  <si>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</si>
  <si>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</si>
  <si>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</si>
  <si>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</si>
  <si>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</si>
  <si>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</si>
  <si>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</si>
  <si>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</si>
  <si>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</si>
  <si>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</si>
  <si>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</si>
  <si>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</si>
  <si>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</si>
  <si>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</si>
  <si>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</si>
  <si>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</si>
  <si>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</si>
  <si>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</si>
  <si>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</si>
  <si>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</si>
  <si>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</si>
  <si>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</si>
  <si>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</si>
  <si>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</si>
  <si>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</si>
  <si>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</si>
  <si>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</si>
  <si>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</si>
  <si>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</si>
  <si>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</si>
  <si>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</si>
  <si>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</si>
  <si>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</si>
  <si>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</si>
  <si>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</si>
  <si>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</si>
  <si>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</si>
  <si>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</si>
  <si>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</si>
  <si>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</si>
  <si>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</si>
  <si>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</si>
  <si>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</si>
  <si>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</si>
  <si>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</si>
  <si>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</si>
  <si>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</si>
  <si>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</si>
  <si>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</si>
  <si>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</si>
  <si>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</si>
  <si>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</si>
  <si>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</si>
  <si>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</si>
  <si>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</si>
  <si>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</si>
  <si>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</si>
  <si>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</si>
  <si>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</si>
  <si>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</si>
  <si>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</si>
  <si>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</si>
  <si>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</si>
  <si>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</si>
  <si>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</si>
  <si>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</si>
  <si>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</si>
  <si>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</si>
  <si>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</si>
  <si>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</si>
  <si>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</si>
  <si>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</si>
  <si>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</si>
  <si>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</si>
  <si>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</si>
  <si>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</si>
  <si>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</si>
  <si>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</si>
  <si>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</si>
  <si>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</si>
  <si>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</si>
  <si>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</si>
  <si>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</si>
  <si>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</si>
  <si>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</si>
  <si>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</si>
  <si>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</si>
  <si>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</si>
  <si>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</si>
  <si>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</si>
  <si>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</si>
  <si>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</si>
  <si>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</si>
  <si>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</si>
  <si>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</si>
  <si>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</si>
  <si>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</si>
  <si>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</si>
  <si>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</si>
  <si>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</si>
  <si>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</si>
  <si>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</si>
  <si>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</si>
  <si>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</si>
  <si>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</si>
  <si>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</si>
  <si>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</si>
  <si>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</si>
  <si>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</si>
  <si>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</si>
  <si>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</si>
  <si>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</si>
  <si>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</si>
  <si>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</si>
  <si>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</si>
  <si>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</si>
  <si>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</si>
  <si>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</si>
  <si>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</si>
  <si>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</si>
  <si>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</si>
  <si>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</si>
  <si>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</si>
  <si>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</si>
  <si>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</si>
  <si>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</si>
  <si>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</si>
  <si>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</si>
  <si>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</si>
  <si>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</si>
  <si>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</si>
  <si>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</si>
  <si>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</si>
  <si>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</si>
  <si>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</si>
  <si>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</si>
  <si>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</si>
  <si>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</si>
  <si>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</si>
  <si>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</si>
  <si>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</si>
  <si>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</si>
  <si>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</si>
  <si>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</si>
  <si>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</si>
  <si>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</si>
  <si>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</si>
  <si>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</si>
  <si>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</si>
  <si>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</si>
  <si>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</si>
  <si>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</si>
  <si>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</si>
  <si>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</si>
  <si>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</si>
  <si>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</si>
  <si>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</si>
  <si>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</si>
  <si>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</si>
  <si>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</si>
  <si>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</si>
  <si>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</si>
  <si>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</si>
  <si>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</si>
  <si>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</si>
  <si>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</si>
  <si>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</si>
  <si>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</si>
  <si>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</si>
  <si>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</si>
  <si>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</si>
  <si>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</si>
  <si>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</si>
  <si>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</si>
  <si>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</si>
  <si>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</si>
  <si>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</si>
  <si>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</si>
  <si>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</si>
  <si>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</si>
  <si>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</si>
  <si>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</si>
  <si>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</si>
  <si>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</si>
  <si>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</si>
  <si>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</si>
  <si>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</si>
  <si>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</si>
  <si>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</si>
  <si>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</si>
  <si>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</si>
  <si>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</si>
  <si>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</si>
  <si>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</si>
  <si>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</si>
  <si>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</si>
  <si>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</si>
  <si>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</si>
  <si>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</si>
  <si>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</si>
  <si>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</si>
  <si>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</si>
  <si>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</si>
  <si>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</si>
  <si>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</si>
  <si>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</si>
  <si>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</si>
  <si>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</si>
  <si>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</si>
  <si>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</si>
  <si>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</si>
  <si>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</si>
  <si>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</si>
  <si>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</si>
  <si>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</si>
  <si>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</si>
  <si>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</si>
  <si>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</si>
  <si>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</si>
  <si>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</si>
  <si>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</si>
  <si>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</si>
  <si>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</si>
  <si>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</si>
  <si>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</si>
  <si>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</si>
  <si>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</si>
  <si>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</si>
  <si>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</si>
  <si>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</si>
  <si>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</si>
  <si>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</si>
  <si>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</si>
  <si>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</si>
  <si>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</si>
  <si>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</si>
  <si>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</si>
  <si>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</si>
  <si>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</si>
  <si>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</si>
  <si>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</si>
  <si>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</si>
  <si>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</si>
  <si>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</si>
  <si>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</si>
  <si>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</si>
  <si>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</si>
  <si>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</si>
  <si>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</si>
  <si>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</si>
  <si>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</si>
  <si>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</si>
  <si>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</si>
  <si>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</si>
  <si>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</si>
  <si>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</si>
  <si>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</si>
  <si>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</si>
  <si>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</si>
  <si>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</si>
  <si>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</si>
  <si>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</si>
  <si>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</si>
  <si>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</si>
  <si>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</si>
  <si>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</si>
  <si>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</si>
  <si>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</si>
  <si>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</si>
  <si>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</si>
  <si>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</si>
  <si>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</si>
  <si>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</si>
  <si>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</si>
  <si>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</si>
  <si>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</si>
  <si>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</si>
  <si>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</si>
  <si>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</si>
  <si>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</si>
  <si>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</si>
  <si>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</si>
  <si>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</si>
  <si>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</si>
  <si>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</si>
  <si>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</si>
  <si>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</si>
  <si>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</si>
  <si>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</si>
  <si>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</si>
  <si>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</si>
  <si>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</si>
  <si>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</si>
  <si>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</si>
  <si>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</si>
  <si>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</si>
  <si>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</si>
  <si>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</si>
  <si>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</si>
  <si>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</si>
  <si>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</si>
  <si>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</si>
  <si>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</si>
  <si>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</si>
  <si>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</si>
  <si>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</si>
  <si>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</si>
  <si>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</si>
  <si>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</si>
  <si>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</si>
  <si>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</si>
  <si>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</si>
  <si>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</si>
  <si>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</si>
  <si>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</si>
  <si>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</si>
  <si>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</si>
  <si>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</si>
  <si>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</si>
  <si>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</si>
  <si>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</si>
  <si>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</si>
  <si>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</si>
  <si>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</si>
  <si>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</si>
  <si>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</si>
  <si>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</si>
  <si>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</si>
  <si>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</si>
  <si>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</si>
  <si>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</si>
  <si>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</si>
  <si>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</si>
  <si>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</si>
  <si>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</si>
  <si>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</si>
  <si>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</si>
  <si>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</si>
  <si>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</si>
  <si>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</si>
  <si>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</si>
  <si>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</si>
  <si>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</si>
  <si>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</si>
  <si>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</si>
  <si>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</si>
  <si>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</si>
  <si>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</si>
  <si>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</si>
  <si>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</si>
  <si>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</si>
  <si>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</si>
  <si>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</si>
  <si>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</si>
  <si>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</si>
  <si>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</si>
  <si>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</si>
  <si>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</si>
  <si>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</si>
  <si>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</si>
  <si>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</si>
  <si>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</si>
  <si>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</si>
  <si>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</si>
  <si>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</si>
  <si>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</si>
  <si>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</si>
  <si>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</si>
  <si>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</si>
  <si>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</si>
  <si>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</si>
  <si>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</si>
  <si>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</si>
  <si>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</si>
  <si>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</si>
  <si>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</si>
  <si>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</si>
  <si>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</si>
  <si>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</si>
  <si>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</si>
  <si>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</si>
  <si>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</si>
  <si>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</si>
  <si>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</si>
  <si>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</si>
  <si>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</si>
  <si>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</si>
  <si>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</si>
  <si>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</si>
  <si>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</si>
  <si>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</si>
  <si>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</si>
  <si>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</si>
  <si>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</si>
  <si>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</si>
  <si>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</si>
  <si>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</si>
  <si>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</si>
  <si>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</si>
  <si>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</si>
  <si>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</si>
  <si>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</si>
  <si>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</si>
  <si>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</si>
  <si>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</si>
  <si>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</si>
  <si>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</si>
  <si>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</si>
  <si>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</si>
  <si>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</si>
  <si>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</si>
  <si>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</si>
  <si>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</si>
  <si>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</si>
  <si>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</si>
  <si>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</si>
  <si>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</si>
  <si>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</si>
  <si>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</si>
  <si>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</si>
  <si>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</si>
  <si>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</si>
  <si>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</si>
  <si>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</si>
  <si>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</si>
  <si>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</si>
  <si>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</si>
  <si>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</si>
  <si>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</si>
  <si>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</si>
  <si>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</si>
  <si>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</si>
  <si>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</si>
  <si>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</si>
  <si>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</si>
  <si>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</si>
  <si>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</si>
  <si>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</si>
  <si>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</si>
  <si>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</si>
  <si>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</si>
  <si>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</si>
  <si>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</si>
  <si>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</si>
  <si>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</si>
  <si>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</si>
  <si>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</si>
  <si>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</si>
  <si>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</si>
  <si>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</si>
  <si>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</si>
  <si>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</si>
  <si>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</si>
  <si>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</si>
  <si>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</si>
  <si>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</si>
  <si>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</si>
  <si>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</si>
  <si>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</si>
  <si>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</si>
  <si>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</si>
  <si>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</si>
  <si>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</si>
  <si>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</si>
  <si>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</si>
  <si>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</si>
  <si>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</si>
  <si>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</si>
  <si>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</si>
  <si>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</si>
  <si>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</si>
  <si>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</si>
  <si>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</si>
  <si>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</si>
  <si>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</si>
  <si>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</si>
  <si>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</si>
  <si>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</si>
  <si>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</si>
  <si>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</si>
  <si>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</si>
  <si>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</si>
  <si>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</si>
  <si>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</si>
  <si>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</si>
  <si>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</si>
  <si>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</si>
  <si>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</si>
  <si>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</si>
  <si>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</si>
  <si>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</si>
  <si>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</si>
  <si>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</si>
  <si>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</si>
  <si>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</si>
  <si>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</si>
  <si>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</si>
  <si>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</si>
  <si>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</si>
  <si>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</si>
  <si>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</si>
  <si>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</si>
  <si>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</si>
  <si>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</si>
  <si>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</si>
  <si>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</si>
  <si>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</si>
  <si>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</si>
  <si>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</si>
  <si>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</si>
  <si>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</si>
  <si>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</si>
  <si>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</si>
  <si>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</si>
  <si>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</si>
  <si>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</si>
  <si>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</si>
  <si>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</si>
  <si>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</si>
  <si>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</si>
  <si>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</si>
  <si>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</si>
  <si>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</si>
  <si>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</si>
  <si>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</si>
  <si>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</si>
  <si>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</si>
  <si>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</si>
  <si>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</si>
  <si>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</si>
  <si>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</si>
  <si>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</si>
  <si>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</si>
  <si>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</si>
  <si>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</si>
  <si>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</si>
  <si>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</si>
  <si>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</si>
  <si>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</si>
  <si>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</si>
  <si>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</si>
  <si>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</si>
  <si>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</si>
  <si>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</si>
  <si>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</si>
  <si>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</si>
  <si>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</si>
  <si>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</si>
  <si>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</si>
  <si>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</si>
  <si>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</si>
  <si>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</si>
  <si>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</si>
  <si>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</si>
  <si>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</si>
  <si>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</si>
  <si>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</si>
  <si>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</si>
  <si>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</si>
  <si>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</si>
  <si>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</si>
  <si>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</si>
  <si>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</si>
  <si>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</si>
  <si>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</si>
  <si>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</si>
  <si>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</si>
  <si>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</si>
  <si>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</si>
  <si>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</si>
  <si>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</si>
  <si>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</si>
  <si>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</si>
  <si>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</si>
  <si>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</si>
  <si>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</si>
  <si>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</si>
  <si>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</si>
  <si>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</si>
  <si>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</si>
  <si>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</si>
  <si>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</si>
  <si>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</si>
  <si>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</si>
  <si>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</si>
  <si>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</si>
  <si>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</si>
  <si>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</si>
  <si>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</si>
  <si>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</si>
  <si>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</si>
  <si>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</si>
  <si>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</si>
  <si>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</si>
  <si>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</si>
  <si>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</si>
  <si>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</si>
  <si>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</si>
  <si>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</si>
  <si>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</si>
  <si>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</si>
  <si>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</si>
  <si>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</si>
  <si>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</si>
  <si>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</si>
  <si>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</si>
  <si>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</si>
  <si>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</si>
  <si>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</si>
  <si>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</si>
  <si>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</si>
  <si>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</si>
  <si>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</si>
  <si>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</si>
  <si>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</si>
  <si>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</si>
  <si>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</si>
  <si>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</si>
  <si>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</si>
  <si>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</si>
  <si>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</si>
  <si>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</si>
  <si>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</si>
  <si>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</si>
  <si>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</si>
  <si>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</si>
  <si>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</si>
  <si>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</si>
  <si>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</si>
  <si>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</si>
  <si>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</si>
  <si>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</si>
  <si>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</si>
  <si>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</si>
  <si>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</si>
  <si>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</si>
  <si>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</si>
  <si>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</si>
  <si>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</si>
  <si>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</si>
  <si>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</si>
  <si>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</si>
  <si>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</si>
  <si>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</si>
  <si>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</si>
  <si>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</si>
  <si>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</si>
  <si>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</si>
  <si>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</si>
  <si>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</si>
  <si>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</si>
  <si>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</si>
  <si>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</si>
  <si>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</si>
  <si>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</si>
  <si>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</si>
  <si>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</si>
  <si>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</si>
  <si>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</si>
  <si>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</si>
  <si>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</si>
  <si>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</si>
  <si>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</si>
  <si>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</si>
  <si>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</si>
  <si>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</si>
  <si>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</si>
  <si>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</si>
  <si>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</si>
  <si>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</si>
  <si>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</si>
  <si>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</si>
  <si>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</si>
  <si>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</si>
  <si>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</si>
  <si>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</si>
  <si>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</si>
  <si>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</si>
  <si>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</si>
  <si>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</si>
  <si>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</si>
  <si>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</si>
  <si>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</si>
  <si>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</si>
  <si>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</si>
  <si>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</si>
  <si>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</si>
  <si>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</si>
  <si>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</si>
  <si>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</si>
  <si>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</si>
  <si>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</si>
  <si>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</si>
  <si>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</si>
  <si>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</si>
  <si>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</si>
  <si>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</si>
  <si>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</si>
  <si>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</si>
  <si>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</si>
  <si>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</si>
  <si>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</si>
  <si>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</si>
  <si>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</si>
  <si>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</si>
  <si>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</si>
  <si>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</si>
  <si>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</si>
  <si>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</si>
  <si>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</si>
  <si>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</si>
  <si>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</si>
  <si>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</si>
  <si>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</si>
  <si>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</si>
  <si>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</si>
  <si>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</si>
  <si>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</si>
  <si>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</si>
  <si>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</si>
  <si>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</si>
  <si>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</si>
  <si>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</si>
  <si>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</si>
  <si>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</si>
  <si>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</si>
  <si>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</si>
  <si>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</si>
  <si>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</si>
  <si>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</si>
  <si>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</si>
  <si>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</si>
  <si>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</si>
  <si>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</si>
  <si>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</si>
  <si>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</si>
  <si>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</si>
  <si>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</si>
  <si>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</si>
  <si>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</si>
  <si>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</si>
  <si>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</si>
  <si>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</si>
  <si>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</si>
  <si>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</si>
  <si>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</si>
  <si>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</si>
  <si>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</si>
  <si>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</si>
  <si>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</si>
  <si>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</si>
  <si>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</si>
  <si>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</si>
  <si>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</si>
  <si>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</si>
  <si>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</si>
  <si>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</si>
  <si>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</si>
  <si>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</si>
  <si>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</si>
  <si>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</si>
  <si>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</si>
  <si>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</si>
  <si>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</si>
  <si>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</si>
  <si>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</si>
  <si>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</si>
  <si>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</si>
  <si>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</si>
  <si>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</si>
  <si>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</si>
  <si>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</si>
  <si>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</si>
  <si>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</si>
  <si>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</si>
  <si>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</si>
  <si>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</si>
  <si>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</si>
  <si>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</si>
  <si>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</si>
  <si>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</si>
  <si>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</si>
  <si>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</si>
  <si>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</si>
  <si>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</si>
  <si>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</si>
  <si>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</si>
  <si>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</si>
  <si>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</si>
  <si>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</si>
  <si>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</si>
  <si>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</si>
  <si>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</si>
  <si>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</si>
  <si>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</si>
  <si>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</si>
  <si>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</si>
  <si>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</si>
  <si>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</si>
  <si>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</si>
  <si>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</si>
  <si>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</si>
  <si>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</si>
  <si>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</si>
  <si>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</si>
  <si>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</si>
  <si>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</si>
  <si>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</si>
  <si>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</si>
  <si>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</si>
  <si>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</si>
  <si>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</si>
  <si>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</si>
  <si>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</si>
  <si>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</si>
  <si>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</si>
  <si>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</si>
  <si>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</si>
  <si>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</si>
  <si>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</si>
  <si>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</si>
  <si>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</si>
  <si>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</si>
  <si>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</si>
  <si>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</si>
  <si>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</si>
  <si>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</si>
  <si>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</si>
  <si>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</si>
  <si>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</si>
  <si>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</si>
  <si>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</si>
  <si>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</si>
  <si>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</si>
  <si>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</si>
  <si>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</si>
  <si>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</si>
  <si>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</si>
  <si>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</si>
  <si>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</si>
  <si>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</si>
  <si>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</si>
  <si>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</si>
  <si>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</si>
  <si>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</si>
  <si>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</si>
  <si>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</si>
  <si>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</si>
  <si>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</si>
  <si>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</si>
  <si>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</si>
  <si>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</si>
  <si>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</si>
  <si>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</si>
  <si>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</si>
  <si>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</si>
  <si>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</si>
  <si>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</si>
  <si>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</si>
  <si>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</si>
  <si>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</si>
  <si>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</si>
  <si>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</si>
  <si>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</si>
  <si>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</si>
  <si>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</si>
  <si>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</si>
  <si>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</si>
  <si>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</si>
  <si>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</si>
  <si>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</si>
  <si>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</si>
  <si>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</si>
  <si>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</si>
  <si>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</si>
  <si>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</si>
  <si>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</si>
  <si>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</si>
  <si>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</si>
  <si>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</si>
  <si>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</si>
  <si>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</si>
  <si>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</si>
  <si>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</si>
  <si>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</si>
  <si>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</si>
  <si>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</si>
  <si>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</si>
  <si>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</si>
  <si>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</si>
  <si>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</si>
  <si>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</si>
  <si>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</si>
  <si>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</si>
  <si>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</si>
  <si>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</si>
  <si>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</si>
  <si>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</si>
  <si>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</si>
  <si>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</si>
  <si>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</si>
  <si>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</si>
  <si>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</si>
  <si>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</si>
  <si>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</si>
  <si>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</si>
  <si>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</si>
  <si>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</si>
  <si>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</si>
  <si>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</si>
  <si>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</si>
  <si>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</si>
  <si>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</si>
  <si>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</si>
  <si>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</si>
  <si>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</si>
  <si>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</si>
  <si>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</si>
  <si>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</si>
  <si>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</si>
  <si>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</si>
  <si>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</si>
  <si>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</si>
  <si>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</si>
  <si>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</si>
  <si>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</si>
  <si>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</si>
  <si>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</si>
  <si>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</si>
  <si>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</si>
  <si>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</si>
  <si>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</si>
  <si>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</si>
  <si>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</si>
  <si>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</si>
  <si>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</si>
  <si>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</si>
  <si>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</si>
  <si>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</si>
  <si>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</si>
  <si>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</si>
  <si>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</si>
  <si>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</si>
  <si>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</si>
  <si>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</si>
  <si>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</si>
  <si>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</si>
  <si>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</si>
  <si>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</si>
  <si>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</si>
  <si>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</si>
  <si>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</si>
  <si>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</si>
  <si>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</si>
  <si>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</si>
  <si>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</si>
  <si>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</si>
  <si>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</si>
  <si>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</si>
  <si>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</si>
  <si>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</si>
  <si>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</si>
  <si>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</si>
  <si>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</si>
  <si>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</si>
  <si>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</si>
  <si>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</si>
  <si>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</si>
  <si>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</si>
  <si>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</si>
  <si>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</si>
  <si>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</si>
  <si>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</si>
  <si>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</si>
  <si>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</si>
  <si>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</si>
  <si>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</si>
  <si>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</si>
  <si>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</si>
  <si>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</si>
  <si>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</si>
  <si>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</si>
  <si>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</si>
  <si>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</si>
  <si>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</si>
  <si>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</si>
  <si>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</si>
  <si>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</si>
  <si>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</si>
  <si>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</si>
  <si>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</si>
  <si>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</si>
  <si>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</si>
  <si>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</si>
  <si>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</si>
  <si>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</si>
  <si>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</si>
  <si>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</si>
  <si>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</si>
  <si>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</si>
  <si>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</si>
  <si>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</si>
  <si>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</si>
  <si>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</si>
  <si>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</si>
  <si>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</si>
  <si>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</si>
  <si>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</si>
  <si>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</si>
  <si>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</si>
  <si>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</si>
  <si>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</si>
  <si>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</si>
  <si>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</si>
  <si>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</si>
  <si>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</si>
  <si>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</si>
  <si>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</si>
  <si>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</si>
  <si>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</si>
  <si>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</si>
  <si>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</si>
  <si>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</si>
  <si>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</si>
  <si>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</si>
  <si>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</si>
  <si>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</si>
  <si>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</si>
  <si>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</si>
  <si>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</si>
  <si>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</si>
  <si>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</si>
  <si>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</si>
  <si>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</si>
  <si>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</si>
  <si>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</si>
  <si>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</si>
  <si>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</si>
  <si>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</si>
  <si>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</si>
  <si>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</si>
  <si>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</si>
  <si>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</si>
  <si>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</si>
  <si>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</si>
  <si>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</si>
  <si>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</si>
  <si>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</si>
  <si>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</si>
  <si>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</si>
  <si>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</si>
  <si>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</si>
  <si>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</si>
  <si>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</si>
  <si>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</si>
  <si>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</si>
  <si>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</si>
  <si>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</si>
  <si>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</si>
  <si>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</si>
  <si>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</si>
  <si>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</si>
  <si>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</si>
  <si>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</si>
  <si>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</si>
  <si>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</si>
  <si>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</si>
  <si>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</si>
  <si>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</si>
  <si>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</si>
  <si>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</si>
  <si>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</si>
  <si>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</si>
  <si>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</si>
  <si>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</si>
  <si>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</si>
  <si>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</si>
  <si>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</si>
  <si>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</si>
  <si>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</si>
  <si>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</si>
  <si>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</si>
  <si>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</si>
  <si>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</si>
  <si>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</si>
  <si>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</si>
  <si>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</si>
  <si>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</si>
  <si>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</si>
  <si>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</si>
  <si>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</si>
  <si>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</si>
  <si>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</si>
  <si>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</si>
  <si>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</si>
  <si>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</si>
  <si>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</si>
  <si>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</si>
  <si>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</si>
  <si>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</si>
  <si>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</si>
  <si>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</si>
  <si>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</si>
  <si>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</si>
  <si>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</si>
  <si>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</si>
  <si>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</si>
  <si>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</si>
  <si>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</si>
  <si>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</si>
  <si>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</si>
  <si>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</si>
  <si>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</si>
  <si>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</si>
  <si>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</si>
  <si>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</si>
  <si>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</si>
  <si>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</si>
  <si>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</si>
  <si>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</si>
  <si>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</si>
  <si>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</si>
  <si>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</si>
  <si>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</si>
  <si>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</si>
  <si>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</si>
  <si>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</si>
  <si>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</si>
  <si>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</si>
  <si>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</si>
  <si>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</si>
  <si>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</si>
  <si>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</si>
  <si>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</si>
  <si>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</si>
  <si>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</si>
  <si>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</si>
  <si>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</si>
  <si>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</si>
  <si>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</si>
  <si>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</si>
  <si>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</si>
  <si>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</si>
  <si>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</si>
  <si>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</si>
  <si>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</si>
  <si>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</si>
  <si>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</si>
  <si>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</si>
  <si>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</si>
  <si>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</si>
  <si>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</si>
  <si>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</si>
  <si>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</si>
  <si>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</si>
  <si>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</si>
  <si>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</si>
  <si>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</si>
  <si>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</si>
  <si>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</si>
  <si>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</si>
  <si>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</si>
  <si>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</si>
  <si>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</si>
  <si>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</si>
  <si>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</si>
  <si>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</si>
  <si>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</si>
  <si>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</si>
  <si>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</si>
  <si>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</si>
  <si>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</si>
  <si>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</si>
  <si>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</si>
  <si>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</si>
  <si>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</si>
  <si>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</si>
  <si>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</si>
  <si>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</si>
  <si>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</si>
  <si>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</si>
  <si>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</si>
  <si>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</si>
  <si>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</si>
  <si>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</si>
  <si>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</si>
  <si>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</si>
  <si>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</si>
  <si>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</si>
  <si>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</si>
  <si>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</si>
  <si>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</si>
  <si>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</si>
  <si>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</si>
  <si>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</si>
  <si>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</si>
  <si>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</si>
  <si>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</si>
  <si>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</si>
  <si>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</si>
  <si>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</si>
  <si>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</si>
  <si>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</si>
  <si>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</si>
  <si>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</si>
  <si>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</si>
  <si>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</si>
  <si>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</si>
  <si>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</si>
  <si>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</si>
  <si>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</si>
  <si>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</si>
  <si>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</si>
  <si>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</si>
  <si>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</si>
  <si>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</si>
  <si>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</si>
  <si>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</si>
  <si>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</si>
  <si>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</si>
  <si>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</si>
  <si>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</si>
  <si>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</si>
  <si>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</si>
  <si>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</si>
  <si>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</si>
  <si>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</si>
  <si>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</si>
  <si>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</si>
  <si>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</si>
  <si>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</si>
  <si>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</si>
  <si>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</si>
  <si>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</si>
  <si>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</si>
  <si>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</si>
  <si>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</si>
  <si>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</si>
  <si>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</si>
  <si>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</si>
  <si>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</si>
  <si>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</si>
  <si>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</si>
  <si>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</si>
  <si>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</si>
  <si>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</si>
  <si>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</si>
  <si>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</si>
  <si>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</si>
  <si>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</si>
  <si>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</si>
  <si>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</si>
  <si>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</si>
  <si>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</si>
  <si>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</si>
  <si>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</si>
  <si>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</si>
  <si>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</si>
  <si>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</si>
  <si>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</si>
  <si>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</si>
  <si>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</si>
  <si>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</si>
  <si>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</si>
  <si>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</si>
  <si>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</si>
  <si>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</si>
  <si>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</si>
  <si>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</si>
  <si>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</si>
  <si>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</si>
  <si>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</si>
  <si>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</si>
  <si>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</si>
  <si>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</si>
  <si>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</si>
  <si>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</si>
  <si>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</si>
  <si>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</si>
  <si>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</si>
  <si>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</si>
  <si>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</si>
  <si>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</si>
  <si>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</si>
  <si>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</si>
  <si>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</si>
  <si>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</si>
  <si>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</si>
  <si>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</si>
  <si>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</si>
  <si>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</si>
  <si>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</si>
  <si>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</si>
  <si>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</si>
  <si>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</si>
  <si>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</si>
  <si>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</si>
  <si>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</si>
  <si>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</si>
  <si>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</si>
  <si>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</si>
  <si>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</si>
  <si>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</si>
  <si>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</si>
  <si>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</si>
  <si>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</si>
  <si>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</si>
  <si>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</si>
  <si>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</si>
  <si>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</si>
  <si>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</si>
  <si>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</si>
  <si>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</si>
  <si>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</si>
  <si>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</si>
  <si>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</si>
  <si>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</si>
  <si>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</si>
  <si>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</si>
  <si>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</si>
  <si>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</si>
  <si>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</si>
  <si>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</si>
  <si>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</si>
  <si>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</si>
  <si>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</si>
  <si>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</si>
  <si>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</si>
  <si>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</si>
  <si>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</si>
  <si>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</si>
  <si>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</si>
  <si>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</si>
  <si>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</si>
  <si>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</si>
  <si>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</si>
  <si>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</si>
  <si>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</si>
  <si>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</si>
  <si>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</si>
  <si>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</si>
  <si>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</si>
  <si>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</si>
  <si>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</si>
  <si>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</si>
  <si>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</si>
  <si>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</si>
  <si>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</si>
  <si>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</si>
  <si>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</si>
  <si>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</si>
  <si>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</si>
  <si>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</si>
  <si>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</si>
  <si>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</si>
  <si>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</si>
  <si>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</si>
  <si>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</si>
  <si>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</si>
  <si>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</si>
  <si>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</si>
  <si>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</si>
  <si>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</si>
  <si>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</si>
  <si>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</si>
  <si>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</si>
  <si>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</si>
  <si>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</si>
  <si>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</si>
  <si>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</si>
  <si>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</si>
  <si>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</si>
  <si>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</si>
  <si>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</si>
  <si>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</si>
  <si>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</si>
  <si>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</si>
  <si>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</si>
  <si>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</si>
  <si>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</si>
  <si>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</si>
  <si>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</si>
  <si>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</si>
  <si>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</si>
  <si>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</si>
  <si>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</si>
  <si>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</si>
  <si>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</si>
  <si>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</si>
  <si>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</si>
  <si>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</si>
  <si>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</si>
  <si>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</si>
  <si>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</si>
  <si>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</si>
  <si>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</si>
  <si>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</si>
  <si>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</si>
  <si>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</si>
  <si>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</si>
  <si>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</si>
  <si>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</si>
  <si>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</si>
  <si>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</si>
  <si>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</si>
  <si>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</si>
  <si>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</si>
  <si>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</si>
  <si>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</si>
  <si>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</si>
  <si>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</si>
  <si>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</si>
  <si>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</si>
  <si>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</si>
  <si>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</si>
  <si>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</si>
  <si>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</si>
  <si>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</si>
  <si>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</si>
  <si>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</si>
  <si>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</si>
  <si>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</si>
  <si>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</si>
  <si>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</si>
  <si>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</si>
  <si>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</si>
  <si>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</si>
  <si>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</si>
  <si>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</si>
  <si>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</si>
  <si>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</si>
  <si>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</si>
  <si>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</si>
  <si>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</si>
  <si>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</si>
  <si>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</si>
  <si>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</si>
  <si>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</si>
  <si>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</si>
  <si>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</si>
  <si>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</si>
  <si>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</si>
  <si>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</si>
  <si>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</si>
  <si>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</si>
  <si>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</si>
  <si>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</si>
  <si>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</si>
  <si>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</si>
  <si>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</si>
  <si>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</si>
  <si>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</si>
  <si>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</si>
  <si>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</si>
  <si>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</si>
  <si>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</si>
  <si>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</si>
  <si>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</si>
  <si>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</si>
  <si>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</si>
  <si>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</si>
  <si>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</si>
  <si>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</si>
  <si>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</si>
  <si>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</si>
  <si>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</si>
  <si>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</si>
  <si>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</si>
  <si>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</si>
  <si>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</si>
  <si>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</si>
  <si>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</si>
  <si>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</si>
  <si>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</si>
  <si>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</si>
  <si>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</si>
  <si>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</si>
  <si>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</si>
  <si>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</si>
  <si>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</si>
  <si>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</si>
  <si>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</si>
  <si>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</si>
  <si>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</si>
  <si>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</si>
  <si>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</si>
  <si>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</si>
  <si>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</si>
  <si>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</si>
  <si>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</si>
  <si>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</si>
  <si>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</si>
  <si>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</si>
  <si>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</si>
  <si>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</si>
  <si>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</si>
  <si>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</si>
  <si>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</si>
  <si>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</si>
  <si>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</si>
  <si>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</si>
  <si>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</si>
  <si>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</si>
  <si>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</si>
  <si>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</si>
  <si>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</si>
  <si>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</si>
  <si>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</si>
  <si>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</si>
  <si>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</si>
  <si>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</si>
  <si>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</si>
  <si>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</si>
  <si>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</si>
  <si>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</si>
  <si>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</si>
  <si>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</si>
  <si>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</si>
  <si>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</si>
  <si>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</si>
  <si>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</si>
  <si>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</si>
  <si>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</si>
  <si>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</si>
  <si>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</si>
  <si>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</si>
  <si>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</si>
  <si>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</si>
  <si>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</si>
  <si>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</si>
  <si>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</si>
  <si>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</si>
  <si>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</si>
  <si>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</si>
  <si>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</si>
  <si>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</si>
  <si>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</si>
  <si>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</si>
  <si>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</si>
  <si>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</si>
  <si>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</si>
  <si>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</si>
  <si>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</si>
  <si>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</si>
  <si>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</si>
  <si>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</si>
  <si>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</si>
  <si>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</si>
  <si>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</si>
  <si>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</si>
  <si>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</si>
  <si>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</si>
  <si>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</si>
  <si>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</si>
  <si>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</si>
  <si>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</si>
  <si>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</si>
  <si>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</si>
  <si>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</si>
  <si>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</si>
  <si>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</si>
  <si>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</si>
  <si>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</si>
  <si>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</si>
  <si>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</si>
  <si>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</si>
  <si>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</si>
  <si>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</si>
  <si>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</si>
  <si>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</si>
  <si>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</si>
  <si>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</si>
  <si>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</si>
  <si>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</si>
  <si>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</si>
  <si>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</si>
  <si>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</si>
  <si>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</si>
  <si>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</si>
  <si>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</si>
  <si>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</si>
  <si>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</si>
  <si>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</si>
  <si>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</si>
  <si>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</si>
  <si>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</si>
  <si>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</si>
  <si>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</si>
  <si>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</si>
  <si>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</si>
  <si>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</si>
  <si>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</si>
  <si>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</si>
  <si>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</si>
  <si>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</si>
  <si>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</si>
  <si>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</si>
  <si>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</si>
  <si>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</si>
  <si>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</si>
  <si>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</si>
  <si>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</si>
  <si>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</si>
  <si>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</si>
  <si>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</si>
  <si>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</si>
  <si>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</si>
  <si>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</si>
  <si>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</si>
  <si>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</si>
  <si>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</si>
  <si>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</si>
  <si>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</si>
  <si>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</si>
  <si>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</si>
  <si>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</si>
  <si>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</si>
  <si>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</si>
  <si>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</si>
  <si>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</si>
  <si>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</si>
  <si>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</si>
  <si>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</si>
  <si>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</si>
  <si>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</si>
  <si>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</si>
  <si>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</si>
  <si>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</si>
  <si>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</si>
  <si>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</si>
  <si>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</si>
  <si>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</si>
  <si>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</si>
  <si>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</si>
  <si>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</si>
  <si>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</si>
  <si>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</si>
  <si>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</si>
  <si>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</si>
  <si>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</si>
  <si>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</si>
  <si>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</si>
  <si>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</si>
  <si>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</si>
  <si>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</si>
  <si>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</si>
  <si>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</si>
  <si>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</si>
  <si>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</si>
  <si>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</si>
  <si>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</si>
  <si>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</si>
  <si>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</si>
  <si>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</si>
  <si>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</si>
  <si>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</si>
  <si>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</si>
  <si>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</si>
  <si>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</si>
  <si>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</si>
  <si>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</si>
  <si>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</si>
  <si>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</si>
  <si>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</si>
  <si>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</si>
  <si>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</si>
  <si>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</si>
  <si>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</si>
  <si>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</si>
  <si>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</si>
  <si>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</si>
  <si>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</si>
  <si>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</si>
  <si>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</si>
  <si>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</si>
  <si>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</si>
  <si>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</si>
  <si>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</si>
  <si>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</si>
  <si>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</si>
  <si>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</si>
  <si>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</si>
  <si>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</si>
  <si>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</si>
  <si>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</si>
  <si>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</si>
  <si>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</si>
  <si>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</si>
  <si>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</si>
  <si>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</si>
  <si>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</si>
  <si>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</si>
  <si>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</si>
  <si>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</si>
  <si>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</si>
  <si>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</si>
  <si>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</si>
  <si>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</si>
  <si>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</si>
  <si>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</si>
  <si>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</si>
  <si>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</si>
  <si>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</si>
  <si>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</si>
  <si>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</si>
  <si>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</si>
  <si>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</si>
  <si>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</si>
  <si>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</si>
  <si>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</si>
  <si>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</si>
  <si>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</si>
  <si>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</si>
  <si>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</si>
  <si>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</si>
  <si>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</si>
  <si>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</si>
  <si>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</si>
  <si>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</si>
  <si>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</si>
  <si>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</si>
  <si>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</si>
  <si>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</si>
  <si>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</si>
  <si>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</si>
  <si>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</si>
  <si>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</si>
  <si>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</si>
  <si>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</si>
  <si>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</si>
  <si>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</si>
  <si>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</si>
  <si>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</si>
  <si>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</si>
  <si>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</si>
  <si>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</si>
  <si>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</si>
  <si>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</si>
  <si>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</si>
  <si>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</si>
  <si>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</si>
  <si>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</si>
  <si>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</si>
  <si>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</si>
  <si>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</si>
  <si>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</si>
  <si>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</si>
  <si>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</si>
  <si>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</si>
  <si>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</si>
  <si>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</si>
  <si>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</si>
  <si>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</si>
  <si>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</si>
  <si>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</si>
  <si>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</si>
  <si>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</si>
  <si>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</si>
  <si>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</si>
  <si>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</si>
  <si>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</si>
  <si>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</si>
  <si>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</si>
  <si>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</si>
  <si>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</si>
  <si>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</si>
  <si>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</si>
  <si>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</si>
  <si>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</si>
  <si>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</si>
  <si>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</si>
  <si>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</si>
  <si>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</si>
  <si>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</si>
  <si>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</si>
  <si>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</si>
  <si>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</si>
  <si>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</si>
  <si>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</si>
  <si>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</si>
  <si>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</si>
  <si>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</si>
  <si>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</si>
  <si>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</si>
  <si>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</si>
  <si>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</si>
  <si>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</si>
  <si>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</si>
  <si>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</si>
  <si>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</si>
  <si>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</si>
  <si>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</si>
  <si>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</si>
  <si>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</si>
  <si>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</si>
  <si>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</si>
  <si>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</si>
  <si>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</si>
  <si>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</si>
  <si>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</si>
  <si>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</si>
  <si>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</si>
  <si>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</si>
  <si>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</si>
  <si>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</si>
  <si>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</si>
  <si>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</si>
  <si>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</si>
  <si>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</si>
  <si>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</si>
  <si>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</si>
  <si>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</si>
  <si>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</si>
  <si>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</si>
  <si>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</si>
  <si>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</si>
  <si>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</si>
  <si>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</si>
  <si>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</si>
  <si>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</si>
  <si>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</si>
  <si>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</si>
  <si>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</si>
  <si>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</si>
  <si>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</si>
  <si>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</si>
  <si>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</si>
  <si>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</si>
  <si>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</si>
  <si>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</si>
  <si>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</si>
  <si>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</si>
  <si>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</si>
  <si>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</si>
  <si>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</si>
  <si>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</si>
  <si>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</si>
  <si>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</si>
  <si>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</si>
  <si>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</si>
  <si>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</si>
  <si>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</si>
  <si>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</si>
  <si>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</si>
  <si>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</si>
  <si>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</si>
  <si>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</si>
  <si>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</si>
  <si>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</si>
  <si>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</si>
  <si>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</si>
  <si>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</si>
  <si>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</si>
  <si>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</si>
  <si>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</si>
  <si>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</si>
  <si>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</si>
  <si>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</si>
  <si>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</si>
  <si>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</si>
  <si>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</si>
  <si>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</si>
  <si>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</si>
  <si>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</si>
  <si>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</si>
  <si>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</si>
  <si>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</si>
  <si>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</si>
  <si>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</si>
  <si>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</si>
  <si>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</si>
  <si>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</si>
  <si>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</si>
  <si>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</si>
  <si>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</si>
  <si>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</si>
  <si>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</si>
  <si>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</si>
  <si>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</si>
  <si>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</si>
  <si>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</si>
  <si>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</si>
  <si>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</si>
  <si>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</si>
  <si>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</si>
  <si>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</si>
  <si>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</si>
  <si>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</si>
  <si>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</si>
  <si>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</si>
  <si>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</si>
  <si>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</si>
  <si>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</si>
  <si>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</si>
  <si>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</si>
  <si>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</si>
  <si>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</si>
  <si>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</si>
  <si>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</si>
  <si>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</si>
  <si>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</si>
  <si>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</si>
  <si>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</si>
  <si>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</si>
  <si>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</si>
  <si>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</si>
  <si>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</si>
  <si>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</si>
  <si>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</si>
  <si>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</si>
  <si>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</si>
  <si>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</si>
  <si>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</si>
  <si>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</si>
  <si>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</si>
  <si>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</si>
  <si>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</si>
  <si>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</si>
  <si>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</si>
  <si>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</si>
  <si>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</si>
  <si>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</si>
  <si>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</si>
  <si>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</si>
  <si>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</si>
  <si>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</si>
  <si>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</si>
  <si>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</si>
  <si>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</si>
  <si>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</si>
  <si>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</si>
  <si>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</si>
  <si>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</si>
  <si>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</si>
  <si>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</si>
  <si>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</si>
  <si>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</si>
  <si>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</si>
  <si>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</si>
  <si>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</si>
  <si>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</si>
  <si>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</si>
  <si>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</si>
  <si>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</si>
  <si>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</si>
  <si>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</si>
  <si>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</si>
  <si>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</si>
  <si>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</si>
  <si>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</si>
  <si>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</si>
  <si>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</si>
  <si>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</si>
  <si>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</si>
  <si>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</si>
  <si>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</si>
  <si>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</si>
  <si>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</si>
  <si>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</si>
  <si>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</si>
  <si>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</si>
  <si>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</si>
  <si>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</si>
  <si>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</si>
  <si>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</si>
  <si>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</si>
  <si>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</si>
  <si>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</si>
  <si>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</si>
  <si>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</si>
  <si>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</si>
  <si>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</si>
  <si>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</si>
  <si>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</si>
  <si>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</si>
  <si>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</si>
  <si>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</si>
  <si>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</si>
  <si>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</si>
  <si>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</si>
  <si>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</si>
  <si>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</si>
  <si>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</si>
  <si>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</si>
  <si>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</si>
  <si>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</si>
  <si>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</si>
  <si>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</si>
  <si>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</si>
  <si>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</si>
  <si>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</si>
  <si>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</si>
  <si>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</si>
  <si>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</si>
  <si>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</si>
  <si>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</si>
  <si>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</si>
  <si>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</si>
  <si>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</si>
  <si>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</si>
  <si>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</si>
  <si>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</si>
  <si>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</si>
  <si>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</si>
  <si>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</si>
  <si>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</si>
  <si>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</si>
  <si>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</si>
  <si>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</si>
  <si>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</si>
  <si>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</si>
  <si>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</si>
  <si>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</si>
  <si>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</si>
  <si>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</si>
  <si>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</si>
  <si>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</si>
  <si>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</si>
  <si>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</si>
  <si>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</si>
  <si>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</si>
  <si>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</si>
  <si>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</si>
  <si>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</si>
  <si>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</si>
  <si>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</si>
  <si>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</si>
  <si>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</si>
  <si>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</si>
  <si>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</si>
  <si>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</si>
  <si>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</si>
  <si>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</si>
  <si>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</si>
  <si>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</si>
  <si>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</si>
  <si>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</si>
  <si>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</si>
  <si>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</si>
  <si>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</si>
  <si>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</si>
  <si>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</si>
  <si>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</si>
  <si>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</si>
  <si>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</si>
  <si>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</si>
  <si>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</si>
  <si>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</si>
  <si>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</si>
  <si>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</si>
  <si>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</si>
  <si>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</si>
  <si>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</si>
  <si>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</si>
  <si>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</si>
  <si>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</si>
  <si>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</si>
  <si>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</si>
  <si>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</si>
  <si>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</si>
  <si>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</si>
  <si>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</si>
  <si>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</si>
  <si>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</si>
  <si>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</si>
  <si>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</si>
  <si>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</si>
  <si>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</si>
  <si>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</si>
  <si>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</si>
  <si>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</si>
  <si>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</si>
  <si>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</si>
  <si>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</si>
  <si>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</si>
  <si>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</si>
  <si>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</si>
  <si>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</si>
  <si>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</si>
  <si>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</si>
  <si>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</si>
  <si>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</si>
  <si>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</si>
  <si>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</si>
  <si>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</si>
  <si>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</si>
  <si>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</si>
  <si>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</si>
  <si>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</si>
  <si>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</si>
  <si>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</si>
  <si>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</si>
  <si>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</si>
  <si>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</si>
  <si>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</si>
  <si>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</si>
  <si>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</si>
  <si>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</si>
  <si>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</si>
  <si>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</si>
  <si>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</si>
  <si>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</si>
  <si>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</si>
  <si>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</si>
  <si>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</si>
  <si>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</si>
  <si>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</si>
  <si>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</si>
  <si>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</si>
  <si>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</si>
  <si>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</si>
  <si>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</si>
  <si>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</si>
  <si>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</si>
  <si>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</si>
  <si>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</si>
  <si>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</si>
  <si>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</si>
  <si>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</si>
  <si>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</si>
  <si>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</si>
  <si>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</si>
  <si>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</si>
  <si>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</si>
  <si>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</si>
  <si>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</si>
  <si>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</si>
  <si>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</si>
  <si>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</si>
  <si>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</si>
  <si>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</si>
  <si>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</si>
  <si>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</si>
  <si>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</si>
  <si>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</si>
  <si>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</si>
  <si>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</si>
  <si>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</si>
  <si>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</si>
  <si>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</si>
  <si>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</si>
  <si>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</si>
  <si>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</si>
  <si>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</si>
  <si>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</si>
  <si>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</si>
  <si>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</si>
  <si>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</si>
  <si>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</si>
  <si>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</si>
  <si>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</si>
  <si>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</si>
  <si>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</si>
  <si>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</si>
  <si>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</si>
  <si>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</si>
  <si>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</si>
  <si>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</si>
  <si>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</si>
  <si>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</si>
  <si>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</si>
  <si>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</si>
  <si>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</si>
  <si>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</si>
  <si>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</si>
  <si>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</si>
  <si>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</si>
  <si>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</si>
  <si>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</si>
  <si>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</si>
  <si>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</si>
  <si>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</si>
  <si>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</si>
  <si>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</si>
  <si>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</si>
  <si>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</si>
  <si>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</si>
  <si>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</si>
  <si>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</si>
  <si>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</si>
  <si>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</si>
  <si>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</si>
  <si>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</si>
  <si>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</si>
  <si>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</si>
  <si>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</si>
  <si>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</si>
  <si>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</si>
  <si>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</si>
  <si>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</si>
  <si>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</si>
  <si>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</si>
  <si>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</si>
  <si>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</si>
  <si>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</si>
  <si>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</si>
  <si>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</si>
  <si>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</si>
  <si>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</si>
  <si>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</si>
  <si>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</si>
  <si>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</si>
  <si>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</si>
  <si>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</si>
  <si>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</si>
  <si>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</si>
  <si>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</si>
  <si>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</si>
  <si>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</si>
  <si>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</si>
  <si>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</si>
  <si>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</si>
  <si>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</si>
  <si>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</si>
  <si>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</si>
  <si>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</si>
  <si>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</si>
  <si>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</si>
  <si>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</si>
  <si>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</si>
  <si>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</si>
  <si>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</si>
  <si>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</si>
  <si>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</si>
  <si>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</si>
  <si>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</si>
  <si>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</si>
  <si>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</si>
  <si>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</si>
  <si>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</si>
  <si>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</si>
  <si>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</si>
  <si>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</si>
  <si>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</si>
  <si>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</si>
  <si>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</si>
  <si>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</si>
  <si>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</si>
  <si>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</si>
  <si>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</si>
  <si>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</si>
  <si>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</si>
  <si>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</si>
  <si>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</si>
  <si>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</si>
  <si>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</si>
  <si>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</si>
  <si>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</si>
  <si>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</si>
  <si>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</si>
  <si>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</si>
  <si>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</si>
  <si>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</si>
  <si>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</si>
  <si>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</si>
  <si>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</si>
  <si>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</si>
  <si>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</si>
  <si>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</si>
  <si>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</si>
  <si>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</si>
  <si>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</si>
  <si>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</si>
  <si>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</si>
  <si>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</si>
  <si>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</si>
  <si>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</si>
  <si>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</si>
  <si>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</si>
  <si>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</si>
  <si>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</si>
  <si>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</si>
  <si>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</si>
  <si>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</si>
  <si>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</si>
  <si>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</si>
  <si>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</si>
  <si>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</si>
  <si>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</si>
  <si>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</si>
  <si>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</si>
  <si>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</si>
  <si>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</si>
  <si>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</si>
  <si>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</si>
  <si>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</si>
  <si>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</si>
  <si>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</si>
  <si>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</si>
  <si>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</si>
  <si>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</si>
  <si>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</si>
  <si>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</si>
  <si>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</si>
  <si>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</si>
  <si>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</si>
  <si>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</si>
  <si>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</si>
  <si>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</si>
  <si>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</si>
  <si>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</si>
  <si>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</si>
  <si>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</si>
  <si>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</si>
  <si>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</si>
  <si>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</si>
  <si>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</si>
  <si>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</si>
  <si>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</si>
  <si>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</si>
  <si>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</si>
  <si>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</si>
  <si>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</si>
  <si>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</si>
  <si>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</si>
  <si>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</si>
  <si>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</si>
  <si>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</si>
  <si>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</si>
  <si>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</si>
  <si>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</si>
  <si>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</si>
  <si>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</si>
  <si>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</si>
  <si>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</si>
  <si>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</si>
  <si>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</si>
  <si>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</si>
  <si>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</si>
  <si>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</si>
  <si>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</si>
  <si>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</si>
  <si>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</si>
  <si>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</si>
  <si>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</si>
  <si>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</si>
  <si>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</si>
  <si>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</si>
  <si>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</si>
  <si>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</si>
  <si>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</si>
  <si>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</si>
  <si>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</si>
  <si>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</si>
  <si>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</si>
  <si>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</si>
  <si>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</si>
  <si>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</si>
  <si>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</si>
  <si>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</si>
  <si>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</si>
  <si>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</si>
  <si>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</si>
  <si>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</si>
  <si>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</si>
  <si>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</si>
  <si>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</si>
  <si>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</si>
  <si>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</si>
  <si>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</si>
  <si>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</si>
  <si>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</si>
  <si>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</si>
  <si>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</si>
  <si>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</si>
  <si>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</si>
  <si>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</si>
  <si>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</si>
  <si>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</si>
  <si>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</si>
  <si>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</si>
  <si>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</si>
  <si>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</si>
  <si>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</si>
  <si>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</si>
  <si>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</si>
  <si>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</si>
  <si>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</si>
  <si>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</si>
  <si>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</si>
  <si>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</si>
  <si>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</si>
  <si>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</si>
  <si>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</si>
  <si>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</si>
  <si>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</si>
  <si>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</si>
  <si>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</si>
  <si>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</si>
  <si>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</si>
  <si>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</si>
  <si>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</si>
  <si>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</si>
  <si>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</si>
  <si>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</si>
  <si>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</si>
  <si>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</si>
  <si>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</si>
  <si>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</si>
  <si>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</si>
  <si>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</si>
  <si>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</si>
  <si>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</si>
  <si>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</si>
  <si>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</si>
  <si>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</si>
  <si>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</si>
  <si>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</si>
  <si>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</si>
  <si>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</si>
  <si>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</si>
  <si>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</si>
  <si>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</si>
  <si>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</si>
  <si>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</si>
  <si>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</si>
  <si>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</si>
  <si>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</si>
  <si>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</si>
  <si>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</si>
  <si>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</si>
  <si>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</si>
  <si>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</si>
  <si>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</si>
  <si>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</si>
  <si>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</si>
  <si>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</si>
  <si>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</si>
  <si>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</si>
  <si>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</si>
  <si>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</si>
  <si>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</si>
  <si>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</si>
  <si>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</si>
  <si>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</si>
  <si>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</si>
  <si>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</si>
  <si>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</si>
  <si>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</si>
  <si>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</si>
  <si>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</si>
  <si>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</si>
  <si>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</si>
  <si>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</si>
  <si>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</si>
  <si>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</si>
  <si>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</si>
  <si>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</si>
  <si>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</si>
  <si>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</si>
  <si>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</si>
  <si>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</si>
  <si>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</si>
  <si>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</si>
  <si>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</si>
  <si>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</si>
  <si>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</si>
  <si>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</si>
  <si>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</si>
  <si>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</si>
  <si>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</si>
  <si>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</si>
  <si>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</si>
  <si>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</si>
  <si>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</si>
  <si>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</si>
  <si>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</si>
  <si>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</si>
  <si>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</si>
  <si>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</si>
  <si>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</si>
  <si>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</si>
  <si>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</si>
  <si>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</si>
  <si>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</si>
  <si>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</si>
  <si>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</si>
  <si>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</si>
  <si>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</si>
  <si>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</si>
  <si>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</si>
  <si>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</si>
  <si>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</si>
  <si>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</si>
  <si>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</si>
  <si>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</si>
  <si>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</si>
  <si>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</si>
  <si>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</si>
  <si>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</si>
  <si>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</si>
  <si>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</si>
  <si>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</si>
  <si>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</si>
  <si>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</si>
  <si>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</si>
  <si>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</si>
  <si>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</si>
  <si>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</si>
  <si>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</si>
  <si>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</si>
  <si>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</si>
  <si>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</si>
  <si>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</si>
  <si>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</si>
  <si>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</si>
  <si>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</si>
  <si>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</si>
  <si>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</si>
  <si>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</si>
  <si>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</si>
  <si>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</si>
  <si>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</si>
  <si>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</si>
  <si>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</si>
  <si>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</si>
  <si>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</si>
  <si>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</si>
  <si>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</si>
  <si>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</si>
  <si>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</si>
  <si>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</si>
  <si>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</si>
  <si>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</si>
  <si>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</si>
  <si>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</si>
  <si>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</si>
  <si>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</si>
  <si>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</si>
  <si>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</si>
  <si>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</si>
  <si>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</si>
  <si>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</si>
  <si>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</si>
  <si>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</si>
  <si>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</si>
  <si>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</si>
  <si>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</si>
  <si>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</si>
  <si>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</si>
  <si>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</si>
  <si>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</si>
  <si>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</si>
  <si>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</si>
  <si>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</si>
  <si>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</si>
  <si>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</si>
  <si>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</si>
  <si>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</si>
  <si>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</si>
  <si>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</si>
  <si>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</si>
  <si>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</si>
  <si>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</si>
  <si>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</si>
  <si>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</si>
  <si>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</si>
  <si>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</si>
  <si>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</si>
  <si>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</si>
  <si>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</si>
  <si>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</si>
  <si>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</si>
  <si>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</si>
  <si>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</si>
  <si>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</si>
  <si>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</si>
  <si>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</si>
  <si>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</si>
  <si>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</si>
  <si>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</si>
  <si>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</si>
  <si>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</si>
  <si>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</si>
  <si>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</si>
  <si>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</si>
  <si>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</si>
  <si>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</si>
  <si>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</si>
  <si>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</si>
  <si>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</si>
  <si>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</si>
  <si>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</si>
  <si>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</si>
  <si>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</si>
  <si>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</si>
  <si>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</si>
  <si>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</si>
  <si>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</si>
  <si>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</si>
  <si>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</si>
  <si>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</si>
  <si>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</si>
  <si>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</si>
  <si>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</si>
  <si>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</si>
  <si>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</si>
  <si>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</si>
  <si>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</si>
  <si>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</si>
  <si>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</si>
  <si>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</si>
  <si>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</si>
  <si>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</si>
  <si>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</si>
  <si>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</si>
  <si>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</si>
  <si>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</si>
  <si>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</si>
  <si>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</si>
  <si>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</si>
  <si>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</si>
  <si>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</si>
  <si>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</si>
  <si>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</si>
  <si>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</si>
  <si>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</si>
  <si>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</si>
  <si>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</si>
  <si>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</si>
  <si>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</si>
  <si>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</si>
  <si>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</si>
  <si>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</si>
  <si>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</si>
  <si>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</si>
  <si>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</si>
  <si>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</si>
  <si>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</si>
  <si>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</si>
  <si>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</si>
  <si>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</si>
  <si>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</si>
  <si>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</si>
  <si>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</si>
  <si>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</si>
  <si>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</si>
  <si>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</si>
  <si>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</si>
  <si>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</si>
  <si>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</si>
  <si>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</si>
  <si>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</si>
  <si>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</si>
  <si>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</si>
  <si>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</si>
  <si>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</si>
  <si>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</si>
  <si>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</si>
  <si>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</si>
  <si>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</si>
  <si>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</si>
  <si>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</si>
  <si>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</si>
  <si>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</si>
  <si>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</si>
  <si>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</si>
  <si>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</si>
  <si>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</si>
  <si>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</si>
  <si>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</si>
  <si>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</si>
  <si>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</si>
  <si>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</si>
  <si>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</si>
  <si>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</si>
  <si>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</si>
  <si>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</si>
  <si>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</si>
  <si>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</si>
  <si>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</si>
  <si>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</si>
  <si>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</si>
  <si>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</si>
  <si>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</si>
  <si>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</si>
  <si>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</si>
  <si>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</si>
  <si>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</si>
  <si>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</si>
  <si>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</si>
  <si>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</si>
  <si>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</si>
  <si>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</si>
  <si>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</si>
  <si>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</si>
  <si>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</si>
  <si>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</si>
  <si>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</si>
  <si>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</si>
  <si>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</si>
  <si>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</si>
  <si>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</si>
  <si>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</si>
  <si>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</si>
  <si>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</si>
  <si>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</si>
  <si>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</si>
  <si>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</si>
  <si>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</si>
  <si>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</si>
  <si>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</si>
  <si>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</si>
  <si>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</si>
  <si>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</si>
  <si>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</si>
  <si>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</si>
  <si>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</si>
  <si>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</si>
  <si>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</si>
  <si>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</si>
  <si>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</si>
  <si>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</si>
  <si>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</si>
  <si>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</si>
  <si>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</si>
  <si>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</si>
  <si>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</si>
  <si>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</si>
  <si>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</si>
  <si>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</si>
  <si>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</si>
  <si>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</si>
  <si>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</si>
  <si>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</si>
  <si>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</si>
  <si>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</si>
  <si>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</si>
  <si>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</si>
  <si>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</si>
  <si>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</si>
  <si>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</si>
  <si>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</si>
  <si>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</si>
  <si>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</si>
  <si>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</si>
  <si>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</si>
  <si>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</si>
  <si>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</si>
  <si>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</si>
  <si>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</si>
  <si>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</si>
  <si>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</si>
  <si>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</si>
  <si>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</si>
  <si>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</si>
  <si>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</si>
  <si>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</si>
  <si>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</si>
  <si>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</si>
  <si>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</si>
  <si>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</si>
  <si>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</si>
  <si>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</si>
  <si>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</si>
  <si>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</si>
  <si>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</si>
  <si>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</si>
  <si>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</si>
  <si>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</si>
  <si>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</si>
  <si>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</si>
  <si>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</si>
  <si>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</si>
  <si>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</si>
  <si>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</si>
  <si>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</si>
  <si>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</si>
  <si>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</si>
  <si>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</si>
  <si>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</si>
  <si>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</si>
  <si>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</si>
  <si>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</si>
  <si>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</si>
  <si>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</si>
  <si>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</si>
  <si>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</si>
  <si>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</si>
  <si>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</si>
  <si>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</si>
  <si>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</si>
  <si>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</si>
  <si>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</si>
  <si>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</si>
  <si>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</si>
  <si>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</si>
  <si>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</si>
  <si>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</si>
  <si>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</si>
  <si>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</si>
  <si>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</si>
  <si>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</si>
  <si>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</si>
  <si>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</si>
  <si>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</si>
  <si>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</si>
  <si>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</si>
  <si>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</si>
  <si>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</si>
  <si>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</si>
  <si>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</si>
  <si>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</si>
  <si>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</si>
  <si>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</si>
  <si>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</si>
  <si>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</si>
  <si>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</si>
  <si>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</si>
  <si>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</si>
  <si>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</si>
  <si>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</si>
  <si>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</si>
  <si>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</si>
  <si>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</si>
  <si>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</si>
  <si>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</si>
  <si>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</si>
  <si>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</si>
  <si>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</si>
  <si>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</si>
  <si>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</si>
  <si>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</si>
  <si>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</si>
  <si>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</si>
  <si>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</si>
  <si>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</si>
  <si>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</si>
  <si>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</si>
  <si>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</si>
  <si>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</si>
  <si>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</si>
  <si>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</si>
  <si>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</si>
  <si>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</si>
  <si>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</si>
  <si>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</si>
  <si>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</si>
  <si>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</si>
  <si>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</si>
  <si>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</si>
  <si>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</si>
  <si>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</si>
  <si>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</si>
  <si>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</si>
  <si>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</si>
  <si>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</si>
  <si>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</si>
  <si>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</si>
  <si>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</si>
  <si>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</si>
  <si>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</si>
  <si>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</si>
  <si>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</si>
  <si>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</si>
  <si>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</si>
  <si>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</si>
  <si>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</si>
  <si>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</si>
  <si>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</si>
  <si>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</si>
  <si>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</si>
  <si>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</si>
  <si>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</si>
  <si>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</si>
  <si>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</si>
  <si>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</si>
  <si>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</si>
  <si>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</si>
  <si>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</si>
  <si>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</si>
  <si>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</si>
  <si>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</si>
  <si>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</si>
  <si>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</si>
  <si>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</si>
  <si>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</si>
  <si>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</si>
  <si>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</si>
  <si>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</si>
  <si>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</si>
  <si>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</si>
  <si>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</si>
  <si>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</si>
  <si>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</si>
  <si>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</si>
  <si>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</si>
  <si>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</si>
  <si>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</si>
  <si>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</si>
  <si>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</si>
  <si>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</si>
  <si>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</si>
  <si>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</si>
  <si>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</si>
  <si>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</si>
  <si>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</si>
  <si>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</si>
  <si>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</si>
  <si>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</si>
  <si>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</si>
  <si>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</si>
  <si>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</si>
  <si>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</si>
  <si>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</si>
  <si>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</si>
  <si>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</si>
  <si>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</si>
  <si>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</si>
  <si>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</si>
  <si>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</si>
  <si>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</si>
  <si>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</si>
  <si>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</si>
  <si>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</si>
  <si>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</si>
  <si>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</si>
  <si>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</si>
  <si>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</si>
  <si>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</si>
  <si>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</si>
  <si>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</si>
  <si>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</si>
  <si>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</si>
  <si>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</si>
  <si>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</si>
  <si>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</si>
  <si>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</si>
  <si>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</si>
  <si>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</si>
  <si>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</si>
  <si>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</si>
  <si>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</si>
  <si>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</si>
  <si>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</si>
  <si>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</si>
  <si>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</si>
  <si>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</si>
  <si>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</si>
  <si>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</si>
  <si>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</si>
  <si>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</si>
  <si>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</si>
  <si>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</si>
  <si>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</si>
  <si>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</si>
  <si>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</si>
  <si>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</si>
  <si>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</si>
  <si>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</si>
  <si>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</si>
  <si>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</si>
  <si>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</si>
  <si>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</si>
  <si>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</si>
  <si>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</si>
  <si>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</si>
  <si>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</si>
  <si>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</si>
  <si>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</si>
  <si>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</si>
  <si>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</si>
  <si>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</si>
  <si>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</si>
  <si>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</si>
  <si>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</si>
  <si>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</si>
  <si>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</si>
  <si>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</si>
  <si>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</si>
  <si>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</si>
  <si>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</si>
  <si>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</si>
  <si>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</si>
  <si>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</si>
  <si>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</si>
  <si>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</si>
  <si>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</si>
  <si>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</si>
  <si>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</si>
  <si>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</si>
  <si>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</si>
  <si>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</si>
  <si>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</si>
  <si>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</si>
  <si>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</si>
  <si>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</si>
  <si>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</si>
  <si>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</si>
  <si>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</si>
  <si>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</si>
  <si>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</si>
  <si>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</si>
  <si>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</si>
  <si>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</si>
  <si>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</si>
  <si>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</si>
  <si>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</si>
  <si>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</si>
  <si>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</si>
  <si>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</si>
  <si>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</si>
  <si>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</si>
  <si>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</si>
  <si>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</si>
  <si>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</si>
  <si>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</si>
  <si>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</si>
  <si>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</si>
  <si>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</si>
  <si>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</si>
  <si>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</si>
  <si>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</si>
  <si>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</si>
  <si>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</si>
  <si>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</si>
  <si>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</si>
  <si>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</si>
  <si>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</si>
  <si>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</si>
  <si>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</si>
  <si>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</si>
  <si>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</si>
  <si>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</si>
  <si>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</si>
  <si>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</si>
  <si>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</si>
  <si>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</si>
  <si>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</si>
  <si>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</si>
  <si>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</si>
  <si>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</si>
  <si>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</si>
  <si>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</si>
  <si>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</si>
  <si>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</si>
  <si>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</si>
  <si>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</si>
  <si>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</si>
  <si>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</si>
  <si>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</si>
  <si>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</si>
  <si>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</si>
  <si>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</si>
  <si>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</si>
  <si>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</si>
  <si>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</si>
  <si>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</si>
  <si>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</si>
  <si>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</si>
  <si>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</si>
  <si>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</si>
  <si>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</si>
  <si>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</si>
  <si>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</si>
  <si>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</si>
  <si>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</si>
  <si>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</si>
  <si>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</si>
  <si>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</si>
  <si>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</si>
  <si>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</si>
  <si>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</si>
  <si>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</si>
  <si>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</si>
  <si>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</si>
  <si>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</si>
  <si>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</si>
  <si>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</si>
  <si>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</si>
  <si>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</si>
  <si>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</si>
  <si>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</si>
  <si>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</si>
  <si>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</si>
  <si>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</si>
  <si>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</si>
  <si>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</si>
  <si>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</si>
  <si>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</si>
  <si>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</si>
  <si>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</si>
  <si>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</si>
  <si>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</si>
  <si>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</si>
  <si>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</si>
  <si>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</si>
  <si>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</si>
  <si>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</si>
  <si>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</si>
  <si>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</si>
  <si>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</si>
  <si>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</si>
  <si>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</si>
  <si>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</si>
  <si>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</si>
  <si>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</si>
  <si>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</si>
  <si>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</si>
  <si>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</si>
  <si>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</si>
  <si>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</si>
  <si>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</si>
  <si>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</si>
  <si>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</si>
  <si>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</si>
  <si>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</si>
  <si>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</si>
  <si>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</si>
  <si>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</si>
  <si>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</si>
  <si>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</si>
  <si>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</si>
  <si>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</si>
  <si>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</si>
  <si>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</si>
  <si>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</si>
  <si>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</si>
  <si>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</si>
  <si>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</si>
  <si>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</si>
  <si>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</si>
  <si>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</si>
  <si>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</si>
  <si>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</si>
  <si>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</si>
  <si>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</si>
  <si>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</si>
  <si>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</si>
  <si>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</si>
  <si>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</si>
  <si>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</si>
  <si>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</si>
  <si>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</si>
  <si>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</si>
  <si>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</si>
  <si>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</si>
  <si>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</si>
  <si>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</si>
  <si>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</si>
  <si>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</si>
  <si>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</si>
  <si>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</si>
  <si>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</si>
  <si>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</si>
  <si>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</si>
  <si>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</si>
  <si>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</si>
  <si>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</si>
  <si>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</si>
  <si>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</si>
  <si>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</si>
  <si>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</si>
  <si>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</si>
  <si>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</si>
  <si>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</si>
  <si>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</si>
  <si>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</si>
  <si>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</si>
  <si>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</si>
  <si>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</si>
  <si>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</si>
  <si>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</si>
  <si>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</si>
  <si>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</si>
  <si>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</si>
  <si>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</si>
  <si>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</si>
  <si>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</si>
  <si>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</si>
  <si>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</si>
  <si>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</si>
  <si>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</si>
  <si>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</si>
  <si>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</si>
  <si>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</si>
  <si>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</si>
  <si>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</si>
  <si>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</si>
  <si>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</si>
  <si>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</si>
  <si>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</si>
  <si>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</si>
  <si>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</si>
  <si>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</si>
  <si>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</si>
  <si>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</si>
  <si>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</si>
  <si>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</si>
  <si>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</si>
  <si>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</si>
  <si>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</si>
  <si>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</si>
  <si>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</si>
  <si>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</si>
  <si>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</si>
  <si>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</si>
  <si>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</si>
  <si>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</si>
  <si>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</si>
  <si>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</si>
  <si>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</si>
  <si>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</si>
  <si>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</si>
  <si>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</si>
  <si>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</si>
  <si>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</si>
  <si>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</si>
  <si>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</si>
  <si>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</si>
  <si>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</si>
  <si>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</si>
  <si>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</si>
  <si>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</si>
  <si>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</si>
  <si>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</si>
  <si>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</si>
  <si>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</si>
  <si>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</si>
  <si>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</si>
  <si>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</si>
  <si>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</si>
  <si>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</si>
  <si>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</si>
  <si>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</si>
  <si>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</si>
  <si>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</si>
  <si>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</si>
  <si>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</si>
  <si>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</si>
  <si>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</si>
  <si>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</si>
  <si>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</si>
  <si>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</si>
  <si>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</si>
  <si>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</si>
  <si>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</si>
  <si>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</si>
  <si>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</si>
  <si>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</si>
  <si>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</si>
  <si>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</si>
  <si>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</si>
  <si>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</si>
  <si>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</si>
  <si>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</si>
  <si>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</si>
  <si>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</si>
  <si>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</si>
  <si>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</si>
  <si>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</si>
  <si>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</si>
  <si>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</si>
  <si>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</si>
  <si>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</si>
  <si>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</si>
  <si>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</si>
  <si>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</si>
  <si>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</si>
  <si>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</si>
  <si>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</si>
  <si>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</si>
  <si>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</si>
  <si>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</si>
  <si>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</si>
  <si>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</si>
  <si>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</si>
  <si>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</si>
  <si>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</si>
  <si>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</si>
  <si>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</si>
  <si>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</si>
  <si>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</si>
  <si>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</si>
  <si>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</si>
  <si>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</si>
  <si>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</si>
  <si>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</si>
  <si>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</si>
  <si>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</si>
  <si>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</si>
  <si>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</si>
  <si>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</si>
  <si>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</si>
  <si>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</si>
  <si>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</si>
  <si>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</si>
  <si>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</si>
  <si>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</si>
  <si>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</si>
  <si>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</si>
  <si>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</si>
  <si>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</si>
  <si>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</si>
  <si>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</si>
  <si>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</si>
  <si>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</si>
  <si>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</si>
  <si>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</si>
  <si>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</si>
  <si>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</si>
  <si>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</si>
  <si>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</si>
  <si>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</si>
  <si>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</si>
  <si>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</si>
  <si>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</si>
  <si>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</si>
  <si>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</si>
  <si>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</si>
  <si>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</si>
  <si>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</si>
  <si>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</si>
  <si>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</si>
  <si>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</si>
  <si>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</si>
  <si>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</si>
  <si>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</si>
  <si>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</si>
  <si>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</si>
  <si>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</si>
  <si>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</si>
  <si>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</si>
  <si>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</si>
  <si>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</si>
  <si>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</si>
  <si>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</si>
  <si>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</si>
  <si>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</si>
  <si>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</si>
  <si>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</si>
  <si>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</si>
  <si>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</si>
  <si>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</si>
  <si>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</si>
  <si>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</si>
  <si>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</si>
  <si>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</si>
  <si>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</si>
  <si>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</si>
  <si>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</si>
  <si>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</si>
  <si>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</si>
  <si>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</si>
  <si>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</si>
  <si>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</si>
  <si>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</si>
  <si>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</si>
  <si>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</si>
  <si>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</si>
  <si>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</si>
  <si>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</si>
  <si>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</si>
  <si>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</si>
  <si>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</si>
  <si>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</si>
  <si>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</si>
  <si>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</si>
  <si>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</si>
  <si>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</si>
  <si>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</si>
  <si>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</si>
  <si>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</si>
  <si>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</si>
  <si>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</si>
  <si>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</si>
  <si>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</si>
  <si>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</si>
  <si>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</si>
  <si>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</si>
  <si>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</si>
  <si>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</si>
  <si>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</si>
  <si>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</si>
  <si>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</si>
  <si>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</si>
  <si>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</si>
  <si>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</si>
  <si>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</si>
  <si>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</si>
  <si>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</si>
  <si>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</si>
  <si>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</si>
  <si>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</si>
  <si>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</si>
  <si>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</si>
  <si>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</si>
  <si>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</si>
  <si>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</si>
  <si>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</si>
  <si>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</si>
  <si>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</si>
  <si>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</si>
  <si>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</si>
  <si>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</si>
  <si>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</si>
  <si>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</si>
  <si>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</si>
  <si>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</si>
  <si>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</si>
  <si>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</si>
  <si>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</si>
  <si>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</si>
  <si>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</si>
  <si>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</si>
  <si>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</si>
  <si>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</si>
  <si>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</si>
  <si>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</si>
  <si>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</si>
  <si>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</si>
  <si>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</si>
  <si>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</si>
  <si>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</si>
  <si>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</si>
  <si>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</si>
  <si>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</si>
  <si>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</si>
  <si>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</si>
  <si>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</si>
  <si>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</si>
  <si>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</si>
  <si>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</si>
  <si>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</si>
  <si>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</si>
  <si>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</si>
  <si>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</si>
  <si>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</si>
  <si>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</si>
  <si>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</si>
  <si>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</si>
  <si>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</si>
  <si>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</si>
  <si>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</si>
  <si>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</si>
  <si>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</si>
  <si>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</si>
  <si>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</si>
  <si>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</si>
  <si>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</si>
  <si>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</si>
  <si>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</si>
  <si>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</si>
  <si>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</si>
  <si>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</si>
  <si>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</si>
  <si>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</si>
  <si>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</si>
  <si>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</si>
  <si>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</si>
  <si>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</si>
  <si>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</si>
  <si>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</si>
  <si>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</si>
  <si>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</si>
  <si>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</si>
  <si>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</si>
  <si>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</si>
  <si>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</si>
  <si>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</si>
  <si>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</si>
  <si>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</si>
  <si>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</si>
  <si>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</si>
  <si>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</si>
  <si>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</si>
  <si>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</si>
  <si>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</si>
  <si>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</si>
  <si>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</si>
  <si>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</si>
  <si>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</si>
  <si>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</si>
  <si>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</si>
  <si>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</si>
  <si>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</si>
  <si>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</si>
  <si>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</si>
  <si>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</si>
  <si>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</si>
  <si>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</si>
  <si>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</si>
  <si>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</si>
  <si>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</si>
  <si>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</si>
  <si>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</si>
  <si>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</si>
  <si>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</si>
  <si>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</si>
  <si>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</si>
  <si>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</si>
  <si>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</si>
  <si>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</si>
  <si>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</si>
  <si>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</si>
  <si>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</si>
  <si>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</si>
  <si>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</si>
  <si>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</si>
  <si>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</si>
  <si>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</si>
  <si>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</si>
  <si>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</si>
  <si>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</si>
  <si>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</si>
  <si>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</si>
  <si>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</si>
  <si>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</si>
  <si>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</si>
  <si>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</si>
  <si>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</si>
  <si>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</si>
  <si>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</si>
  <si>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</si>
  <si>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</si>
  <si>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</si>
  <si>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</si>
  <si>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</si>
  <si>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</si>
  <si>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</si>
  <si>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</si>
  <si>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</si>
  <si>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</si>
  <si>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</si>
  <si>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</si>
  <si>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</si>
  <si>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</si>
  <si>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</si>
  <si>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</si>
  <si>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</si>
  <si>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</si>
  <si>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</si>
  <si>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</si>
  <si>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</si>
  <si>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</si>
  <si>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</si>
  <si>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</si>
  <si>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</si>
  <si>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</si>
  <si>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</si>
  <si>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</si>
  <si>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</si>
  <si>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</si>
  <si>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</si>
  <si>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</si>
  <si>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</si>
  <si>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</si>
  <si>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</si>
  <si>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</si>
  <si>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</si>
  <si>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</si>
  <si>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</si>
  <si>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</si>
  <si>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</si>
  <si>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</si>
  <si>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</si>
  <si>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</si>
  <si>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</si>
  <si>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</si>
  <si>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</si>
  <si>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</si>
  <si>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</si>
  <si>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</si>
  <si>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</si>
  <si>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</si>
  <si>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</si>
  <si>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</si>
  <si>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</si>
  <si>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</si>
  <si>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</si>
  <si>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</si>
  <si>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</si>
  <si>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</si>
  <si>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</si>
  <si>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</si>
  <si>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</si>
  <si>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</si>
  <si>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</si>
  <si>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</si>
  <si>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</si>
  <si>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</si>
  <si>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</si>
  <si>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</si>
  <si>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</si>
  <si>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</si>
  <si>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</si>
  <si>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</si>
  <si>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</si>
  <si>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</si>
  <si>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</si>
  <si>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</si>
  <si>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</si>
  <si>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</si>
  <si>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</si>
  <si>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</si>
  <si>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</si>
  <si>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</si>
  <si>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</si>
  <si>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</si>
  <si>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</si>
  <si>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</si>
  <si>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</si>
  <si>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</si>
  <si>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</si>
  <si>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</si>
  <si>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</si>
  <si>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</si>
  <si>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</si>
  <si>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</si>
  <si>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</si>
  <si>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</si>
  <si>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</si>
  <si>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</si>
  <si>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</si>
  <si>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</si>
  <si>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</si>
  <si>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</si>
  <si>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</si>
  <si>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</si>
  <si>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</si>
  <si>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</si>
  <si>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</si>
  <si>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</si>
  <si>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</si>
  <si>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</si>
  <si>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</si>
  <si>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</si>
  <si>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</si>
  <si>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</si>
  <si>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</si>
  <si>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</si>
  <si>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</si>
  <si>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</si>
  <si>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</si>
  <si>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</si>
  <si>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</si>
  <si>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</si>
  <si>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</si>
  <si>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</si>
  <si>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</si>
  <si>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</si>
  <si>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</si>
  <si>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</si>
  <si>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</si>
  <si>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</si>
  <si>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</si>
  <si>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</si>
  <si>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</si>
  <si>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</si>
  <si>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</si>
  <si>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</si>
  <si>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</si>
  <si>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</si>
  <si>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</si>
  <si>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</si>
  <si>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</si>
  <si>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</si>
  <si>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</si>
  <si>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</si>
  <si>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</si>
  <si>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</si>
  <si>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</si>
  <si>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</si>
  <si>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</si>
  <si>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</si>
  <si>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</si>
  <si>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</si>
  <si>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</si>
  <si>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</si>
  <si>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</si>
  <si>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</si>
  <si>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</si>
  <si>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</si>
  <si>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</si>
  <si>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</si>
  <si>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</si>
  <si>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</si>
  <si>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</si>
  <si>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</si>
  <si>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</si>
  <si>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</si>
  <si>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</si>
  <si>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</si>
  <si>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</si>
  <si>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</si>
  <si>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</si>
  <si>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</si>
  <si>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</si>
  <si>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</si>
  <si>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</si>
  <si>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</si>
  <si>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</si>
  <si>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</si>
  <si>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</si>
  <si>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</si>
  <si>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</si>
  <si>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</si>
  <si>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</si>
  <si>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</si>
  <si>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</si>
  <si>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</si>
  <si>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</si>
  <si>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</si>
  <si>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</si>
  <si>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</si>
  <si>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</si>
  <si>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</si>
  <si>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</si>
  <si>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</si>
  <si>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</si>
  <si>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</si>
  <si>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</si>
  <si>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</si>
  <si>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</si>
  <si>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</si>
  <si>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</si>
  <si>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</si>
  <si>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</si>
  <si>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</si>
  <si>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</si>
  <si>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</si>
  <si>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</si>
  <si>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</si>
  <si>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</si>
  <si>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</si>
  <si>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</si>
  <si>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</si>
  <si>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</si>
  <si>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</si>
  <si>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</si>
  <si>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</si>
  <si>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</si>
  <si>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</si>
  <si>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</si>
  <si>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</si>
  <si>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</si>
  <si>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</si>
  <si>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</si>
  <si>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</si>
  <si>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</si>
  <si>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</si>
  <si>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</si>
  <si>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</si>
  <si>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</si>
  <si>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</si>
  <si>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</si>
  <si>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</si>
  <si>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</si>
  <si>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</si>
  <si>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</si>
  <si>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</si>
  <si>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</si>
  <si>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</si>
  <si>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</si>
  <si>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</si>
  <si>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</si>
  <si>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</si>
  <si>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</si>
  <si>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</si>
  <si>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</si>
  <si>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</si>
  <si>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</si>
  <si>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</si>
  <si>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</si>
  <si>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</si>
  <si>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</si>
  <si>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</si>
  <si>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</si>
  <si>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</si>
  <si>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</si>
  <si>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</si>
  <si>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</si>
  <si>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</si>
  <si>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</si>
  <si>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</si>
  <si>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</si>
  <si>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</si>
  <si>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</si>
  <si>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</si>
  <si>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</si>
  <si>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</si>
  <si>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</si>
  <si>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</si>
  <si>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</si>
  <si>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</si>
  <si>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</si>
  <si>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</si>
  <si>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</si>
  <si>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</si>
  <si>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</si>
  <si>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</si>
  <si>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</si>
  <si>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</si>
  <si>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</si>
  <si>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</si>
  <si>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</si>
  <si>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</si>
  <si>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</si>
  <si>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</si>
  <si>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</si>
  <si>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</si>
  <si>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</si>
  <si>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</si>
  <si>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</si>
  <si>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</si>
  <si>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</si>
  <si>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</si>
  <si>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</si>
  <si>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</si>
  <si>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</si>
  <si>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</si>
  <si>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</si>
  <si>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</si>
  <si>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</si>
  <si>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</si>
  <si>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</si>
  <si>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</si>
  <si>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</si>
  <si>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</si>
  <si>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</si>
  <si>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</si>
  <si>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</si>
  <si>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</si>
  <si>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</si>
  <si>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</si>
  <si>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</si>
  <si>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</si>
  <si>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</si>
  <si>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</si>
  <si>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</si>
  <si>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</si>
  <si>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</si>
  <si>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</si>
  <si>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</si>
  <si>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</si>
  <si>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</si>
  <si>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</si>
  <si>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</si>
  <si>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</si>
  <si>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</si>
  <si>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</si>
  <si>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</si>
  <si>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</si>
  <si>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</si>
  <si>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</si>
  <si>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</si>
  <si>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</si>
  <si>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</si>
  <si>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</si>
  <si>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</si>
  <si>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</si>
  <si>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</si>
  <si>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</si>
  <si>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</si>
  <si>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</si>
  <si>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</si>
  <si>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</si>
  <si>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</si>
  <si>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</si>
  <si>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</si>
  <si>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</si>
  <si>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</si>
  <si>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</si>
  <si>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</si>
  <si>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</si>
  <si>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</si>
  <si>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</si>
  <si>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</si>
  <si>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</si>
  <si>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</si>
  <si>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</si>
  <si>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</si>
  <si>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</si>
  <si>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</si>
  <si>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</si>
  <si>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</si>
  <si>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</si>
  <si>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</si>
  <si>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</si>
  <si>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</si>
  <si>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</si>
  <si>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</si>
  <si>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</si>
  <si>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</si>
  <si>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</si>
  <si>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</si>
  <si>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</si>
  <si>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</si>
  <si>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</si>
  <si>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</si>
  <si>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</si>
  <si>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</si>
  <si>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</si>
  <si>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</si>
  <si>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</si>
  <si>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</si>
  <si>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</si>
  <si>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</si>
  <si>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</si>
  <si>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</si>
  <si>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</si>
  <si>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</si>
  <si>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</si>
  <si>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</si>
  <si>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</si>
  <si>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</si>
  <si>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</si>
  <si>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</si>
  <si>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</si>
  <si>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</si>
  <si>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</si>
  <si>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</si>
  <si>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</si>
  <si>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</si>
  <si>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</si>
  <si>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</si>
  <si>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</si>
  <si>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</si>
  <si>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</si>
  <si>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</si>
  <si>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</si>
  <si>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</si>
  <si>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</si>
  <si>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</si>
  <si>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</si>
  <si>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</si>
  <si>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</si>
  <si>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</si>
  <si>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</si>
  <si>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</si>
  <si>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</si>
  <si>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</si>
  <si>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</si>
  <si>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</si>
  <si>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</si>
  <si>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</si>
  <si>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</si>
  <si>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</si>
  <si>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</si>
  <si>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</si>
  <si>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</si>
  <si>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</si>
  <si>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</si>
  <si>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</si>
  <si>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</si>
  <si>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</si>
  <si>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</si>
  <si>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</si>
  <si>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</si>
  <si>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</si>
  <si>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</si>
  <si>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</si>
  <si>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</si>
  <si>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</si>
  <si>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</si>
  <si>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</si>
  <si>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</si>
  <si>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</si>
  <si>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</si>
  <si>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</si>
  <si>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</si>
  <si>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</si>
  <si>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</si>
  <si>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</si>
  <si>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</si>
  <si>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</si>
  <si>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</si>
  <si>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</si>
  <si>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</si>
  <si>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</si>
  <si>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</si>
  <si>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</si>
  <si>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</si>
  <si>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</si>
  <si>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</si>
  <si>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</si>
  <si>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</si>
  <si>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</si>
  <si>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</si>
  <si>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</si>
  <si>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</si>
  <si>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</si>
  <si>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</si>
  <si>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</si>
  <si>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</si>
  <si>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</si>
  <si>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</si>
  <si>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</si>
  <si>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</si>
  <si>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</si>
  <si>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</si>
  <si>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</si>
  <si>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</si>
  <si>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</si>
  <si>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</si>
  <si>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</si>
  <si>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</si>
  <si>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</si>
  <si>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</si>
  <si>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</si>
  <si>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</si>
  <si>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</si>
  <si>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</si>
  <si>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</si>
  <si>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</si>
  <si>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</si>
  <si>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</si>
  <si>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</si>
  <si>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</si>
  <si>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</si>
  <si>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</si>
  <si>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</si>
  <si>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</si>
  <si>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</si>
  <si>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</si>
  <si>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</si>
  <si>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</si>
  <si>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</si>
  <si>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</si>
  <si>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</si>
  <si>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</si>
  <si>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</si>
  <si>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</si>
  <si>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</si>
  <si>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</si>
  <si>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</si>
  <si>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</si>
  <si>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</si>
  <si>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</si>
  <si>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</si>
  <si>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</si>
  <si>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</si>
  <si>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</si>
  <si>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</si>
  <si>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</si>
  <si>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</si>
  <si>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</si>
  <si>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</si>
  <si>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</si>
  <si>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</si>
  <si>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</si>
  <si>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</si>
  <si>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</si>
  <si>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</si>
  <si>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</si>
  <si>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</si>
  <si>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</si>
  <si>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</si>
  <si>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</si>
  <si>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</si>
  <si>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</si>
  <si>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</si>
  <si>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</si>
  <si>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</si>
  <si>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</si>
  <si>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</si>
  <si>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</si>
  <si>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</si>
  <si>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</si>
  <si>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</si>
  <si>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</si>
  <si>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</si>
  <si>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</si>
  <si>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</si>
  <si>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</si>
  <si>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</si>
  <si>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</si>
  <si>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</si>
  <si>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</si>
  <si>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</si>
  <si>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</si>
  <si>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</si>
  <si>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</si>
  <si>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</si>
  <si>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</si>
  <si>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</si>
  <si>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</si>
  <si>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</si>
  <si>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</si>
  <si>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</si>
  <si>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</si>
  <si>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</si>
  <si>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</si>
  <si>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</si>
  <si>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</si>
  <si>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</si>
  <si>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</si>
  <si>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</si>
  <si>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</si>
  <si>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</si>
  <si>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</si>
  <si>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</si>
  <si>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</si>
  <si>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</si>
  <si>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</si>
  <si>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</si>
  <si>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</si>
  <si>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</si>
  <si>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</si>
  <si>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</si>
  <si>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</si>
  <si>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</si>
  <si>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</si>
  <si>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</si>
  <si>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</si>
  <si>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</si>
  <si>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</si>
  <si>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</si>
  <si>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</si>
  <si>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</si>
  <si>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</si>
  <si>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</si>
  <si>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</si>
  <si>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</si>
  <si>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</si>
  <si>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</si>
  <si>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</si>
  <si>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</si>
  <si>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</si>
  <si>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</si>
  <si>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</si>
  <si>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</si>
  <si>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</si>
  <si>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</si>
  <si>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</si>
  <si>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</si>
  <si>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</si>
  <si>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</si>
  <si>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</si>
  <si>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</si>
  <si>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</si>
  <si>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</si>
  <si>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</si>
  <si>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</si>
  <si>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</si>
  <si>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</si>
  <si>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</si>
  <si>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</si>
  <si>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</si>
  <si>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</si>
  <si>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</si>
  <si>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</si>
  <si>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</si>
  <si>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</si>
  <si>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</si>
  <si>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</si>
  <si>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</si>
  <si>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</si>
  <si>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</si>
  <si>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</si>
  <si>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</si>
  <si>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</si>
  <si>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</si>
  <si>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</si>
  <si>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</si>
  <si>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</si>
  <si>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</si>
  <si>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</si>
  <si>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</si>
  <si>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</si>
  <si>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</si>
  <si>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</si>
  <si>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</si>
  <si>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</si>
  <si>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</si>
  <si>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</si>
  <si>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</si>
  <si>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</si>
  <si>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</si>
  <si>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</si>
  <si>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</si>
  <si>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</si>
  <si>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</si>
  <si>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</si>
  <si>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</si>
  <si>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</si>
  <si>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</si>
  <si>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</si>
  <si>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</si>
  <si>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</si>
  <si>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</si>
  <si>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</si>
  <si>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</si>
  <si>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</si>
  <si>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</si>
  <si>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</si>
  <si>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</si>
  <si>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</si>
  <si>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</si>
  <si>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</si>
  <si>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</si>
  <si>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</si>
  <si>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</si>
  <si>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</si>
  <si>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</si>
  <si>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</si>
  <si>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</si>
  <si>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</si>
  <si>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</si>
  <si>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</si>
  <si>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</si>
  <si>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</si>
  <si>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</si>
  <si>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</si>
  <si>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</si>
  <si>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</si>
  <si>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</si>
  <si>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</si>
  <si>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</si>
  <si>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</si>
  <si>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</si>
  <si>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</si>
  <si>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</si>
  <si>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</si>
  <si>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</si>
  <si>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</si>
  <si>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</si>
  <si>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</si>
  <si>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</si>
  <si>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</si>
  <si>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</si>
  <si>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</si>
  <si>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</si>
  <si>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</si>
  <si>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</si>
  <si>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</si>
  <si>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</si>
  <si>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</si>
  <si>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</si>
  <si>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</si>
  <si>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</si>
  <si>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</si>
  <si>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</si>
  <si>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</si>
  <si>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</si>
  <si>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</si>
  <si>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</si>
  <si>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</si>
  <si>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</si>
  <si>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</si>
  <si>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</si>
  <si>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</si>
  <si>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</si>
  <si>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</si>
  <si>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</si>
  <si>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</si>
  <si>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</si>
  <si>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</si>
  <si>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</si>
  <si>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</si>
  <si>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</si>
  <si>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</si>
  <si>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</si>
  <si>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</si>
  <si>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</si>
  <si>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</si>
  <si>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</si>
  <si>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</si>
  <si>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</si>
  <si>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</si>
  <si>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</si>
  <si>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</si>
  <si>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</si>
  <si>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</si>
  <si>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</si>
  <si>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</si>
  <si>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</si>
  <si>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</si>
  <si>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</si>
  <si>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</si>
  <si>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</si>
  <si>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</si>
  <si>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</si>
  <si>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</si>
  <si>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</si>
  <si>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</si>
  <si>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</si>
  <si>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</si>
  <si>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</si>
  <si>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</si>
  <si>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</si>
  <si>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</si>
  <si>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</si>
  <si>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</si>
  <si>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</si>
  <si>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</si>
  <si>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</si>
  <si>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</si>
  <si>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</si>
  <si>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</si>
  <si>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</si>
  <si>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</si>
  <si>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</si>
  <si>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</si>
  <si>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</si>
  <si>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</si>
  <si>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</si>
  <si>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</si>
  <si>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</si>
  <si>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</si>
  <si>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</si>
  <si>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</si>
  <si>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</si>
  <si>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</si>
  <si>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</si>
  <si>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</si>
  <si>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</si>
  <si>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</si>
  <si>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</si>
  <si>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</si>
  <si>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</si>
  <si>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</si>
  <si>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</si>
  <si>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</si>
  <si>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</si>
  <si>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</si>
  <si>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</si>
  <si>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</si>
  <si>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</si>
  <si>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</si>
  <si>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</si>
  <si>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</si>
  <si>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</si>
  <si>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</si>
  <si>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</si>
  <si>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</si>
  <si>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</si>
  <si>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</si>
  <si>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</si>
  <si>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</si>
  <si>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</si>
  <si>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</si>
  <si>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</si>
  <si>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</si>
  <si>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</si>
  <si>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</si>
  <si>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</si>
  <si>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</si>
  <si>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</si>
  <si>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</si>
  <si>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</si>
  <si>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</si>
  <si>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</si>
  <si>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</si>
  <si>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</si>
  <si>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</si>
  <si>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</si>
  <si>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</si>
  <si>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</si>
  <si>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</si>
  <si>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</si>
  <si>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</si>
  <si>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</si>
  <si>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</si>
  <si>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</si>
  <si>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</si>
  <si>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</si>
  <si>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</si>
  <si>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</si>
  <si>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</si>
  <si>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</si>
  <si>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</si>
  <si>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</si>
  <si>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</si>
  <si>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</si>
  <si>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</si>
  <si>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</si>
  <si>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</si>
  <si>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</si>
  <si>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</si>
  <si>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</si>
  <si>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</si>
  <si>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</si>
  <si>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</si>
  <si>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</si>
  <si>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</si>
  <si>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</si>
  <si>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</si>
  <si>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</si>
  <si>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</si>
  <si>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</si>
  <si>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</si>
  <si>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</si>
  <si>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</si>
  <si>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</si>
  <si>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</si>
  <si>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</si>
  <si>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</si>
  <si>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</si>
  <si>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</si>
  <si>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</si>
  <si>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</si>
  <si>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</si>
  <si>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</si>
  <si>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</si>
  <si>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</si>
  <si>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</si>
  <si>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</si>
  <si>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</si>
  <si>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</si>
  <si>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</si>
  <si>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</si>
  <si>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</si>
  <si>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</si>
  <si>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</si>
  <si>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</si>
  <si>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</si>
  <si>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</si>
  <si>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</si>
  <si>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</si>
  <si>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</si>
  <si>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</si>
  <si>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</si>
  <si>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</si>
  <si>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</si>
  <si>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</si>
  <si>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</si>
  <si>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</si>
  <si>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</si>
  <si>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</si>
  <si>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</si>
  <si>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</si>
  <si>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</si>
  <si>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</si>
  <si>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</si>
  <si>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</si>
  <si>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</si>
  <si>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</si>
  <si>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</si>
  <si>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</si>
  <si>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</si>
  <si>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</si>
  <si>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</si>
  <si>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</si>
  <si>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</si>
  <si>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</si>
  <si>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</si>
  <si>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</si>
  <si>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</si>
  <si>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</si>
  <si>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</si>
  <si>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</si>
  <si>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</si>
  <si>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</si>
  <si>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</si>
  <si>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</si>
  <si>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</si>
  <si>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</si>
  <si>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</si>
  <si>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</si>
  <si>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</si>
  <si>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</si>
  <si>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</si>
  <si>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</si>
  <si>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</si>
  <si>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</si>
  <si>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</si>
  <si>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</si>
  <si>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</si>
  <si>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</si>
  <si>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</si>
  <si>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</si>
  <si>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</si>
  <si>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</si>
  <si>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</si>
  <si>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</si>
  <si>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</si>
  <si>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</si>
  <si>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</si>
  <si>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</si>
  <si>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</si>
  <si>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</si>
  <si>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</si>
  <si>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</si>
  <si>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</si>
  <si>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</si>
  <si>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</si>
  <si>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</si>
  <si>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</si>
  <si>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</si>
  <si>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</si>
  <si>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</si>
  <si>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</si>
  <si>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</si>
  <si>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</si>
  <si>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</si>
  <si>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</si>
  <si>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</si>
  <si>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</si>
  <si>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</si>
  <si>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</si>
  <si>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</si>
  <si>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</si>
  <si>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</si>
  <si>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</si>
  <si>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</si>
  <si>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</si>
  <si>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</si>
  <si>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</si>
  <si>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</si>
  <si>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</si>
  <si>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</si>
  <si>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</si>
  <si>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</si>
  <si>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</si>
  <si>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</si>
  <si>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</si>
  <si>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</si>
  <si>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</si>
  <si>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</si>
  <si>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</si>
  <si>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</si>
  <si>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</si>
  <si>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</si>
  <si>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</si>
  <si>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</si>
  <si>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</si>
  <si>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</si>
  <si>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</si>
  <si>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</si>
  <si>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</si>
  <si>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</si>
  <si>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</si>
  <si>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</si>
  <si>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</si>
  <si>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</si>
  <si>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</si>
  <si>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</si>
  <si>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</si>
  <si>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</si>
  <si>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</si>
  <si>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</si>
  <si>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</si>
  <si>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</si>
  <si>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</si>
  <si>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</si>
  <si>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</si>
  <si>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</si>
  <si>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</si>
  <si>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</si>
  <si>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</si>
  <si>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</si>
  <si>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</si>
  <si>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</si>
  <si>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</si>
  <si>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</si>
  <si>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</si>
  <si>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</si>
  <si>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</si>
  <si>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</si>
  <si>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</si>
  <si>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</si>
  <si>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</si>
  <si>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</si>
  <si>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</si>
  <si>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</si>
  <si>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</si>
  <si>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</si>
  <si>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</si>
  <si>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</si>
  <si>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</si>
  <si>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</si>
  <si>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</si>
  <si>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</si>
  <si>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</si>
  <si>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</si>
  <si>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</si>
  <si>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</si>
  <si>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</si>
  <si>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</si>
  <si>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</si>
  <si>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</si>
  <si>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</si>
  <si>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</si>
  <si>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</si>
  <si>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</si>
  <si>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</si>
  <si>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</si>
  <si>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</si>
  <si>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</si>
  <si>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</si>
  <si>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</si>
  <si>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</si>
  <si>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</si>
  <si>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</si>
  <si>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</si>
  <si>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</si>
  <si>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</si>
  <si>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</si>
  <si>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</si>
  <si>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</si>
  <si>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</si>
  <si>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</si>
  <si>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</si>
  <si>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</si>
  <si>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</si>
  <si>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</si>
  <si>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</si>
  <si>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</si>
  <si>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</si>
  <si>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</si>
  <si>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</si>
  <si>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</si>
  <si>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</si>
  <si>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</si>
  <si>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</si>
  <si>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</si>
  <si>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</si>
  <si>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</si>
  <si>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</si>
  <si>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</si>
  <si>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</si>
  <si>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</si>
  <si>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</si>
  <si>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</si>
  <si>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</si>
  <si>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</si>
  <si>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</si>
  <si>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</si>
  <si>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</si>
  <si>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</si>
  <si>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</si>
  <si>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</si>
  <si>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</si>
  <si>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</si>
  <si>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</si>
  <si>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</si>
  <si>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</si>
  <si>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</si>
  <si>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</si>
  <si>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</si>
  <si>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</si>
  <si>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</si>
  <si>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</si>
  <si>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</si>
  <si>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</si>
  <si>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</si>
  <si>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</si>
  <si>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</si>
  <si>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</si>
  <si>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</si>
  <si>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</si>
  <si>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</si>
  <si>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</si>
  <si>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</si>
  <si>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</si>
  <si>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</si>
  <si>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</si>
  <si>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</si>
  <si>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</si>
  <si>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</si>
  <si>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</si>
  <si>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</si>
  <si>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</si>
  <si>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</si>
  <si>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</si>
  <si>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</si>
  <si>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</si>
  <si>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</si>
  <si>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</si>
  <si>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</si>
  <si>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</si>
  <si>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</si>
  <si>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</si>
  <si>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</si>
  <si>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</si>
  <si>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</si>
  <si>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</si>
  <si>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</si>
  <si>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</si>
  <si>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</si>
  <si>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</si>
  <si>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</si>
  <si>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</si>
  <si>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</si>
  <si>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</si>
  <si>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</si>
  <si>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</si>
  <si>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</si>
  <si>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</si>
  <si>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</si>
  <si>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</si>
  <si>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</si>
  <si>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</si>
  <si>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</si>
  <si>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</si>
  <si>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</si>
  <si>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</si>
  <si>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</si>
  <si>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</si>
  <si>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</si>
  <si>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</si>
  <si>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</si>
  <si>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</si>
  <si>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</si>
  <si>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</si>
  <si>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</si>
  <si>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</si>
  <si>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</si>
  <si>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</si>
  <si>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</si>
  <si>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</si>
  <si>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</si>
  <si>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</si>
  <si>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</si>
  <si>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</si>
  <si>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</si>
  <si>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</si>
  <si>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</si>
  <si>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</si>
  <si>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</si>
  <si>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</si>
  <si>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</si>
  <si>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</si>
  <si>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</si>
  <si>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</si>
  <si>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</si>
  <si>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</si>
  <si>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</si>
  <si>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</si>
  <si>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</si>
  <si>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</si>
  <si>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</si>
  <si>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</si>
  <si>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</si>
  <si>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</si>
  <si>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</si>
  <si>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</si>
  <si>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</si>
  <si>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</si>
  <si>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</si>
  <si>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</si>
  <si>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</si>
  <si>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</si>
  <si>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</si>
  <si>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</si>
  <si>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</si>
  <si>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</si>
  <si>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</si>
  <si>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</si>
  <si>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</si>
  <si>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</si>
  <si>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</si>
  <si>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</si>
  <si>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</si>
  <si>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</si>
  <si>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</si>
  <si>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</si>
  <si>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</si>
  <si>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</si>
  <si>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</si>
  <si>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</si>
  <si>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</si>
  <si>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</si>
  <si>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</si>
  <si>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</si>
  <si>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</si>
  <si>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</si>
  <si>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</si>
  <si>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</si>
  <si>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</si>
  <si>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</si>
  <si>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</si>
  <si>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</si>
  <si>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</si>
  <si>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</si>
  <si>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</si>
  <si>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</si>
  <si>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</si>
  <si>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</si>
  <si>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</si>
  <si>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</si>
  <si>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</si>
  <si>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</si>
  <si>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</si>
  <si>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</si>
  <si>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</si>
  <si>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</si>
  <si>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</si>
  <si>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</si>
  <si>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</si>
  <si>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</si>
  <si>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</si>
  <si>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</si>
  <si>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</si>
  <si>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</si>
  <si>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</si>
  <si>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</si>
  <si>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</si>
  <si>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</si>
  <si>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</si>
  <si>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</si>
  <si>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</si>
  <si>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</si>
  <si>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</si>
  <si>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</si>
  <si>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</si>
  <si>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</si>
  <si>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</si>
  <si>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</si>
  <si>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</si>
  <si>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</si>
  <si>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</si>
  <si>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</si>
  <si>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</si>
  <si>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</si>
  <si>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</si>
  <si>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</si>
  <si>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</si>
  <si>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</si>
  <si>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</si>
  <si>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</si>
  <si>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</si>
  <si>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</si>
  <si>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</si>
  <si>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</si>
  <si>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</si>
  <si>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</si>
  <si>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</si>
  <si>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</si>
  <si>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</si>
  <si>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</si>
  <si>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</si>
  <si>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</si>
  <si>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</si>
  <si>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</si>
  <si>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</si>
  <si>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</si>
  <si>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</si>
  <si>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</si>
  <si>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</si>
  <si>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</si>
  <si>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</si>
  <si>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</si>
  <si>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</si>
  <si>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</si>
  <si>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</si>
  <si>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</si>
  <si>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</si>
  <si>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</si>
  <si>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</si>
  <si>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</si>
  <si>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</si>
  <si>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</si>
  <si>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</si>
  <si>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</si>
  <si>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</si>
  <si>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</si>
  <si>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</si>
  <si>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</si>
  <si>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</si>
  <si>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</si>
  <si>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</si>
  <si>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</si>
  <si>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</si>
  <si>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</si>
  <si>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</si>
  <si>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</si>
  <si>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</si>
  <si>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</si>
  <si>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</si>
  <si>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</si>
  <si>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</si>
  <si>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</si>
  <si>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</si>
  <si>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</si>
  <si>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</si>
  <si>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</si>
  <si>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</si>
  <si>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</si>
  <si>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</si>
  <si>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</si>
  <si>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</si>
  <si>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</si>
  <si>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</si>
  <si>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</si>
  <si>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</si>
  <si>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</si>
  <si>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</si>
  <si>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</si>
  <si>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</si>
  <si>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</si>
  <si>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</si>
  <si>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</si>
  <si>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</si>
  <si>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</si>
  <si>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</si>
  <si>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</si>
  <si>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</si>
  <si>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</si>
  <si>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</si>
  <si>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</si>
  <si>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</si>
  <si>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</si>
  <si>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</si>
  <si>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</si>
  <si>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</si>
  <si>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</si>
  <si>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</si>
  <si>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</si>
  <si>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</si>
  <si>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</si>
  <si>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</si>
  <si>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</si>
  <si>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</si>
  <si>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</si>
  <si>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</si>
  <si>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</si>
  <si>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</si>
  <si>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</si>
  <si>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</si>
  <si>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</si>
  <si>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</si>
  <si>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</si>
  <si>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</si>
  <si>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</si>
  <si>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</si>
  <si>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</si>
  <si>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</si>
  <si>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</si>
  <si>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</si>
  <si>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</si>
  <si>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</si>
  <si>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</si>
  <si>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</si>
  <si>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</si>
  <si>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</si>
  <si>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</si>
  <si>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</si>
  <si>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</si>
  <si>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</si>
  <si>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</si>
  <si>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</si>
  <si>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</si>
  <si>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</si>
  <si>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</si>
  <si>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</si>
  <si>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</si>
  <si>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</si>
  <si>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</si>
  <si>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</si>
  <si>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</si>
  <si>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</si>
  <si>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</si>
  <si>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</si>
  <si>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</si>
  <si>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</si>
  <si>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</si>
  <si>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</si>
  <si>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</si>
  <si>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</si>
  <si>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</si>
  <si>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</si>
  <si>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</si>
  <si>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</si>
  <si>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</si>
  <si>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</si>
  <si>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</si>
  <si>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</si>
  <si>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</si>
  <si>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</si>
  <si>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</si>
  <si>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</si>
  <si>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</si>
  <si>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</si>
  <si>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</si>
  <si>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</si>
  <si>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</si>
  <si>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</si>
  <si>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</si>
  <si>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</si>
  <si>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</si>
  <si>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</si>
  <si>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</si>
  <si>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</si>
  <si>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</si>
  <si>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</si>
  <si>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</si>
  <si>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</si>
  <si>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</si>
  <si>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</si>
  <si>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</si>
  <si>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</si>
  <si>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</si>
  <si>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</si>
  <si>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</si>
  <si>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</si>
  <si>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</si>
  <si>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</si>
  <si>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</si>
  <si>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</si>
  <si>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</si>
  <si>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</si>
  <si>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</si>
  <si>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</si>
  <si>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</si>
  <si>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</si>
  <si>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</si>
  <si>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</si>
  <si>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</si>
  <si>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</si>
  <si>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</si>
  <si>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</si>
  <si>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</si>
  <si>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</si>
  <si>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</si>
  <si>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</si>
  <si>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</si>
  <si>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</si>
  <si>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</si>
  <si>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</si>
  <si>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</si>
  <si>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</si>
  <si>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</si>
  <si>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</si>
  <si>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</si>
  <si>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</si>
  <si>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</si>
  <si>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</si>
  <si>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</si>
  <si>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</si>
  <si>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</si>
  <si>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</si>
  <si>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</si>
  <si>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</si>
  <si>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</si>
  <si>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</si>
  <si>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</si>
  <si>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</si>
  <si>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</si>
  <si>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</si>
  <si>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</si>
  <si>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</si>
  <si>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</si>
  <si>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</si>
  <si>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</si>
  <si>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</si>
  <si>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</si>
  <si>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</si>
  <si>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</si>
  <si>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</si>
  <si>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</si>
  <si>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</si>
  <si>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</si>
  <si>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</si>
  <si>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</si>
  <si>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</si>
  <si>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</si>
  <si>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</si>
  <si>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</si>
  <si>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</si>
  <si>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</si>
  <si>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</si>
  <si>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</si>
  <si>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</si>
  <si>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</si>
  <si>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</si>
  <si>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</si>
  <si>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</si>
  <si>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</si>
  <si>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</si>
  <si>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</si>
  <si>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</si>
  <si>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</si>
  <si>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</si>
  <si>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</si>
  <si>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</si>
  <si>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</si>
  <si>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</si>
  <si>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</si>
  <si>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</si>
  <si>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</si>
  <si>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</si>
  <si>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</si>
  <si>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</si>
  <si>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</si>
  <si>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</si>
  <si>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</si>
  <si>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</si>
  <si>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</si>
  <si>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</si>
  <si>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</si>
  <si>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</si>
  <si>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</si>
  <si>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</si>
  <si>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</si>
  <si>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</si>
  <si>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</si>
  <si>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</si>
  <si>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</si>
  <si>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</si>
  <si>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</si>
  <si>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</si>
  <si>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</si>
  <si>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</si>
  <si>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</si>
  <si>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</si>
  <si>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</si>
  <si>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</si>
  <si>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</si>
  <si>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</si>
  <si>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</si>
  <si>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</si>
  <si>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</si>
  <si>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</si>
  <si>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</si>
  <si>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</si>
  <si>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</si>
  <si>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</si>
  <si>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</si>
  <si>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</si>
  <si>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</si>
  <si>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</si>
  <si>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</si>
  <si>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</si>
  <si>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</si>
  <si>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</si>
  <si>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</si>
  <si>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</si>
  <si>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</si>
  <si>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</si>
  <si>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</si>
  <si>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</si>
  <si>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</si>
  <si>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</si>
  <si>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</si>
  <si>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</si>
  <si>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</si>
  <si>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</si>
  <si>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</si>
  <si>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</si>
  <si>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</si>
  <si>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</si>
  <si>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</si>
  <si>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</si>
  <si>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</si>
  <si>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</si>
  <si>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</si>
  <si>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</si>
  <si>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</si>
  <si>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</si>
  <si>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</si>
  <si>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</si>
  <si>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</si>
  <si>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</si>
  <si>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</si>
  <si>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</si>
  <si>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</si>
  <si>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</si>
  <si>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</si>
  <si>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</si>
  <si>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</si>
  <si>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</si>
  <si>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</si>
  <si>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</si>
  <si>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</si>
  <si>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</si>
  <si>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</si>
  <si>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</si>
  <si>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</si>
  <si>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</si>
  <si>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</si>
  <si>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</si>
  <si>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</si>
  <si>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</si>
  <si>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</si>
  <si>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</si>
  <si>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</si>
  <si>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</si>
  <si>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</si>
  <si>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</si>
  <si>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</si>
  <si>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</si>
  <si>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</si>
  <si>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</si>
  <si>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</si>
  <si>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</si>
  <si>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</si>
  <si>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</si>
  <si>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</si>
  <si>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</si>
  <si>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</si>
  <si>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</si>
  <si>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</si>
  <si>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</si>
  <si>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</si>
  <si>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</si>
  <si>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</si>
  <si>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</si>
  <si>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</si>
  <si>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</si>
  <si>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</si>
  <si>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</si>
  <si>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</si>
  <si>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</si>
  <si>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</si>
  <si>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</si>
  <si>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</si>
  <si>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</si>
  <si>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</si>
  <si>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</si>
  <si>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</si>
  <si>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</si>
  <si>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</si>
  <si>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</si>
  <si>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</si>
  <si>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</si>
  <si>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</si>
  <si>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</si>
  <si>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</si>
  <si>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</si>
  <si>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</si>
  <si>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</si>
  <si>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</si>
  <si>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</si>
  <si>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</si>
  <si>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</si>
  <si>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</si>
  <si>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</si>
  <si>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</si>
  <si>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</si>
  <si>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</si>
  <si>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</si>
  <si>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</si>
  <si>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</si>
  <si>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</si>
  <si>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</si>
  <si>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</si>
  <si>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</si>
  <si>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</si>
  <si>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</si>
  <si>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</si>
  <si>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</si>
  <si>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</si>
  <si>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</si>
  <si>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</si>
  <si>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</si>
  <si>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</si>
  <si>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</si>
  <si>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</si>
  <si>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</si>
  <si>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</si>
  <si>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</si>
  <si>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</si>
  <si>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</si>
  <si>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</si>
  <si>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</si>
  <si>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</si>
  <si>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</si>
  <si>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</si>
  <si>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</si>
  <si>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</si>
  <si>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</si>
  <si>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</si>
  <si>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</si>
  <si>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</si>
  <si>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</si>
  <si>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</si>
  <si>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</si>
  <si>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</si>
  <si>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</si>
  <si>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</si>
  <si>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</si>
  <si>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</si>
  <si>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</si>
  <si>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</si>
  <si>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</si>
  <si>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</si>
  <si>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</si>
  <si>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</si>
  <si>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</si>
  <si>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</si>
  <si>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</si>
  <si>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</si>
  <si>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</si>
  <si>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</si>
  <si>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</si>
  <si>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</si>
  <si>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</si>
  <si>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</si>
  <si>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</si>
  <si>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</si>
  <si>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</si>
  <si>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</si>
  <si>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</si>
  <si>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</si>
  <si>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</si>
  <si>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</si>
  <si>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</si>
  <si>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</si>
  <si>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</si>
  <si>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</si>
  <si>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</si>
  <si>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</si>
  <si>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</si>
  <si>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</si>
  <si>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</si>
  <si>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</si>
  <si>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</si>
  <si>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</si>
  <si>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</si>
  <si>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</si>
  <si>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</si>
  <si>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</si>
  <si>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</si>
  <si>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</si>
  <si>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</si>
  <si>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</si>
  <si>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</si>
  <si>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</si>
  <si>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</si>
  <si>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</si>
  <si>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</si>
  <si>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</si>
  <si>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</si>
  <si>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</si>
  <si>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</si>
  <si>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</si>
  <si>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</si>
  <si>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</si>
  <si>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</si>
  <si>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</si>
  <si>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</si>
  <si>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</si>
  <si>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</si>
  <si>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</si>
  <si>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</si>
  <si>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</si>
  <si>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</si>
  <si>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</si>
  <si>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</si>
  <si>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</si>
  <si>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</si>
  <si>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</si>
  <si>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</si>
  <si>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</si>
  <si>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</si>
  <si>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</si>
  <si>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</si>
  <si>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</si>
  <si>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</si>
  <si>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</si>
  <si>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</si>
  <si>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</si>
  <si>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</si>
  <si>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</si>
  <si>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</si>
  <si>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</si>
  <si>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</si>
  <si>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</si>
  <si>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</si>
  <si>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</si>
  <si>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</si>
  <si>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</si>
  <si>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</si>
  <si>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</si>
  <si>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</si>
  <si>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</si>
  <si>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</si>
  <si>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</si>
  <si>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</si>
  <si>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</si>
  <si>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</si>
  <si>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</si>
  <si>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</si>
  <si>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</si>
  <si>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</si>
  <si>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</si>
  <si>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</si>
  <si>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</si>
  <si>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</si>
  <si>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</si>
  <si>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</si>
  <si>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</si>
  <si>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</si>
  <si>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</si>
  <si>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</si>
  <si>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</si>
  <si>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</si>
  <si>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</si>
  <si>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</si>
  <si>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</si>
  <si>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</si>
  <si>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</si>
  <si>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</si>
  <si>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</si>
  <si>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</si>
  <si>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</si>
  <si>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</si>
  <si>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</si>
  <si>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</si>
  <si>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</si>
  <si>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</si>
  <si>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</si>
  <si>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</si>
  <si>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</si>
  <si>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</si>
  <si>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</si>
  <si>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</si>
  <si>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</si>
  <si>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</si>
  <si>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</si>
  <si>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</si>
  <si>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</si>
  <si>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</si>
  <si>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</si>
  <si>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</si>
  <si>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</si>
  <si>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</si>
  <si>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</si>
  <si>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</si>
  <si>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</si>
  <si>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</si>
  <si>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</si>
  <si>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</si>
  <si>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</si>
  <si>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</si>
  <si>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</si>
  <si>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</si>
  <si>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</si>
  <si>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</si>
  <si>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</si>
  <si>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</si>
  <si>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</si>
  <si>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</si>
  <si>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</si>
  <si>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</si>
  <si>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</si>
  <si>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</si>
  <si>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</si>
  <si>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</si>
  <si>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</si>
  <si>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</si>
  <si>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</si>
  <si>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</si>
  <si>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</si>
  <si>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</si>
  <si>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</si>
  <si>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</si>
  <si>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</si>
  <si>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</si>
  <si>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</si>
  <si>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</si>
  <si>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</si>
  <si>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</si>
  <si>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</si>
  <si>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</si>
  <si>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</si>
  <si>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</si>
  <si>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</si>
  <si>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</si>
  <si>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</si>
  <si>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</si>
  <si>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</si>
  <si>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</si>
  <si>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</si>
  <si>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</si>
  <si>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</si>
  <si>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</si>
  <si>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</si>
  <si>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</si>
  <si>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</si>
  <si>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</si>
  <si>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</si>
  <si>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</si>
  <si>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</si>
  <si>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</si>
  <si>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</si>
  <si>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</si>
  <si>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</si>
  <si>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</si>
  <si>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</si>
  <si>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</si>
  <si>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</si>
  <si>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</si>
  <si>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</si>
  <si>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</si>
  <si>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</si>
  <si>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</si>
  <si>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</si>
  <si>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</si>
  <si>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</si>
  <si>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</si>
  <si>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</si>
  <si>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</si>
  <si>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</si>
  <si>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</si>
  <si>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</si>
  <si>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</si>
  <si>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</si>
  <si>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</si>
  <si>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</si>
  <si>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</si>
  <si>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</si>
  <si>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</si>
  <si>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</si>
  <si>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</si>
  <si>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</si>
  <si>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</si>
  <si>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</si>
  <si>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</si>
  <si>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</si>
  <si>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</si>
  <si>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</si>
  <si>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</si>
  <si>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</si>
  <si>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</si>
  <si>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</si>
  <si>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</si>
  <si>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</si>
  <si>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</si>
  <si>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</si>
  <si>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</si>
  <si>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</si>
  <si>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</si>
  <si>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</si>
  <si>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</si>
  <si>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</si>
  <si>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</si>
  <si>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</si>
  <si>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</si>
  <si>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</si>
  <si>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</si>
  <si>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</si>
  <si>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</si>
  <si>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</si>
  <si>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</si>
  <si>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</si>
  <si>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</si>
  <si>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</si>
  <si>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</si>
  <si>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</si>
  <si>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</si>
  <si>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</si>
  <si>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</si>
  <si>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</si>
  <si>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</si>
  <si>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</si>
  <si>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</si>
  <si>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</si>
  <si>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</si>
  <si>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</si>
  <si>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</si>
  <si>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</si>
  <si>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</si>
  <si>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</si>
  <si>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</si>
  <si>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</si>
  <si>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</si>
  <si>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</si>
  <si>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</si>
  <si>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</si>
  <si>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</si>
  <si>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</si>
  <si>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</si>
  <si>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</si>
  <si>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</si>
  <si>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</si>
  <si>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</si>
  <si>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</si>
  <si>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</si>
  <si>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</si>
  <si>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</si>
  <si>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</si>
  <si>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</si>
  <si>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</si>
  <si>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</si>
  <si>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</si>
  <si>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</si>
  <si>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</si>
  <si>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</si>
  <si>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</si>
  <si>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</si>
  <si>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</si>
  <si>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</si>
  <si>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</si>
  <si>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</si>
  <si>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</si>
  <si>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</si>
  <si>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</si>
  <si>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</si>
  <si>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</si>
  <si>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</si>
  <si>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</si>
  <si>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</si>
  <si>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</si>
  <si>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</si>
  <si>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</si>
  <si>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</si>
  <si>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</si>
  <si>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</si>
  <si>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</si>
  <si>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</si>
  <si>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</si>
  <si>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</si>
  <si>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</si>
  <si>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</si>
  <si>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</si>
  <si>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</si>
  <si>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</si>
  <si>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</si>
  <si>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</si>
  <si>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</si>
  <si>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</si>
  <si>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</si>
  <si>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</si>
  <si>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</si>
  <si>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</si>
  <si>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</si>
  <si>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</si>
  <si>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</si>
  <si>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</si>
  <si>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</si>
  <si>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</si>
  <si>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</si>
  <si>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</si>
  <si>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</si>
  <si>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</si>
  <si>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</si>
  <si>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</si>
  <si>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</si>
  <si>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</si>
  <si>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</si>
  <si>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</si>
  <si>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</si>
  <si>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</si>
  <si>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</si>
  <si>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</si>
  <si>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</si>
  <si>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</si>
  <si>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</si>
  <si>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</si>
  <si>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</si>
  <si>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</si>
  <si>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</si>
  <si>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</si>
  <si>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</si>
  <si>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</si>
  <si>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</si>
  <si>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</si>
  <si>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</si>
  <si>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</si>
  <si>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</si>
  <si>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</si>
  <si>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</si>
  <si>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</si>
  <si>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</si>
  <si>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</si>
  <si>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</si>
  <si>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</si>
  <si>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</si>
  <si>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</si>
  <si>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</si>
  <si>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</si>
  <si>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</si>
  <si>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</si>
  <si>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</si>
  <si>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</si>
  <si>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</si>
  <si>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</si>
  <si>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</si>
  <si>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</si>
  <si>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</si>
  <si>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</si>
  <si>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</si>
  <si>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</si>
  <si>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</si>
  <si>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</si>
  <si>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</si>
  <si>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</si>
  <si>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</si>
  <si>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</si>
  <si>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</si>
  <si>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</si>
  <si>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</si>
  <si>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</si>
  <si>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</si>
  <si>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</si>
  <si>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</si>
  <si>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</si>
  <si>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</si>
  <si>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</si>
  <si>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</si>
  <si>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</si>
  <si>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</si>
  <si>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</si>
  <si>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</si>
  <si>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</si>
  <si>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</si>
  <si>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</si>
  <si>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</si>
  <si>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</si>
  <si>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</si>
  <si>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</si>
  <si>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</si>
  <si>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</si>
  <si>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</si>
  <si>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</si>
  <si>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</si>
  <si>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</si>
  <si>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</si>
  <si>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</si>
  <si>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</si>
  <si>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</si>
  <si>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</si>
  <si>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</si>
  <si>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</si>
  <si>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</si>
  <si>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</si>
  <si>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</si>
  <si>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</si>
  <si>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</si>
  <si>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</si>
  <si>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</si>
  <si>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</si>
  <si>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</si>
  <si>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</si>
  <si>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</si>
  <si>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</si>
  <si>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</si>
  <si>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</si>
  <si>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</si>
  <si>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</si>
  <si>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</si>
  <si>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</si>
  <si>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</si>
  <si>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</si>
  <si>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</si>
  <si>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</si>
  <si>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</si>
  <si>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</si>
  <si>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</si>
  <si>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</si>
  <si>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</si>
  <si>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</si>
  <si>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</si>
  <si>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</si>
  <si>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</si>
  <si>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</si>
  <si>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</si>
  <si>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</si>
  <si>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</si>
  <si>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</si>
  <si>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</si>
  <si>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</si>
  <si>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</si>
  <si>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</si>
  <si>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</si>
  <si>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</si>
  <si>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</si>
  <si>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</si>
  <si>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</si>
  <si>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</si>
  <si>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</si>
  <si>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</si>
  <si>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</si>
  <si>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</si>
  <si>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</si>
  <si>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</si>
  <si>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</si>
  <si>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</si>
  <si>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</si>
  <si>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</si>
  <si>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</si>
  <si>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</si>
  <si>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</si>
  <si>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</si>
  <si>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</si>
  <si>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</si>
  <si>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</si>
  <si>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</si>
  <si>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</si>
  <si>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</si>
  <si>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</si>
  <si>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</si>
  <si>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</si>
  <si>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</si>
  <si>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</si>
  <si>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</si>
  <si>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</si>
  <si>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</si>
  <si>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</si>
  <si>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</si>
  <si>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</si>
  <si>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</si>
  <si>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</si>
  <si>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</si>
  <si>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</si>
  <si>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</si>
  <si>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</si>
  <si>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</si>
  <si>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</si>
  <si>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</si>
  <si>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</si>
  <si>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</si>
  <si>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</si>
  <si>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</si>
  <si>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</si>
  <si>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</si>
  <si>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</si>
  <si>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</si>
  <si>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</si>
  <si>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</si>
  <si>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</si>
  <si>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</si>
  <si>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</si>
  <si>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</si>
  <si>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</si>
  <si>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</si>
  <si>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</si>
  <si>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</si>
  <si>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</si>
  <si>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</si>
  <si>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</si>
  <si>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</si>
  <si>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</si>
  <si>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</si>
  <si>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</si>
  <si>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</si>
  <si>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</si>
  <si>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</si>
  <si>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</si>
  <si>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</si>
  <si>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</si>
  <si>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</si>
  <si>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</si>
  <si>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</si>
  <si>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</si>
  <si>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</si>
  <si>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</si>
  <si>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</si>
  <si>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</si>
  <si>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</si>
  <si>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</si>
  <si>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</si>
  <si>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</si>
  <si>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</si>
  <si>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</si>
  <si>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</si>
  <si>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</si>
  <si>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</si>
  <si>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</si>
  <si>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</si>
  <si>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</si>
  <si>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</si>
  <si>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</si>
  <si>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</si>
  <si>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</si>
  <si>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</si>
  <si>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</si>
  <si>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</si>
  <si>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</si>
  <si>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</si>
  <si>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</si>
  <si>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</si>
  <si>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</si>
  <si>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</si>
  <si>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</si>
  <si>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</si>
  <si>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</si>
  <si>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</si>
  <si>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</si>
  <si>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</si>
  <si>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</si>
  <si>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</si>
  <si>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</si>
  <si>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</si>
  <si>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</si>
  <si>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</si>
  <si>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</si>
  <si>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</si>
  <si>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</si>
  <si>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</si>
  <si>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</si>
  <si>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</si>
  <si>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</si>
  <si>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</si>
  <si>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</si>
  <si>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</si>
  <si>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</si>
  <si>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</si>
  <si>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</si>
  <si>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</si>
  <si>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</si>
  <si>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</si>
  <si>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</si>
  <si>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</si>
  <si>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</si>
  <si>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</si>
  <si>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</si>
  <si>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</si>
  <si>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</si>
  <si>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</si>
  <si>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</si>
  <si>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</si>
  <si>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</si>
  <si>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</si>
  <si>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</si>
  <si>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</si>
  <si>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</si>
  <si>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</si>
  <si>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</si>
  <si>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</si>
  <si>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</si>
  <si>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</si>
  <si>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</si>
  <si>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</si>
  <si>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</si>
  <si>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</si>
  <si>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</si>
  <si>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</si>
  <si>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</si>
  <si>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</si>
  <si>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</si>
  <si>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</si>
  <si>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</si>
  <si>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</si>
  <si>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</si>
  <si>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</si>
  <si>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</si>
  <si>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</si>
  <si>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</si>
  <si>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</si>
  <si>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</si>
  <si>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</si>
  <si>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</si>
  <si>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</si>
  <si>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</si>
  <si>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</si>
  <si>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</si>
  <si>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</si>
  <si>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</si>
  <si>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</si>
  <si>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</si>
  <si>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</si>
  <si>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</si>
  <si>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</si>
  <si>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</si>
  <si>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</si>
  <si>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</si>
  <si>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</si>
  <si>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</si>
  <si>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</si>
  <si>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</si>
  <si>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</si>
  <si>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</si>
  <si>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</si>
  <si>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</si>
  <si>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</si>
  <si>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</si>
  <si>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</si>
  <si>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</si>
  <si>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</si>
  <si>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</si>
  <si>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</si>
  <si>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</si>
  <si>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</si>
  <si>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</si>
  <si>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</si>
  <si>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</si>
  <si>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</si>
  <si>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</si>
  <si>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</si>
  <si>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</si>
  <si>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</si>
  <si>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</si>
  <si>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</si>
  <si>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</si>
  <si>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</si>
  <si>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</si>
  <si>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</si>
  <si>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</si>
  <si>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</si>
  <si>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</si>
  <si>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</si>
  <si>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</si>
  <si>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</si>
  <si>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</si>
  <si>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</si>
  <si>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</si>
  <si>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</si>
  <si>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</si>
  <si>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</si>
  <si>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</si>
  <si>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</si>
  <si>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</si>
  <si>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</si>
  <si>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</si>
  <si>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</si>
  <si>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</si>
  <si>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</si>
  <si>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</si>
  <si>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</si>
  <si>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</si>
  <si>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</si>
  <si>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</si>
  <si>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</si>
  <si>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</si>
  <si>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</si>
  <si>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</si>
  <si>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</si>
  <si>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</si>
  <si>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</si>
  <si>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</si>
  <si>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</si>
  <si>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</si>
  <si>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</si>
  <si>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</si>
  <si>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</si>
  <si>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</si>
  <si>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</si>
  <si>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</si>
  <si>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</si>
  <si>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</si>
  <si>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</si>
  <si>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</si>
  <si>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</si>
  <si>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</si>
  <si>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</si>
  <si>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</si>
  <si>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</si>
  <si>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</si>
  <si>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</si>
  <si>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</si>
  <si>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</si>
  <si>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</si>
  <si>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</si>
  <si>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</si>
  <si>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</si>
  <si>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</si>
  <si>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</si>
  <si>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</si>
  <si>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</si>
  <si>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</si>
  <si>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</si>
  <si>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</si>
  <si>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</si>
  <si>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</si>
  <si>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</si>
  <si>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</si>
  <si>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</si>
  <si>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</si>
  <si>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</si>
  <si>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</si>
  <si>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</si>
  <si>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</si>
  <si>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</si>
  <si>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</si>
  <si>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</si>
  <si>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</si>
  <si>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</si>
  <si>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</si>
  <si>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</si>
  <si>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</si>
  <si>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</si>
  <si>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</si>
  <si>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</si>
  <si>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</si>
  <si>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</si>
  <si>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</si>
  <si>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</si>
  <si>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</si>
  <si>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</si>
  <si>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</si>
  <si>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</si>
  <si>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</si>
  <si>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</si>
  <si>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</si>
  <si>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</si>
  <si>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</si>
  <si>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</si>
  <si>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</si>
  <si>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</si>
  <si>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</si>
  <si>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</si>
  <si>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</si>
  <si>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</si>
  <si>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</si>
  <si>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</si>
  <si>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</si>
  <si>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</si>
  <si>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</si>
  <si>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</si>
  <si>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</si>
  <si>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</si>
  <si>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</si>
  <si>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</si>
  <si>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</si>
  <si>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</si>
  <si>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</si>
  <si>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</si>
  <si>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</si>
  <si>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</si>
  <si>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</si>
  <si>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</si>
  <si>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</si>
  <si>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</si>
  <si>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</si>
  <si>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</si>
  <si>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</si>
  <si>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</si>
  <si>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</si>
  <si>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</si>
  <si>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</si>
  <si>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</si>
  <si>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</si>
  <si>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</si>
  <si>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</si>
  <si>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</si>
  <si>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</si>
  <si>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</si>
  <si>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</si>
  <si>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</si>
  <si>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</si>
  <si>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</si>
  <si>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</si>
  <si>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</si>
  <si>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</si>
  <si>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</si>
  <si>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</si>
  <si>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</si>
  <si>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</si>
  <si>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</si>
  <si>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</si>
  <si>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</si>
  <si>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</si>
  <si>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</si>
  <si>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</si>
  <si>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</si>
  <si>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</si>
  <si>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</si>
  <si>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</si>
  <si>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</si>
  <si>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</si>
  <si>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</si>
  <si>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</si>
  <si>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</si>
  <si>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</si>
  <si>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</si>
  <si>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</si>
  <si>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</si>
  <si>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</si>
  <si>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</si>
  <si>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</si>
  <si>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</si>
  <si>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</si>
  <si>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</si>
  <si>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</si>
  <si>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</si>
  <si>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</si>
  <si>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</si>
  <si>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</si>
  <si>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</si>
  <si>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</si>
  <si>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</si>
  <si>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</si>
  <si>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</si>
  <si>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</si>
  <si>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</si>
  <si>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</si>
  <si>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</si>
  <si>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</si>
  <si>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</si>
  <si>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</si>
  <si>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</si>
  <si>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</si>
  <si>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</si>
  <si>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</si>
  <si>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</si>
  <si>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</si>
  <si>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</si>
  <si>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</si>
  <si>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</si>
  <si>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</si>
  <si>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</si>
  <si>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</si>
  <si>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</si>
  <si>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</si>
  <si>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</si>
  <si>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</si>
  <si>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</si>
  <si>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</si>
  <si>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</si>
  <si>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</si>
  <si>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</si>
  <si>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</si>
  <si>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</si>
  <si>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</si>
  <si>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</si>
  <si>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</si>
  <si>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</si>
  <si>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</si>
  <si>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</si>
  <si>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</si>
  <si>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</si>
  <si>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</si>
  <si>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</si>
  <si>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</si>
  <si>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</si>
  <si>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</si>
  <si>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</si>
  <si>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</si>
  <si>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</si>
  <si>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</si>
  <si>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</si>
  <si>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</si>
  <si>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</si>
  <si>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</si>
  <si>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</si>
  <si>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</si>
  <si>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</si>
  <si>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</si>
  <si>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</si>
  <si>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</si>
  <si>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</si>
  <si>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</si>
  <si>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</si>
  <si>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</si>
  <si>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</si>
  <si>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</si>
  <si>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</si>
  <si>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</si>
  <si>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</si>
  <si>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</si>
  <si>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</si>
  <si>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</si>
  <si>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</si>
  <si>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</si>
  <si>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</si>
  <si>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</si>
  <si>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</si>
  <si>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</si>
  <si>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</si>
  <si>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</si>
  <si>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</si>
  <si>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</si>
  <si>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</si>
  <si>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</si>
  <si>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</si>
  <si>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</si>
  <si>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</si>
  <si>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</si>
  <si>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</si>
  <si>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</si>
  <si>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</si>
  <si>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</si>
  <si>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</si>
  <si>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</si>
  <si>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</si>
  <si>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</si>
  <si>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</si>
  <si>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</si>
  <si>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</si>
  <si>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</si>
  <si>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</si>
  <si>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</si>
  <si>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</si>
  <si>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</si>
  <si>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</si>
  <si>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</si>
  <si>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</si>
  <si>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</si>
  <si>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</si>
  <si>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</si>
  <si>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</si>
  <si>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</si>
  <si>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</si>
  <si>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</si>
  <si>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</si>
  <si>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</si>
  <si>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</si>
  <si>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</si>
  <si>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</si>
  <si>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</si>
  <si>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</si>
  <si>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</si>
  <si>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</si>
  <si>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</si>
  <si>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</si>
  <si>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</si>
  <si>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</si>
  <si>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</si>
  <si>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</si>
  <si>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</si>
  <si>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</si>
  <si>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</si>
  <si>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</si>
  <si>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</si>
  <si>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</si>
  <si>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</si>
  <si>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</si>
  <si>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</si>
  <si>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</si>
  <si>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</si>
  <si>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</si>
  <si>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</si>
  <si>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</si>
  <si>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</si>
  <si>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</si>
  <si>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</si>
  <si>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</si>
  <si>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</si>
  <si>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</si>
  <si>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</si>
  <si>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</si>
  <si>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</si>
  <si>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</si>
  <si>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</si>
  <si>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</si>
  <si>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</si>
  <si>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</si>
  <si>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</si>
  <si>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</si>
  <si>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</si>
  <si>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</si>
  <si>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</si>
  <si>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</si>
  <si>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</si>
  <si>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</si>
  <si>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</si>
  <si>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</si>
  <si>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</si>
  <si>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</si>
  <si>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</si>
  <si>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</si>
  <si>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</si>
  <si>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</si>
  <si>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</si>
  <si>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</si>
  <si>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</si>
  <si>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</si>
  <si>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</si>
  <si>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</si>
  <si>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</si>
  <si>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</si>
  <si>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</si>
  <si>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</si>
  <si>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</si>
  <si>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</si>
  <si>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</si>
  <si>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</si>
  <si>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</si>
  <si>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</si>
  <si>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</si>
  <si>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</si>
  <si>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</si>
  <si>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</si>
  <si>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</si>
  <si>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</si>
  <si>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</si>
  <si>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</si>
  <si>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</si>
  <si>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</si>
  <si>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</si>
  <si>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</si>
  <si>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</si>
  <si>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</si>
  <si>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</si>
  <si>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</si>
  <si>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</si>
  <si>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</si>
  <si>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</si>
  <si>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</si>
  <si>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</si>
  <si>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</si>
  <si>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</si>
  <si>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</si>
  <si>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</si>
  <si>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</si>
  <si>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</si>
  <si>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</si>
  <si>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</si>
  <si>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</si>
  <si>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</si>
  <si>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</si>
  <si>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</si>
  <si>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</si>
  <si>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</si>
  <si>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</si>
  <si>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</si>
  <si>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</si>
  <si>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</si>
  <si>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</si>
  <si>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</si>
  <si>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</si>
  <si>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</si>
  <si>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</si>
  <si>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</si>
  <si>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</si>
  <si>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</si>
  <si>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</si>
  <si>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</si>
  <si>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</si>
  <si>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</si>
  <si>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</si>
  <si>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</si>
  <si>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</si>
  <si>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</si>
  <si>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</si>
  <si>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</si>
  <si>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</si>
  <si>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</si>
  <si>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</si>
  <si>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</si>
  <si>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</si>
  <si>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</si>
  <si>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</si>
  <si>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</si>
  <si>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</si>
  <si>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</si>
  <si>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</si>
  <si>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</si>
  <si>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</si>
  <si>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</si>
  <si>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</si>
  <si>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</si>
  <si>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</si>
  <si>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</si>
  <si>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</si>
  <si>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</si>
  <si>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</si>
  <si>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</si>
  <si>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</si>
  <si>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</si>
  <si>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</si>
  <si>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</si>
  <si>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</si>
  <si>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</si>
  <si>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</si>
  <si>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</si>
  <si>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</si>
  <si>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</si>
  <si>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</si>
  <si>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</si>
  <si>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</si>
  <si>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</si>
  <si>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</si>
  <si>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</si>
  <si>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</si>
  <si>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</si>
  <si>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</si>
  <si>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</si>
  <si>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</si>
  <si>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</si>
  <si>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</si>
  <si>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</si>
  <si>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</si>
  <si>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</si>
  <si>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</si>
  <si>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</si>
  <si>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</si>
  <si>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</si>
  <si>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</si>
  <si>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</si>
  <si>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</si>
  <si>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</si>
  <si>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</si>
  <si>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</si>
  <si>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</si>
  <si>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</si>
  <si>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</si>
  <si>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</si>
  <si>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</si>
  <si>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</si>
  <si>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</si>
  <si>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</si>
  <si>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</si>
  <si>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</si>
  <si>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</si>
  <si>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</si>
  <si>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</si>
  <si>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</si>
  <si>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</si>
  <si>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</si>
  <si>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</si>
  <si>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</si>
  <si>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</si>
  <si>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</si>
  <si>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</si>
  <si>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</si>
  <si>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</si>
  <si>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</si>
  <si>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</si>
  <si>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</si>
  <si>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</si>
  <si>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</si>
  <si>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</si>
  <si>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</si>
  <si>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</si>
  <si>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</si>
  <si>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</si>
  <si>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</si>
  <si>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</si>
  <si>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</si>
  <si>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</si>
  <si>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</si>
  <si>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</si>
  <si>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</si>
  <si>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</si>
  <si>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</si>
  <si>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</si>
  <si>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</si>
  <si>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</si>
  <si>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</si>
  <si>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</si>
  <si>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</si>
  <si>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</si>
  <si>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</si>
  <si>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</si>
  <si>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</si>
  <si>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</si>
  <si>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</si>
  <si>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</si>
  <si>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</si>
  <si>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</si>
  <si>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</si>
  <si>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</si>
  <si>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</si>
  <si>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</si>
  <si>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</si>
  <si>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</si>
  <si>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</si>
  <si>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</si>
  <si>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</si>
  <si>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</si>
  <si>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</si>
  <si>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</si>
  <si>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</si>
  <si>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</si>
  <si>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</si>
  <si>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</si>
  <si>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</si>
  <si>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</si>
  <si>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</si>
  <si>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</si>
  <si>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</si>
  <si>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</si>
  <si>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</si>
  <si>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</si>
  <si>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</si>
  <si>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</si>
  <si>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</si>
  <si>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</si>
  <si>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</si>
  <si>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</si>
  <si>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</si>
  <si>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</si>
  <si>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</si>
  <si>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</si>
  <si>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</si>
  <si>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</si>
  <si>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</si>
  <si>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</si>
  <si>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</si>
  <si>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</si>
  <si>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</si>
  <si>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</si>
  <si>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</si>
  <si>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</si>
  <si>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</si>
  <si>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</si>
  <si>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</si>
  <si>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</si>
  <si>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</si>
  <si>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</si>
  <si>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</si>
  <si>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</si>
  <si>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</si>
  <si>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</si>
  <si>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</si>
  <si>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</si>
  <si>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</si>
  <si>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</si>
  <si>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</si>
  <si>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</si>
  <si>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</si>
  <si>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</si>
  <si>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</si>
  <si>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</si>
  <si>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</si>
  <si>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</si>
  <si>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</si>
  <si>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</si>
  <si>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</si>
  <si>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</si>
  <si>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</si>
  <si>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</si>
  <si>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</si>
  <si>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</si>
  <si>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</si>
  <si>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</si>
  <si>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</si>
  <si>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</si>
  <si>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</si>
  <si>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</si>
  <si>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</si>
  <si>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</si>
  <si>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</si>
  <si>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</si>
  <si>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</si>
  <si>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</si>
  <si>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</si>
  <si>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</si>
  <si>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</si>
  <si>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</si>
  <si>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</si>
  <si>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</si>
  <si>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</si>
  <si>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</si>
  <si>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</si>
  <si>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</si>
  <si>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</si>
  <si>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</si>
  <si>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</si>
  <si>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</si>
  <si>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</si>
  <si>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</si>
  <si>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</si>
  <si>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</si>
  <si>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</si>
  <si>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</si>
  <si>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</si>
  <si>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</si>
  <si>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</si>
  <si>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</si>
  <si>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</si>
  <si>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</si>
  <si>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</si>
  <si>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</si>
  <si>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</si>
  <si>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</si>
  <si>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</si>
  <si>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</si>
  <si>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</si>
  <si>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</si>
  <si>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</si>
  <si>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</si>
  <si>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</si>
  <si>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</si>
  <si>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</si>
  <si>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</si>
  <si>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</si>
  <si>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</si>
  <si>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</si>
  <si>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</si>
  <si>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</si>
  <si>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</si>
  <si>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</si>
  <si>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</si>
  <si>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</si>
  <si>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</si>
  <si>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</si>
  <si>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</si>
  <si>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</si>
  <si>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</si>
  <si>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</si>
  <si>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</si>
  <si>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</si>
  <si>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</si>
  <si>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</si>
  <si>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</si>
  <si>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</si>
  <si>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</si>
  <si>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</si>
  <si>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</si>
  <si>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</si>
  <si>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</si>
  <si>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</si>
  <si>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</si>
  <si>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</si>
  <si>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</si>
  <si>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</si>
  <si>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</si>
  <si>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</si>
  <si>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</si>
  <si>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</si>
  <si>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</si>
  <si>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</si>
  <si>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</si>
  <si>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</si>
  <si>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</si>
  <si>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</si>
  <si>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</si>
  <si>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</si>
  <si>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</si>
  <si>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</si>
  <si>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</si>
  <si>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</si>
  <si>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</si>
  <si>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</si>
  <si>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</si>
  <si>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</si>
  <si>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</si>
  <si>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</si>
  <si>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</si>
  <si>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</si>
  <si>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</si>
  <si>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</si>
  <si>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</si>
  <si>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</si>
  <si>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</si>
  <si>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</si>
  <si>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</si>
  <si>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</si>
  <si>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</si>
  <si>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</si>
  <si>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</si>
  <si>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</si>
  <si>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</si>
  <si>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</si>
  <si>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</si>
  <si>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</si>
  <si>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</si>
  <si>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</si>
  <si>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</si>
  <si>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</si>
  <si>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</si>
  <si>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</si>
  <si>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</si>
  <si>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</si>
  <si>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</si>
  <si>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</si>
  <si>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</si>
  <si>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</si>
  <si>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</si>
  <si>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</si>
  <si>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</si>
  <si>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</si>
  <si>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</si>
  <si>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</si>
  <si>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</si>
  <si>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</si>
  <si>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</si>
  <si>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</si>
  <si>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</si>
  <si>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</si>
  <si>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</si>
  <si>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</si>
  <si>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</si>
  <si>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</si>
  <si>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</si>
  <si>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</si>
  <si>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</si>
  <si>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</si>
  <si>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</si>
  <si>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</si>
  <si>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</si>
  <si>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</si>
  <si>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</si>
  <si>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</si>
  <si>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</si>
  <si>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</si>
  <si>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</si>
  <si>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</si>
  <si>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</si>
  <si>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</si>
  <si>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</si>
  <si>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</si>
  <si>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</si>
  <si>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</si>
  <si>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</si>
  <si>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</si>
  <si>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</si>
  <si>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</si>
  <si>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</si>
  <si>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</si>
  <si>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</si>
  <si>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</si>
  <si>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</si>
  <si>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</si>
  <si>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</si>
  <si>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</si>
  <si>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</si>
  <si>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</si>
  <si>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</si>
  <si>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</si>
  <si>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</si>
  <si>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</si>
  <si>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</si>
  <si>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</si>
  <si>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</si>
  <si>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</si>
  <si>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</si>
  <si>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</si>
  <si>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</si>
  <si>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</si>
  <si>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</si>
  <si>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</si>
  <si>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</si>
  <si>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</si>
  <si>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</si>
  <si>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</si>
  <si>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</si>
  <si>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</si>
  <si>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</si>
  <si>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</si>
  <si>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</si>
  <si>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</si>
  <si>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</si>
  <si>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</si>
  <si>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</si>
  <si>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</si>
  <si>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</si>
  <si>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</si>
  <si>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</si>
  <si>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</si>
  <si>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</si>
  <si>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</si>
  <si>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</si>
  <si>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</si>
  <si>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</si>
  <si>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</si>
  <si>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</si>
  <si>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</si>
  <si>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</si>
  <si>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</si>
  <si>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</si>
  <si>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</si>
  <si>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</si>
  <si>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</si>
  <si>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</si>
  <si>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</si>
  <si>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</si>
  <si>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</si>
  <si>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</si>
  <si>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</si>
  <si>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</si>
  <si>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</si>
  <si>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</si>
  <si>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</si>
  <si>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</si>
  <si>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</si>
  <si>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</si>
  <si>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</si>
  <si>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</si>
  <si>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</si>
  <si>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</si>
  <si>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</si>
  <si>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</si>
  <si>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</si>
  <si>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</si>
  <si>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</si>
  <si>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</si>
  <si>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</si>
  <si>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</si>
  <si>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</si>
  <si>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</si>
  <si>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</si>
  <si>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</si>
  <si>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</si>
  <si>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</si>
  <si>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</si>
  <si>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</si>
  <si>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</si>
  <si>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</si>
  <si>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</si>
  <si>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</si>
  <si>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</si>
  <si>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</si>
  <si>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</si>
  <si>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</si>
  <si>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</si>
  <si>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</si>
  <si>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</si>
  <si>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</si>
  <si>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</si>
  <si>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</si>
  <si>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</si>
  <si>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</si>
  <si>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</si>
  <si>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</si>
  <si>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</si>
  <si>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</si>
  <si>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</si>
  <si>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</si>
  <si>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</si>
  <si>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</si>
  <si>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</si>
  <si>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</si>
  <si>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</si>
  <si>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</si>
  <si>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</si>
  <si>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</si>
  <si>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</si>
  <si>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</si>
  <si>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</si>
  <si>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</si>
  <si>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</si>
  <si>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</si>
  <si>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</si>
  <si>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</si>
  <si>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</si>
  <si>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</si>
  <si>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</si>
  <si>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</si>
  <si>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</si>
  <si>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</si>
  <si>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</si>
  <si>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</si>
  <si>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</si>
  <si>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</si>
  <si>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</si>
  <si>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</si>
  <si>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</si>
  <si>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</si>
  <si>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</si>
  <si>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</si>
  <si>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</si>
  <si>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</si>
  <si>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</si>
  <si>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</si>
  <si>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</si>
  <si>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</si>
  <si>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</si>
  <si>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</si>
  <si>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</si>
  <si>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</si>
  <si>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</si>
  <si>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</si>
  <si>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</si>
  <si>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</si>
  <si>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</si>
  <si>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</si>
  <si>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</si>
  <si>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</si>
  <si>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</si>
  <si>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</si>
  <si>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</si>
  <si>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</si>
  <si>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</si>
  <si>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</si>
  <si>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</si>
  <si>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</si>
  <si>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</si>
  <si>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</si>
  <si>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</si>
  <si>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</si>
  <si>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</si>
  <si>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</si>
  <si>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</si>
  <si>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</si>
  <si>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</si>
  <si>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</si>
  <si>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</si>
  <si>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</si>
  <si>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</si>
  <si>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</si>
  <si>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</si>
  <si>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</si>
  <si>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</si>
  <si>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</si>
  <si>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</si>
  <si>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</si>
  <si>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</si>
  <si>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</si>
  <si>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</si>
  <si>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</si>
  <si>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</si>
  <si>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</si>
  <si>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</si>
  <si>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</si>
  <si>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</si>
  <si>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</si>
  <si>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</si>
  <si>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</si>
  <si>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</si>
  <si>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</si>
  <si>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</si>
  <si>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</si>
  <si>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</si>
  <si>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</si>
  <si>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</si>
  <si>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</si>
  <si>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</si>
  <si>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</si>
  <si>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</si>
  <si>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</si>
  <si>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</si>
  <si>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</si>
  <si>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</si>
  <si>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</si>
  <si>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</si>
  <si>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</si>
  <si>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</si>
  <si>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</si>
  <si>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</si>
  <si>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</si>
  <si>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</si>
  <si>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</si>
  <si>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</si>
  <si>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</si>
  <si>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</si>
  <si>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</si>
  <si>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</si>
  <si>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</si>
  <si>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</si>
  <si>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</si>
  <si>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</si>
  <si>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</si>
  <si>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</si>
  <si>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</si>
  <si>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</si>
  <si>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</si>
  <si>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</si>
  <si>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</si>
  <si>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</si>
  <si>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</si>
  <si>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</si>
  <si>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</si>
  <si>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</si>
  <si>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</si>
  <si>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</si>
  <si>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</si>
  <si>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</si>
  <si>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</si>
  <si>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</si>
  <si>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</si>
  <si>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</si>
  <si>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</si>
  <si>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</si>
  <si>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</si>
  <si>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</si>
  <si>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</si>
  <si>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</si>
  <si>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</si>
  <si>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</si>
  <si>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</si>
  <si>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</si>
  <si>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</si>
  <si>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</si>
  <si>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</si>
  <si>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</si>
  <si>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</si>
  <si>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</si>
  <si>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</si>
  <si>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</si>
  <si>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</si>
  <si>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</si>
  <si>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</si>
  <si>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</si>
  <si>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</si>
  <si>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</si>
  <si>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</si>
  <si>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</si>
  <si>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</si>
  <si>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</si>
  <si>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</si>
  <si>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</si>
  <si>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</si>
  <si>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</si>
  <si>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</si>
  <si>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</si>
  <si>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</si>
  <si>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</si>
  <si>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</si>
  <si>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</si>
  <si>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</si>
  <si>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</si>
  <si>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</si>
  <si>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</si>
  <si>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</si>
  <si>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</si>
  <si>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</si>
  <si>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</si>
  <si>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</si>
  <si>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</si>
  <si>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</si>
  <si>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</si>
  <si>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</si>
  <si>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</si>
  <si>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</si>
  <si>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</si>
  <si>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</si>
  <si>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</si>
  <si>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</si>
  <si>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</si>
  <si>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</si>
  <si>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</si>
  <si>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</si>
  <si>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</si>
  <si>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</si>
  <si>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</si>
  <si>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</si>
  <si>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</si>
  <si>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</si>
  <si>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</si>
  <si>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</si>
  <si>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</si>
  <si>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</si>
  <si>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</si>
  <si>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</si>
  <si>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</si>
  <si>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</si>
  <si>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</si>
  <si>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</si>
  <si>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</si>
  <si>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</si>
  <si>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</si>
  <si>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</si>
  <si>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</si>
  <si>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</si>
  <si>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</si>
  <si>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</si>
  <si>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</si>
  <si>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</si>
  <si>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</si>
  <si>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</si>
  <si>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</si>
  <si>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</si>
  <si>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</si>
  <si>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</si>
  <si>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</si>
  <si>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</si>
  <si>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</si>
  <si>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</si>
  <si>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</si>
  <si>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</si>
  <si>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</si>
  <si>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</si>
  <si>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</si>
  <si>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</si>
  <si>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</si>
  <si>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</si>
  <si>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</si>
  <si>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</si>
  <si>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</si>
  <si>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</si>
  <si>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</si>
  <si>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</si>
  <si>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</si>
  <si>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</si>
  <si>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</si>
  <si>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</si>
  <si>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</si>
  <si>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</si>
  <si>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</si>
  <si>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</si>
  <si>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</si>
  <si>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</si>
  <si>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</si>
  <si>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</si>
  <si>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</si>
  <si>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</si>
  <si>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</si>
  <si>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</si>
  <si>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</si>
  <si>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</si>
  <si>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</si>
  <si>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</si>
  <si>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</si>
  <si>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</si>
  <si>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</si>
  <si>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</si>
  <si>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</si>
  <si>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</si>
  <si>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</si>
  <si>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</si>
  <si>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</si>
  <si>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</si>
  <si>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</si>
  <si>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</si>
  <si>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</si>
  <si>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</si>
  <si>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</si>
  <si>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</si>
  <si>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</si>
  <si>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</si>
  <si>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</si>
  <si>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</si>
  <si>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</si>
  <si>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</si>
  <si>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</si>
  <si>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</si>
  <si>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</si>
  <si>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</si>
  <si>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</si>
  <si>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</si>
  <si>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</si>
  <si>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</si>
  <si>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</si>
  <si>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</si>
  <si>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</si>
  <si>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</si>
  <si>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</si>
  <si>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</si>
  <si>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</si>
  <si>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</si>
  <si>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</si>
  <si>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</si>
  <si>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</si>
  <si>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</si>
  <si>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</si>
  <si>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</si>
  <si>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</si>
  <si>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</si>
  <si>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</si>
  <si>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</si>
  <si>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</si>
  <si>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</si>
  <si>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</si>
  <si>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</si>
  <si>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</si>
  <si>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</si>
  <si>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</si>
  <si>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</si>
  <si>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</si>
  <si>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</si>
  <si>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</si>
  <si>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</si>
  <si>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</si>
  <si>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</si>
  <si>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</si>
  <si>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</si>
  <si>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</si>
  <si>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</si>
  <si>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</si>
  <si>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</si>
  <si>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</si>
  <si>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</si>
  <si>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</si>
  <si>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</si>
  <si>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</si>
  <si>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</si>
  <si>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</si>
  <si>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</si>
  <si>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</si>
  <si>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</si>
  <si>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</si>
  <si>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</si>
  <si>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</si>
  <si>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</si>
  <si>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</si>
  <si>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</si>
  <si>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</si>
  <si>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</si>
  <si>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</si>
  <si>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</si>
  <si>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</si>
  <si>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</si>
  <si>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</si>
  <si>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</si>
  <si>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</si>
  <si>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</si>
  <si>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</si>
  <si>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</si>
  <si>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</si>
  <si>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</si>
  <si>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</si>
  <si>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</si>
  <si>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</si>
  <si>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</si>
  <si>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</si>
  <si>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</si>
  <si>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</si>
  <si>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</si>
  <si>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</si>
  <si>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</si>
  <si>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</si>
  <si>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</si>
  <si>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</si>
  <si>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</si>
  <si>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</si>
  <si>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</si>
  <si>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</si>
  <si>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</si>
  <si>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</si>
  <si>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</si>
  <si>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</si>
  <si>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</si>
  <si>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</si>
  <si>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</si>
  <si>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</si>
  <si>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</si>
  <si>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</si>
  <si>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</si>
  <si>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</si>
  <si>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</si>
  <si>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</si>
  <si>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</si>
  <si>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</si>
  <si>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</si>
  <si>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</si>
  <si>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</si>
  <si>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</si>
  <si>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</si>
  <si>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</si>
  <si>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</si>
  <si>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</si>
  <si>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</si>
  <si>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</si>
  <si>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</si>
  <si>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</si>
  <si>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</si>
  <si>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</si>
  <si>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</si>
  <si>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</si>
  <si>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</si>
  <si>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</si>
  <si>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</si>
  <si>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</si>
  <si>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</si>
  <si>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</si>
  <si>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</si>
  <si>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</si>
  <si>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</si>
  <si>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</si>
  <si>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</si>
  <si>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</si>
  <si>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</si>
  <si>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</si>
  <si>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</si>
  <si>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</si>
  <si>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</si>
  <si>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</si>
  <si>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</si>
  <si>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</si>
  <si>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</si>
  <si>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</si>
  <si>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</si>
  <si>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</si>
  <si>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</si>
  <si>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</si>
  <si>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</si>
  <si>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</si>
  <si>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</si>
  <si>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</si>
  <si>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</si>
  <si>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</si>
  <si>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</si>
  <si>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</si>
  <si>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</si>
  <si>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</si>
  <si>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</si>
  <si>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</si>
  <si>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</si>
  <si>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</si>
  <si>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</si>
  <si>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</si>
  <si>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</si>
  <si>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</si>
  <si>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</si>
  <si>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</si>
  <si>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</si>
  <si>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</si>
  <si>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</si>
  <si>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</si>
  <si>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</si>
  <si>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</si>
  <si>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</si>
  <si>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</si>
  <si>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</si>
  <si>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</si>
  <si>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</si>
  <si>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</si>
  <si>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</si>
  <si>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</si>
  <si>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</si>
  <si>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</si>
  <si>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</si>
  <si>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</si>
  <si>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</si>
  <si>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</si>
  <si>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</si>
  <si>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</si>
  <si>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</si>
  <si>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</si>
  <si>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</si>
  <si>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</si>
  <si>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</si>
  <si>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</si>
  <si>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</si>
  <si>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</si>
  <si>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</si>
  <si>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</si>
  <si>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</si>
  <si>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</si>
  <si>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</si>
  <si>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</si>
  <si>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</si>
  <si>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</si>
  <si>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</si>
  <si>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</si>
  <si>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</si>
  <si>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</si>
  <si>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</si>
  <si>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</si>
  <si>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</si>
  <si>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</si>
  <si>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</si>
  <si>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</si>
  <si>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</si>
  <si>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</si>
  <si>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</si>
  <si>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</si>
  <si>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</si>
  <si>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</si>
  <si>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</si>
  <si>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</si>
  <si>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</si>
  <si>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</si>
  <si>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</si>
  <si>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</si>
  <si>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</si>
  <si>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</si>
  <si>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</si>
  <si>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</si>
  <si>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</si>
  <si>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</si>
  <si>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</si>
  <si>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</si>
  <si>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</si>
  <si>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怨恚</t>
    <phoneticPr fontId="19" type="noConversion"/>
  </si>
  <si>
    <t>uan1 ke1</t>
    <phoneticPr fontId="19" type="noConversion"/>
  </si>
  <si>
    <t>怨恚：【恨】之同義連詞</t>
    <phoneticPr fontId="19" type="noConversion"/>
  </si>
  <si>
    <t>復</t>
    <phoneticPr fontId="19" type="noConversion"/>
  </si>
  <si>
    <t>koh4</t>
    <phoneticPr fontId="19" type="noConversion"/>
  </si>
  <si>
    <t>重也、再也。</t>
    <phoneticPr fontId="19" type="noConversion"/>
  </si>
  <si>
    <t>拾</t>
    <phoneticPr fontId="19" type="noConversion"/>
  </si>
  <si>
    <t>khio3</t>
    <phoneticPr fontId="19" type="noConversion"/>
  </si>
  <si>
    <t>撿到</t>
    <phoneticPr fontId="19" type="noConversion"/>
  </si>
  <si>
    <t>淖屎</t>
    <phoneticPr fontId="19" type="noConversion"/>
  </si>
  <si>
    <t>掉鍊</t>
    <phoneticPr fontId="19" type="noConversion"/>
  </si>
  <si>
    <t>lau3 lan2</t>
    <phoneticPr fontId="19" type="noConversion"/>
  </si>
  <si>
    <t>掉漆</t>
    <phoneticPr fontId="19" type="noConversion"/>
  </si>
  <si>
    <t>掉落去</t>
    <phoneticPr fontId="19" type="noConversion"/>
  </si>
  <si>
    <t>lak4 lak4 khi3</t>
    <phoneticPr fontId="19" type="noConversion"/>
  </si>
  <si>
    <t>lak4 cat4</t>
    <phoneticPr fontId="19" type="noConversion"/>
  </si>
  <si>
    <t>lau3 sai2</t>
    <phoneticPr fontId="19" type="noConversion"/>
  </si>
  <si>
    <t>khu5</t>
    <phoneticPr fontId="19" type="noConversion"/>
  </si>
  <si>
    <t>蹲</t>
    <phoneticPr fontId="19" type="noConversion"/>
  </si>
  <si>
    <t>踞</t>
    <phoneticPr fontId="19" type="noConversion"/>
  </si>
  <si>
    <t>柳橙</t>
    <phoneticPr fontId="19" type="noConversion"/>
  </si>
  <si>
    <t>liu2 ting1</t>
    <phoneticPr fontId="19" type="noConversion"/>
  </si>
  <si>
    <t>柳丁</t>
    <phoneticPr fontId="19" type="noConversion"/>
  </si>
  <si>
    <t>俞</t>
    <phoneticPr fontId="19" type="noConversion"/>
  </si>
  <si>
    <t>ju5</t>
    <phoneticPr fontId="19" type="noConversion"/>
  </si>
  <si>
    <t>lu5</t>
    <phoneticPr fontId="19" type="noConversion"/>
  </si>
  <si>
    <t>欲</t>
    <phoneticPr fontId="19" type="noConversion"/>
  </si>
  <si>
    <t>beh4</t>
    <phoneticPr fontId="19" type="noConversion"/>
  </si>
  <si>
    <t>bueh4</t>
    <phoneticPr fontId="19" type="noConversion"/>
  </si>
  <si>
    <t>giok8</t>
    <phoneticPr fontId="19" type="noConversion"/>
  </si>
  <si>
    <t>學數學</t>
    <phoneticPr fontId="19" type="noConversion"/>
  </si>
  <si>
    <t>oh8 soo3 hak8</t>
    <phoneticPr fontId="19" type="noConversion"/>
  </si>
  <si>
    <t>叫是</t>
    <phoneticPr fontId="19" type="noConversion"/>
  </si>
  <si>
    <t>會曉</t>
    <phoneticPr fontId="19" type="noConversion"/>
  </si>
  <si>
    <t>e7 hiau2</t>
    <phoneticPr fontId="19" type="noConversion"/>
  </si>
  <si>
    <t>懂得；知道</t>
    <phoneticPr fontId="19" type="noConversion"/>
  </si>
  <si>
    <t>這幾天</t>
    <phoneticPr fontId="19" type="noConversion"/>
  </si>
  <si>
    <t>拄拄好</t>
    <phoneticPr fontId="19" type="noConversion"/>
  </si>
  <si>
    <t>tu2 tu2 ho2</t>
    <phoneticPr fontId="19" type="noConversion"/>
  </si>
  <si>
    <t>即幾工</t>
    <phoneticPr fontId="19" type="noConversion"/>
  </si>
  <si>
    <t>zit4 kui2 kang1</t>
    <phoneticPr fontId="19" type="noConversion"/>
  </si>
  <si>
    <t>即幾日</t>
    <phoneticPr fontId="19" type="noConversion"/>
  </si>
  <si>
    <t>zit4 kui2 jit8</t>
    <phoneticPr fontId="19" type="noConversion"/>
  </si>
  <si>
    <t>規工</t>
    <phoneticPr fontId="19" type="noConversion"/>
  </si>
  <si>
    <t>kui1 kang1</t>
    <phoneticPr fontId="19" type="noConversion"/>
  </si>
  <si>
    <t>整天</t>
    <phoneticPr fontId="19" type="noConversion"/>
  </si>
  <si>
    <t>剛好</t>
    <phoneticPr fontId="19" type="noConversion"/>
  </si>
  <si>
    <t>無拄好</t>
    <phoneticPr fontId="19" type="noConversion"/>
  </si>
  <si>
    <t>bo5 tu2 ho2</t>
    <phoneticPr fontId="19" type="noConversion"/>
  </si>
  <si>
    <t>不湊巧</t>
    <phoneticPr fontId="19" type="noConversion"/>
  </si>
  <si>
    <t>即例</t>
    <phoneticPr fontId="19" type="noConversion"/>
  </si>
  <si>
    <t>zit4 le7</t>
    <phoneticPr fontId="19" type="noConversion"/>
  </si>
  <si>
    <t>zit4 e5</t>
    <phoneticPr fontId="19" type="noConversion"/>
  </si>
  <si>
    <t>即個</t>
    <phoneticPr fontId="19" type="noConversion"/>
  </si>
  <si>
    <t>這個</t>
    <phoneticPr fontId="19" type="noConversion"/>
  </si>
  <si>
    <t>逐個</t>
    <phoneticPr fontId="19" type="noConversion"/>
  </si>
  <si>
    <t>tak8 e5</t>
    <phoneticPr fontId="19" type="noConversion"/>
  </si>
  <si>
    <t>每一個</t>
    <phoneticPr fontId="19" type="noConversion"/>
  </si>
  <si>
    <t>即擺</t>
    <phoneticPr fontId="19" type="noConversion"/>
  </si>
  <si>
    <t>zit4 pai2</t>
    <phoneticPr fontId="19" type="noConversion"/>
  </si>
  <si>
    <t>這次；此番</t>
    <phoneticPr fontId="19" type="noConversion"/>
  </si>
  <si>
    <t>kio3 si7</t>
    <phoneticPr fontId="19" type="noConversion"/>
  </si>
  <si>
    <t>以為是</t>
    <phoneticPr fontId="19" type="noConversion"/>
  </si>
  <si>
    <r>
      <rPr>
        <sz val="18"/>
        <color theme="1"/>
        <rFont val="細明體"/>
        <family val="3"/>
        <charset val="136"/>
      </rPr>
      <t>越來</t>
    </r>
    <r>
      <rPr>
        <sz val="18"/>
        <color theme="1"/>
        <rFont val="Cascadia Code"/>
        <family val="3"/>
      </rPr>
      <t>~</t>
    </r>
    <r>
      <rPr>
        <sz val="18"/>
        <color theme="1"/>
        <rFont val="細明體"/>
        <family val="3"/>
        <charset val="136"/>
      </rPr>
      <t>越</t>
    </r>
    <r>
      <rPr>
        <sz val="18"/>
        <color theme="1"/>
        <rFont val="Cascadia Code"/>
        <family val="3"/>
      </rPr>
      <t>~</t>
    </r>
    <phoneticPr fontId="19" type="noConversion"/>
  </si>
  <si>
    <t>彼是啥物</t>
    <phoneticPr fontId="19" type="noConversion"/>
  </si>
  <si>
    <t>tioh8 ai7</t>
    <phoneticPr fontId="19" type="noConversion"/>
  </si>
  <si>
    <t>就要：咁一定著愛自頭開始，</t>
    <phoneticPr fontId="19" type="noConversion"/>
  </si>
  <si>
    <t>那是什麼</t>
    <phoneticPr fontId="19" type="noConversion"/>
  </si>
  <si>
    <t>he1 si7 siann2 mih8</t>
    <phoneticPr fontId="19" type="noConversion"/>
  </si>
  <si>
    <t>着愛</t>
    <phoneticPr fontId="19" type="noConversion"/>
  </si>
  <si>
    <t>一个</t>
    <phoneticPr fontId="19" type="noConversion"/>
  </si>
  <si>
    <t>一個</t>
    <phoneticPr fontId="19" type="noConversion"/>
  </si>
  <si>
    <t>我的</t>
    <phoneticPr fontId="19" type="noConversion"/>
  </si>
  <si>
    <t>gua2 e5</t>
    <phoneticPr fontId="19" type="noConversion"/>
  </si>
  <si>
    <t>我的（國語：結構助詞）</t>
    <phoneticPr fontId="19" type="noConversion"/>
  </si>
  <si>
    <t>下晡</t>
    <phoneticPr fontId="19" type="noConversion"/>
  </si>
  <si>
    <t>e7 poo1</t>
    <phoneticPr fontId="19" type="noConversion"/>
  </si>
  <si>
    <t>下午</t>
    <phoneticPr fontId="19" type="noConversion"/>
  </si>
  <si>
    <t>下攞</t>
    <phoneticPr fontId="19" type="noConversion"/>
  </si>
  <si>
    <t>e7 pai2</t>
    <phoneticPr fontId="19" type="noConversion"/>
  </si>
  <si>
    <t>下回；下次</t>
    <phoneticPr fontId="19" type="noConversion"/>
  </si>
  <si>
    <t>查晡人</t>
    <phoneticPr fontId="19" type="noConversion"/>
  </si>
  <si>
    <t>查某人</t>
    <phoneticPr fontId="19" type="noConversion"/>
  </si>
  <si>
    <t>za1 boo2 lang5</t>
    <phoneticPr fontId="19" type="noConversion"/>
  </si>
  <si>
    <t>女人</t>
    <phoneticPr fontId="19" type="noConversion"/>
  </si>
  <si>
    <t>男人</t>
    <phoneticPr fontId="19" type="noConversion"/>
  </si>
  <si>
    <t>za1 poo1 lang5</t>
    <phoneticPr fontId="19" type="noConversion"/>
  </si>
  <si>
    <t>tai7 zi3</t>
    <phoneticPr fontId="19" type="noConversion"/>
  </si>
  <si>
    <t>事情</t>
    <phoneticPr fontId="19" type="noConversion"/>
  </si>
  <si>
    <t>代誌（事情）</t>
    <phoneticPr fontId="19" type="noConversion"/>
  </si>
  <si>
    <t>受氣（生氣）</t>
  </si>
  <si>
    <t>siu7 khi3</t>
    <phoneticPr fontId="19" type="noConversion"/>
  </si>
  <si>
    <t>生氣</t>
    <phoneticPr fontId="19" type="noConversion"/>
  </si>
  <si>
    <t>恢弘</t>
    <phoneticPr fontId="19" type="noConversion"/>
  </si>
  <si>
    <t>hue1 hong5</t>
    <phoneticPr fontId="19" type="noConversion"/>
  </si>
  <si>
    <t>宏大的</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</si>
</sst>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3">
    <font>
      <sz val="14"/>
      <color theme="1"/>
      <name val="新細明體"/>
      <family val="1"/>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28"/>
      <color theme="1"/>
      <name val="霞鶩文楷 TC Medium"/>
      <family val="1"/>
      <charset val="136"/>
    </font>
    <font>
      <sz val="18"/>
      <color theme="1"/>
      <name val="霞鶩文楷 TC Medium"/>
      <family val="3"/>
      <charset val="136"/>
    </font>
    <font>
      <sz val="28"/>
      <color rgb="FFFF0000"/>
      <name val="霞鶩文楷 TC Medium"/>
      <family val="1"/>
      <charset val="136"/>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0">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177" fontId="25" fillId="0" borderId="0" xfId="0" applyNumberFormat="1" applyFont="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30" fillId="0" borderId="0" xfId="0" applyFont="1">
      <alignment vertical="center"/>
    </xf>
    <xf numFmtId="177" fontId="27" fillId="0" borderId="0" xfId="0" applyNumberFormat="1" applyFont="1">
      <alignment vertical="center"/>
    </xf>
    <xf numFmtId="0" fontId="31" fillId="0" borderId="0" xfId="0" applyFont="1" applyAlignment="1">
      <alignment vertical="center" wrapText="1"/>
    </xf>
    <xf numFmtId="0" fontId="32" fillId="0" borderId="0" xfId="0" applyFont="1">
      <alignment vertical="center"/>
    </xf>
    <xf numFmtId="176" fontId="25" fillId="0" borderId="0" xfId="0" applyNumberFormat="1" applyFont="1" applyAlignment="1">
      <alignment horizontal="left" vertical="center"/>
    </xf>
    <xf numFmtId="0" fontId="29" fillId="0" borderId="0" xfId="0" applyFont="1" applyAlignment="1">
      <alignment vertical="center" wrapText="1"/>
    </xf>
    <xf numFmtId="0" fontId="25" fillId="33" borderId="10" xfId="0" applyFont="1" applyFill="1" applyBorder="1">
      <alignment vertical="center"/>
    </xf>
    <xf numFmtId="177" fontId="25" fillId="33" borderId="10" xfId="0" applyNumberFormat="1" applyFont="1" applyFill="1" applyBorder="1">
      <alignment vertical="center"/>
    </xf>
    <xf numFmtId="0" fontId="25" fillId="33" borderId="10" xfId="0" applyFont="1" applyFill="1" applyBorder="1" applyAlignment="1">
      <alignment vertical="center" wrapText="1"/>
    </xf>
    <xf numFmtId="0" fontId="25" fillId="33" borderId="10" xfId="0" applyFont="1" applyFill="1" applyBorder="1" applyAlignment="1">
      <alignment horizontal="left" vertical="center"/>
    </xf>
    <xf numFmtId="0" fontId="25" fillId="0" borderId="0" xfId="0" applyFont="1" applyAlignment="1">
      <alignment horizontal="lef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ustomBuiltin="1"/>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38"/>
  <sheetViews>
    <sheetView tabSelected="1" workbookViewId="0">
      <pane ySplit="1" topLeftCell="A32" activePane="bottomLeft" state="frozen"/>
      <selection pane="bottomLeft" activeCell="D37" sqref="D37"/>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46209.887540046293</v>
      </c>
    </row>
    <row r="2" spans="1:7">
      <c r="A2" s="19" t="s">
        <v>31267</v>
      </c>
      <c r="B2" s="10" t="s">
        <v>31296</v>
      </c>
      <c r="C2" s="12">
        <v>0.6</v>
      </c>
      <c r="D2" s="21" t="s">
        <v>31297</v>
      </c>
      <c r="E2" s="23">
        <v>46208.470967476853</v>
      </c>
    </row>
    <row r="3" spans="1:7">
      <c r="A3" s="22" t="s">
        <v>31285</v>
      </c>
      <c r="B3" s="10" t="s">
        <v>31286</v>
      </c>
      <c r="C3" s="12">
        <v>0.6</v>
      </c>
      <c r="D3" s="21" t="s">
        <v>31289</v>
      </c>
      <c r="E3" s="23">
        <f ca="1" xml:space="preserve"> NOW()</f>
        <v>46209.887540046293</v>
      </c>
    </row>
    <row r="4" spans="1:7">
      <c r="A4" s="19" t="s">
        <v>31288</v>
      </c>
      <c r="B4" s="10" t="s">
        <v>31287</v>
      </c>
      <c r="C4" s="12">
        <v>0.6</v>
      </c>
      <c r="D4" s="21" t="s">
        <v>31289</v>
      </c>
      <c r="E4" s="23">
        <f ca="1" xml:space="preserve"> NOW()</f>
        <v>46209.887540046293</v>
      </c>
    </row>
    <row r="5" spans="1:7">
      <c r="A5" s="19" t="s">
        <v>31274</v>
      </c>
      <c r="B5" s="10" t="s">
        <v>31275</v>
      </c>
      <c r="C5" s="12">
        <v>0.6</v>
      </c>
      <c r="D5" s="21" t="s">
        <v>31271</v>
      </c>
      <c r="E5" s="23">
        <v>46208.470967476853</v>
      </c>
    </row>
    <row r="6" spans="1:7">
      <c r="A6" s="19" t="s">
        <v>31276</v>
      </c>
      <c r="B6" s="10" t="s">
        <v>31277</v>
      </c>
      <c r="C6" s="12">
        <v>0.6</v>
      </c>
      <c r="D6" s="21" t="s">
        <v>31271</v>
      </c>
      <c r="E6" s="23">
        <v>46208.470967476853</v>
      </c>
    </row>
    <row r="7" spans="1:7">
      <c r="A7" s="19" t="s">
        <v>31293</v>
      </c>
      <c r="B7" s="10" t="s">
        <v>31294</v>
      </c>
      <c r="C7" s="12">
        <v>0.6</v>
      </c>
      <c r="D7" s="21" t="s">
        <v>31295</v>
      </c>
      <c r="E7" s="23">
        <f ca="1" xml:space="preserve"> NOW()</f>
        <v>46209.887540046293</v>
      </c>
    </row>
    <row r="8" spans="1:7">
      <c r="A8" s="19" t="s">
        <v>31272</v>
      </c>
      <c r="B8" s="10" t="s">
        <v>31273</v>
      </c>
      <c r="C8" s="12">
        <v>0.6</v>
      </c>
      <c r="D8" s="16" t="s">
        <v>31281</v>
      </c>
      <c r="E8" s="23">
        <v>46208.470967476853</v>
      </c>
    </row>
    <row r="9" spans="1:7">
      <c r="A9" s="19" t="s">
        <v>31258</v>
      </c>
      <c r="B9" s="10" t="s">
        <v>31259</v>
      </c>
      <c r="C9" s="12">
        <v>0.6</v>
      </c>
      <c r="D9" s="24" t="s">
        <v>31298</v>
      </c>
      <c r="E9" s="23">
        <v>46207.789709837962</v>
      </c>
    </row>
    <row r="10" spans="1:7">
      <c r="A10" s="19" t="s">
        <v>31258</v>
      </c>
      <c r="B10" s="10" t="s">
        <v>31260</v>
      </c>
      <c r="C10" s="12">
        <v>0.6</v>
      </c>
      <c r="D10" s="24" t="s">
        <v>31298</v>
      </c>
      <c r="E10" s="23">
        <v>46207.789709837962</v>
      </c>
    </row>
    <row r="11" spans="1:7">
      <c r="A11" s="19" t="s">
        <v>31235</v>
      </c>
      <c r="B11" s="10" t="s">
        <v>31236</v>
      </c>
      <c r="C11" s="12">
        <v>0.6</v>
      </c>
      <c r="D11" s="16" t="s">
        <v>31237</v>
      </c>
      <c r="E11" s="23">
        <v>46207.789709837962</v>
      </c>
    </row>
    <row r="12" spans="1:7">
      <c r="A12" s="19" t="s">
        <v>31241</v>
      </c>
      <c r="B12" s="10" t="s">
        <v>31242</v>
      </c>
      <c r="C12" s="12">
        <v>0.6</v>
      </c>
      <c r="D12" s="16" t="s">
        <v>31243</v>
      </c>
      <c r="E12" s="23">
        <v>46207.789709837962</v>
      </c>
    </row>
    <row r="13" spans="1:7">
      <c r="A13" s="19" t="s">
        <v>31255</v>
      </c>
      <c r="B13" s="10" t="s">
        <v>31256</v>
      </c>
      <c r="C13" s="12">
        <v>0.6</v>
      </c>
      <c r="D13" s="16" t="s">
        <v>31257</v>
      </c>
      <c r="E13" s="23">
        <v>46207.789709837962</v>
      </c>
    </row>
    <row r="14" spans="1:7">
      <c r="A14" s="19" t="s">
        <v>31248</v>
      </c>
      <c r="B14" s="10" t="s">
        <v>31249</v>
      </c>
      <c r="C14" s="12">
        <v>0.6</v>
      </c>
      <c r="E14" s="23">
        <v>46207.789709837962</v>
      </c>
    </row>
    <row r="15" spans="1:7">
      <c r="A15" s="19" t="s">
        <v>31247</v>
      </c>
      <c r="B15" s="10" t="s">
        <v>31250</v>
      </c>
      <c r="C15" s="12">
        <v>0.6</v>
      </c>
      <c r="E15" s="23">
        <v>46207.789709837962</v>
      </c>
    </row>
    <row r="16" spans="1:7">
      <c r="A16" s="19" t="s">
        <v>31245</v>
      </c>
      <c r="B16" s="10" t="s">
        <v>31246</v>
      </c>
      <c r="C16" s="12">
        <v>0.6</v>
      </c>
      <c r="E16" s="23">
        <v>46207.789709837962</v>
      </c>
    </row>
    <row r="17" spans="1:5">
      <c r="A17" s="19" t="s">
        <v>31261</v>
      </c>
      <c r="B17" s="10" t="s">
        <v>31264</v>
      </c>
      <c r="C17" s="20">
        <v>0.8</v>
      </c>
      <c r="E17" s="23">
        <v>46207.789709837962</v>
      </c>
    </row>
    <row r="18" spans="1:5">
      <c r="A18" s="19" t="s">
        <v>31261</v>
      </c>
      <c r="B18" s="10" t="s">
        <v>31262</v>
      </c>
      <c r="C18" s="12">
        <v>0.6</v>
      </c>
      <c r="E18" s="23">
        <v>46207.789709837962</v>
      </c>
    </row>
    <row r="19" spans="1:5">
      <c r="A19" s="19" t="s">
        <v>31261</v>
      </c>
      <c r="B19" s="10" t="s">
        <v>31263</v>
      </c>
      <c r="C19" s="12">
        <v>0.6</v>
      </c>
      <c r="E19" s="23">
        <v>46207.789709837962</v>
      </c>
    </row>
    <row r="20" spans="1:5">
      <c r="A20" s="19" t="s">
        <v>31244</v>
      </c>
      <c r="B20" s="10" t="s">
        <v>31251</v>
      </c>
      <c r="C20" s="12">
        <v>0.6</v>
      </c>
      <c r="E20" s="23">
        <v>46207.789709837962</v>
      </c>
    </row>
    <row r="21" spans="1:5">
      <c r="A21" s="19" t="s">
        <v>31278</v>
      </c>
      <c r="B21" s="10" t="s">
        <v>31279</v>
      </c>
      <c r="C21" s="12">
        <v>0.6</v>
      </c>
      <c r="D21" s="21" t="s">
        <v>31280</v>
      </c>
      <c r="E21" s="23">
        <v>46208.470967476853</v>
      </c>
    </row>
    <row r="22" spans="1:5">
      <c r="A22" s="19" t="s">
        <v>31290</v>
      </c>
      <c r="B22" s="10" t="s">
        <v>31291</v>
      </c>
      <c r="C22" s="12">
        <v>0.6</v>
      </c>
      <c r="D22" s="21" t="s">
        <v>31292</v>
      </c>
      <c r="E22" s="23">
        <f ca="1" xml:space="preserve"> NOW()</f>
        <v>46209.887540046293</v>
      </c>
    </row>
    <row r="23" spans="1:5">
      <c r="A23" s="19" t="s">
        <v>31238</v>
      </c>
      <c r="B23" s="10" t="s">
        <v>31239</v>
      </c>
      <c r="C23" s="12">
        <v>0.6</v>
      </c>
      <c r="D23" s="16" t="s">
        <v>31240</v>
      </c>
      <c r="E23" s="23">
        <v>46207.789709837962</v>
      </c>
    </row>
    <row r="24" spans="1:5">
      <c r="A24" s="19" t="s">
        <v>31282</v>
      </c>
      <c r="B24" s="10" t="s">
        <v>31283</v>
      </c>
      <c r="C24" s="12">
        <v>0.6</v>
      </c>
      <c r="D24" s="16" t="s">
        <v>31284</v>
      </c>
      <c r="E24" s="23">
        <f ca="1" xml:space="preserve"> NOW()</f>
        <v>46209.887540046293</v>
      </c>
    </row>
    <row r="25" spans="1:5">
      <c r="A25" s="19" t="s">
        <v>31268</v>
      </c>
      <c r="B25" s="10" t="s">
        <v>31269</v>
      </c>
      <c r="C25" s="12">
        <v>0.6</v>
      </c>
      <c r="D25" s="16" t="s">
        <v>31270</v>
      </c>
      <c r="E25" s="23">
        <v>46208.470967476853</v>
      </c>
    </row>
    <row r="26" spans="1:5">
      <c r="A26" s="19" t="s">
        <v>31254</v>
      </c>
      <c r="B26" s="10" t="s">
        <v>31252</v>
      </c>
      <c r="C26" s="12">
        <v>0.6</v>
      </c>
      <c r="D26" s="16" t="s">
        <v>31253</v>
      </c>
      <c r="E26" s="23">
        <v>46207.789709837962</v>
      </c>
    </row>
    <row r="27" spans="1:5">
      <c r="A27" s="19" t="s">
        <v>31265</v>
      </c>
      <c r="B27" s="10" t="s">
        <v>31266</v>
      </c>
      <c r="C27" s="12">
        <v>0.6</v>
      </c>
      <c r="E27" s="23">
        <v>46208.470967476853</v>
      </c>
    </row>
    <row r="28" spans="1:5">
      <c r="A28" s="19" t="s">
        <v>31299</v>
      </c>
      <c r="B28" s="10" t="s">
        <v>31303</v>
      </c>
      <c r="C28" s="12">
        <v>0.6</v>
      </c>
      <c r="D28" s="16" t="s">
        <v>31302</v>
      </c>
      <c r="E28" s="23">
        <v>46208.470967476853</v>
      </c>
    </row>
    <row r="29" spans="1:5">
      <c r="A29" s="19" t="s">
        <v>31304</v>
      </c>
      <c r="B29" s="10" t="s">
        <v>31300</v>
      </c>
      <c r="C29" s="12">
        <v>0.6</v>
      </c>
      <c r="D29" s="16" t="s">
        <v>31301</v>
      </c>
      <c r="E29" s="23">
        <v>46208.470967476853</v>
      </c>
    </row>
    <row r="30" spans="1:5">
      <c r="A30" s="19" t="s">
        <v>31305</v>
      </c>
      <c r="B30" s="10" t="s">
        <v>31287</v>
      </c>
      <c r="C30" s="12">
        <v>0.6</v>
      </c>
      <c r="D30" s="16" t="s">
        <v>31306</v>
      </c>
      <c r="E30" s="23">
        <v>46209.458310069444</v>
      </c>
    </row>
    <row r="31" spans="1:5">
      <c r="A31" s="19" t="s">
        <v>31307</v>
      </c>
      <c r="B31" s="10" t="s">
        <v>31308</v>
      </c>
      <c r="C31" s="12">
        <v>0.6</v>
      </c>
      <c r="D31" s="16" t="s">
        <v>31309</v>
      </c>
      <c r="E31" s="23">
        <v>46209.458310069444</v>
      </c>
    </row>
    <row r="32" spans="1:5">
      <c r="A32" s="19" t="s">
        <v>31310</v>
      </c>
      <c r="B32" s="10" t="s">
        <v>31311</v>
      </c>
      <c r="C32" s="12">
        <v>0.6</v>
      </c>
      <c r="D32" s="21" t="s">
        <v>31312</v>
      </c>
      <c r="E32" s="23">
        <v>46209.458310069444</v>
      </c>
    </row>
    <row r="33" spans="1:5">
      <c r="A33" s="19" t="s">
        <v>31313</v>
      </c>
      <c r="B33" s="10" t="s">
        <v>31314</v>
      </c>
      <c r="C33" s="12">
        <v>0.6</v>
      </c>
      <c r="D33" s="21" t="s">
        <v>31315</v>
      </c>
      <c r="E33" s="23">
        <v>46209.458310069444</v>
      </c>
    </row>
    <row r="34" spans="1:5">
      <c r="A34" s="19" t="s">
        <v>31316</v>
      </c>
      <c r="B34" s="10" t="s">
        <v>31321</v>
      </c>
      <c r="C34" s="12">
        <v>0.6</v>
      </c>
      <c r="D34" s="21" t="s">
        <v>31320</v>
      </c>
      <c r="E34" s="23">
        <v>46209.458310069444</v>
      </c>
    </row>
    <row r="35" spans="1:5">
      <c r="A35" s="19" t="s">
        <v>31317</v>
      </c>
      <c r="B35" s="10" t="s">
        <v>31318</v>
      </c>
      <c r="C35" s="12">
        <v>0.6</v>
      </c>
      <c r="D35" s="21" t="s">
        <v>31319</v>
      </c>
      <c r="E35" s="23">
        <v>46209.458310069444</v>
      </c>
    </row>
    <row r="36" spans="1:5">
      <c r="A36" s="19" t="s">
        <v>31324</v>
      </c>
      <c r="B36" s="10" t="s">
        <v>31322</v>
      </c>
      <c r="C36" s="12">
        <v>0.6</v>
      </c>
      <c r="D36" s="21" t="s">
        <v>31323</v>
      </c>
      <c r="E36" s="23">
        <v>46209.458310069444</v>
      </c>
    </row>
    <row r="37" spans="1:5">
      <c r="A37" s="19" t="s">
        <v>31325</v>
      </c>
      <c r="B37" s="10" t="s">
        <v>31326</v>
      </c>
      <c r="C37" s="12">
        <v>0.6</v>
      </c>
      <c r="D37" s="21" t="s">
        <v>31327</v>
      </c>
      <c r="E37" s="23">
        <v>46209.458310069444</v>
      </c>
    </row>
    <row r="38" spans="1:5">
      <c r="A38" s="19" t="s">
        <v>31328</v>
      </c>
      <c r="B38" s="10" t="s">
        <v>31329</v>
      </c>
      <c r="C38" s="12">
        <v>0.6</v>
      </c>
      <c r="D38" s="21" t="s">
        <v>31330</v>
      </c>
      <c r="E38" s="23">
        <v>46209.458310069444</v>
      </c>
    </row>
  </sheetData>
  <sortState xmlns:xlrd2="http://schemas.microsoft.com/office/spreadsheetml/2017/richdata2" ref="A2:E27">
    <sortCondition ref="A25:A27"/>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546875" customWidth="1"/>
    <col min="2" max="3" width="11" style="2" customWidth="1"/>
    <col min="4" max="4" width="8.88671875" style="2"/>
    <col min="5" max="5" width="15" style="2" customWidth="1"/>
    <col min="6" max="6" width="46" style="8" customWidth="1"/>
    <col min="7" max="7" width="29.77734375" style="2" customWidth="1"/>
    <col min="8" max="8" width="46" style="8" customWidth="1"/>
    <col min="9" max="9" width="15" style="2" customWidth="1"/>
    <col min="10" max="10" width="46" style="8" customWidth="1"/>
    <col min="11" max="11" width="10.77734375" style="3" customWidth="1"/>
    <col min="12" max="17" width="8.88671875"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382.5">
      <c r="A895">
        <v>894</v>
      </c>
      <c r="B895" s="2" t="s">
        <v>5308</v>
      </c>
      <c r="D895" s="2" t="s">
        <v>5309</v>
      </c>
      <c r="F895" s="8" t="s">
        <v>5310</v>
      </c>
      <c r="H895" s="8" t="s">
        <v>5311</v>
      </c>
      <c r="J895" s="8" t="s">
        <v>5312</v>
      </c>
      <c r="K895" s="3" t="s">
        <v>5313</v>
      </c>
      <c r="P895" s="5" t="s">
        <v>5314</v>
      </c>
      <c r="Q895" s="5" t="s">
        <v>5315</v>
      </c>
      <c r="R895" t="s">
        <v>5316</v>
      </c>
      <c r="T895">
        <v>125</v>
      </c>
    </row>
    <row r="896" spans="1:20" ht="382.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1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382.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180">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180">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292.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546875" style="12" customWidth="1"/>
    <col min="2" max="2" width="36.109375" style="11" customWidth="1"/>
    <col min="3" max="3" width="15" style="11" customWidth="1"/>
    <col min="4" max="4" width="38.5546875" style="10" customWidth="1"/>
    <col min="5" max="5" width="36.44140625" style="12" customWidth="1"/>
    <col min="6" max="6" width="70.44140625" style="10" customWidth="1"/>
    <col min="7" max="7" width="8.88671875" style="10"/>
    <col min="8" max="8" width="46.77734375" style="10" customWidth="1"/>
    <col min="9" max="16384" width="8.88671875" style="10"/>
  </cols>
  <sheetData>
    <row r="1" spans="1:6">
      <c r="A1" s="14" t="s">
        <v>31206</v>
      </c>
      <c r="B1" s="15" t="s">
        <v>31216</v>
      </c>
      <c r="C1" s="15" t="s">
        <v>31217</v>
      </c>
      <c r="D1" s="15" t="s">
        <v>31218</v>
      </c>
      <c r="E1" s="15" t="s">
        <v>31219</v>
      </c>
      <c r="F1" s="15" t="s">
        <v>31226</v>
      </c>
    </row>
    <row r="2" spans="1:6">
      <c r="A2" s="13" t="s">
        <v>31207</v>
      </c>
      <c r="B2" s="11" t="s">
        <v>31208</v>
      </c>
      <c r="C2" s="11">
        <v>2</v>
      </c>
      <c r="D2" s="10" t="str">
        <f>SUBSTITUTE(B2,"-"," ")</f>
        <v>i5 tiunn7</v>
      </c>
      <c r="E2" s="10" t="s">
        <v>31220</v>
      </c>
      <c r="F2" s="16" t="s">
        <v>31229</v>
      </c>
    </row>
    <row r="3" spans="1:6">
      <c r="A3" s="13" t="s">
        <v>31205</v>
      </c>
      <c r="B3" s="11" t="s">
        <v>31204</v>
      </c>
      <c r="C3" s="11">
        <v>2</v>
      </c>
      <c r="D3" s="10" t="str">
        <f>SUBSTITUTE(B3,"-"," ")</f>
        <v>koo tiunn7</v>
      </c>
      <c r="E3" s="12" t="s">
        <v>31225</v>
      </c>
      <c r="F3" s="16" t="s">
        <v>31230</v>
      </c>
    </row>
    <row r="4" spans="1:6" ht="51.75">
      <c r="A4" s="13" t="s">
        <v>31209</v>
      </c>
      <c r="B4" s="11" t="s">
        <v>31210</v>
      </c>
      <c r="C4" s="11">
        <v>2</v>
      </c>
      <c r="D4" s="10" t="str">
        <f t="shared" ref="D4:D7" si="0">SUBSTITUTE(B4,"-"," ")</f>
        <v>a tsik</v>
      </c>
      <c r="E4" s="12" t="s">
        <v>31224</v>
      </c>
      <c r="F4" s="18" t="s">
        <v>31231</v>
      </c>
    </row>
    <row r="5" spans="1:6" ht="76.5">
      <c r="A5" s="13" t="s">
        <v>31211</v>
      </c>
      <c r="B5" s="11" t="s">
        <v>31212</v>
      </c>
      <c r="C5" s="11">
        <v>3</v>
      </c>
      <c r="D5" s="10" t="str">
        <f t="shared" si="0"/>
        <v>ki3 be7 tiau5</v>
      </c>
      <c r="E5" s="12" t="s">
        <v>31221</v>
      </c>
      <c r="F5" s="16" t="s">
        <v>31232</v>
      </c>
    </row>
    <row r="6" spans="1:6">
      <c r="A6" s="13" t="s">
        <v>31213</v>
      </c>
      <c r="B6" s="11" t="s">
        <v>31214</v>
      </c>
      <c r="C6" s="11">
        <v>3</v>
      </c>
      <c r="D6" s="10" t="str">
        <f t="shared" si="0"/>
        <v>bin5 tsu2 tong2</v>
      </c>
      <c r="E6" s="12" t="s">
        <v>31222</v>
      </c>
      <c r="F6" s="16" t="s">
        <v>31233</v>
      </c>
    </row>
    <row r="7" spans="1:6">
      <c r="A7" s="13" t="s">
        <v>31227</v>
      </c>
      <c r="B7" s="11" t="s">
        <v>31215</v>
      </c>
      <c r="C7" s="11">
        <v>3</v>
      </c>
      <c r="D7" s="10" t="str">
        <f t="shared" si="0"/>
        <v>beh8 a2 tsiu2</v>
      </c>
      <c r="E7" s="12" t="s">
        <v>31223</v>
      </c>
      <c r="F7" s="16" t="s">
        <v>31234</v>
      </c>
    </row>
    <row r="9" spans="1:6">
      <c r="A9" s="17" t="s">
        <v>31228</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RIME_Dict</vt:lpstr>
      <vt:lpstr>ChhoeTaigi_TaioanPehoeKichhooGi</vt:lpstr>
      <vt:lpstr>轉換作業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2026-07-06T13:41:53Z</dcterms:modified>
</cp:coreProperties>
</file>