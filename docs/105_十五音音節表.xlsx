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125BB18-A8D4-485E-B832-BBBDCFEBBAE5}" xr6:coauthVersionLast="47" xr6:coauthVersionMax="47" xr10:uidLastSave="{00000000-0000-0000-0000-000000000000}"/>
  <bookViews>
    <workbookView xWindow="-67320" yWindow="-120" windowWidth="29040" windowHeight="15720" activeTab="1" xr2:uid="{5BF56E62-E34C-4B16-A26D-70A9456E8A67}"/>
  </bookViews>
  <sheets>
    <sheet name="十五音音節表" sheetId="6" r:id="rId1"/>
    <sheet name="十五音音節表 (BPM)" sheetId="10" r:id="rId2"/>
    <sheet name="音節表【台羅拼音序】" sheetId="3" r:id="rId3"/>
    <sheet name="十五音聲母" sheetId="4" r:id="rId4"/>
    <sheet name="十五音聲母 (BPM)" sheetId="9" r:id="rId5"/>
    <sheet name="十五音韻母" sheetId="5" r:id="rId6"/>
    <sheet name="十五音韻母【台羅拼音】" sheetId="7" r:id="rId7"/>
    <sheet name="工作表2" sheetId="8" r:id="rId8"/>
    <sheet name="工作表1" sheetId="1" r:id="rId9"/>
    <sheet name="十五音音節表【BoPoMo序】" sheetId="2" r:id="rId10"/>
  </sheets>
  <definedNames>
    <definedName name="_xlnm._FilterDatabase" localSheetId="1" hidden="1">'十五音音節表 (BPM)'!$B$2:$AA$85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82" i="10" l="1" a="1"/>
  <c r="F82" i="10" s="1"/>
  <c r="E82" i="10" a="1"/>
  <c r="E82" i="10" s="1"/>
  <c r="D82" i="10" a="1"/>
  <c r="D82" i="10" s="1"/>
  <c r="B82" i="10" a="1"/>
  <c r="B82" i="10" s="1"/>
  <c r="V67" i="10"/>
  <c r="T67" i="10"/>
  <c r="S67" i="10"/>
  <c r="P67" i="10"/>
  <c r="N67" i="10"/>
  <c r="M67" i="10"/>
  <c r="I67" i="10"/>
  <c r="H67" i="10"/>
  <c r="F67" i="10" a="1"/>
  <c r="F67" i="10" s="1"/>
  <c r="R67" i="10" s="1"/>
  <c r="E67" i="10" a="1"/>
  <c r="E67" i="10" s="1"/>
  <c r="D67" i="10" a="1"/>
  <c r="D67" i="10" s="1"/>
  <c r="B67" i="10" a="1"/>
  <c r="B67" i="10" s="1"/>
  <c r="V15" i="10"/>
  <c r="P15" i="10"/>
  <c r="H15" i="10"/>
  <c r="F15" i="10" a="1"/>
  <c r="F15" i="10" s="1"/>
  <c r="R15" i="10" s="1"/>
  <c r="E15" i="10" a="1"/>
  <c r="E15" i="10" s="1"/>
  <c r="D15" i="10" a="1"/>
  <c r="D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F14" i="10" a="1"/>
  <c r="F14" i="10" s="1"/>
  <c r="R14" i="10" s="1"/>
  <c r="E14" i="10" a="1"/>
  <c r="E14" i="10" s="1"/>
  <c r="D14" i="10" a="1"/>
  <c r="D14" i="10" s="1"/>
  <c r="B14" i="10" a="1"/>
  <c r="B14" i="10" s="1"/>
  <c r="H8" i="10" l="1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F8" i="10" a="1"/>
  <c r="F8" i="10" s="1"/>
  <c r="R8" i="10" s="1"/>
  <c r="F9" i="10" a="1"/>
  <c r="F9" i="10" s="1"/>
  <c r="R9" i="10" s="1"/>
  <c r="F10" i="10" a="1"/>
  <c r="F10" i="10" s="1"/>
  <c r="R10" i="10" s="1"/>
  <c r="F11" i="10" a="1"/>
  <c r="F11" i="10" s="1"/>
  <c r="R11" i="10" s="1"/>
  <c r="F12" i="10" a="1"/>
  <c r="F12" i="10" s="1"/>
  <c r="R12" i="10" s="1"/>
  <c r="F13" i="10" a="1"/>
  <c r="F13" i="10" s="1"/>
  <c r="F16" i="10" a="1"/>
  <c r="F16" i="10" s="1"/>
  <c r="R16" i="10" s="1"/>
  <c r="F17" i="10" a="1"/>
  <c r="F17" i="10" s="1"/>
  <c r="R17" i="10" s="1"/>
  <c r="F18" i="10" a="1"/>
  <c r="F18" i="10" s="1"/>
  <c r="R18" i="10" s="1"/>
  <c r="F19" i="10" a="1"/>
  <c r="F19" i="10" s="1"/>
  <c r="R19" i="10" s="1"/>
  <c r="F20" i="10" a="1"/>
  <c r="F20" i="10" s="1"/>
  <c r="F21" i="10" a="1"/>
  <c r="F21" i="10" s="1"/>
  <c r="R21" i="10" s="1"/>
  <c r="F22" i="10" a="1"/>
  <c r="F22" i="10" s="1"/>
  <c r="R22" i="10" s="1"/>
  <c r="F23" i="10" a="1"/>
  <c r="F23" i="10" s="1"/>
  <c r="F24" i="10" a="1"/>
  <c r="F24" i="10" s="1"/>
  <c r="R24" i="10" s="1"/>
  <c r="F25" i="10" a="1"/>
  <c r="F25" i="10" s="1"/>
  <c r="F26" i="10" a="1"/>
  <c r="F26" i="10" s="1"/>
  <c r="F27" i="10" a="1"/>
  <c r="F27" i="10" s="1"/>
  <c r="R27" i="10" s="1"/>
  <c r="F28" i="10" a="1"/>
  <c r="F28" i="10" s="1"/>
  <c r="F29" i="10" a="1"/>
  <c r="F29" i="10" s="1"/>
  <c r="R29" i="10" s="1"/>
  <c r="F30" i="10" a="1"/>
  <c r="F30" i="10" s="1"/>
  <c r="R30" i="10" s="1"/>
  <c r="F31" i="10" a="1"/>
  <c r="F31" i="10" s="1"/>
  <c r="R31" i="10" s="1"/>
  <c r="F32" i="10" a="1"/>
  <c r="F32" i="10" s="1"/>
  <c r="R32" i="10" s="1"/>
  <c r="F33" i="10" a="1"/>
  <c r="F33" i="10" s="1"/>
  <c r="R33" i="10" s="1"/>
  <c r="F34" i="10" a="1"/>
  <c r="F34" i="10" s="1"/>
  <c r="F35" i="10" a="1"/>
  <c r="F35" i="10" s="1"/>
  <c r="R35" i="10" s="1"/>
  <c r="F36" i="10" a="1"/>
  <c r="F36" i="10" s="1"/>
  <c r="F37" i="10" a="1"/>
  <c r="F37" i="10" s="1"/>
  <c r="F38" i="10" a="1"/>
  <c r="F38" i="10" s="1"/>
  <c r="F39" i="10" a="1"/>
  <c r="F39" i="10" s="1"/>
  <c r="R39" i="10" s="1"/>
  <c r="F40" i="10" a="1"/>
  <c r="F40" i="10" s="1"/>
  <c r="R40" i="10" s="1"/>
  <c r="F41" i="10" a="1"/>
  <c r="F41" i="10" s="1"/>
  <c r="R41" i="10" s="1"/>
  <c r="F42" i="10" a="1"/>
  <c r="F42" i="10" s="1"/>
  <c r="R42" i="10" s="1"/>
  <c r="F43" i="10" a="1"/>
  <c r="F43" i="10" s="1"/>
  <c r="R43" i="10" s="1"/>
  <c r="F44" i="10" a="1"/>
  <c r="F44" i="10" s="1"/>
  <c r="R44" i="10" s="1"/>
  <c r="F45" i="10" a="1"/>
  <c r="F45" i="10" s="1"/>
  <c r="F46" i="10" a="1"/>
  <c r="F46" i="10" s="1"/>
  <c r="R46" i="10" s="1"/>
  <c r="F47" i="10" a="1"/>
  <c r="F47" i="10" s="1"/>
  <c r="F48" i="10" a="1"/>
  <c r="F48" i="10" s="1"/>
  <c r="F49" i="10" a="1"/>
  <c r="F49" i="10" s="1"/>
  <c r="F50" i="10" a="1"/>
  <c r="F50" i="10" s="1"/>
  <c r="R50" i="10" s="1"/>
  <c r="F51" i="10" a="1"/>
  <c r="F51" i="10" s="1"/>
  <c r="R51" i="10" s="1"/>
  <c r="F52" i="10" a="1"/>
  <c r="F52" i="10" s="1"/>
  <c r="R52" i="10" s="1"/>
  <c r="F53" i="10" a="1"/>
  <c r="F53" i="10" s="1"/>
  <c r="R53" i="10" s="1"/>
  <c r="F54" i="10" a="1"/>
  <c r="F54" i="10" s="1"/>
  <c r="F55" i="10" a="1"/>
  <c r="F55" i="10" s="1"/>
  <c r="F56" i="10" a="1"/>
  <c r="F56" i="10" s="1"/>
  <c r="R56" i="10" s="1"/>
  <c r="F57" i="10" a="1"/>
  <c r="F57" i="10" s="1"/>
  <c r="R57" i="10" s="1"/>
  <c r="F58" i="10" a="1"/>
  <c r="F58" i="10" s="1"/>
  <c r="R58" i="10" s="1"/>
  <c r="F59" i="10" a="1"/>
  <c r="F59" i="10" s="1"/>
  <c r="R59" i="10" s="1"/>
  <c r="F60" i="10" a="1"/>
  <c r="F60" i="10" s="1"/>
  <c r="F61" i="10" a="1"/>
  <c r="F61" i="10" s="1"/>
  <c r="R61" i="10" s="1"/>
  <c r="F62" i="10" a="1"/>
  <c r="F62" i="10" s="1"/>
  <c r="R62" i="10" s="1"/>
  <c r="F63" i="10" a="1"/>
  <c r="F63" i="10" s="1"/>
  <c r="F64" i="10" a="1"/>
  <c r="F64" i="10" s="1"/>
  <c r="R64" i="10" s="1"/>
  <c r="F65" i="10" a="1"/>
  <c r="F65" i="10" s="1"/>
  <c r="R65" i="10" s="1"/>
  <c r="F66" i="10" a="1"/>
  <c r="F66" i="10" s="1"/>
  <c r="R66" i="10" s="1"/>
  <c r="F68" i="10" a="1"/>
  <c r="F68" i="10" s="1"/>
  <c r="F69" i="10" a="1"/>
  <c r="F69" i="10" s="1"/>
  <c r="F70" i="10" a="1"/>
  <c r="F70" i="10" s="1"/>
  <c r="R70" i="10" s="1"/>
  <c r="F71" i="10" a="1"/>
  <c r="F71" i="10" s="1"/>
  <c r="R71" i="10" s="1"/>
  <c r="F72" i="10" a="1"/>
  <c r="F72" i="10" s="1"/>
  <c r="F73" i="10" a="1"/>
  <c r="F73" i="10" s="1"/>
  <c r="R73" i="10" s="1"/>
  <c r="F74" i="10" a="1"/>
  <c r="F74" i="10" s="1"/>
  <c r="F75" i="10" a="1"/>
  <c r="F75" i="10" s="1"/>
  <c r="R75" i="10" s="1"/>
  <c r="F76" i="10" a="1"/>
  <c r="F76" i="10" s="1"/>
  <c r="R76" i="10" s="1"/>
  <c r="F77" i="10" a="1"/>
  <c r="F77" i="10" s="1"/>
  <c r="F78" i="10" a="1"/>
  <c r="F78" i="10" s="1"/>
  <c r="R78" i="10" s="1"/>
  <c r="F79" i="10" a="1"/>
  <c r="F79" i="10" s="1"/>
  <c r="R79" i="10" s="1"/>
  <c r="F80" i="10" a="1"/>
  <c r="F80" i="10" s="1"/>
  <c r="R80" i="10" s="1"/>
  <c r="F81" i="10" a="1"/>
  <c r="F81" i="10" s="1"/>
  <c r="R81" i="10" s="1"/>
  <c r="F83" i="10" a="1"/>
  <c r="F83" i="10" s="1"/>
  <c r="R83" i="10" s="1"/>
  <c r="F84" i="10" a="1"/>
  <c r="F84" i="10" s="1"/>
  <c r="R84" i="10" s="1"/>
  <c r="F85" i="10" a="1"/>
  <c r="F85" i="10" s="1"/>
  <c r="R85" i="10" s="1"/>
  <c r="F7" i="10" a="1"/>
  <c r="F7" i="10" s="1"/>
  <c r="E7" i="10" a="1"/>
  <c r="E7" i="10" s="1"/>
  <c r="E8" i="10" a="1"/>
  <c r="E8" i="10" s="1"/>
  <c r="E9" i="10" a="1"/>
  <c r="E9" i="10" s="1"/>
  <c r="E10" i="10" a="1"/>
  <c r="E10" i="10" s="1"/>
  <c r="E11" i="10" a="1"/>
  <c r="E11" i="10" s="1"/>
  <c r="E12" i="10" a="1"/>
  <c r="E12" i="10" s="1"/>
  <c r="E13" i="10" a="1"/>
  <c r="E13" i="10" s="1"/>
  <c r="E16" i="10" a="1"/>
  <c r="E16" i="10" s="1"/>
  <c r="E17" i="10" a="1"/>
  <c r="E17" i="10" s="1"/>
  <c r="E18" i="10" a="1"/>
  <c r="E18" i="10" s="1"/>
  <c r="E19" i="10" a="1"/>
  <c r="E19" i="10" s="1"/>
  <c r="E20" i="10" a="1"/>
  <c r="E20" i="10" s="1"/>
  <c r="E21" i="10" a="1"/>
  <c r="E21" i="10" s="1"/>
  <c r="E22" i="10" a="1"/>
  <c r="E22" i="10" s="1"/>
  <c r="E23" i="10" a="1"/>
  <c r="E23" i="10" s="1"/>
  <c r="E24" i="10" a="1"/>
  <c r="E24" i="10" s="1"/>
  <c r="E25" i="10" a="1"/>
  <c r="E25" i="10" s="1"/>
  <c r="E26" i="10" a="1"/>
  <c r="E26" i="10" s="1"/>
  <c r="E27" i="10" a="1"/>
  <c r="E27" i="10" s="1"/>
  <c r="E28" i="10" a="1"/>
  <c r="E28" i="10" s="1"/>
  <c r="E29" i="10" a="1"/>
  <c r="E29" i="10" s="1"/>
  <c r="E30" i="10" a="1"/>
  <c r="E30" i="10" s="1"/>
  <c r="E31" i="10" a="1"/>
  <c r="E31" i="10" s="1"/>
  <c r="E32" i="10" a="1"/>
  <c r="E32" i="10" s="1"/>
  <c r="E33" i="10" a="1"/>
  <c r="E33" i="10" s="1"/>
  <c r="E34" i="10" a="1"/>
  <c r="E34" i="10" s="1"/>
  <c r="E35" i="10" a="1"/>
  <c r="E35" i="10" s="1"/>
  <c r="E36" i="10" a="1"/>
  <c r="E36" i="10" s="1"/>
  <c r="E37" i="10" a="1"/>
  <c r="E37" i="10" s="1"/>
  <c r="E38" i="10" a="1"/>
  <c r="E38" i="10" s="1"/>
  <c r="E39" i="10" a="1"/>
  <c r="E39" i="10" s="1"/>
  <c r="E40" i="10" a="1"/>
  <c r="E40" i="10" s="1"/>
  <c r="E41" i="10" a="1"/>
  <c r="E41" i="10" s="1"/>
  <c r="E42" i="10" a="1"/>
  <c r="E42" i="10" s="1"/>
  <c r="E43" i="10" a="1"/>
  <c r="E43" i="10" s="1"/>
  <c r="E44" i="10" a="1"/>
  <c r="E44" i="10" s="1"/>
  <c r="E45" i="10" a="1"/>
  <c r="E45" i="10" s="1"/>
  <c r="E46" i="10" a="1"/>
  <c r="E46" i="10" s="1"/>
  <c r="E47" i="10" a="1"/>
  <c r="E47" i="10" s="1"/>
  <c r="E48" i="10" a="1"/>
  <c r="E48" i="10" s="1"/>
  <c r="E49" i="10" a="1"/>
  <c r="E49" i="10" s="1"/>
  <c r="E50" i="10" a="1"/>
  <c r="E50" i="10" s="1"/>
  <c r="E51" i="10" a="1"/>
  <c r="E51" i="10" s="1"/>
  <c r="E52" i="10" a="1"/>
  <c r="E52" i="10" s="1"/>
  <c r="E53" i="10" a="1"/>
  <c r="E53" i="10" s="1"/>
  <c r="E54" i="10" a="1"/>
  <c r="E54" i="10" s="1"/>
  <c r="E55" i="10" a="1"/>
  <c r="E55" i="10" s="1"/>
  <c r="E56" i="10" a="1"/>
  <c r="E56" i="10" s="1"/>
  <c r="E57" i="10" a="1"/>
  <c r="E57" i="10" s="1"/>
  <c r="E58" i="10" a="1"/>
  <c r="E58" i="10" s="1"/>
  <c r="E59" i="10" a="1"/>
  <c r="E59" i="10" s="1"/>
  <c r="E60" i="10" a="1"/>
  <c r="E60" i="10" s="1"/>
  <c r="E61" i="10" a="1"/>
  <c r="E61" i="10" s="1"/>
  <c r="E62" i="10" a="1"/>
  <c r="E62" i="10" s="1"/>
  <c r="E63" i="10" a="1"/>
  <c r="E63" i="10" s="1"/>
  <c r="E64" i="10" a="1"/>
  <c r="E64" i="10" s="1"/>
  <c r="E65" i="10" a="1"/>
  <c r="E65" i="10" s="1"/>
  <c r="E66" i="10" a="1"/>
  <c r="E66" i="10" s="1"/>
  <c r="E68" i="10" a="1"/>
  <c r="E68" i="10" s="1"/>
  <c r="E69" i="10" a="1"/>
  <c r="E69" i="10" s="1"/>
  <c r="E70" i="10" a="1"/>
  <c r="E70" i="10" s="1"/>
  <c r="E71" i="10" a="1"/>
  <c r="E71" i="10" s="1"/>
  <c r="E72" i="10" a="1"/>
  <c r="E72" i="10" s="1"/>
  <c r="E73" i="10" a="1"/>
  <c r="E73" i="10" s="1"/>
  <c r="E74" i="10" a="1"/>
  <c r="E74" i="10"/>
  <c r="E75" i="10" a="1"/>
  <c r="E75" i="10" s="1"/>
  <c r="E76" i="10" a="1"/>
  <c r="E76" i="10" s="1"/>
  <c r="E77" i="10" a="1"/>
  <c r="E77" i="10" s="1"/>
  <c r="E78" i="10" a="1"/>
  <c r="E78" i="10" s="1"/>
  <c r="E79" i="10" a="1"/>
  <c r="E79" i="10" s="1"/>
  <c r="E80" i="10" a="1"/>
  <c r="E80" i="10" s="1"/>
  <c r="E81" i="10" a="1"/>
  <c r="E81" i="10" s="1"/>
  <c r="E83" i="10" a="1"/>
  <c r="E83" i="10" s="1"/>
  <c r="E84" i="10" a="1"/>
  <c r="E84" i="10" s="1"/>
  <c r="E85" i="10" a="1"/>
  <c r="E85" i="10" s="1"/>
  <c r="X5" i="10"/>
  <c r="W5" i="10"/>
  <c r="V5" i="10"/>
  <c r="U5" i="10"/>
  <c r="T5" i="10"/>
  <c r="T15" i="10" s="1"/>
  <c r="S5" i="10"/>
  <c r="S15" i="10" s="1"/>
  <c r="Q5" i="10"/>
  <c r="P5" i="10"/>
  <c r="O5" i="10"/>
  <c r="N5" i="10"/>
  <c r="M5" i="10"/>
  <c r="L5" i="10"/>
  <c r="K5" i="10"/>
  <c r="J5" i="10"/>
  <c r="I5" i="10"/>
  <c r="I15" i="10" s="1"/>
  <c r="H5" i="10"/>
  <c r="G5" i="10"/>
  <c r="G67" i="10" s="1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D85" i="10" a="1"/>
  <c r="D85" i="10" s="1"/>
  <c r="B85" i="10" a="1"/>
  <c r="B85" i="10" s="1"/>
  <c r="D84" i="10" a="1"/>
  <c r="D84" i="10" s="1"/>
  <c r="B84" i="10" a="1"/>
  <c r="B84" i="10" s="1"/>
  <c r="D83" i="10" a="1"/>
  <c r="D83" i="10" s="1"/>
  <c r="B83" i="10" a="1"/>
  <c r="B83" i="10" s="1"/>
  <c r="D81" i="10" a="1"/>
  <c r="D81" i="10" s="1"/>
  <c r="B81" i="10" a="1"/>
  <c r="B81" i="10" s="1"/>
  <c r="D80" i="10" a="1"/>
  <c r="D80" i="10" s="1"/>
  <c r="B80" i="10" a="1"/>
  <c r="B80" i="10" s="1"/>
  <c r="D79" i="10" a="1"/>
  <c r="D79" i="10" s="1"/>
  <c r="B79" i="10" a="1"/>
  <c r="B79" i="10" s="1"/>
  <c r="D78" i="10" a="1"/>
  <c r="D78" i="10" s="1"/>
  <c r="B78" i="10" a="1"/>
  <c r="B78" i="10" s="1"/>
  <c r="D77" i="10" a="1"/>
  <c r="D77" i="10" s="1"/>
  <c r="B77" i="10" a="1"/>
  <c r="B77" i="10" s="1"/>
  <c r="D76" i="10" a="1"/>
  <c r="D76" i="10" s="1"/>
  <c r="B76" i="10" a="1"/>
  <c r="B76" i="10" s="1"/>
  <c r="D75" i="10" a="1"/>
  <c r="D75" i="10" s="1"/>
  <c r="B75" i="10" a="1"/>
  <c r="B75" i="10" s="1"/>
  <c r="D74" i="10" a="1"/>
  <c r="D74" i="10" s="1"/>
  <c r="B74" i="10" a="1"/>
  <c r="B74" i="10" s="1"/>
  <c r="D73" i="10" a="1"/>
  <c r="D73" i="10" s="1"/>
  <c r="B73" i="10" a="1"/>
  <c r="B73" i="10" s="1"/>
  <c r="D72" i="10" a="1"/>
  <c r="D72" i="10" s="1"/>
  <c r="B72" i="10" a="1"/>
  <c r="B72" i="10" s="1"/>
  <c r="D71" i="10" a="1"/>
  <c r="D71" i="10" s="1"/>
  <c r="B71" i="10" a="1"/>
  <c r="B71" i="10" s="1"/>
  <c r="D70" i="10" a="1"/>
  <c r="D70" i="10" s="1"/>
  <c r="B70" i="10" a="1"/>
  <c r="B70" i="10" s="1"/>
  <c r="D69" i="10" a="1"/>
  <c r="D69" i="10" s="1"/>
  <c r="B69" i="10" a="1"/>
  <c r="B69" i="10" s="1"/>
  <c r="D68" i="10" a="1"/>
  <c r="D68" i="10" s="1"/>
  <c r="B68" i="10" a="1"/>
  <c r="B68" i="10" s="1"/>
  <c r="D66" i="10" a="1"/>
  <c r="D66" i="10" s="1"/>
  <c r="B66" i="10" a="1"/>
  <c r="B66" i="10" s="1"/>
  <c r="D65" i="10" a="1"/>
  <c r="D65" i="10" s="1"/>
  <c r="B65" i="10" a="1"/>
  <c r="B65" i="10" s="1"/>
  <c r="D64" i="10" a="1"/>
  <c r="D64" i="10" s="1"/>
  <c r="B64" i="10" a="1"/>
  <c r="B64" i="10" s="1"/>
  <c r="D63" i="10" a="1"/>
  <c r="D63" i="10" s="1"/>
  <c r="B63" i="10" a="1"/>
  <c r="B63" i="10" s="1"/>
  <c r="D62" i="10" a="1"/>
  <c r="D62" i="10" s="1"/>
  <c r="B62" i="10" a="1"/>
  <c r="B62" i="10" s="1"/>
  <c r="D61" i="10" a="1"/>
  <c r="D61" i="10" s="1"/>
  <c r="B61" i="10" a="1"/>
  <c r="B61" i="10" s="1"/>
  <c r="D60" i="10" a="1"/>
  <c r="D60" i="10" s="1"/>
  <c r="B60" i="10" a="1"/>
  <c r="B60" i="10" s="1"/>
  <c r="D59" i="10" a="1"/>
  <c r="D59" i="10" s="1"/>
  <c r="B59" i="10" a="1"/>
  <c r="B59" i="10" s="1"/>
  <c r="D58" i="10" a="1"/>
  <c r="D58" i="10" s="1"/>
  <c r="B58" i="10" a="1"/>
  <c r="B58" i="10" s="1"/>
  <c r="D57" i="10" a="1"/>
  <c r="D57" i="10" s="1"/>
  <c r="B57" i="10" a="1"/>
  <c r="B57" i="10" s="1"/>
  <c r="D56" i="10" a="1"/>
  <c r="D56" i="10" s="1"/>
  <c r="B56" i="10" a="1"/>
  <c r="B56" i="10" s="1"/>
  <c r="D55" i="10" a="1"/>
  <c r="D55" i="10" s="1"/>
  <c r="B55" i="10" a="1"/>
  <c r="B55" i="10" s="1"/>
  <c r="D54" i="10" a="1"/>
  <c r="D54" i="10" s="1"/>
  <c r="B54" i="10" a="1"/>
  <c r="B54" i="10" s="1"/>
  <c r="D53" i="10" a="1"/>
  <c r="D53" i="10" s="1"/>
  <c r="B53" i="10" a="1"/>
  <c r="B53" i="10" s="1"/>
  <c r="D52" i="10" a="1"/>
  <c r="D52" i="10" s="1"/>
  <c r="B52" i="10" a="1"/>
  <c r="B52" i="10" s="1"/>
  <c r="D51" i="10" a="1"/>
  <c r="D51" i="10" s="1"/>
  <c r="B51" i="10" a="1"/>
  <c r="B51" i="10" s="1"/>
  <c r="D50" i="10" a="1"/>
  <c r="D50" i="10" s="1"/>
  <c r="B50" i="10" a="1"/>
  <c r="B50" i="10" s="1"/>
  <c r="D49" i="10" a="1"/>
  <c r="D49" i="10" s="1"/>
  <c r="B49" i="10" a="1"/>
  <c r="B49" i="10" s="1"/>
  <c r="D48" i="10" a="1"/>
  <c r="D48" i="10" s="1"/>
  <c r="B48" i="10" a="1"/>
  <c r="B48" i="10" s="1"/>
  <c r="D47" i="10" a="1"/>
  <c r="D47" i="10" s="1"/>
  <c r="B47" i="10" a="1"/>
  <c r="B47" i="10" s="1"/>
  <c r="D46" i="10" a="1"/>
  <c r="D46" i="10" s="1"/>
  <c r="B46" i="10" a="1"/>
  <c r="B46" i="10" s="1"/>
  <c r="D45" i="10" a="1"/>
  <c r="D45" i="10" s="1"/>
  <c r="B45" i="10" a="1"/>
  <c r="B45" i="10" s="1"/>
  <c r="D44" i="10" a="1"/>
  <c r="D44" i="10" s="1"/>
  <c r="B44" i="10" a="1"/>
  <c r="B44" i="10" s="1"/>
  <c r="D43" i="10" a="1"/>
  <c r="D43" i="10" s="1"/>
  <c r="B43" i="10" a="1"/>
  <c r="B43" i="10" s="1"/>
  <c r="D42" i="10" a="1"/>
  <c r="D42" i="10" s="1"/>
  <c r="B42" i="10" a="1"/>
  <c r="B42" i="10" s="1"/>
  <c r="D41" i="10" a="1"/>
  <c r="D41" i="10" s="1"/>
  <c r="B41" i="10" a="1"/>
  <c r="B41" i="10" s="1"/>
  <c r="D40" i="10" a="1"/>
  <c r="D40" i="10" s="1"/>
  <c r="B40" i="10" a="1"/>
  <c r="B40" i="10" s="1"/>
  <c r="D39" i="10" a="1"/>
  <c r="D39" i="10" s="1"/>
  <c r="B39" i="10" a="1"/>
  <c r="B39" i="10" s="1"/>
  <c r="D38" i="10" a="1"/>
  <c r="D38" i="10" s="1"/>
  <c r="B38" i="10" a="1"/>
  <c r="B38" i="10" s="1"/>
  <c r="D37" i="10" a="1"/>
  <c r="D37" i="10" s="1"/>
  <c r="B37" i="10" a="1"/>
  <c r="B37" i="10" s="1"/>
  <c r="D36" i="10" a="1"/>
  <c r="D36" i="10" s="1"/>
  <c r="B36" i="10" a="1"/>
  <c r="B36" i="10" s="1"/>
  <c r="D35" i="10" a="1"/>
  <c r="D35" i="10" s="1"/>
  <c r="B35" i="10" a="1"/>
  <c r="B35" i="10" s="1"/>
  <c r="D34" i="10" a="1"/>
  <c r="D34" i="10" s="1"/>
  <c r="B34" i="10" a="1"/>
  <c r="B34" i="10" s="1"/>
  <c r="D33" i="10" a="1"/>
  <c r="D33" i="10" s="1"/>
  <c r="B33" i="10" a="1"/>
  <c r="B33" i="10" s="1"/>
  <c r="D32" i="10" a="1"/>
  <c r="D32" i="10" s="1"/>
  <c r="B32" i="10" a="1"/>
  <c r="B32" i="10" s="1"/>
  <c r="D31" i="10" a="1"/>
  <c r="D31" i="10" s="1"/>
  <c r="B31" i="10" a="1"/>
  <c r="B31" i="10" s="1"/>
  <c r="D30" i="10" a="1"/>
  <c r="D30" i="10" s="1"/>
  <c r="B30" i="10" a="1"/>
  <c r="B30" i="10" s="1"/>
  <c r="D29" i="10" a="1"/>
  <c r="D29" i="10" s="1"/>
  <c r="B29" i="10" a="1"/>
  <c r="B29" i="10" s="1"/>
  <c r="D28" i="10" a="1"/>
  <c r="D28" i="10" s="1"/>
  <c r="B28" i="10" a="1"/>
  <c r="B28" i="10" s="1"/>
  <c r="D27" i="10" a="1"/>
  <c r="D27" i="10" s="1"/>
  <c r="B27" i="10" a="1"/>
  <c r="B27" i="10" s="1"/>
  <c r="D26" i="10" a="1"/>
  <c r="D26" i="10" s="1"/>
  <c r="B26" i="10" a="1"/>
  <c r="B26" i="10" s="1"/>
  <c r="D25" i="10" a="1"/>
  <c r="D25" i="10" s="1"/>
  <c r="B25" i="10" a="1"/>
  <c r="B25" i="10" s="1"/>
  <c r="D24" i="10" a="1"/>
  <c r="D24" i="10" s="1"/>
  <c r="B24" i="10" a="1"/>
  <c r="B24" i="10" s="1"/>
  <c r="D23" i="10" a="1"/>
  <c r="D23" i="10" s="1"/>
  <c r="B23" i="10" a="1"/>
  <c r="B23" i="10" s="1"/>
  <c r="D22" i="10" a="1"/>
  <c r="D22" i="10" s="1"/>
  <c r="B22" i="10" a="1"/>
  <c r="B22" i="10" s="1"/>
  <c r="D21" i="10" a="1"/>
  <c r="D21" i="10" s="1"/>
  <c r="B21" i="10" a="1"/>
  <c r="B21" i="10" s="1"/>
  <c r="D20" i="10" a="1"/>
  <c r="D20" i="10" s="1"/>
  <c r="B20" i="10" a="1"/>
  <c r="B20" i="10" s="1"/>
  <c r="D19" i="10" a="1"/>
  <c r="D19" i="10" s="1"/>
  <c r="B19" i="10" a="1"/>
  <c r="B19" i="10" s="1"/>
  <c r="D18" i="10" a="1"/>
  <c r="D18" i="10" s="1"/>
  <c r="B18" i="10" a="1"/>
  <c r="B18" i="10" s="1"/>
  <c r="D17" i="10" a="1"/>
  <c r="D17" i="10" s="1"/>
  <c r="B17" i="10" a="1"/>
  <c r="B17" i="10" s="1"/>
  <c r="D16" i="10" a="1"/>
  <c r="D16" i="10" s="1"/>
  <c r="B16" i="10" a="1"/>
  <c r="B16" i="10" s="1"/>
  <c r="D13" i="10" a="1"/>
  <c r="D13" i="10" s="1"/>
  <c r="B13" i="10" a="1"/>
  <c r="B13" i="10" s="1"/>
  <c r="D12" i="10" a="1"/>
  <c r="D12" i="10" s="1"/>
  <c r="B12" i="10" a="1"/>
  <c r="B12" i="10" s="1"/>
  <c r="D11" i="10" a="1"/>
  <c r="D11" i="10" s="1"/>
  <c r="B11" i="10" a="1"/>
  <c r="B11" i="10" s="1"/>
  <c r="D10" i="10" a="1"/>
  <c r="D10" i="10" s="1"/>
  <c r="B10" i="10" a="1"/>
  <c r="B10" i="10" s="1"/>
  <c r="D9" i="10" a="1"/>
  <c r="D9" i="10" s="1"/>
  <c r="B9" i="10" a="1"/>
  <c r="B9" i="10" s="1"/>
  <c r="D8" i="10" a="1"/>
  <c r="D8" i="10" s="1"/>
  <c r="B8" i="10" a="1"/>
  <c r="B8" i="10" s="1"/>
  <c r="D7" i="10" a="1"/>
  <c r="D7" i="10" s="1"/>
  <c r="B7" i="10" a="1"/>
  <c r="B7" i="10" s="1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/>
  <c r="D26" i="3" a="1"/>
  <c r="D26" i="3" s="1"/>
  <c r="D27" i="3" a="1"/>
  <c r="D27" i="3" s="1"/>
  <c r="D28" i="3" a="1"/>
  <c r="D28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/>
  <c r="D49" i="3" a="1"/>
  <c r="D49" i="3"/>
  <c r="D50" i="3" a="1"/>
  <c r="D50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B4" i="3" a="1"/>
  <c r="B4" i="3" s="1"/>
  <c r="B5" i="3" a="1"/>
  <c r="B5" i="3"/>
  <c r="B6" i="3" a="1"/>
  <c r="B6" i="3" s="1"/>
  <c r="B7" i="3" a="1"/>
  <c r="B7" i="3"/>
  <c r="B8" i="3" a="1"/>
  <c r="B8" i="3"/>
  <c r="B9" i="3" a="1"/>
  <c r="B9" i="3"/>
  <c r="B10" i="3" a="1"/>
  <c r="B10" i="3" s="1"/>
  <c r="B11" i="3" a="1"/>
  <c r="B11" i="3"/>
  <c r="B12" i="3" a="1"/>
  <c r="B12" i="3" s="1"/>
  <c r="B13" i="3" a="1"/>
  <c r="B13" i="3"/>
  <c r="B14" i="3" a="1"/>
  <c r="B14" i="3" s="1"/>
  <c r="B15" i="3" a="1"/>
  <c r="B15" i="3"/>
  <c r="B16" i="3" a="1"/>
  <c r="B16" i="3"/>
  <c r="B17" i="3" a="1"/>
  <c r="B17" i="3"/>
  <c r="B18" i="3" a="1"/>
  <c r="B18" i="3"/>
  <c r="B19" i="3" a="1"/>
  <c r="B19" i="3"/>
  <c r="B20" i="3" a="1"/>
  <c r="B20" i="3" s="1"/>
  <c r="B21" i="3" a="1"/>
  <c r="B21" i="3"/>
  <c r="B22" i="3" a="1"/>
  <c r="B22" i="3" s="1"/>
  <c r="B23" i="3" a="1"/>
  <c r="B23" i="3"/>
  <c r="B24" i="3" a="1"/>
  <c r="B24" i="3"/>
  <c r="B25" i="3" a="1"/>
  <c r="B25" i="3"/>
  <c r="B26" i="3" a="1"/>
  <c r="B26" i="3"/>
  <c r="B27" i="3" a="1"/>
  <c r="B27" i="3"/>
  <c r="B28" i="3" a="1"/>
  <c r="B28" i="3" s="1"/>
  <c r="B29" i="3" a="1"/>
  <c r="B29" i="3"/>
  <c r="B30" i="3" a="1"/>
  <c r="B30" i="3" s="1"/>
  <c r="B31" i="3" a="1"/>
  <c r="B31" i="3"/>
  <c r="B32" i="3" a="1"/>
  <c r="B32" i="3"/>
  <c r="B33" i="3" a="1"/>
  <c r="B33" i="3"/>
  <c r="B34" i="3" a="1"/>
  <c r="B34" i="3"/>
  <c r="B35" i="3" a="1"/>
  <c r="B35" i="3"/>
  <c r="B36" i="3" a="1"/>
  <c r="B36" i="3" s="1"/>
  <c r="B37" i="3" a="1"/>
  <c r="B37" i="3"/>
  <c r="B38" i="3" a="1"/>
  <c r="B38" i="3" s="1"/>
  <c r="B39" i="3" a="1"/>
  <c r="B39" i="3"/>
  <c r="B40" i="3" a="1"/>
  <c r="B40" i="3"/>
  <c r="B41" i="3" a="1"/>
  <c r="B41" i="3"/>
  <c r="B42" i="3" a="1"/>
  <c r="B42" i="3"/>
  <c r="B43" i="3" a="1"/>
  <c r="B43" i="3"/>
  <c r="B44" i="3" a="1"/>
  <c r="B44" i="3" s="1"/>
  <c r="B45" i="3" a="1"/>
  <c r="B45" i="3"/>
  <c r="B46" i="3" a="1"/>
  <c r="B46" i="3" s="1"/>
  <c r="B47" i="3" a="1"/>
  <c r="B47" i="3"/>
  <c r="B48" i="3" a="1"/>
  <c r="B48" i="3"/>
  <c r="B49" i="3" a="1"/>
  <c r="B49" i="3"/>
  <c r="B50" i="3" a="1"/>
  <c r="B50" i="3"/>
  <c r="B51" i="3" a="1"/>
  <c r="B51" i="3"/>
  <c r="B52" i="3" a="1"/>
  <c r="B52" i="3" s="1"/>
  <c r="B53" i="3" a="1"/>
  <c r="B53" i="3"/>
  <c r="B54" i="3" a="1"/>
  <c r="B54" i="3" s="1"/>
  <c r="B55" i="3" a="1"/>
  <c r="B55" i="3"/>
  <c r="B56" i="3" a="1"/>
  <c r="B56" i="3"/>
  <c r="B57" i="3" a="1"/>
  <c r="B57" i="3"/>
  <c r="B58" i="3" a="1"/>
  <c r="B58" i="3" s="1"/>
  <c r="B59" i="3" a="1"/>
  <c r="B59" i="3"/>
  <c r="B60" i="3" a="1"/>
  <c r="B60" i="3" s="1"/>
  <c r="B61" i="3" a="1"/>
  <c r="B61" i="3"/>
  <c r="B62" i="3" a="1"/>
  <c r="B62" i="3" s="1"/>
  <c r="B63" i="3" a="1"/>
  <c r="B63" i="3"/>
  <c r="B64" i="3" a="1"/>
  <c r="B64" i="3"/>
  <c r="B65" i="3" a="1"/>
  <c r="B65" i="3"/>
  <c r="B66" i="3" a="1"/>
  <c r="B66" i="3" s="1"/>
  <c r="B67" i="3" a="1"/>
  <c r="B67" i="3"/>
  <c r="B68" i="3" a="1"/>
  <c r="B68" i="3" s="1"/>
  <c r="B69" i="3" a="1"/>
  <c r="B69" i="3"/>
  <c r="B70" i="3" a="1"/>
  <c r="B70" i="3" s="1"/>
  <c r="B71" i="3" a="1"/>
  <c r="B71" i="3"/>
  <c r="B72" i="3" a="1"/>
  <c r="B72" i="3"/>
  <c r="B73" i="3" a="1"/>
  <c r="B73" i="3"/>
  <c r="B74" i="3" a="1"/>
  <c r="B74" i="3" s="1"/>
  <c r="B75" i="3" a="1"/>
  <c r="B75" i="3"/>
  <c r="B76" i="3" a="1"/>
  <c r="B76" i="3" s="1"/>
  <c r="B77" i="3" a="1"/>
  <c r="B77" i="3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M85" i="5"/>
  <c r="L85" i="5"/>
  <c r="K85" i="5"/>
  <c r="J85" i="5"/>
  <c r="I85" i="5"/>
  <c r="H85" i="5"/>
  <c r="G85" i="5"/>
  <c r="E85" i="5"/>
  <c r="M77" i="5"/>
  <c r="L77" i="5"/>
  <c r="K77" i="5"/>
  <c r="J77" i="5"/>
  <c r="I77" i="5"/>
  <c r="H77" i="5"/>
  <c r="G77" i="5"/>
  <c r="E68" i="6" s="1" a="1"/>
  <c r="E68" i="6" s="1"/>
  <c r="E77" i="5"/>
  <c r="B65" i="6" a="1"/>
  <c r="B65" i="6" s="1"/>
  <c r="M73" i="5"/>
  <c r="L73" i="5"/>
  <c r="K73" i="5"/>
  <c r="J73" i="5"/>
  <c r="I73" i="5"/>
  <c r="H73" i="5"/>
  <c r="G73" i="5"/>
  <c r="E73" i="5"/>
  <c r="M23" i="5"/>
  <c r="L23" i="5"/>
  <c r="H23" i="5"/>
  <c r="I23" i="5"/>
  <c r="J23" i="5"/>
  <c r="K23" i="5"/>
  <c r="G2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N15" i="10" l="1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B3" i="3" l="1" a="1"/>
  <c r="B3" i="3" s="1"/>
  <c r="D3" i="3" a="1"/>
  <c r="D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<sst xmlns="http://schemas.openxmlformats.org/spreadsheetml/2006/main" count="5823" uniqueCount="1568">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</sst>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General;;"/>
  </numFmts>
  <fonts count="52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27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indent="2"/>
    </xf>
    <xf numFmtId="0" fontId="43" fillId="0" borderId="1" xfId="0" applyFont="1" applyFill="1" applyBorder="1" applyAlignment="1">
      <alignment horizontal="center" vertical="center"/>
    </xf>
    <xf numFmtId="0" fontId="44" fillId="0" borderId="1" xfId="0" applyFont="1" applyFill="1" applyBorder="1" applyAlignment="1">
      <alignment horizontal="center" vertical="center"/>
    </xf>
    <xf numFmtId="0" fontId="45" fillId="0" borderId="1" xfId="0" applyFont="1" applyFill="1" applyBorder="1" applyAlignment="1">
      <alignment horizontal="center" vertical="center"/>
    </xf>
    <xf numFmtId="0" fontId="45" fillId="0" borderId="2" xfId="0" applyFont="1" applyFill="1" applyBorder="1" applyAlignment="1">
      <alignment horizontal="left" vertical="center" indent="2"/>
    </xf>
    <xf numFmtId="0" fontId="2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 vertical="center" indent="2"/>
    </xf>
    <xf numFmtId="0" fontId="26" fillId="0" borderId="2" xfId="0" applyFont="1" applyFill="1" applyBorder="1" applyAlignment="1">
      <alignment horizontal="left" vertical="center" indent="2"/>
    </xf>
    <xf numFmtId="0" fontId="4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left" vertical="center" indent="2"/>
    </xf>
    <xf numFmtId="0" fontId="46" fillId="0" borderId="5" xfId="0" applyFont="1" applyFill="1" applyBorder="1" applyAlignment="1">
      <alignment horizontal="center" vertical="center"/>
    </xf>
    <xf numFmtId="0" fontId="16" fillId="0" borderId="5" xfId="0" applyFont="1" applyFill="1" applyBorder="1" applyAlignment="1">
      <alignment horizontal="center" vertical="center"/>
    </xf>
    <xf numFmtId="0" fontId="18" fillId="0" borderId="5" xfId="0" applyFont="1" applyFill="1" applyBorder="1" applyAlignment="1">
      <alignment horizontal="center" vertical="center"/>
    </xf>
    <xf numFmtId="0" fontId="18" fillId="0" borderId="6" xfId="0" applyFont="1" applyFill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</cellXfs>
  <cellStyles count="2">
    <cellStyle name="一般" xfId="0" builtinId="0"/>
    <cellStyle name="一般 2" xfId="1" xr:uid="{E57FFF29-A59B-46E2-A496-66E529F383CC}"/>
  </cellStyles>
  <dxfs count="91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73" headerRowBorderDxfId="72" tableBorderDxfId="71" totalsRowBorderDxfId="70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69"/>
    <tableColumn id="13" xr3:uid="{F49FED34-8A68-43B1-A51D-B6550AE47953}" name="音序" dataDxfId="68"/>
    <tableColumn id="2" xr3:uid="{A6E193EA-549C-4029-8823-9DFE17442FF1}" name="漢字例" dataDxfId="67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66"/>
    <tableColumn id="4" xr3:uid="{9014A3FB-03BF-4D2A-833F-6D18B2FC48DE}" name="台羅拼音"/>
    <tableColumn id="7" xr3:uid="{DE46D56A-2F6F-460E-97EB-6221DBF36190}" name="台語音標" dataDxfId="65"/>
    <tableColumn id="8" xr3:uid="{6416C7B5-02F3-4A4B-A59B-F5CCC29DA4BC}" name="白話字" dataDxfId="64"/>
    <tableColumn id="9" xr3:uid="{499810EC-AD1D-46F1-B997-07B17DA95245}" name="閩拼方案" dataDxfId="63"/>
    <tableColumn id="10" xr3:uid="{5D3D9CE2-D240-4ADB-A8EC-5DF1AD126A55}" name="注音二式" dataDxfId="62"/>
    <tableColumn id="11" xr3:uid="{E1D819DB-0A80-42E2-A97A-E02BCFDCB063}" name="方音符號" dataDxfId="61"/>
    <tableColumn id="12" xr3:uid="{F009D45F-2383-4AB9-BA72-A06F1F14EE9E}" name="台語注音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42" dataDxfId="25" headerRowBorderDxfId="40" tableBorderDxfId="41" totalsRowBorderDxfId="39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38"/>
    <tableColumn id="13" xr3:uid="{C0EBB830-DF25-4B8B-A04C-5AD291747B9B}" name="音序" dataDxfId="37"/>
    <tableColumn id="2" xr3:uid="{29C6F10E-D5FE-48E2-9B67-4A82612B8017}" name="漢字例" dataDxfId="36"/>
    <tableColumn id="3" xr3:uid="{944C7312-4980-46B3-AA31-A41C4F4FC905}" name="十五音" dataDxfId="35"/>
    <tableColumn id="14" xr3:uid="{A03A6B8F-2D0A-4F9E-AC9B-335F9AF8D90B}" name="新十五音" dataDxfId="34"/>
    <tableColumn id="5" xr3:uid="{F3F53986-D930-4778-9198-0C97594B0217}" name="國際音標" dataDxfId="33"/>
    <tableColumn id="4" xr3:uid="{27DD2A64-0A00-44F1-9574-D63AB4694D5B}" name="台羅拼音" dataDxfId="32"/>
    <tableColumn id="7" xr3:uid="{631141E8-6FFE-4928-A26C-0209E49FEE95}" name="台語音標" dataDxfId="31"/>
    <tableColumn id="8" xr3:uid="{3B1EF29E-E6F5-4D15-B56A-5A7CE81D9F23}" name="白話字" dataDxfId="30"/>
    <tableColumn id="9" xr3:uid="{C3CA34FD-9764-4C59-A6EF-E3A95A526F32}" name="閩拼方案" dataDxfId="29"/>
    <tableColumn id="10" xr3:uid="{7660EA53-CEFB-4855-AC4D-97682879EEA3}" name="注音二式" dataDxfId="28"/>
    <tableColumn id="6" xr3:uid="{CF390D7A-659B-4B4F-B221-44D90F02F4E0}" name="注音二式代" dataDxfId="24"/>
    <tableColumn id="11" xr3:uid="{92729FD8-B3AB-4B69-ADF3-9863CB25C657}" name="方音符號" dataDxfId="27"/>
    <tableColumn id="12" xr3:uid="{06C616EB-33A1-4E31-9398-C9A55A34E991}" name="台語注音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59" dataDxfId="57" headerRowBorderDxfId="58" tableBorderDxfId="56">
  <autoFilter ref="A1:M101" xr:uid="{23E007DD-5182-4B78-80DA-A6AB6CA14806}"/>
  <tableColumns count="13">
    <tableColumn id="1" xr3:uid="{89688CC6-39FE-4435-8344-AAA347FCBED4}" name="序號" dataDxfId="55"/>
    <tableColumn id="5" xr3:uid="{8A21DB38-57E0-482B-95FC-B597347A8BDE}" name="韻序" dataDxfId="54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53"/>
    <tableColumn id="3" xr3:uid="{2C1D54ED-CBE3-4710-8C55-0AC6BB332524}" name="十五音" dataDxfId="52"/>
    <tableColumn id="6" xr3:uid="{9CAF41C9-1F52-4C5E-8A5F-0F0DECF6DB84}" name="國際音標" dataDxfId="51"/>
    <tableColumn id="7" xr3:uid="{6F37C033-2A03-4BC2-AB1F-B6A6D6E849EF}" name="國際音標2" dataDxfId="50"/>
    <tableColumn id="4" xr3:uid="{F38AD89D-9FC9-4519-A8D2-EEB6952EEAC1}" name="台羅拼音" dataDxfId="49"/>
    <tableColumn id="8" xr3:uid="{E2316195-DFB7-4D73-80AE-5AF5CB638098}" name="台語音標" dataDxfId="48"/>
    <tableColumn id="9" xr3:uid="{0A03E710-B799-4430-BEA2-5ABB2CD0E1A1}" name="白話字" dataDxfId="47"/>
    <tableColumn id="10" xr3:uid="{CA8E7716-EF33-499C-AAB0-A73DA24D6D6C}" name="閩拼方案" dataDxfId="46"/>
    <tableColumn id="11" xr3:uid="{44C917DF-FD45-429A-B606-AA4AA4A2D8B8}" name="注音二式" dataDxfId="45"/>
    <tableColumn id="12" xr3:uid="{A817EC74-78DE-4E34-8B25-4BAD35257767}" name="方音符號" dataDxfId="44"/>
    <tableColumn id="13" xr3:uid="{156C12E1-9EC9-4906-AFF2-E587C73D5F0D}" name="台語注音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90" dataDxfId="88" headerRowBorderDxfId="89" tableBorderDxfId="87">
  <autoFilter ref="A1:M104" xr:uid="{23E007DD-5182-4B78-80DA-A6AB6CA14806}"/>
  <tableColumns count="13">
    <tableColumn id="1" xr3:uid="{F8E86299-D90F-4592-ABDC-A0D652A239EA}" name="序號" dataDxfId="86"/>
    <tableColumn id="5" xr3:uid="{24C83CBE-F51A-4055-8C74-B669A9FEC2BB}" name="韻序" dataDxfId="85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84"/>
    <tableColumn id="3" xr3:uid="{EC7EADF7-9219-4A1D-BADE-5B70D687F5BE}" name="十五音" dataDxfId="83"/>
    <tableColumn id="6" xr3:uid="{D42B0375-1395-4AA5-9592-400D314FF4A6}" name="國際音標" dataDxfId="82"/>
    <tableColumn id="7" xr3:uid="{4FF66326-E3D3-4547-AACD-6FB02A224286}" name="國際音標2" dataDxfId="81"/>
    <tableColumn id="4" xr3:uid="{14118607-EB7E-45B6-BA80-82DA602FEA15}" name="台羅拼音" dataDxfId="80"/>
    <tableColumn id="8" xr3:uid="{B9308C5F-5158-4627-97E6-3777D062785C}" name="台語音標" dataDxfId="79"/>
    <tableColumn id="9" xr3:uid="{4D40D46C-12FE-42D7-893F-D328F6CC3B39}" name="白話字" dataDxfId="78"/>
    <tableColumn id="10" xr3:uid="{E55C9A5F-E95C-4F9C-95C2-8A79906E6908}" name="閩拼方案" dataDxfId="77"/>
    <tableColumn id="11" xr3:uid="{2FF03B77-E51C-4F7F-AC68-ACCC6F92D98A}" name="注音二式" dataDxfId="76"/>
    <tableColumn id="12" xr3:uid="{E71F16DA-D83F-43D8-B782-448D0B3850FD}" name="方音符號" dataDxfId="75"/>
    <tableColumn id="13" xr3:uid="{AF2B7E9E-8412-4DD8-AF9D-37FEF1CA2005}" name="台語注音" dataDxfId="7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showGridLines="0" zoomScaleNormal="100" workbookViewId="0">
      <pane xSplit="5" ySplit="4" topLeftCell="F5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dimension ref="A1:AA88"/>
  <sheetViews>
    <sheetView showGridLines="0" tabSelected="1" zoomScaleNormal="100" workbookViewId="0">
      <pane xSplit="6" ySplit="6" topLeftCell="G7" activePane="bottomRight" state="frozen"/>
      <selection pane="topRight" activeCell="G1" sqref="G1"/>
      <selection pane="bottomLeft" activeCell="A7" sqref="A7"/>
      <selection pane="bottomRight" activeCell="D14" sqref="D14"/>
    </sheetView>
  </sheetViews>
  <sheetFormatPr defaultRowHeight="22.5" outlineLevelRow="1"/>
  <cols>
    <col min="1" max="1" width="1" style="41" customWidth="1"/>
    <col min="2" max="2" width="6" style="41" customWidth="1"/>
    <col min="3" max="4" width="9.625" style="41" customWidth="1"/>
    <col min="5" max="5" width="9" style="41" customWidth="1"/>
    <col min="6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40">
        <v>1</v>
      </c>
      <c r="H2" s="140">
        <v>1</v>
      </c>
      <c r="I2" s="140">
        <f xml:space="preserve"> _xlfn.XLOOKUP(I$4, 聲母表[台羅拼音], 聲母表[序號])</f>
        <v>2</v>
      </c>
      <c r="J2" s="140">
        <v>3</v>
      </c>
      <c r="K2" s="140">
        <v>4</v>
      </c>
      <c r="L2" s="140">
        <v>5</v>
      </c>
      <c r="M2" s="140">
        <v>6</v>
      </c>
      <c r="N2" s="140">
        <f xml:space="preserve"> _xlfn.XLOOKUP(N$4, 聲母表[台羅拼音], 聲母表[序號])</f>
        <v>7</v>
      </c>
      <c r="O2" s="140">
        <v>8</v>
      </c>
      <c r="P2" s="140">
        <v>9</v>
      </c>
      <c r="Q2" s="140">
        <v>10</v>
      </c>
      <c r="R2" s="140">
        <v>11</v>
      </c>
      <c r="S2" s="140">
        <v>12</v>
      </c>
      <c r="T2" s="140">
        <v>12</v>
      </c>
      <c r="U2" s="140">
        <v>13</v>
      </c>
      <c r="V2" s="140">
        <f xml:space="preserve"> _xlfn.XLOOKUP(V$4, 聲母表[台羅拼音], 聲母表[序號])</f>
        <v>13</v>
      </c>
      <c r="W2" s="140">
        <v>14</v>
      </c>
      <c r="X2" s="140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49" t="str">
        <f xml:space="preserve"> _xlfn.XLOOKUP(G$4, 聲母表[台羅拼音], 聲母表[十五音])</f>
        <v>柳</v>
      </c>
      <c r="H3" s="52" t="str">
        <f xml:space="preserve"> _xlfn.XLOOKUP(H$4, 聲母表[台羅拼音], 聲母表[十五音])</f>
        <v>柳</v>
      </c>
      <c r="I3" s="49" t="str">
        <f xml:space="preserve"> _xlfn.XLOOKUP(I$4, 聲母表[台羅拼音], 聲母表[十五音])</f>
        <v>邊</v>
      </c>
      <c r="J3" s="49" t="str">
        <f xml:space="preserve"> _xlfn.XLOOKUP(J$4, 聲母表[台羅拼音], 聲母表[十五音])</f>
        <v>求</v>
      </c>
      <c r="K3" s="49" t="str">
        <f xml:space="preserve"> _xlfn.XLOOKUP(K$4, 聲母表[台羅拼音], 聲母表[十五音])</f>
        <v>去</v>
      </c>
      <c r="L3" s="49" t="str">
        <f xml:space="preserve"> _xlfn.XLOOKUP(L$4, 聲母表[台羅拼音], 聲母表[十五音])</f>
        <v>地</v>
      </c>
      <c r="M3" s="49" t="str">
        <f xml:space="preserve"> _xlfn.XLOOKUP(M$4, 聲母表[台羅拼音], 聲母表[十五音])</f>
        <v>頗</v>
      </c>
      <c r="N3" s="49" t="str">
        <f xml:space="preserve"> _xlfn.XLOOKUP(N$4, 聲母表[台羅拼音], 聲母表[十五音])</f>
        <v>他</v>
      </c>
      <c r="O3" s="49" t="str">
        <f xml:space="preserve"> _xlfn.XLOOKUP(O$4, 聲母表[台羅拼音], 聲母表[十五音])</f>
        <v>曾</v>
      </c>
      <c r="P3" s="49" t="str">
        <f xml:space="preserve"> _xlfn.XLOOKUP(P$4, 聲母表[台羅拼音], 聲母表[十五音])</f>
        <v>入</v>
      </c>
      <c r="Q3" s="49" t="str">
        <f xml:space="preserve"> _xlfn.XLOOKUP(Q$4, 聲母表[台羅拼音], 聲母表[十五音])</f>
        <v>時</v>
      </c>
      <c r="R3" s="49" t="str">
        <f xml:space="preserve"> _xlfn.XLOOKUP(R$4, 聲母表[台羅拼音], 聲母表[十五音])</f>
        <v>英</v>
      </c>
      <c r="S3" s="49" t="str">
        <f xml:space="preserve"> _xlfn.XLOOKUP(S$4, 聲母表[台羅拼音], 聲母表[十五音])</f>
        <v>門</v>
      </c>
      <c r="T3" s="52" t="str">
        <f xml:space="preserve"> _xlfn.XLOOKUP(T$4, 聲母表[台羅拼音], 聲母表[十五音])</f>
        <v>門</v>
      </c>
      <c r="U3" s="49" t="str">
        <f xml:space="preserve"> _xlfn.XLOOKUP(U$4, 聲母表[台羅拼音], 聲母表[十五音])</f>
        <v>語</v>
      </c>
      <c r="V3" s="52" t="str">
        <f xml:space="preserve"> _xlfn.XLOOKUP(V$4, 聲母表[台羅拼音], 聲母表[十五音])</f>
        <v>語</v>
      </c>
      <c r="W3" s="49" t="str">
        <f xml:space="preserve"> _xlfn.XLOOKUP(W$4, 聲母表[台羅拼音], 聲母表[十五音])</f>
        <v>出</v>
      </c>
      <c r="X3" s="49" t="str">
        <f xml:space="preserve"> _xlfn.XLOOKUP(X$4, 聲母表[台羅拼音], 聲母表[十五音])</f>
        <v>喜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44" t="s">
        <v>47</v>
      </c>
      <c r="H4" s="144" t="s">
        <v>48</v>
      </c>
      <c r="I4" s="144" t="s">
        <v>41</v>
      </c>
      <c r="J4" s="144" t="s">
        <v>49</v>
      </c>
      <c r="K4" s="144" t="s">
        <v>50</v>
      </c>
      <c r="L4" s="144" t="s">
        <v>45</v>
      </c>
      <c r="M4" s="144" t="s">
        <v>42</v>
      </c>
      <c r="N4" s="144" t="s">
        <v>46</v>
      </c>
      <c r="O4" s="144" t="s">
        <v>54</v>
      </c>
      <c r="P4" s="144" t="s">
        <v>60</v>
      </c>
      <c r="Q4" s="144" t="s">
        <v>58</v>
      </c>
      <c r="R4" s="144" t="s">
        <v>327</v>
      </c>
      <c r="S4" s="144" t="s">
        <v>43</v>
      </c>
      <c r="T4" s="144" t="s">
        <v>44</v>
      </c>
      <c r="U4" s="144" t="s">
        <v>51</v>
      </c>
      <c r="V4" s="144" t="s">
        <v>52</v>
      </c>
      <c r="W4" s="144" t="s">
        <v>56</v>
      </c>
      <c r="X4" s="144" t="s">
        <v>53</v>
      </c>
      <c r="Y4" s="50"/>
      <c r="Z4" s="103"/>
      <c r="AA4" s="50"/>
    </row>
    <row r="5" spans="1:27">
      <c r="B5" s="103" t="s">
        <v>1056</v>
      </c>
      <c r="C5" s="103" t="s">
        <v>1391</v>
      </c>
      <c r="D5" s="103" t="s">
        <v>1057</v>
      </c>
      <c r="E5" s="103" t="s">
        <v>40</v>
      </c>
      <c r="F5" s="141" t="s">
        <v>1557</v>
      </c>
      <c r="G5" s="143" t="str">
        <f xml:space="preserve"> _xlfn.XLOOKUP(G$4, 聲母表[台羅拼音], 聲母表[方音符號])</f>
        <v>ㄌ</v>
      </c>
      <c r="H5" s="143" t="str">
        <f xml:space="preserve"> _xlfn.XLOOKUP(H$4, 聲母表[台羅拼音], 聲母表[方音符號])</f>
        <v>ㄋ</v>
      </c>
      <c r="I5" s="143" t="str">
        <f xml:space="preserve"> _xlfn.XLOOKUP(I$4, 聲母表[台羅拼音], 聲母表[方音符號])</f>
        <v>ㄅ</v>
      </c>
      <c r="J5" s="143" t="str">
        <f xml:space="preserve"> _xlfn.XLOOKUP(J$4, 聲母表[台羅拼音], 聲母表[方音符號])</f>
        <v>ㄍ</v>
      </c>
      <c r="K5" s="143" t="str">
        <f xml:space="preserve"> _xlfn.XLOOKUP(K$4, 聲母表[台羅拼音], 聲母表[方音符號])</f>
        <v>ㄎ</v>
      </c>
      <c r="L5" s="143" t="str">
        <f xml:space="preserve"> _xlfn.XLOOKUP(L$4, 聲母表[台羅拼音], 聲母表[方音符號])</f>
        <v>ㄉ</v>
      </c>
      <c r="M5" s="143" t="str">
        <f xml:space="preserve"> _xlfn.XLOOKUP(M$4, 聲母表[台羅拼音], 聲母表[方音符號])</f>
        <v>ㄆ</v>
      </c>
      <c r="N5" s="143" t="str">
        <f xml:space="preserve"> _xlfn.XLOOKUP(N$4, 聲母表[台羅拼音], 聲母表[方音符號])</f>
        <v>ㄊ</v>
      </c>
      <c r="O5" s="143" t="str">
        <f xml:space="preserve"> _xlfn.XLOOKUP(O$4, 聲母表[台羅拼音], 聲母表[方音符號])</f>
        <v>ㄗ</v>
      </c>
      <c r="P5" s="143" t="str">
        <f xml:space="preserve"> _xlfn.XLOOKUP(P$4, 聲母表[台羅拼音], 聲母表[方音符號])</f>
        <v>ㆡ</v>
      </c>
      <c r="Q5" s="143" t="str">
        <f xml:space="preserve"> _xlfn.XLOOKUP(Q$4, 聲母表[台羅拼音], 聲母表[方音符號])</f>
        <v>ㄙ</v>
      </c>
      <c r="R5" s="143"/>
      <c r="S5" s="143" t="str">
        <f xml:space="preserve"> _xlfn.XLOOKUP(S$4, 聲母表[台羅拼音], 聲母表[方音符號])</f>
        <v>ㆠ</v>
      </c>
      <c r="T5" s="143" t="str">
        <f xml:space="preserve"> _xlfn.XLOOKUP(T$4, 聲母表[台羅拼音], 聲母表[方音符號])</f>
        <v>ㄇ</v>
      </c>
      <c r="U5" s="143" t="str">
        <f xml:space="preserve"> _xlfn.XLOOKUP(U$4, 聲母表[台羅拼音], 聲母表[方音符號])</f>
        <v>ㆣ</v>
      </c>
      <c r="V5" s="143" t="str">
        <f xml:space="preserve"> _xlfn.XLOOKUP(V$4, 聲母表[台羅拼音], 聲母表[方音符號])</f>
        <v>ㄫ</v>
      </c>
      <c r="W5" s="143" t="str">
        <f xml:space="preserve"> _xlfn.XLOOKUP(W$4, 聲母表[台羅拼音], 聲母表[方音符號])</f>
        <v>ㄘ</v>
      </c>
      <c r="X5" s="143" t="str">
        <f xml:space="preserve"> _xlfn.XLOOKUP(X$4, 聲母表[台羅拼音], 聲母表[方音符號])</f>
        <v>ㄏ</v>
      </c>
      <c r="Y5" s="141" t="s">
        <v>1557</v>
      </c>
      <c r="Z5" s="103" t="s">
        <v>40</v>
      </c>
      <c r="AA5" s="50" t="s">
        <v>1390</v>
      </c>
    </row>
    <row r="6" spans="1:27" ht="7.5" customHeight="1">
      <c r="B6" s="50"/>
      <c r="C6" s="50"/>
      <c r="D6" s="50"/>
      <c r="E6" s="50"/>
      <c r="F6" s="142"/>
      <c r="G6" s="49"/>
      <c r="H6" s="52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52"/>
      <c r="U6" s="49"/>
      <c r="V6" s="52"/>
      <c r="W6" s="49"/>
      <c r="X6" s="49"/>
      <c r="Y6" s="142"/>
      <c r="Z6" s="50"/>
      <c r="AA6" s="50"/>
    </row>
    <row r="7" spans="1:27">
      <c r="B7" s="139" cm="1">
        <f t="array" ref="B7" xml:space="preserve"> INDEX(韻母表[韻序], MATCH(TRUE, EXACT($C7, 韻母表[十五音]), 0))</f>
        <v>1</v>
      </c>
      <c r="C7" s="50" t="s">
        <v>62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un</v>
      </c>
      <c r="E7" s="50" t="str" cm="1">
        <f t="array" ref="E7" xml:space="preserve"> INDEX(韻母表[台羅拼音], MATCH(TRUE, EXACT($C7, 韻母表[十五音]), 0))</f>
        <v>un</v>
      </c>
      <c r="F7" s="142" t="str" cm="1">
        <f t="array" ref="F7" xml:space="preserve"> INDEX(韻母表[方音符號], MATCH(TRUE, EXACT($C7, 韻母表[十五音]), 0))</f>
        <v>ㄨㄣ</v>
      </c>
      <c r="G7" s="53" t="str">
        <f xml:space="preserve"> IF(十五音音節表!F6&lt;&gt;"", _xlfn.CONCAT(G$5,$F7), "")</f>
        <v>ㄌㄨㄣ</v>
      </c>
      <c r="H7" s="53" t="str">
        <f xml:space="preserve"> IF(十五音音節表!G6&lt;&gt;"", _xlfn.CONCAT(H$5,$F7), "")</f>
        <v/>
      </c>
      <c r="I7" s="53" t="str">
        <f xml:space="preserve"> IF(十五音音節表!H6&lt;&gt;"", _xlfn.CONCAT(I$5,$F7), "")</f>
        <v>ㄅㄨㄣ</v>
      </c>
      <c r="J7" s="53" t="str">
        <f xml:space="preserve"> IF(十五音音節表!I6&lt;&gt;"", _xlfn.CONCAT(J$5,$F7), "")</f>
        <v>ㄍㄨㄣ</v>
      </c>
      <c r="K7" s="53" t="str">
        <f xml:space="preserve"> IF(十五音音節表!J6&lt;&gt;"", _xlfn.CONCAT(K$5,$F7), "")</f>
        <v>ㄎㄨㄣ</v>
      </c>
      <c r="L7" s="53" t="str">
        <f xml:space="preserve"> IF(十五音音節表!K6&lt;&gt;"", _xlfn.CONCAT(L$5,$F7), "")</f>
        <v>ㄉㄨㄣ</v>
      </c>
      <c r="M7" s="53" t="str">
        <f xml:space="preserve"> IF(十五音音節表!L6&lt;&gt;"", _xlfn.CONCAT(M$5,$F7), "")</f>
        <v>ㄆㄨㄣ</v>
      </c>
      <c r="N7" s="53" t="str">
        <f xml:space="preserve"> IF(十五音音節表!M6&lt;&gt;"", _xlfn.CONCAT(N$5,$F7), "")</f>
        <v>ㄊㄨㄣ</v>
      </c>
      <c r="O7" s="53" t="str">
        <f xml:space="preserve"> IF(十五音音節表!N6&lt;&gt;"", _xlfn.CONCAT(O$5,$F7), "")</f>
        <v>ㄗㄨㄣ</v>
      </c>
      <c r="P7" s="53" t="str">
        <f xml:space="preserve"> IF(十五音音節表!O6&lt;&gt;"", _xlfn.CONCAT(P$5,$F7), "")</f>
        <v>ㆡㄨㄣ</v>
      </c>
      <c r="Q7" s="53" t="str">
        <f xml:space="preserve"> IF(十五音音節表!P6&lt;&gt;"", _xlfn.CONCAT(Q$5,$F7), "")</f>
        <v>ㄙㄨㄣ</v>
      </c>
      <c r="R7" s="53" t="str">
        <f xml:space="preserve"> IF(十五音音節表!Q6&lt;&gt;"", _xlfn.CONCAT(R$5,$F7), "")</f>
        <v>ㄨㄣ</v>
      </c>
      <c r="S7" s="53" t="str">
        <f xml:space="preserve"> IF(十五音音節表!R6&lt;&gt;"", _xlfn.CONCAT(S$5,$F7), "")</f>
        <v>ㆠㄨㄣ</v>
      </c>
      <c r="T7" s="53" t="str">
        <f xml:space="preserve"> IF(十五音音節表!S6&lt;&gt;"", _xlfn.CONCAT(T$5,$F7), "")</f>
        <v/>
      </c>
      <c r="U7" s="53" t="str">
        <f xml:space="preserve"> IF(十五音音節表!T6&lt;&gt;"", _xlfn.CONCAT(U$5,$F7), "")</f>
        <v>ㆣㄨㄣ</v>
      </c>
      <c r="V7" s="53" t="str">
        <f xml:space="preserve"> IF(十五音音節表!U6&lt;&gt;"", _xlfn.CONCAT(V$5,$F7), "")</f>
        <v/>
      </c>
      <c r="W7" s="53" t="str">
        <f xml:space="preserve"> IF(十五音音節表!V6&lt;&gt;"", _xlfn.CONCAT(W$5,$F7), "")</f>
        <v>ㄘㄨㄣ</v>
      </c>
      <c r="X7" s="53" t="str">
        <f xml:space="preserve"> IF(十五音音節表!W6&lt;&gt;"", _xlfn.CONCAT(X$5,$F7), "")</f>
        <v>ㄏㄨㄣ</v>
      </c>
      <c r="Y7" s="142" t="s">
        <v>1066</v>
      </c>
      <c r="Z7" s="50" t="s">
        <v>162</v>
      </c>
      <c r="AA7" s="50" t="s">
        <v>62</v>
      </c>
    </row>
    <row r="8" spans="1:27" hidden="1" outlineLevel="1">
      <c r="B8" s="139" cm="1">
        <f t="array" ref="B8" xml:space="preserve"> INDEX(韻母表[韻序], MATCH(TRUE, EXACT($C8, 韻母表[十五音]), 0))</f>
        <v>1</v>
      </c>
      <c r="C8" s="50" t="s">
        <v>63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ut̚</v>
      </c>
      <c r="E8" s="50" t="str" cm="1">
        <f t="array" ref="E8" xml:space="preserve"> INDEX(韻母表[台羅拼音], MATCH(TRUE, EXACT($C8, 韻母表[十五音]), 0))</f>
        <v>ut</v>
      </c>
      <c r="F8" s="142" t="str" cm="1">
        <f t="array" ref="F8" xml:space="preserve"> INDEX(韻母表[方音符號], MATCH(TRUE, EXACT($C8, 韻母表[十五音]), 0))</f>
        <v>ㄨㆵ</v>
      </c>
      <c r="G8" s="53" t="str">
        <f xml:space="preserve"> IF(十五音音節表!F7&lt;&gt;"", _xlfn.CONCAT(G$5,$F8), "")</f>
        <v>ㄌㄨㆵ</v>
      </c>
      <c r="H8" s="53" t="str">
        <f xml:space="preserve"> IF(十五音音節表!G7&lt;&gt;"", _xlfn.CONCAT(H$5,$F8), "")</f>
        <v/>
      </c>
      <c r="I8" s="53" t="str">
        <f xml:space="preserve"> IF(十五音音節表!H7&lt;&gt;"", _xlfn.CONCAT(I$5,$F8), "")</f>
        <v>ㄅㄨㆵ</v>
      </c>
      <c r="J8" s="53" t="str">
        <f xml:space="preserve"> IF(十五音音節表!I7&lt;&gt;"", _xlfn.CONCAT(J$5,$F8), "")</f>
        <v>ㄍㄨㆵ</v>
      </c>
      <c r="K8" s="53" t="str">
        <f xml:space="preserve"> IF(十五音音節表!J7&lt;&gt;"", _xlfn.CONCAT(K$5,$F8), "")</f>
        <v>ㄎㄨㆵ</v>
      </c>
      <c r="L8" s="53" t="str">
        <f xml:space="preserve"> IF(十五音音節表!K7&lt;&gt;"", _xlfn.CONCAT(L$5,$F8), "")</f>
        <v>ㄉㄨㆵ</v>
      </c>
      <c r="M8" s="53" t="str">
        <f xml:space="preserve"> IF(十五音音節表!L7&lt;&gt;"", _xlfn.CONCAT(M$5,$F8), "")</f>
        <v>ㄆㄨㆵ</v>
      </c>
      <c r="N8" s="53" t="str">
        <f xml:space="preserve"> IF(十五音音節表!M7&lt;&gt;"", _xlfn.CONCAT(N$5,$F8), "")</f>
        <v>ㄊㄨㆵ</v>
      </c>
      <c r="O8" s="53" t="str">
        <f xml:space="preserve"> IF(十五音音節表!N7&lt;&gt;"", _xlfn.CONCAT(O$5,$F8), "")</f>
        <v>ㄗㄨㆵ</v>
      </c>
      <c r="P8" s="53" t="str">
        <f xml:space="preserve"> IF(十五音音節表!O7&lt;&gt;"", _xlfn.CONCAT(P$5,$F8), "")</f>
        <v/>
      </c>
      <c r="Q8" s="53" t="str">
        <f xml:space="preserve"> IF(十五音音節表!P7&lt;&gt;"", _xlfn.CONCAT(Q$5,$F8), "")</f>
        <v>ㄙㄨㆵ</v>
      </c>
      <c r="R8" s="53" t="str">
        <f xml:space="preserve"> IF(十五音音節表!Q7&lt;&gt;"", _xlfn.CONCAT(R$5,$F8), "")</f>
        <v>ㄨㆵ</v>
      </c>
      <c r="S8" s="53" t="str">
        <f xml:space="preserve"> IF(十五音音節表!R7&lt;&gt;"", _xlfn.CONCAT(S$5,$F8), "")</f>
        <v>ㆠㄨㆵ</v>
      </c>
      <c r="T8" s="53" t="str">
        <f xml:space="preserve"> IF(十五音音節表!S7&lt;&gt;"", _xlfn.CONCAT(T$5,$F8), "")</f>
        <v/>
      </c>
      <c r="U8" s="53" t="str">
        <f xml:space="preserve"> IF(十五音音節表!T7&lt;&gt;"", _xlfn.CONCAT(U$5,$F8), "")</f>
        <v/>
      </c>
      <c r="V8" s="53" t="str">
        <f xml:space="preserve"> IF(十五音音節表!U7&lt;&gt;"", _xlfn.CONCAT(V$5,$F8), "")</f>
        <v/>
      </c>
      <c r="W8" s="53" t="str">
        <f xml:space="preserve"> IF(十五音音節表!V7&lt;&gt;"", _xlfn.CONCAT(W$5,$F8), "")</f>
        <v>ㄘㄨㆵ</v>
      </c>
      <c r="X8" s="53" t="str">
        <f xml:space="preserve"> IF(十五音音節表!W7&lt;&gt;"", _xlfn.CONCAT(X$5,$F8), "")</f>
        <v>ㄏㄨㆵ</v>
      </c>
      <c r="Y8" s="142" t="s">
        <v>1068</v>
      </c>
      <c r="Z8" s="50" t="s">
        <v>163</v>
      </c>
      <c r="AA8" s="50" t="s">
        <v>63</v>
      </c>
    </row>
    <row r="9" spans="1:27" collapsed="1">
      <c r="B9" s="139" cm="1">
        <f t="array" ref="B9" xml:space="preserve"> INDEX(韻母表[韻序], MATCH(TRUE, EXACT($C9, 韻母表[十五音]), 0))</f>
        <v>2</v>
      </c>
      <c r="C9" s="50" t="s">
        <v>64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ɪan</v>
      </c>
      <c r="E9" s="50" t="str" cm="1">
        <f t="array" ref="E9" xml:space="preserve"> INDEX(韻母表[台羅拼音], MATCH(TRUE, EXACT($C9, 韻母表[十五音]), 0))</f>
        <v>ian</v>
      </c>
      <c r="F9" s="142" t="str" cm="1">
        <f t="array" ref="F9" xml:space="preserve"> INDEX(韻母表[方音符號], MATCH(TRUE, EXACT($C9, 韻母表[十五音]), 0))</f>
        <v>ㄧㄢ</v>
      </c>
      <c r="G9" s="53" t="str">
        <f xml:space="preserve"> IF(十五音音節表!F8&lt;&gt;"", _xlfn.CONCAT(G$5,$F9), "")</f>
        <v>ㄌㄧㄢ</v>
      </c>
      <c r="H9" s="53" t="str">
        <f xml:space="preserve"> IF(十五音音節表!G8&lt;&gt;"", _xlfn.CONCAT(H$5,$F9), "")</f>
        <v/>
      </c>
      <c r="I9" s="53" t="str">
        <f xml:space="preserve"> IF(十五音音節表!H8&lt;&gt;"", _xlfn.CONCAT(I$5,$F9), "")</f>
        <v>ㄅㄧㄢ</v>
      </c>
      <c r="J9" s="53" t="str">
        <f xml:space="preserve"> IF(十五音音節表!I8&lt;&gt;"", _xlfn.CONCAT(J$5,$F9), "")</f>
        <v>ㄍㄧㄢ</v>
      </c>
      <c r="K9" s="53" t="str">
        <f xml:space="preserve"> IF(十五音音節表!J8&lt;&gt;"", _xlfn.CONCAT(K$5,$F9), "")</f>
        <v>ㄎㄧㄢ</v>
      </c>
      <c r="L9" s="53" t="str">
        <f xml:space="preserve"> IF(十五音音節表!K8&lt;&gt;"", _xlfn.CONCAT(L$5,$F9), "")</f>
        <v>ㄉㄧㄢ</v>
      </c>
      <c r="M9" s="53" t="str">
        <f xml:space="preserve"> IF(十五音音節表!L8&lt;&gt;"", _xlfn.CONCAT(M$5,$F9), "")</f>
        <v>ㄆㄧㄢ</v>
      </c>
      <c r="N9" s="53" t="str">
        <f xml:space="preserve"> IF(十五音音節表!M8&lt;&gt;"", _xlfn.CONCAT(N$5,$F9), "")</f>
        <v>ㄊㄧㄢ</v>
      </c>
      <c r="O9" s="53" t="str">
        <f xml:space="preserve"> IF(十五音音節表!N8&lt;&gt;"", _xlfn.CONCAT(O$5,$F9), "")</f>
        <v>ㄗㄧㄢ</v>
      </c>
      <c r="P9" s="53" t="str">
        <f xml:space="preserve"> IF(十五音音節表!O8&lt;&gt;"", _xlfn.CONCAT(P$5,$F9), "")</f>
        <v>ㆡㄧㄢ</v>
      </c>
      <c r="Q9" s="53" t="str">
        <f xml:space="preserve"> IF(十五音音節表!P8&lt;&gt;"", _xlfn.CONCAT(Q$5,$F9), "")</f>
        <v>ㄙㄧㄢ</v>
      </c>
      <c r="R9" s="53" t="str">
        <f xml:space="preserve"> IF(十五音音節表!Q8&lt;&gt;"", _xlfn.CONCAT(R$5,$F9), "")</f>
        <v>ㄧㄢ</v>
      </c>
      <c r="S9" s="53" t="str">
        <f xml:space="preserve"> IF(十五音音節表!R8&lt;&gt;"", _xlfn.CONCAT(S$5,$F9), "")</f>
        <v>ㆠㄧㄢ</v>
      </c>
      <c r="T9" s="53" t="str">
        <f xml:space="preserve"> IF(十五音音節表!S8&lt;&gt;"", _xlfn.CONCAT(T$5,$F9), "")</f>
        <v/>
      </c>
      <c r="U9" s="53" t="str">
        <f xml:space="preserve"> IF(十五音音節表!T8&lt;&gt;"", _xlfn.CONCAT(U$5,$F9), "")</f>
        <v>ㆣㄧㄢ</v>
      </c>
      <c r="V9" s="53" t="str">
        <f xml:space="preserve"> IF(十五音音節表!U8&lt;&gt;"", _xlfn.CONCAT(V$5,$F9), "")</f>
        <v/>
      </c>
      <c r="W9" s="53" t="str">
        <f xml:space="preserve"> IF(十五音音節表!V8&lt;&gt;"", _xlfn.CONCAT(W$5,$F9), "")</f>
        <v>ㄘㄧㄢ</v>
      </c>
      <c r="X9" s="53" t="str">
        <f xml:space="preserve"> IF(十五音音節表!W8&lt;&gt;"", _xlfn.CONCAT(X$5,$F9), "")</f>
        <v>ㄏㄧㄢ</v>
      </c>
      <c r="Y9" s="142" t="s">
        <v>1070</v>
      </c>
      <c r="Z9" s="50" t="s">
        <v>164</v>
      </c>
      <c r="AA9" s="50" t="s">
        <v>64</v>
      </c>
    </row>
    <row r="10" spans="1:27" hidden="1" outlineLevel="1">
      <c r="B10" s="139" cm="1">
        <f t="array" ref="B10" xml:space="preserve"> INDEX(韻母表[韻序], MATCH(TRUE, EXACT($C10, 韻母表[十五音]), 0))</f>
        <v>2</v>
      </c>
      <c r="C10" s="50" t="s">
        <v>65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ɪat̚</v>
      </c>
      <c r="E10" s="50" t="str" cm="1">
        <f t="array" ref="E10" xml:space="preserve"> INDEX(韻母表[台羅拼音], MATCH(TRUE, EXACT($C10, 韻母表[十五音]), 0))</f>
        <v>iat</v>
      </c>
      <c r="F10" s="142" t="str" cm="1">
        <f t="array" ref="F10" xml:space="preserve"> INDEX(韻母表[方音符號], MATCH(TRUE, EXACT($C10, 韻母表[十五音]), 0))</f>
        <v>ㄧㄚㆵ</v>
      </c>
      <c r="G10" s="53" t="str">
        <f xml:space="preserve"> IF(十五音音節表!F9&lt;&gt;"", _xlfn.CONCAT(G$5,$F10), "")</f>
        <v>ㄌㄧㄚㆵ</v>
      </c>
      <c r="H10" s="53" t="str">
        <f xml:space="preserve"> IF(十五音音節表!G9&lt;&gt;"", _xlfn.CONCAT(H$5,$F10), "")</f>
        <v/>
      </c>
      <c r="I10" s="53" t="str">
        <f xml:space="preserve"> IF(十五音音節表!H9&lt;&gt;"", _xlfn.CONCAT(I$5,$F10), "")</f>
        <v>ㄅㄧㄚㆵ</v>
      </c>
      <c r="J10" s="53" t="str">
        <f xml:space="preserve"> IF(十五音音節表!I9&lt;&gt;"", _xlfn.CONCAT(J$5,$F10), "")</f>
        <v>ㄍㄧㄚㆵ</v>
      </c>
      <c r="K10" s="53" t="str">
        <f xml:space="preserve"> IF(十五音音節表!J9&lt;&gt;"", _xlfn.CONCAT(K$5,$F10), "")</f>
        <v>ㄎㄧㄚㆵ</v>
      </c>
      <c r="L10" s="53" t="str">
        <f xml:space="preserve"> IF(十五音音節表!K9&lt;&gt;"", _xlfn.CONCAT(L$5,$F10), "")</f>
        <v>ㄉㄧㄚㆵ</v>
      </c>
      <c r="M10" s="53" t="str">
        <f xml:space="preserve"> IF(十五音音節表!L9&lt;&gt;"", _xlfn.CONCAT(M$5,$F10), "")</f>
        <v>ㄆㄧㄚㆵ</v>
      </c>
      <c r="N10" s="53" t="str">
        <f xml:space="preserve"> IF(十五音音節表!M9&lt;&gt;"", _xlfn.CONCAT(N$5,$F10), "")</f>
        <v>ㄊㄧㄚㆵ</v>
      </c>
      <c r="O10" s="53" t="str">
        <f xml:space="preserve"> IF(十五音音節表!N9&lt;&gt;"", _xlfn.CONCAT(O$5,$F10), "")</f>
        <v>ㄗㄧㄚㆵ</v>
      </c>
      <c r="P10" s="53" t="str">
        <f xml:space="preserve"> IF(十五音音節表!O9&lt;&gt;"", _xlfn.CONCAT(P$5,$F10), "")</f>
        <v>ㆡㄧㄚㆵ</v>
      </c>
      <c r="Q10" s="53" t="str">
        <f xml:space="preserve"> IF(十五音音節表!P9&lt;&gt;"", _xlfn.CONCAT(Q$5,$F10), "")</f>
        <v>ㄙㄧㄚㆵ</v>
      </c>
      <c r="R10" s="53" t="str">
        <f xml:space="preserve"> IF(十五音音節表!Q9&lt;&gt;"", _xlfn.CONCAT(R$5,$F10), "")</f>
        <v>ㄧㄚㆵ</v>
      </c>
      <c r="S10" s="53" t="str">
        <f xml:space="preserve"> IF(十五音音節表!R9&lt;&gt;"", _xlfn.CONCAT(S$5,$F10), "")</f>
        <v>ㆠㄧㄚㆵ</v>
      </c>
      <c r="T10" s="53" t="str">
        <f xml:space="preserve"> IF(十五音音節表!S9&lt;&gt;"", _xlfn.CONCAT(T$5,$F10), "")</f>
        <v/>
      </c>
      <c r="U10" s="53" t="str">
        <f xml:space="preserve"> IF(十五音音節表!T9&lt;&gt;"", _xlfn.CONCAT(U$5,$F10), "")</f>
        <v>ㆣㄧㄚㆵ</v>
      </c>
      <c r="V10" s="53" t="str">
        <f xml:space="preserve"> IF(十五音音節表!U9&lt;&gt;"", _xlfn.CONCAT(V$5,$F10), "")</f>
        <v/>
      </c>
      <c r="W10" s="53" t="str">
        <f xml:space="preserve"> IF(十五音音節表!V9&lt;&gt;"", _xlfn.CONCAT(W$5,$F10), "")</f>
        <v>ㄘㄧㄚㆵ</v>
      </c>
      <c r="X10" s="53" t="str">
        <f xml:space="preserve"> IF(十五音音節表!W9&lt;&gt;"", _xlfn.CONCAT(X$5,$F10), "")</f>
        <v>ㄏㄧㄚㆵ</v>
      </c>
      <c r="Y10" s="142" t="s">
        <v>1071</v>
      </c>
      <c r="Z10" s="50" t="s">
        <v>165</v>
      </c>
      <c r="AA10" s="50" t="s">
        <v>65</v>
      </c>
    </row>
    <row r="11" spans="1:27" collapsed="1">
      <c r="B11" s="139" cm="1">
        <f t="array" ref="B11" xml:space="preserve"> INDEX(韻母表[韻序], MATCH(TRUE, EXACT($C11, 韻母表[十五音]), 0))</f>
        <v>3</v>
      </c>
      <c r="C11" s="50" t="s">
        <v>66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im</v>
      </c>
      <c r="E11" s="50" t="str" cm="1">
        <f t="array" ref="E11" xml:space="preserve"> INDEX(韻母表[台羅拼音], MATCH(TRUE, EXACT($C11, 韻母表[十五音]), 0))</f>
        <v>im</v>
      </c>
      <c r="F11" s="142" t="str" cm="1">
        <f t="array" ref="F11" xml:space="preserve"> INDEX(韻母表[方音符號], MATCH(TRUE, EXACT($C11, 韻母表[十五音]), 0))</f>
        <v>ㄧㆬ</v>
      </c>
      <c r="G11" s="53" t="str">
        <f xml:space="preserve"> IF(十五音音節表!F10&lt;&gt;"", _xlfn.CONCAT(G$5,$F11), "")</f>
        <v>ㄌㄧㆬ</v>
      </c>
      <c r="H11" s="53" t="str">
        <f xml:space="preserve"> IF(十五音音節表!G10&lt;&gt;"", _xlfn.CONCAT(H$5,$F11), "")</f>
        <v/>
      </c>
      <c r="I11" s="53" t="str">
        <f xml:space="preserve"> IF(十五音音節表!H10&lt;&gt;"", _xlfn.CONCAT(I$5,$F11), "")</f>
        <v/>
      </c>
      <c r="J11" s="53" t="str">
        <f xml:space="preserve"> IF(十五音音節表!I10&lt;&gt;"", _xlfn.CONCAT(J$5,$F11), "")</f>
        <v>ㄍㄧㆬ</v>
      </c>
      <c r="K11" s="53" t="str">
        <f xml:space="preserve"> IF(十五音音節表!J10&lt;&gt;"", _xlfn.CONCAT(K$5,$F11), "")</f>
        <v>ㄎㄧㆬ</v>
      </c>
      <c r="L11" s="53" t="str">
        <f xml:space="preserve"> IF(十五音音節表!K10&lt;&gt;"", _xlfn.CONCAT(L$5,$F11), "")</f>
        <v>ㄉㄧㆬ</v>
      </c>
      <c r="M11" s="53" t="str">
        <f xml:space="preserve"> IF(十五音音節表!L10&lt;&gt;"", _xlfn.CONCAT(M$5,$F11), "")</f>
        <v/>
      </c>
      <c r="N11" s="53" t="str">
        <f xml:space="preserve"> IF(十五音音節表!M10&lt;&gt;"", _xlfn.CONCAT(N$5,$F11), "")</f>
        <v>ㄊㄧㆬ</v>
      </c>
      <c r="O11" s="53" t="str">
        <f xml:space="preserve"> IF(十五音音節表!N10&lt;&gt;"", _xlfn.CONCAT(O$5,$F11), "")</f>
        <v>ㄗㄧㆬ</v>
      </c>
      <c r="P11" s="53" t="str">
        <f xml:space="preserve"> IF(十五音音節表!O10&lt;&gt;"", _xlfn.CONCAT(P$5,$F11), "")</f>
        <v>ㆡㄧㆬ</v>
      </c>
      <c r="Q11" s="53" t="str">
        <f xml:space="preserve"> IF(十五音音節表!P10&lt;&gt;"", _xlfn.CONCAT(Q$5,$F11), "")</f>
        <v>ㄙㄧㆬ</v>
      </c>
      <c r="R11" s="53" t="str">
        <f xml:space="preserve"> IF(十五音音節表!Q10&lt;&gt;"", _xlfn.CONCAT(R$5,$F11), "")</f>
        <v>ㄧㆬ</v>
      </c>
      <c r="S11" s="53" t="str">
        <f xml:space="preserve"> IF(十五音音節表!R10&lt;&gt;"", _xlfn.CONCAT(S$5,$F11), "")</f>
        <v/>
      </c>
      <c r="T11" s="53" t="str">
        <f xml:space="preserve"> IF(十五音音節表!S10&lt;&gt;"", _xlfn.CONCAT(T$5,$F11), "")</f>
        <v/>
      </c>
      <c r="U11" s="53" t="str">
        <f xml:space="preserve"> IF(十五音音節表!T10&lt;&gt;"", _xlfn.CONCAT(U$5,$F11), "")</f>
        <v>ㆣㄧㆬ</v>
      </c>
      <c r="V11" s="53" t="str">
        <f xml:space="preserve"> IF(十五音音節表!U10&lt;&gt;"", _xlfn.CONCAT(V$5,$F11), "")</f>
        <v/>
      </c>
      <c r="W11" s="53" t="str">
        <f xml:space="preserve"> IF(十五音音節表!V10&lt;&gt;"", _xlfn.CONCAT(W$5,$F11), "")</f>
        <v>ㄘㄧㆬ</v>
      </c>
      <c r="X11" s="53" t="str">
        <f xml:space="preserve"> IF(十五音音節表!W10&lt;&gt;"", _xlfn.CONCAT(X$5,$F11), "")</f>
        <v>ㄏㄧㆬ</v>
      </c>
      <c r="Y11" s="142" t="s">
        <v>1073</v>
      </c>
      <c r="Z11" s="50" t="s">
        <v>166</v>
      </c>
      <c r="AA11" s="50" t="s">
        <v>66</v>
      </c>
    </row>
    <row r="12" spans="1:27" hidden="1" outlineLevel="1">
      <c r="B12" s="139" cm="1">
        <f t="array" ref="B12" xml:space="preserve"> INDEX(韻母表[韻序], MATCH(TRUE, EXACT($C12, 韻母表[十五音]), 0))</f>
        <v>3</v>
      </c>
      <c r="C12" s="50" t="s">
        <v>67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ip̚</v>
      </c>
      <c r="E12" s="50" t="str" cm="1">
        <f t="array" ref="E12" xml:space="preserve"> INDEX(韻母表[台羅拼音], MATCH(TRUE, EXACT($C12, 韻母表[十五音]), 0))</f>
        <v>ip</v>
      </c>
      <c r="F12" s="142" t="str" cm="1">
        <f t="array" ref="F12" xml:space="preserve"> INDEX(韻母表[方音符號], MATCH(TRUE, EXACT($C12, 韻母表[十五音]), 0))</f>
        <v>一ㆴ</v>
      </c>
      <c r="G12" s="53" t="str">
        <f xml:space="preserve"> IF(十五音音節表!F11&lt;&gt;"", _xlfn.CONCAT(G$5,$F12), "")</f>
        <v>ㄌ一ㆴ</v>
      </c>
      <c r="H12" s="53" t="str">
        <f xml:space="preserve"> IF(十五音音節表!G11&lt;&gt;"", _xlfn.CONCAT(H$5,$F12), "")</f>
        <v/>
      </c>
      <c r="I12" s="53" t="str">
        <f xml:space="preserve"> IF(十五音音節表!H11&lt;&gt;"", _xlfn.CONCAT(I$5,$F12), "")</f>
        <v/>
      </c>
      <c r="J12" s="53" t="str">
        <f xml:space="preserve"> IF(十五音音節表!I11&lt;&gt;"", _xlfn.CONCAT(J$5,$F12), "")</f>
        <v>ㄍ一ㆴ</v>
      </c>
      <c r="K12" s="53" t="str">
        <f xml:space="preserve"> IF(十五音音節表!J11&lt;&gt;"", _xlfn.CONCAT(K$5,$F12), "")</f>
        <v>ㄎ一ㆴ</v>
      </c>
      <c r="L12" s="53" t="str">
        <f xml:space="preserve"> IF(十五音音節表!K11&lt;&gt;"", _xlfn.CONCAT(L$5,$F12), "")</f>
        <v/>
      </c>
      <c r="M12" s="53" t="str">
        <f xml:space="preserve"> IF(十五音音節表!L11&lt;&gt;"", _xlfn.CONCAT(M$5,$F12), "")</f>
        <v/>
      </c>
      <c r="N12" s="53" t="str">
        <f xml:space="preserve"> IF(十五音音節表!M11&lt;&gt;"", _xlfn.CONCAT(N$5,$F12), "")</f>
        <v/>
      </c>
      <c r="O12" s="53" t="str">
        <f xml:space="preserve"> IF(十五音音節表!N11&lt;&gt;"", _xlfn.CONCAT(O$5,$F12), "")</f>
        <v>ㄗ一ㆴ</v>
      </c>
      <c r="P12" s="53" t="str">
        <f xml:space="preserve"> IF(十五音音節表!O11&lt;&gt;"", _xlfn.CONCAT(P$5,$F12), "")</f>
        <v>ㆡ一ㆴ</v>
      </c>
      <c r="Q12" s="53" t="str">
        <f xml:space="preserve"> IF(十五音音節表!P11&lt;&gt;"", _xlfn.CONCAT(Q$5,$F12), "")</f>
        <v>ㄙ一ㆴ</v>
      </c>
      <c r="R12" s="53" t="str">
        <f xml:space="preserve"> IF(十五音音節表!Q11&lt;&gt;"", _xlfn.CONCAT(R$5,$F12), "")</f>
        <v>一ㆴ</v>
      </c>
      <c r="S12" s="53" t="str">
        <f xml:space="preserve"> IF(十五音音節表!R11&lt;&gt;"", _xlfn.CONCAT(S$5,$F12), "")</f>
        <v/>
      </c>
      <c r="T12" s="53" t="str">
        <f xml:space="preserve"> IF(十五音音節表!S11&lt;&gt;"", _xlfn.CONCAT(T$5,$F12), "")</f>
        <v/>
      </c>
      <c r="U12" s="53" t="str">
        <f xml:space="preserve"> IF(十五音音節表!T11&lt;&gt;"", _xlfn.CONCAT(U$5,$F12), "")</f>
        <v/>
      </c>
      <c r="V12" s="53" t="str">
        <f xml:space="preserve"> IF(十五音音節表!U11&lt;&gt;"", _xlfn.CONCAT(V$5,$F12), "")</f>
        <v/>
      </c>
      <c r="W12" s="53" t="str">
        <f xml:space="preserve"> IF(十五音音節表!V11&lt;&gt;"", _xlfn.CONCAT(W$5,$F12), "")</f>
        <v>ㄘ一ㆴ</v>
      </c>
      <c r="X12" s="53" t="str">
        <f xml:space="preserve"> IF(十五音音節表!W11&lt;&gt;"", _xlfn.CONCAT(X$5,$F12), "")</f>
        <v>ㄏ一ㆴ</v>
      </c>
      <c r="Y12" s="142" t="s">
        <v>1076</v>
      </c>
      <c r="Z12" s="50" t="s">
        <v>167</v>
      </c>
      <c r="AA12" s="50" t="s">
        <v>67</v>
      </c>
    </row>
    <row r="13" spans="1:27" collapsed="1">
      <c r="B13" s="139" cm="1">
        <f t="array" ref="B13" xml:space="preserve"> INDEX(韻母表[韻序], MATCH(TRUE, EXACT($C13, 韻母表[十五音]), 0))</f>
        <v>4</v>
      </c>
      <c r="C13" s="50" t="s">
        <v>68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ui</v>
      </c>
      <c r="E13" s="50" t="str" cm="1">
        <f t="array" ref="E13" xml:space="preserve"> INDEX(韻母表[台羅拼音], MATCH(TRUE, EXACT($C13, 韻母表[十五音]), 0))</f>
        <v>ui</v>
      </c>
      <c r="F13" s="142" t="str" cm="1">
        <f t="array" ref="F13" xml:space="preserve"> INDEX(韻母表[方音符號], MATCH(TRUE, EXACT($C13, 韻母表[十五音]), 0))</f>
        <v>ㄨㄧ</v>
      </c>
      <c r="G13" s="53" t="str">
        <f xml:space="preserve"> IF(十五音音節表!F12&lt;&gt;"", _xlfn.CONCAT(G$5,$F13), "")</f>
        <v>ㄌㄨㄧ</v>
      </c>
      <c r="H13" s="53" t="str">
        <f xml:space="preserve"> IF(十五音音節表!G12&lt;&gt;"", _xlfn.CONCAT(H$5,$F13), "")</f>
        <v/>
      </c>
      <c r="I13" s="53" t="str">
        <f xml:space="preserve"> IF(十五音音節表!H12&lt;&gt;"", _xlfn.CONCAT(I$5,$F13), "")</f>
        <v>ㄅㄨㄧ</v>
      </c>
      <c r="J13" s="53" t="str">
        <f xml:space="preserve"> IF(十五音音節表!I12&lt;&gt;"", _xlfn.CONCAT(J$5,$F13), "")</f>
        <v>ㄍㄨㄧ</v>
      </c>
      <c r="K13" s="53" t="str">
        <f xml:space="preserve"> IF(十五音音節表!J12&lt;&gt;"", _xlfn.CONCAT(K$5,$F13), "")</f>
        <v>ㄎㄨㄧ</v>
      </c>
      <c r="L13" s="53" t="str">
        <f xml:space="preserve"> IF(十五音音節表!K12&lt;&gt;"", _xlfn.CONCAT(L$5,$F13), "")</f>
        <v>ㄉㄨㄧ</v>
      </c>
      <c r="M13" s="53" t="str">
        <f xml:space="preserve"> IF(十五音音節表!L12&lt;&gt;"", _xlfn.CONCAT(M$5,$F13), "")</f>
        <v>ㄆㄨㄧ</v>
      </c>
      <c r="N13" s="53" t="str">
        <f xml:space="preserve"> IF(十五音音節表!M12&lt;&gt;"", _xlfn.CONCAT(N$5,$F13), "")</f>
        <v>ㄊㄨㄧ</v>
      </c>
      <c r="O13" s="53" t="str">
        <f xml:space="preserve"> IF(十五音音節表!N12&lt;&gt;"", _xlfn.CONCAT(O$5,$F13), "")</f>
        <v>ㄗㄨㄧ</v>
      </c>
      <c r="P13" s="53" t="str">
        <f xml:space="preserve"> IF(十五音音節表!O12&lt;&gt;"", _xlfn.CONCAT(P$5,$F13), "")</f>
        <v/>
      </c>
      <c r="Q13" s="53" t="str">
        <f xml:space="preserve"> IF(十五音音節表!P12&lt;&gt;"", _xlfn.CONCAT(Q$5,$F13), "")</f>
        <v>ㄙㄨㄧ</v>
      </c>
      <c r="R13" s="53" t="str">
        <f xml:space="preserve"> IF(十五音音節表!Q12&lt;&gt;"", _xlfn.CONCAT(R$5,$F13), "")</f>
        <v>ㄨㄧ</v>
      </c>
      <c r="S13" s="53" t="str">
        <f xml:space="preserve"> IF(十五音音節表!R12&lt;&gt;"", _xlfn.CONCAT(S$5,$F13), "")</f>
        <v>ㆠㄨㄧ</v>
      </c>
      <c r="T13" s="53" t="str">
        <f xml:space="preserve"> IF(十五音音節表!S12&lt;&gt;"", _xlfn.CONCAT(T$5,$F13), "")</f>
        <v>ㄇㄨㄧ</v>
      </c>
      <c r="U13" s="53" t="str">
        <f xml:space="preserve"> IF(十五音音節表!T12&lt;&gt;"", _xlfn.CONCAT(U$5,$F13), "")</f>
        <v>ㆣㄨㄧ</v>
      </c>
      <c r="V13" s="53" t="str">
        <f xml:space="preserve"> IF(十五音音節表!U12&lt;&gt;"", _xlfn.CONCAT(V$5,$F13), "")</f>
        <v/>
      </c>
      <c r="W13" s="53" t="str">
        <f xml:space="preserve"> IF(十五音音節表!V12&lt;&gt;"", _xlfn.CONCAT(W$5,$F13), "")</f>
        <v>ㄘㄨㄧ</v>
      </c>
      <c r="X13" s="53" t="str">
        <f xml:space="preserve"> IF(十五音音節表!W12&lt;&gt;"", _xlfn.CONCAT(X$5,$F13), "")</f>
        <v>ㄏㄨㄧ</v>
      </c>
      <c r="Y13" s="142" t="s">
        <v>1078</v>
      </c>
      <c r="Z13" s="50" t="s">
        <v>168</v>
      </c>
      <c r="AA13" s="50" t="s">
        <v>68</v>
      </c>
    </row>
    <row r="14" spans="1:27">
      <c r="B14" s="139" cm="1">
        <f t="array" ref="B14" xml:space="preserve"> INDEX(韻母表[韻序], MATCH(TRUE, EXACT($C14, 韻母表[十五音]), 0))</f>
        <v>5</v>
      </c>
      <c r="C14" s="145" t="s">
        <v>1564</v>
      </c>
      <c r="D14" s="96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ɛ</v>
      </c>
      <c r="E14" s="50" t="str" cm="1">
        <f t="array" ref="E14" xml:space="preserve"> INDEX(韻母表[台羅拼音], MATCH(TRUE, EXACT($C14, 韻母表[十五音]), 0))</f>
        <v>ee</v>
      </c>
      <c r="F14" s="142" t="str" cm="1">
        <f t="array" ref="F14" xml:space="preserve"> INDEX(韻母表[方音符號], MATCH(TRUE, EXACT($C14, 韻母表[十五音]), 0))</f>
        <v>ㄝ</v>
      </c>
      <c r="G14" s="146" t="str">
        <f xml:space="preserve"> IF(十五音音節表!F11&lt;&gt;"", _xlfn.CONCAT(G$5,$F14), "")</f>
        <v>ㄌㄝ</v>
      </c>
      <c r="H14" s="146" t="str">
        <f xml:space="preserve"> IF(十五音音節表!G11&lt;&gt;"", _xlfn.CONCAT(H$5,$F14), "")</f>
        <v/>
      </c>
      <c r="I14" s="146" t="str">
        <f xml:space="preserve"> IF(十五音音節表!H11&lt;&gt;"", _xlfn.CONCAT(I$5,$F14), "")</f>
        <v/>
      </c>
      <c r="J14" s="146" t="str">
        <f xml:space="preserve"> IF(十五音音節表!I11&lt;&gt;"", _xlfn.CONCAT(J$5,$F14), "")</f>
        <v>ㄍㄝ</v>
      </c>
      <c r="K14" s="146" t="str">
        <f xml:space="preserve"> IF(十五音音節表!J11&lt;&gt;"", _xlfn.CONCAT(K$5,$F14), "")</f>
        <v>ㄎㄝ</v>
      </c>
      <c r="L14" s="146" t="str">
        <f xml:space="preserve"> IF(十五音音節表!K11&lt;&gt;"", _xlfn.CONCAT(L$5,$F14), "")</f>
        <v/>
      </c>
      <c r="M14" s="146" t="str">
        <f xml:space="preserve"> IF(十五音音節表!L11&lt;&gt;"", _xlfn.CONCAT(M$5,$F14), "")</f>
        <v/>
      </c>
      <c r="N14" s="146" t="str">
        <f xml:space="preserve"> IF(十五音音節表!M11&lt;&gt;"", _xlfn.CONCAT(N$5,$F14), "")</f>
        <v/>
      </c>
      <c r="O14" s="146" t="str">
        <f xml:space="preserve"> IF(十五音音節表!N11&lt;&gt;"", _xlfn.CONCAT(O$5,$F14), "")</f>
        <v>ㄗㄝ</v>
      </c>
      <c r="P14" s="146" t="str">
        <f xml:space="preserve"> IF(十五音音節表!O11&lt;&gt;"", _xlfn.CONCAT(P$5,$F14), "")</f>
        <v>ㆡㄝ</v>
      </c>
      <c r="Q14" s="146" t="str">
        <f xml:space="preserve"> IF(十五音音節表!P11&lt;&gt;"", _xlfn.CONCAT(Q$5,$F14), "")</f>
        <v>ㄙㄝ</v>
      </c>
      <c r="R14" s="146" t="str">
        <f xml:space="preserve"> IF(十五音音節表!Q11&lt;&gt;"", _xlfn.CONCAT(R$5,$F14), "")</f>
        <v>ㄝ</v>
      </c>
      <c r="S14" s="146" t="str">
        <f xml:space="preserve"> IF(十五音音節表!R11&lt;&gt;"", _xlfn.CONCAT(S$5,$F14), "")</f>
        <v/>
      </c>
      <c r="T14" s="146" t="str">
        <f xml:space="preserve"> IF(十五音音節表!S11&lt;&gt;"", _xlfn.CONCAT(T$5,$F14), "")</f>
        <v/>
      </c>
      <c r="U14" s="146" t="str">
        <f xml:space="preserve"> IF(十五音音節表!T11&lt;&gt;"", _xlfn.CONCAT(U$5,$F14), "")</f>
        <v/>
      </c>
      <c r="V14" s="146" t="str">
        <f xml:space="preserve"> IF(十五音音節表!U11&lt;&gt;"", _xlfn.CONCAT(V$5,$F14), "")</f>
        <v/>
      </c>
      <c r="W14" s="146" t="str">
        <f xml:space="preserve"> IF(十五音音節表!V11&lt;&gt;"", _xlfn.CONCAT(W$5,$F14), "")</f>
        <v>ㄘㄝ</v>
      </c>
      <c r="X14" s="146" t="str">
        <f xml:space="preserve"> IF(十五音音節表!W11&lt;&gt;"", _xlfn.CONCAT(X$5,$F14), "")</f>
        <v>ㄏㄝ</v>
      </c>
      <c r="Y14" s="142" t="s">
        <v>1085</v>
      </c>
      <c r="Z14" s="50" t="s">
        <v>171</v>
      </c>
      <c r="AA14" s="50" t="s">
        <v>72</v>
      </c>
    </row>
    <row r="15" spans="1:27" hidden="1" outlineLevel="1">
      <c r="B15" s="139" cm="1">
        <f t="array" ref="B15" xml:space="preserve"> INDEX(韻母表[韻序], MATCH(TRUE, EXACT($C15, 韻母表[十五音]), 0))</f>
        <v>5</v>
      </c>
      <c r="C15" s="145" t="s">
        <v>1565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ɛʔ</v>
      </c>
      <c r="E15" s="50" t="str" cm="1">
        <f t="array" ref="E15" xml:space="preserve"> INDEX(韻母表[台羅拼音], MATCH(TRUE, EXACT($C15, 韻母表[十五音]), 0))</f>
        <v>eeh</v>
      </c>
      <c r="F15" s="142" t="str" cm="1">
        <f t="array" ref="F15" xml:space="preserve"> INDEX(韻母表[方音符號], MATCH(TRUE, EXACT($C15, 韻母表[十五音]), 0))</f>
        <v>ㄝㆷ</v>
      </c>
      <c r="G15" s="146" t="str">
        <f xml:space="preserve"> IF(十五音音節表!F12&lt;&gt;"", _xlfn.CONCAT(G$5,$F15), "")</f>
        <v>ㄌㄝㆷ</v>
      </c>
      <c r="H15" s="146" t="str">
        <f xml:space="preserve"> IF(十五音音節表!G12&lt;&gt;"", _xlfn.CONCAT(H$5,$F15), "")</f>
        <v/>
      </c>
      <c r="I15" s="146" t="str">
        <f xml:space="preserve"> IF(十五音音節表!H12&lt;&gt;"", _xlfn.CONCAT(I$5,$F15), "")</f>
        <v>ㄅㄝㆷ</v>
      </c>
      <c r="J15" s="146" t="str">
        <f xml:space="preserve"> IF(十五音音節表!I12&lt;&gt;"", _xlfn.CONCAT(J$5,$F15), "")</f>
        <v>ㄍㄝㆷ</v>
      </c>
      <c r="K15" s="146" t="str">
        <f xml:space="preserve"> IF(十五音音節表!J12&lt;&gt;"", _xlfn.CONCAT(K$5,$F15), "")</f>
        <v>ㄎㄝㆷ</v>
      </c>
      <c r="L15" s="146" t="str">
        <f xml:space="preserve"> IF(十五音音節表!K12&lt;&gt;"", _xlfn.CONCAT(L$5,$F15), "")</f>
        <v>ㄉㄝㆷ</v>
      </c>
      <c r="M15" s="146" t="str">
        <f xml:space="preserve"> IF(十五音音節表!L12&lt;&gt;"", _xlfn.CONCAT(M$5,$F15), "")</f>
        <v>ㄆㄝㆷ</v>
      </c>
      <c r="N15" s="146" t="str">
        <f xml:space="preserve"> IF(十五音音節表!M12&lt;&gt;"", _xlfn.CONCAT(N$5,$F15), "")</f>
        <v>ㄊㄝㆷ</v>
      </c>
      <c r="O15" s="146" t="str">
        <f xml:space="preserve"> IF(十五音音節表!N12&lt;&gt;"", _xlfn.CONCAT(O$5,$F15), "")</f>
        <v>ㄗㄝㆷ</v>
      </c>
      <c r="P15" s="146" t="str">
        <f xml:space="preserve"> IF(十五音音節表!O12&lt;&gt;"", _xlfn.CONCAT(P$5,$F15), "")</f>
        <v/>
      </c>
      <c r="Q15" s="146" t="str">
        <f xml:space="preserve"> IF(十五音音節表!P12&lt;&gt;"", _xlfn.CONCAT(Q$5,$F15), "")</f>
        <v>ㄙㄝㆷ</v>
      </c>
      <c r="R15" s="146" t="str">
        <f xml:space="preserve"> IF(十五音音節表!Q12&lt;&gt;"", _xlfn.CONCAT(R$5,$F15), "")</f>
        <v>ㄝㆷ</v>
      </c>
      <c r="S15" s="146" t="str">
        <f xml:space="preserve"> IF(十五音音節表!R12&lt;&gt;"", _xlfn.CONCAT(S$5,$F15), "")</f>
        <v>ㆠㄝㆷ</v>
      </c>
      <c r="T15" s="146" t="str">
        <f xml:space="preserve"> IF(十五音音節表!S12&lt;&gt;"", _xlfn.CONCAT(T$5,$F15), "")</f>
        <v>ㄇㄝㆷ</v>
      </c>
      <c r="U15" s="146" t="str">
        <f xml:space="preserve"> IF(十五音音節表!T12&lt;&gt;"", _xlfn.CONCAT(U$5,$F15), "")</f>
        <v>ㆣㄝㆷ</v>
      </c>
      <c r="V15" s="146" t="str">
        <f xml:space="preserve"> IF(十五音音節表!U12&lt;&gt;"", _xlfn.CONCAT(V$5,$F15), "")</f>
        <v/>
      </c>
      <c r="W15" s="146" t="str">
        <f xml:space="preserve"> IF(十五音音節表!V12&lt;&gt;"", _xlfn.CONCAT(W$5,$F15), "")</f>
        <v>ㄘㄝㆷ</v>
      </c>
      <c r="X15" s="146" t="str">
        <f xml:space="preserve"> IF(十五音音節表!W12&lt;&gt;"", _xlfn.CONCAT(X$5,$F15), "")</f>
        <v>ㄏㄝㆷ</v>
      </c>
      <c r="Y15" s="142" t="s">
        <v>1087</v>
      </c>
      <c r="Z15" s="50" t="s">
        <v>172</v>
      </c>
      <c r="AA15" s="50" t="s">
        <v>73</v>
      </c>
    </row>
    <row r="16" spans="1:27" collapsed="1">
      <c r="B16" s="139" cm="1">
        <f t="array" ref="B16" xml:space="preserve"> INDEX(韻母表[韻序], MATCH(TRUE, EXACT($C16, 韻母表[十五音]), 0))</f>
        <v>6</v>
      </c>
      <c r="C16" s="50" t="s">
        <v>72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an</v>
      </c>
      <c r="E16" s="50" t="str" cm="1">
        <f t="array" ref="E16" xml:space="preserve"> INDEX(韻母表[台羅拼音], MATCH(TRUE, EXACT($C16, 韻母表[十五音]), 0))</f>
        <v>an</v>
      </c>
      <c r="F16" s="142" t="str" cm="1">
        <f t="array" ref="F16" xml:space="preserve"> INDEX(韻母表[方音符號], MATCH(TRUE, EXACT($C16, 韻母表[十五音]), 0))</f>
        <v>ㄢ</v>
      </c>
      <c r="G16" s="53" t="str">
        <f xml:space="preserve"> IF(十五音音節表!F13&lt;&gt;"", _xlfn.CONCAT(G$5,$F16), "")</f>
        <v>ㄌㄢ</v>
      </c>
      <c r="H16" s="53" t="str">
        <f xml:space="preserve"> IF(十五音音節表!G13&lt;&gt;"", _xlfn.CONCAT(H$5,$F16), "")</f>
        <v/>
      </c>
      <c r="I16" s="53" t="str">
        <f xml:space="preserve"> IF(十五音音節表!H13&lt;&gt;"", _xlfn.CONCAT(I$5,$F16), "")</f>
        <v>ㄅㄢ</v>
      </c>
      <c r="J16" s="53" t="str">
        <f xml:space="preserve"> IF(十五音音節表!I13&lt;&gt;"", _xlfn.CONCAT(J$5,$F16), "")</f>
        <v>ㄍㄢ</v>
      </c>
      <c r="K16" s="53" t="str">
        <f xml:space="preserve"> IF(十五音音節表!J13&lt;&gt;"", _xlfn.CONCAT(K$5,$F16), "")</f>
        <v>ㄎㄢ</v>
      </c>
      <c r="L16" s="53" t="str">
        <f xml:space="preserve"> IF(十五音音節表!K13&lt;&gt;"", _xlfn.CONCAT(L$5,$F16), "")</f>
        <v>ㄉㄢ</v>
      </c>
      <c r="M16" s="53" t="str">
        <f xml:space="preserve"> IF(十五音音節表!L13&lt;&gt;"", _xlfn.CONCAT(M$5,$F16), "")</f>
        <v>ㄆㄢ</v>
      </c>
      <c r="N16" s="53" t="str">
        <f xml:space="preserve"> IF(十五音音節表!M13&lt;&gt;"", _xlfn.CONCAT(N$5,$F16), "")</f>
        <v>ㄊㄢ</v>
      </c>
      <c r="O16" s="53" t="str">
        <f xml:space="preserve"> IF(十五音音節表!N13&lt;&gt;"", _xlfn.CONCAT(O$5,$F16), "")</f>
        <v>ㄗㄢ</v>
      </c>
      <c r="P16" s="53" t="str">
        <f xml:space="preserve"> IF(十五音音節表!O13&lt;&gt;"", _xlfn.CONCAT(P$5,$F16), "")</f>
        <v/>
      </c>
      <c r="Q16" s="53" t="str">
        <f xml:space="preserve"> IF(十五音音節表!P13&lt;&gt;"", _xlfn.CONCAT(Q$5,$F16), "")</f>
        <v>ㄙㄢ</v>
      </c>
      <c r="R16" s="53" t="str">
        <f xml:space="preserve"> IF(十五音音節表!Q13&lt;&gt;"", _xlfn.CONCAT(R$5,$F16), "")</f>
        <v>ㄢ</v>
      </c>
      <c r="S16" s="53" t="str">
        <f xml:space="preserve"> IF(十五音音節表!R13&lt;&gt;"", _xlfn.CONCAT(S$5,$F16), "")</f>
        <v>ㆠㄢ</v>
      </c>
      <c r="T16" s="53" t="str">
        <f xml:space="preserve"> IF(十五音音節表!S13&lt;&gt;"", _xlfn.CONCAT(T$5,$F16), "")</f>
        <v/>
      </c>
      <c r="U16" s="53" t="str">
        <f xml:space="preserve"> IF(十五音音節表!T13&lt;&gt;"", _xlfn.CONCAT(U$5,$F16), "")</f>
        <v>ㆣㄢ</v>
      </c>
      <c r="V16" s="53" t="str">
        <f xml:space="preserve"> IF(十五音音節表!U13&lt;&gt;"", _xlfn.CONCAT(V$5,$F16), "")</f>
        <v/>
      </c>
      <c r="W16" s="53" t="str">
        <f xml:space="preserve"> IF(十五音音節表!V13&lt;&gt;"", _xlfn.CONCAT(W$5,$F16), "")</f>
        <v>ㄘㄢ</v>
      </c>
      <c r="X16" s="53" t="str">
        <f xml:space="preserve"> IF(十五音音節表!W13&lt;&gt;"", _xlfn.CONCAT(X$5,$F16), "")</f>
        <v>ㄏㄢ</v>
      </c>
      <c r="Y16" s="142" t="s">
        <v>1085</v>
      </c>
      <c r="Z16" s="50" t="s">
        <v>171</v>
      </c>
      <c r="AA16" s="50" t="s">
        <v>72</v>
      </c>
    </row>
    <row r="17" spans="2:27" hidden="1" outlineLevel="1">
      <c r="B17" s="139" cm="1">
        <f t="array" ref="B17" xml:space="preserve"> INDEX(韻母表[韻序], MATCH(TRUE, EXACT($C17, 韻母表[十五音]), 0))</f>
        <v>6</v>
      </c>
      <c r="C17" s="50" t="s">
        <v>73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at̚</v>
      </c>
      <c r="E17" s="50" t="str" cm="1">
        <f t="array" ref="E17" xml:space="preserve"> INDEX(韻母表[台羅拼音], MATCH(TRUE, EXACT($C17, 韻母表[十五音]), 0))</f>
        <v>at</v>
      </c>
      <c r="F17" s="142" t="str" cm="1">
        <f t="array" ref="F17" xml:space="preserve"> INDEX(韻母表[方音符號], MATCH(TRUE, EXACT($C17, 韻母表[十五音]), 0))</f>
        <v>ㄚㆵ</v>
      </c>
      <c r="G17" s="53" t="str">
        <f xml:space="preserve"> IF(十五音音節表!F14&lt;&gt;"", _xlfn.CONCAT(G$5,$F17), "")</f>
        <v>ㄌㄚㆵ</v>
      </c>
      <c r="H17" s="53" t="str">
        <f xml:space="preserve"> IF(十五音音節表!G14&lt;&gt;"", _xlfn.CONCAT(H$5,$F17), "")</f>
        <v/>
      </c>
      <c r="I17" s="53" t="str">
        <f xml:space="preserve"> IF(十五音音節表!H14&lt;&gt;"", _xlfn.CONCAT(I$5,$F17), "")</f>
        <v>ㄅㄚㆵ</v>
      </c>
      <c r="J17" s="53" t="str">
        <f xml:space="preserve"> IF(十五音音節表!I14&lt;&gt;"", _xlfn.CONCAT(J$5,$F17), "")</f>
        <v>ㄍㄚㆵ</v>
      </c>
      <c r="K17" s="53" t="str">
        <f xml:space="preserve"> IF(十五音音節表!J14&lt;&gt;"", _xlfn.CONCAT(K$5,$F17), "")</f>
        <v>ㄎㄚㆵ</v>
      </c>
      <c r="L17" s="53" t="str">
        <f xml:space="preserve"> IF(十五音音節表!K14&lt;&gt;"", _xlfn.CONCAT(L$5,$F17), "")</f>
        <v>ㄉㄚㆵ</v>
      </c>
      <c r="M17" s="53" t="str">
        <f xml:space="preserve"> IF(十五音音節表!L14&lt;&gt;"", _xlfn.CONCAT(M$5,$F17), "")</f>
        <v/>
      </c>
      <c r="N17" s="53" t="str">
        <f xml:space="preserve"> IF(十五音音節表!M14&lt;&gt;"", _xlfn.CONCAT(N$5,$F17), "")</f>
        <v>ㄊㄚㆵ</v>
      </c>
      <c r="O17" s="53" t="str">
        <f xml:space="preserve"> IF(十五音音節表!N14&lt;&gt;"", _xlfn.CONCAT(O$5,$F17), "")</f>
        <v>ㄗㄚㆵ</v>
      </c>
      <c r="P17" s="53" t="str">
        <f xml:space="preserve"> IF(十五音音節表!O14&lt;&gt;"", _xlfn.CONCAT(P$5,$F17), "")</f>
        <v/>
      </c>
      <c r="Q17" s="53" t="str">
        <f xml:space="preserve"> IF(十五音音節表!P14&lt;&gt;"", _xlfn.CONCAT(Q$5,$F17), "")</f>
        <v>ㄙㄚㆵ</v>
      </c>
      <c r="R17" s="53" t="str">
        <f xml:space="preserve"> IF(十五音音節表!Q14&lt;&gt;"", _xlfn.CONCAT(R$5,$F17), "")</f>
        <v>ㄚㆵ</v>
      </c>
      <c r="S17" s="53" t="str">
        <f xml:space="preserve"> IF(十五音音節表!R14&lt;&gt;"", _xlfn.CONCAT(S$5,$F17), "")</f>
        <v>ㆠㄚㆵ</v>
      </c>
      <c r="T17" s="53" t="str">
        <f xml:space="preserve"> IF(十五音音節表!S14&lt;&gt;"", _xlfn.CONCAT(T$5,$F17), "")</f>
        <v/>
      </c>
      <c r="U17" s="53" t="str">
        <f xml:space="preserve"> IF(十五音音節表!T14&lt;&gt;"", _xlfn.CONCAT(U$5,$F17), "")</f>
        <v/>
      </c>
      <c r="V17" s="53" t="str">
        <f xml:space="preserve"> IF(十五音音節表!U14&lt;&gt;"", _xlfn.CONCAT(V$5,$F17), "")</f>
        <v/>
      </c>
      <c r="W17" s="53" t="str">
        <f xml:space="preserve"> IF(十五音音節表!V14&lt;&gt;"", _xlfn.CONCAT(W$5,$F17), "")</f>
        <v>ㄘㄚㆵ</v>
      </c>
      <c r="X17" s="53" t="str">
        <f xml:space="preserve"> IF(十五音音節表!W14&lt;&gt;"", _xlfn.CONCAT(X$5,$F17), "")</f>
        <v>ㄏㄚㆵ</v>
      </c>
      <c r="Y17" s="142" t="s">
        <v>1087</v>
      </c>
      <c r="Z17" s="50" t="s">
        <v>172</v>
      </c>
      <c r="AA17" s="50" t="s">
        <v>73</v>
      </c>
    </row>
    <row r="18" spans="2:27" collapsed="1">
      <c r="B18" s="139" cm="1">
        <f t="array" ref="B18" xml:space="preserve"> INDEX(韻母表[韻序], MATCH(TRUE, EXACT($C18, 韻母表[十五音]), 0))</f>
        <v>7</v>
      </c>
      <c r="C18" s="50" t="s">
        <v>74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ɔŋ</v>
      </c>
      <c r="E18" s="50" t="str" cm="1">
        <f t="array" ref="E18" xml:space="preserve"> INDEX(韻母表[台羅拼音], MATCH(TRUE, EXACT($C18, 韻母表[十五音]), 0))</f>
        <v>ong</v>
      </c>
      <c r="F18" s="142" t="str" cm="1">
        <f t="array" ref="F18" xml:space="preserve"> INDEX(韻母表[方音符號], MATCH(TRUE, EXACT($C18, 韻母表[十五音]), 0))</f>
        <v>ㆲ</v>
      </c>
      <c r="G18" s="53" t="str">
        <f xml:space="preserve"> IF(十五音音節表!F15&lt;&gt;"", _xlfn.CONCAT(G$5,$F18), "")</f>
        <v>ㄌㆲ</v>
      </c>
      <c r="H18" s="53" t="str">
        <f xml:space="preserve"> IF(十五音音節表!G15&lt;&gt;"", _xlfn.CONCAT(H$5,$F18), "")</f>
        <v/>
      </c>
      <c r="I18" s="53" t="str">
        <f xml:space="preserve"> IF(十五音音節表!H15&lt;&gt;"", _xlfn.CONCAT(I$5,$F18), "")</f>
        <v>ㄅㆲ</v>
      </c>
      <c r="J18" s="53" t="str">
        <f xml:space="preserve"> IF(十五音音節表!I15&lt;&gt;"", _xlfn.CONCAT(J$5,$F18), "")</f>
        <v>ㄍㆲ</v>
      </c>
      <c r="K18" s="53" t="str">
        <f xml:space="preserve"> IF(十五音音節表!J15&lt;&gt;"", _xlfn.CONCAT(K$5,$F18), "")</f>
        <v>ㄎㆲ</v>
      </c>
      <c r="L18" s="53" t="str">
        <f xml:space="preserve"> IF(十五音音節表!K15&lt;&gt;"", _xlfn.CONCAT(L$5,$F18), "")</f>
        <v>ㄉㆲ</v>
      </c>
      <c r="M18" s="53" t="str">
        <f xml:space="preserve"> IF(十五音音節表!L15&lt;&gt;"", _xlfn.CONCAT(M$5,$F18), "")</f>
        <v>ㄆㆲ</v>
      </c>
      <c r="N18" s="53" t="str">
        <f xml:space="preserve"> IF(十五音音節表!M15&lt;&gt;"", _xlfn.CONCAT(N$5,$F18), "")</f>
        <v>ㄊㆲ</v>
      </c>
      <c r="O18" s="53" t="str">
        <f xml:space="preserve"> IF(十五音音節表!N15&lt;&gt;"", _xlfn.CONCAT(O$5,$F18), "")</f>
        <v>ㄗㆲ</v>
      </c>
      <c r="P18" s="53" t="str">
        <f xml:space="preserve"> IF(十五音音節表!O15&lt;&gt;"", _xlfn.CONCAT(P$5,$F18), "")</f>
        <v/>
      </c>
      <c r="Q18" s="53" t="str">
        <f xml:space="preserve"> IF(十五音音節表!P15&lt;&gt;"", _xlfn.CONCAT(Q$5,$F18), "")</f>
        <v>ㄙㆲ</v>
      </c>
      <c r="R18" s="53" t="str">
        <f xml:space="preserve"> IF(十五音音節表!Q15&lt;&gt;"", _xlfn.CONCAT(R$5,$F18), "")</f>
        <v>ㆲ</v>
      </c>
      <c r="S18" s="53" t="str">
        <f xml:space="preserve"> IF(十五音音節表!R15&lt;&gt;"", _xlfn.CONCAT(S$5,$F18), "")</f>
        <v>ㆠㆲ</v>
      </c>
      <c r="T18" s="53" t="str">
        <f xml:space="preserve"> IF(十五音音節表!S15&lt;&gt;"", _xlfn.CONCAT(T$5,$F18), "")</f>
        <v/>
      </c>
      <c r="U18" s="53" t="str">
        <f xml:space="preserve"> IF(十五音音節表!T15&lt;&gt;"", _xlfn.CONCAT(U$5,$F18), "")</f>
        <v>ㆣㆲ</v>
      </c>
      <c r="V18" s="53" t="str">
        <f xml:space="preserve"> IF(十五音音節表!U15&lt;&gt;"", _xlfn.CONCAT(V$5,$F18), "")</f>
        <v/>
      </c>
      <c r="W18" s="53" t="str">
        <f xml:space="preserve"> IF(十五音音節表!V15&lt;&gt;"", _xlfn.CONCAT(W$5,$F18), "")</f>
        <v>ㄘㆲ</v>
      </c>
      <c r="X18" s="53" t="str">
        <f xml:space="preserve"> IF(十五音音節表!W15&lt;&gt;"", _xlfn.CONCAT(X$5,$F18), "")</f>
        <v>ㄏㆲ</v>
      </c>
      <c r="Y18" s="142" t="s">
        <v>1089</v>
      </c>
      <c r="Z18" s="50" t="s">
        <v>173</v>
      </c>
      <c r="AA18" s="50" t="s">
        <v>74</v>
      </c>
    </row>
    <row r="19" spans="2:27" hidden="1" outlineLevel="1">
      <c r="B19" s="139" cm="1">
        <f t="array" ref="B19" xml:space="preserve"> INDEX(韻母表[韻序], MATCH(TRUE, EXACT($C19, 韻母表[十五音]), 0))</f>
        <v>7</v>
      </c>
      <c r="C19" s="50" t="s">
        <v>75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ɔk̚</v>
      </c>
      <c r="E19" s="50" t="str" cm="1">
        <f t="array" ref="E19" xml:space="preserve"> INDEX(韻母表[台羅拼音], MATCH(TRUE, EXACT($C19, 韻母表[十五音]), 0))</f>
        <v>ok</v>
      </c>
      <c r="F19" s="142" t="str" cm="1">
        <f t="array" ref="F19" xml:space="preserve"> INDEX(韻母表[方音符號], MATCH(TRUE, EXACT($C19, 韻母表[十五音]), 0))</f>
        <v>ㆦㆻ</v>
      </c>
      <c r="G19" s="53" t="str">
        <f xml:space="preserve"> IF(十五音音節表!F16&lt;&gt;"", _xlfn.CONCAT(G$5,$F19), "")</f>
        <v>ㄌㆦㆻ</v>
      </c>
      <c r="H19" s="53" t="str">
        <f xml:space="preserve"> IF(十五音音節表!G16&lt;&gt;"", _xlfn.CONCAT(H$5,$F19), "")</f>
        <v/>
      </c>
      <c r="I19" s="53" t="str">
        <f xml:space="preserve"> IF(十五音音節表!H16&lt;&gt;"", _xlfn.CONCAT(I$5,$F19), "")</f>
        <v>ㄅㆦㆻ</v>
      </c>
      <c r="J19" s="53" t="str">
        <f xml:space="preserve"> IF(十五音音節表!I16&lt;&gt;"", _xlfn.CONCAT(J$5,$F19), "")</f>
        <v>ㄍㆦㆻ</v>
      </c>
      <c r="K19" s="53" t="str">
        <f xml:space="preserve"> IF(十五音音節表!J16&lt;&gt;"", _xlfn.CONCAT(K$5,$F19), "")</f>
        <v>ㄎㆦㆻ</v>
      </c>
      <c r="L19" s="53" t="str">
        <f xml:space="preserve"> IF(十五音音節表!K16&lt;&gt;"", _xlfn.CONCAT(L$5,$F19), "")</f>
        <v>ㄉㆦㆻ</v>
      </c>
      <c r="M19" s="53" t="str">
        <f xml:space="preserve"> IF(十五音音節表!L16&lt;&gt;"", _xlfn.CONCAT(M$5,$F19), "")</f>
        <v>ㄆㆦㆻ</v>
      </c>
      <c r="N19" s="53" t="str">
        <f xml:space="preserve"> IF(十五音音節表!M16&lt;&gt;"", _xlfn.CONCAT(N$5,$F19), "")</f>
        <v>ㄊㆦㆻ</v>
      </c>
      <c r="O19" s="53" t="str">
        <f xml:space="preserve"> IF(十五音音節表!N16&lt;&gt;"", _xlfn.CONCAT(O$5,$F19), "")</f>
        <v>ㄗㆦㆻ</v>
      </c>
      <c r="P19" s="53" t="str">
        <f xml:space="preserve"> IF(十五音音節表!O16&lt;&gt;"", _xlfn.CONCAT(P$5,$F19), "")</f>
        <v/>
      </c>
      <c r="Q19" s="53" t="str">
        <f xml:space="preserve"> IF(十五音音節表!P16&lt;&gt;"", _xlfn.CONCAT(Q$5,$F19), "")</f>
        <v>ㄙㆦㆻ</v>
      </c>
      <c r="R19" s="53" t="str">
        <f xml:space="preserve"> IF(十五音音節表!Q16&lt;&gt;"", _xlfn.CONCAT(R$5,$F19), "")</f>
        <v>ㆦㆻ</v>
      </c>
      <c r="S19" s="53" t="str">
        <f xml:space="preserve"> IF(十五音音節表!R16&lt;&gt;"", _xlfn.CONCAT(S$5,$F19), "")</f>
        <v>ㆠㆦㆻ</v>
      </c>
      <c r="T19" s="53" t="str">
        <f xml:space="preserve"> IF(十五音音節表!S16&lt;&gt;"", _xlfn.CONCAT(T$5,$F19), "")</f>
        <v/>
      </c>
      <c r="U19" s="53" t="str">
        <f xml:space="preserve"> IF(十五音音節表!T16&lt;&gt;"", _xlfn.CONCAT(U$5,$F19), "")</f>
        <v>ㆣㆦㆻ</v>
      </c>
      <c r="V19" s="53" t="str">
        <f xml:space="preserve"> IF(十五音音節表!U16&lt;&gt;"", _xlfn.CONCAT(V$5,$F19), "")</f>
        <v/>
      </c>
      <c r="W19" s="53" t="str">
        <f xml:space="preserve"> IF(十五音音節表!V16&lt;&gt;"", _xlfn.CONCAT(W$5,$F19), "")</f>
        <v>ㄘㆦㆻ</v>
      </c>
      <c r="X19" s="53" t="str">
        <f xml:space="preserve"> IF(十五音音節表!W16&lt;&gt;"", _xlfn.CONCAT(X$5,$F19), "")</f>
        <v>ㄏㆦㆻ</v>
      </c>
      <c r="Y19" s="142" t="s">
        <v>1091</v>
      </c>
      <c r="Z19" s="50" t="s">
        <v>174</v>
      </c>
      <c r="AA19" s="50" t="s">
        <v>75</v>
      </c>
    </row>
    <row r="20" spans="2:27" collapsed="1">
      <c r="B20" s="139" cm="1">
        <f t="array" ref="B20" xml:space="preserve"> INDEX(韻母表[韻序], MATCH(TRUE, EXACT($C20, 韻母表[十五音]), 0))</f>
        <v>8</v>
      </c>
      <c r="C20" s="50" t="s">
        <v>76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uai</v>
      </c>
      <c r="E20" s="50" t="str" cm="1">
        <f t="array" ref="E20" xml:space="preserve"> INDEX(韻母表[台羅拼音], MATCH(TRUE, EXACT($C20, 韻母表[十五音]), 0))</f>
        <v>uai</v>
      </c>
      <c r="F20" s="142" t="str" cm="1">
        <f t="array" ref="F20" xml:space="preserve"> INDEX(韻母表[方音符號], MATCH(TRUE, EXACT($C20, 韻母表[十五音]), 0))</f>
        <v>ㄨㄞ</v>
      </c>
      <c r="G20" s="53" t="str">
        <f xml:space="preserve"> IF(十五音音節表!F17&lt;&gt;"", _xlfn.CONCAT(G$5,$F20), "")</f>
        <v/>
      </c>
      <c r="H20" s="53" t="str">
        <f xml:space="preserve"> IF(十五音音節表!G17&lt;&gt;"", _xlfn.CONCAT(H$5,$F20), "")</f>
        <v/>
      </c>
      <c r="I20" s="53" t="str">
        <f xml:space="preserve"> IF(十五音音節表!H17&lt;&gt;"", _xlfn.CONCAT(I$5,$F20), "")</f>
        <v/>
      </c>
      <c r="J20" s="53" t="str">
        <f xml:space="preserve"> IF(十五音音節表!I17&lt;&gt;"", _xlfn.CONCAT(J$5,$F20), "")</f>
        <v>ㄍㄨㄞ</v>
      </c>
      <c r="K20" s="53" t="str">
        <f xml:space="preserve"> IF(十五音音節表!J17&lt;&gt;"", _xlfn.CONCAT(K$5,$F20), "")</f>
        <v>ㄎㄨㄞ</v>
      </c>
      <c r="L20" s="53" t="str">
        <f xml:space="preserve"> IF(十五音音節表!K17&lt;&gt;"", _xlfn.CONCAT(L$5,$F20), "")</f>
        <v/>
      </c>
      <c r="M20" s="53" t="str">
        <f xml:space="preserve"> IF(十五音音節表!L17&lt;&gt;"", _xlfn.CONCAT(M$5,$F20), "")</f>
        <v/>
      </c>
      <c r="N20" s="53" t="str">
        <f xml:space="preserve"> IF(十五音音節表!M17&lt;&gt;"", _xlfn.CONCAT(N$5,$F20), "")</f>
        <v/>
      </c>
      <c r="O20" s="53" t="str">
        <f xml:space="preserve"> IF(十五音音節表!N17&lt;&gt;"", _xlfn.CONCAT(O$5,$F20), "")</f>
        <v/>
      </c>
      <c r="P20" s="53" t="str">
        <f xml:space="preserve"> IF(十五音音節表!O17&lt;&gt;"", _xlfn.CONCAT(P$5,$F20), "")</f>
        <v/>
      </c>
      <c r="Q20" s="53" t="str">
        <f xml:space="preserve"> IF(十五音音節表!P17&lt;&gt;"", _xlfn.CONCAT(Q$5,$F20), "")</f>
        <v>ㄙㄨㄞ</v>
      </c>
      <c r="R20" s="53" t="str">
        <f xml:space="preserve"> IF(十五音音節表!Q17&lt;&gt;"", _xlfn.CONCAT(R$5,$F20), "")</f>
        <v>ㄨㄞ</v>
      </c>
      <c r="S20" s="53" t="str">
        <f xml:space="preserve"> IF(十五音音節表!R17&lt;&gt;"", _xlfn.CONCAT(S$5,$F20), "")</f>
        <v/>
      </c>
      <c r="T20" s="53" t="str">
        <f xml:space="preserve"> IF(十五音音節表!S17&lt;&gt;"", _xlfn.CONCAT(T$5,$F20), "")</f>
        <v/>
      </c>
      <c r="U20" s="53" t="str">
        <f xml:space="preserve"> IF(十五音音節表!T17&lt;&gt;"", _xlfn.CONCAT(U$5,$F20), "")</f>
        <v/>
      </c>
      <c r="V20" s="53" t="str">
        <f xml:space="preserve"> IF(十五音音節表!U17&lt;&gt;"", _xlfn.CONCAT(V$5,$F20), "")</f>
        <v/>
      </c>
      <c r="W20" s="53" t="str">
        <f xml:space="preserve"> IF(十五音音節表!V17&lt;&gt;"", _xlfn.CONCAT(W$5,$F20), "")</f>
        <v/>
      </c>
      <c r="X20" s="53" t="str">
        <f xml:space="preserve"> IF(十五音音節表!W17&lt;&gt;"", _xlfn.CONCAT(X$5,$F20), "")</f>
        <v>ㄏㄨㄞ</v>
      </c>
      <c r="Y20" s="142" t="s">
        <v>1094</v>
      </c>
      <c r="Z20" s="50" t="s">
        <v>175</v>
      </c>
      <c r="AA20" s="50" t="s">
        <v>76</v>
      </c>
    </row>
    <row r="21" spans="2:27">
      <c r="B21" s="139" cm="1">
        <f t="array" ref="B21" xml:space="preserve"> INDEX(韻母表[韻序], MATCH(TRUE, EXACT($C21, 韻母表[十五音]), 0))</f>
        <v>9</v>
      </c>
      <c r="C21" s="50" t="s">
        <v>78</v>
      </c>
      <c r="D21" s="96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ɛŋ</v>
      </c>
      <c r="E21" s="50" t="str" cm="1">
        <f t="array" ref="E21" xml:space="preserve"> INDEX(韻母表[台羅拼音], MATCH(TRUE, EXACT($C21, 韻母表[十五音]), 0))</f>
        <v>ing</v>
      </c>
      <c r="F21" s="142" t="str" cm="1">
        <f t="array" ref="F21" xml:space="preserve"> INDEX(韻母表[方音符號], MATCH(TRUE, EXACT($C21, 韻母表[十五音]), 0))</f>
        <v>ㄧㄥ</v>
      </c>
      <c r="G21" s="53" t="str">
        <f xml:space="preserve"> IF(十五音音節表!F18&lt;&gt;"", _xlfn.CONCAT(G$5,$F21), "")</f>
        <v>ㄌㄧㄥ</v>
      </c>
      <c r="H21" s="53" t="str">
        <f xml:space="preserve"> IF(十五音音節表!G18&lt;&gt;"", _xlfn.CONCAT(H$5,$F21), "")</f>
        <v/>
      </c>
      <c r="I21" s="53" t="str">
        <f xml:space="preserve"> IF(十五音音節表!H18&lt;&gt;"", _xlfn.CONCAT(I$5,$F21), "")</f>
        <v>ㄅㄧㄥ</v>
      </c>
      <c r="J21" s="53" t="str">
        <f xml:space="preserve"> IF(十五音音節表!I18&lt;&gt;"", _xlfn.CONCAT(J$5,$F21), "")</f>
        <v>ㄍㄧㄥ</v>
      </c>
      <c r="K21" s="53" t="str">
        <f xml:space="preserve"> IF(十五音音節表!J18&lt;&gt;"", _xlfn.CONCAT(K$5,$F21), "")</f>
        <v>ㄎㄧㄥ</v>
      </c>
      <c r="L21" s="53" t="str">
        <f xml:space="preserve"> IF(十五音音節表!K18&lt;&gt;"", _xlfn.CONCAT(L$5,$F21), "")</f>
        <v>ㄉㄧㄥ</v>
      </c>
      <c r="M21" s="53" t="str">
        <f xml:space="preserve"> IF(十五音音節表!L18&lt;&gt;"", _xlfn.CONCAT(M$5,$F21), "")</f>
        <v>ㄆㄧㄥ</v>
      </c>
      <c r="N21" s="53" t="str">
        <f xml:space="preserve"> IF(十五音音節表!M18&lt;&gt;"", _xlfn.CONCAT(N$5,$F21), "")</f>
        <v>ㄊㄧㄥ</v>
      </c>
      <c r="O21" s="53" t="str">
        <f xml:space="preserve"> IF(十五音音節表!N18&lt;&gt;"", _xlfn.CONCAT(O$5,$F21), "")</f>
        <v>ㄗㄧㄥ</v>
      </c>
      <c r="P21" s="53" t="str">
        <f xml:space="preserve"> IF(十五音音節表!O18&lt;&gt;"", _xlfn.CONCAT(P$5,$F21), "")</f>
        <v/>
      </c>
      <c r="Q21" s="53" t="str">
        <f xml:space="preserve"> IF(十五音音節表!P18&lt;&gt;"", _xlfn.CONCAT(Q$5,$F21), "")</f>
        <v>ㄙㄧㄥ</v>
      </c>
      <c r="R21" s="53" t="str">
        <f xml:space="preserve"> IF(十五音音節表!Q18&lt;&gt;"", _xlfn.CONCAT(R$5,$F21), "")</f>
        <v>ㄧㄥ</v>
      </c>
      <c r="S21" s="53" t="str">
        <f xml:space="preserve"> IF(十五音音節表!R18&lt;&gt;"", _xlfn.CONCAT(S$5,$F21), "")</f>
        <v>ㆠㄧㄥ</v>
      </c>
      <c r="T21" s="53" t="str">
        <f xml:space="preserve"> IF(十五音音節表!S18&lt;&gt;"", _xlfn.CONCAT(T$5,$F21), "")</f>
        <v/>
      </c>
      <c r="U21" s="53" t="str">
        <f xml:space="preserve"> IF(十五音音節表!T18&lt;&gt;"", _xlfn.CONCAT(U$5,$F21), "")</f>
        <v>ㆣㄧㄥ</v>
      </c>
      <c r="V21" s="53" t="str">
        <f xml:space="preserve"> IF(十五音音節表!U18&lt;&gt;"", _xlfn.CONCAT(V$5,$F21), "")</f>
        <v/>
      </c>
      <c r="W21" s="53" t="str">
        <f xml:space="preserve"> IF(十五音音節表!V18&lt;&gt;"", _xlfn.CONCAT(W$5,$F21), "")</f>
        <v>ㄘㄧㄥ</v>
      </c>
      <c r="X21" s="53" t="str">
        <f xml:space="preserve"> IF(十五音音節表!W18&lt;&gt;"", _xlfn.CONCAT(X$5,$F21), "")</f>
        <v>ㄏㄧㄥ</v>
      </c>
      <c r="Y21" s="142" t="s">
        <v>1558</v>
      </c>
      <c r="Z21" s="50" t="s">
        <v>177</v>
      </c>
      <c r="AA21" s="50" t="s">
        <v>78</v>
      </c>
    </row>
    <row r="22" spans="2:27" hidden="1" outlineLevel="1">
      <c r="B22" s="139" cm="1">
        <f t="array" ref="B22" xml:space="preserve"> INDEX(韻母表[韻序], MATCH(TRUE, EXACT($C22, 韻母表[十五音]), 0))</f>
        <v>9</v>
      </c>
      <c r="C22" s="50" t="s">
        <v>79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ɛk</v>
      </c>
      <c r="E22" s="50" t="str" cm="1">
        <f t="array" ref="E22" xml:space="preserve"> INDEX(韻母表[台羅拼音], MATCH(TRUE, EXACT($C22, 韻母表[十五音]), 0))</f>
        <v>ik</v>
      </c>
      <c r="F22" s="142" t="str" cm="1">
        <f t="array" ref="F22" xml:space="preserve"> INDEX(韻母表[方音符號], MATCH(TRUE, EXACT($C22, 韻母表[十五音]), 0))</f>
        <v>ㄧㆻ</v>
      </c>
      <c r="G22" s="53" t="str">
        <f xml:space="preserve"> IF(十五音音節表!F19&lt;&gt;"", _xlfn.CONCAT(G$5,$F22), "")</f>
        <v>ㄌㄧㆻ</v>
      </c>
      <c r="H22" s="53" t="str">
        <f xml:space="preserve"> IF(十五音音節表!G19&lt;&gt;"", _xlfn.CONCAT(H$5,$F22), "")</f>
        <v/>
      </c>
      <c r="I22" s="53" t="str">
        <f xml:space="preserve"> IF(十五音音節表!H19&lt;&gt;"", _xlfn.CONCAT(I$5,$F22), "")</f>
        <v>ㄅㄧㆻ</v>
      </c>
      <c r="J22" s="53" t="str">
        <f xml:space="preserve"> IF(十五音音節表!I19&lt;&gt;"", _xlfn.CONCAT(J$5,$F22), "")</f>
        <v>ㄍㄧㆻ</v>
      </c>
      <c r="K22" s="53" t="str">
        <f xml:space="preserve"> IF(十五音音節表!J19&lt;&gt;"", _xlfn.CONCAT(K$5,$F22), "")</f>
        <v/>
      </c>
      <c r="L22" s="53" t="str">
        <f xml:space="preserve"> IF(十五音音節表!K19&lt;&gt;"", _xlfn.CONCAT(L$5,$F22), "")</f>
        <v>ㄉㄧㆻ</v>
      </c>
      <c r="M22" s="53" t="str">
        <f xml:space="preserve"> IF(十五音音節表!L19&lt;&gt;"", _xlfn.CONCAT(M$5,$F22), "")</f>
        <v>ㄆㄧㆻ</v>
      </c>
      <c r="N22" s="53" t="str">
        <f xml:space="preserve"> IF(十五音音節表!M19&lt;&gt;"", _xlfn.CONCAT(N$5,$F22), "")</f>
        <v>ㄊㄧㆻ</v>
      </c>
      <c r="O22" s="53" t="str">
        <f xml:space="preserve"> IF(十五音音節表!N19&lt;&gt;"", _xlfn.CONCAT(O$5,$F22), "")</f>
        <v>ㄗㄧㆻ</v>
      </c>
      <c r="P22" s="53" t="str">
        <f xml:space="preserve"> IF(十五音音節表!O19&lt;&gt;"", _xlfn.CONCAT(P$5,$F22), "")</f>
        <v/>
      </c>
      <c r="Q22" s="53" t="str">
        <f xml:space="preserve"> IF(十五音音節表!P19&lt;&gt;"", _xlfn.CONCAT(Q$5,$F22), "")</f>
        <v>ㄙㄧㆻ</v>
      </c>
      <c r="R22" s="53" t="str">
        <f xml:space="preserve"> IF(十五音音節表!Q19&lt;&gt;"", _xlfn.CONCAT(R$5,$F22), "")</f>
        <v>ㄧㆻ</v>
      </c>
      <c r="S22" s="53" t="str">
        <f xml:space="preserve"> IF(十五音音節表!R19&lt;&gt;"", _xlfn.CONCAT(S$5,$F22), "")</f>
        <v>ㆠㄧㆻ</v>
      </c>
      <c r="T22" s="53" t="str">
        <f xml:space="preserve"> IF(十五音音節表!S19&lt;&gt;"", _xlfn.CONCAT(T$5,$F22), "")</f>
        <v/>
      </c>
      <c r="U22" s="53" t="str">
        <f xml:space="preserve"> IF(十五音音節表!T19&lt;&gt;"", _xlfn.CONCAT(U$5,$F22), "")</f>
        <v>ㆣㄧㆻ</v>
      </c>
      <c r="V22" s="53" t="str">
        <f xml:space="preserve"> IF(十五音音節表!U19&lt;&gt;"", _xlfn.CONCAT(V$5,$F22), "")</f>
        <v/>
      </c>
      <c r="W22" s="53" t="str">
        <f xml:space="preserve"> IF(十五音音節表!V19&lt;&gt;"", _xlfn.CONCAT(W$5,$F22), "")</f>
        <v>ㄘㄧㆻ</v>
      </c>
      <c r="X22" s="53" t="str">
        <f xml:space="preserve"> IF(十五音音節表!W19&lt;&gt;"", _xlfn.CONCAT(X$5,$F22), "")</f>
        <v>ㄏㄧㆻ</v>
      </c>
      <c r="Y22" s="142" t="s">
        <v>1559</v>
      </c>
      <c r="Z22" s="50" t="s">
        <v>178</v>
      </c>
      <c r="AA22" s="50" t="s">
        <v>79</v>
      </c>
    </row>
    <row r="23" spans="2:27" collapsed="1">
      <c r="B23" s="139" cm="1">
        <f t="array" ref="B23" xml:space="preserve"> INDEX(韻母表[韻序], MATCH(TRUE, EXACT($C23, 韻母表[十五音]), 0))</f>
        <v>10</v>
      </c>
      <c r="C23" s="50" t="s">
        <v>80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uan</v>
      </c>
      <c r="E23" s="50" t="str" cm="1">
        <f t="array" ref="E23" xml:space="preserve"> INDEX(韻母表[台羅拼音], MATCH(TRUE, EXACT($C23, 韻母表[十五音]), 0))</f>
        <v>uan</v>
      </c>
      <c r="F23" s="142" t="str" cm="1">
        <f t="array" ref="F23" xml:space="preserve"> INDEX(韻母表[方音符號], MATCH(TRUE, EXACT($C23, 韻母表[十五音]), 0))</f>
        <v>ㄨㄢ</v>
      </c>
      <c r="G23" s="53" t="str">
        <f xml:space="preserve"> IF(十五音音節表!F20&lt;&gt;"", _xlfn.CONCAT(G$5,$F23), "")</f>
        <v>ㄌㄨㄢ</v>
      </c>
      <c r="H23" s="53" t="str">
        <f xml:space="preserve"> IF(十五音音節表!G20&lt;&gt;"", _xlfn.CONCAT(H$5,$F23), "")</f>
        <v/>
      </c>
      <c r="I23" s="53" t="str">
        <f xml:space="preserve"> IF(十五音音節表!H20&lt;&gt;"", _xlfn.CONCAT(I$5,$F23), "")</f>
        <v>ㄅㄨㄢ</v>
      </c>
      <c r="J23" s="53" t="str">
        <f xml:space="preserve"> IF(十五音音節表!I20&lt;&gt;"", _xlfn.CONCAT(J$5,$F23), "")</f>
        <v>ㄍㄨㄢ</v>
      </c>
      <c r="K23" s="53" t="str">
        <f xml:space="preserve"> IF(十五音音節表!J20&lt;&gt;"", _xlfn.CONCAT(K$5,$F23), "")</f>
        <v>ㄎㄨㄢ</v>
      </c>
      <c r="L23" s="53" t="str">
        <f xml:space="preserve"> IF(十五音音節表!K20&lt;&gt;"", _xlfn.CONCAT(L$5,$F23), "")</f>
        <v>ㄉㄨㄢ</v>
      </c>
      <c r="M23" s="53" t="str">
        <f xml:space="preserve"> IF(十五音音節表!L20&lt;&gt;"", _xlfn.CONCAT(M$5,$F23), "")</f>
        <v>ㄆㄨㄢ</v>
      </c>
      <c r="N23" s="53" t="str">
        <f xml:space="preserve"> IF(十五音音節表!M20&lt;&gt;"", _xlfn.CONCAT(N$5,$F23), "")</f>
        <v>ㄊㄨㄢ</v>
      </c>
      <c r="O23" s="53" t="str">
        <f xml:space="preserve"> IF(十五音音節表!N20&lt;&gt;"", _xlfn.CONCAT(O$5,$F23), "")</f>
        <v>ㄗㄨㄢ</v>
      </c>
      <c r="P23" s="53" t="str">
        <f xml:space="preserve"> IF(十五音音節表!O20&lt;&gt;"", _xlfn.CONCAT(P$5,$F23), "")</f>
        <v/>
      </c>
      <c r="Q23" s="53" t="str">
        <f xml:space="preserve"> IF(十五音音節表!P20&lt;&gt;"", _xlfn.CONCAT(Q$5,$F23), "")</f>
        <v>ㄙㄨㄢ</v>
      </c>
      <c r="R23" s="53" t="str">
        <f xml:space="preserve"> IF(十五音音節表!Q20&lt;&gt;"", _xlfn.CONCAT(R$5,$F23), "")</f>
        <v>ㄨㄢ</v>
      </c>
      <c r="S23" s="53" t="str">
        <f xml:space="preserve"> IF(十五音音節表!R20&lt;&gt;"", _xlfn.CONCAT(S$5,$F23), "")</f>
        <v>ㆠㄨㄢ</v>
      </c>
      <c r="T23" s="53" t="str">
        <f xml:space="preserve"> IF(十五音音節表!S20&lt;&gt;"", _xlfn.CONCAT(T$5,$F23), "")</f>
        <v/>
      </c>
      <c r="U23" s="53" t="str">
        <f xml:space="preserve"> IF(十五音音節表!T20&lt;&gt;"", _xlfn.CONCAT(U$5,$F23), "")</f>
        <v>ㆣㄨㄢ</v>
      </c>
      <c r="V23" s="53" t="str">
        <f xml:space="preserve"> IF(十五音音節表!U20&lt;&gt;"", _xlfn.CONCAT(V$5,$F23), "")</f>
        <v/>
      </c>
      <c r="W23" s="53" t="str">
        <f xml:space="preserve"> IF(十五音音節表!V20&lt;&gt;"", _xlfn.CONCAT(W$5,$F23), "")</f>
        <v>ㄘㄨㄢ</v>
      </c>
      <c r="X23" s="53" t="str">
        <f xml:space="preserve"> IF(十五音音節表!W20&lt;&gt;"", _xlfn.CONCAT(X$5,$F23), "")</f>
        <v>ㄏㄨㄢ</v>
      </c>
      <c r="Y23" s="142" t="s">
        <v>1102</v>
      </c>
      <c r="Z23" s="50" t="s">
        <v>179</v>
      </c>
      <c r="AA23" s="50" t="s">
        <v>80</v>
      </c>
    </row>
    <row r="24" spans="2:27" hidden="1" outlineLevel="1">
      <c r="B24" s="139" cm="1">
        <f t="array" ref="B24" xml:space="preserve"> INDEX(韻母表[韻序], MATCH(TRUE, EXACT($C24, 韻母表[十五音]), 0))</f>
        <v>10</v>
      </c>
      <c r="C24" s="50" t="s">
        <v>81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uat̚</v>
      </c>
      <c r="E24" s="50" t="str" cm="1">
        <f t="array" ref="E24" xml:space="preserve"> INDEX(韻母表[台羅拼音], MATCH(TRUE, EXACT($C24, 韻母表[十五音]), 0))</f>
        <v>uat</v>
      </c>
      <c r="F24" s="142" t="str" cm="1">
        <f t="array" ref="F24" xml:space="preserve"> INDEX(韻母表[方音符號], MATCH(TRUE, EXACT($C24, 韻母表[十五音]), 0))</f>
        <v>ㄨㄚㆵ</v>
      </c>
      <c r="G24" s="53" t="str">
        <f xml:space="preserve"> IF(十五音音節表!F21&lt;&gt;"", _xlfn.CONCAT(G$5,$F24), "")</f>
        <v>ㄌㄨㄚㆵ</v>
      </c>
      <c r="H24" s="53" t="str">
        <f xml:space="preserve"> IF(十五音音節表!G21&lt;&gt;"", _xlfn.CONCAT(H$5,$F24), "")</f>
        <v/>
      </c>
      <c r="I24" s="53" t="str">
        <f xml:space="preserve"> IF(十五音音節表!H21&lt;&gt;"", _xlfn.CONCAT(I$5,$F24), "")</f>
        <v>ㄅㄨㄚㆵ</v>
      </c>
      <c r="J24" s="53" t="str">
        <f xml:space="preserve"> IF(十五音音節表!I21&lt;&gt;"", _xlfn.CONCAT(J$5,$F24), "")</f>
        <v>ㄍㄨㄚㆵ</v>
      </c>
      <c r="K24" s="53" t="str">
        <f xml:space="preserve"> IF(十五音音節表!J21&lt;&gt;"", _xlfn.CONCAT(K$5,$F24), "")</f>
        <v>ㄎㄨㄚㆵ</v>
      </c>
      <c r="L24" s="53" t="str">
        <f xml:space="preserve"> IF(十五音音節表!K21&lt;&gt;"", _xlfn.CONCAT(L$5,$F24), "")</f>
        <v>ㄉㄨㄚㆵ</v>
      </c>
      <c r="M24" s="53" t="str">
        <f xml:space="preserve"> IF(十五音音節表!L21&lt;&gt;"", _xlfn.CONCAT(M$5,$F24), "")</f>
        <v>ㄆㄨㄚㆵ</v>
      </c>
      <c r="N24" s="53" t="str">
        <f xml:space="preserve"> IF(十五音音節表!M21&lt;&gt;"", _xlfn.CONCAT(N$5,$F24), "")</f>
        <v>ㄊㄨㄚㆵ</v>
      </c>
      <c r="O24" s="53" t="str">
        <f xml:space="preserve"> IF(十五音音節表!N21&lt;&gt;"", _xlfn.CONCAT(O$5,$F24), "")</f>
        <v>ㄗㄨㄚㆵ</v>
      </c>
      <c r="P24" s="53" t="str">
        <f xml:space="preserve"> IF(十五音音節表!O21&lt;&gt;"", _xlfn.CONCAT(P$5,$F24), "")</f>
        <v/>
      </c>
      <c r="Q24" s="53" t="str">
        <f xml:space="preserve"> IF(十五音音節表!P21&lt;&gt;"", _xlfn.CONCAT(Q$5,$F24), "")</f>
        <v>ㄙㄨㄚㆵ</v>
      </c>
      <c r="R24" s="53" t="str">
        <f xml:space="preserve"> IF(十五音音節表!Q21&lt;&gt;"", _xlfn.CONCAT(R$5,$F24), "")</f>
        <v>ㄨㄚㆵ</v>
      </c>
      <c r="S24" s="53" t="str">
        <f xml:space="preserve"> IF(十五音音節表!R21&lt;&gt;"", _xlfn.CONCAT(S$5,$F24), "")</f>
        <v>ㆠㄨㄚㆵ</v>
      </c>
      <c r="T24" s="53" t="str">
        <f xml:space="preserve"> IF(十五音音節表!S21&lt;&gt;"", _xlfn.CONCAT(T$5,$F24), "")</f>
        <v/>
      </c>
      <c r="U24" s="53" t="str">
        <f xml:space="preserve"> IF(十五音音節表!T21&lt;&gt;"", _xlfn.CONCAT(U$5,$F24), "")</f>
        <v>ㆣㄨㄚㆵ</v>
      </c>
      <c r="V24" s="53" t="str">
        <f xml:space="preserve"> IF(十五音音節表!U21&lt;&gt;"", _xlfn.CONCAT(V$5,$F24), "")</f>
        <v/>
      </c>
      <c r="W24" s="53" t="str">
        <f xml:space="preserve"> IF(十五音音節表!V21&lt;&gt;"", _xlfn.CONCAT(W$5,$F24), "")</f>
        <v/>
      </c>
      <c r="X24" s="53" t="str">
        <f xml:space="preserve"> IF(十五音音節表!W21&lt;&gt;"", _xlfn.CONCAT(X$5,$F24), "")</f>
        <v>ㄏㄨㄚㆵ</v>
      </c>
      <c r="Y24" s="142" t="s">
        <v>1105</v>
      </c>
      <c r="Z24" s="50" t="s">
        <v>180</v>
      </c>
      <c r="AA24" s="50" t="s">
        <v>81</v>
      </c>
    </row>
    <row r="25" spans="2:27" collapsed="1">
      <c r="B25" s="139" cm="1">
        <f t="array" ref="B25" xml:space="preserve"> INDEX(韻母表[韻序], MATCH(TRUE, EXACT($C25, 韻母表[十五音]), 0))</f>
        <v>11</v>
      </c>
      <c r="C25" s="50" t="s">
        <v>82</v>
      </c>
      <c r="D25" s="96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ou</v>
      </c>
      <c r="E25" s="50" t="str" cm="1">
        <f t="array" ref="E25" xml:space="preserve"> INDEX(韻母表[台羅拼音], MATCH(TRUE, EXACT($C25, 韻母表[十五音]), 0))</f>
        <v>oo</v>
      </c>
      <c r="F25" s="142" t="str" cm="1">
        <f t="array" ref="F25" xml:space="preserve"> INDEX(韻母表[方音符號], MATCH(TRUE, EXACT($C25, 韻母表[十五音]), 0))</f>
        <v>ㆦ</v>
      </c>
      <c r="G25" s="53" t="str">
        <f xml:space="preserve"> IF(十五音音節表!F22&lt;&gt;"", _xlfn.CONCAT(G$5,$F25), "")</f>
        <v>ㄌㆦ</v>
      </c>
      <c r="H25" s="53" t="str">
        <f xml:space="preserve"> IF(十五音音節表!G22&lt;&gt;"", _xlfn.CONCAT(H$5,$F25), "")</f>
        <v>ㄋㆦ</v>
      </c>
      <c r="I25" s="53" t="str">
        <f xml:space="preserve"> IF(十五音音節表!H22&lt;&gt;"", _xlfn.CONCAT(I$5,$F25), "")</f>
        <v>ㄅㆦ</v>
      </c>
      <c r="J25" s="53" t="str">
        <f xml:space="preserve"> IF(十五音音節表!I22&lt;&gt;"", _xlfn.CONCAT(J$5,$F25), "")</f>
        <v>ㄍㆦ</v>
      </c>
      <c r="K25" s="53" t="str">
        <f xml:space="preserve"> IF(十五音音節表!J22&lt;&gt;"", _xlfn.CONCAT(K$5,$F25), "")</f>
        <v>ㄎㆦ</v>
      </c>
      <c r="L25" s="53" t="str">
        <f xml:space="preserve"> IF(十五音音節表!K22&lt;&gt;"", _xlfn.CONCAT(L$5,$F25), "")</f>
        <v>ㄉㆦ</v>
      </c>
      <c r="M25" s="53" t="str">
        <f xml:space="preserve"> IF(十五音音節表!L22&lt;&gt;"", _xlfn.CONCAT(M$5,$F25), "")</f>
        <v>ㄆㆦ</v>
      </c>
      <c r="N25" s="53" t="str">
        <f xml:space="preserve"> IF(十五音音節表!M22&lt;&gt;"", _xlfn.CONCAT(N$5,$F25), "")</f>
        <v>ㄊㆦ</v>
      </c>
      <c r="O25" s="53" t="str">
        <f xml:space="preserve"> IF(十五音音節表!N22&lt;&gt;"", _xlfn.CONCAT(O$5,$F25), "")</f>
        <v>ㄗㆦ</v>
      </c>
      <c r="P25" s="53" t="str">
        <f xml:space="preserve"> IF(十五音音節表!O22&lt;&gt;"", _xlfn.CONCAT(P$5,$F25), "")</f>
        <v/>
      </c>
      <c r="Q25" s="53" t="str">
        <f xml:space="preserve"> IF(十五音音節表!P22&lt;&gt;"", _xlfn.CONCAT(Q$5,$F25), "")</f>
        <v>ㄙㆦ</v>
      </c>
      <c r="R25" s="53" t="str">
        <f xml:space="preserve"> IF(十五音音節表!Q22&lt;&gt;"", _xlfn.CONCAT(R$5,$F25), "")</f>
        <v>ㆦ</v>
      </c>
      <c r="S25" s="53" t="str">
        <f xml:space="preserve"> IF(十五音音節表!R22&lt;&gt;"", _xlfn.CONCAT(S$5,$F25), "")</f>
        <v>ㆠㆦ</v>
      </c>
      <c r="T25" s="53" t="str">
        <f xml:space="preserve"> IF(十五音音節表!S22&lt;&gt;"", _xlfn.CONCAT(T$5,$F25), "")</f>
        <v>ㄇㆦ</v>
      </c>
      <c r="U25" s="53" t="str">
        <f xml:space="preserve"> IF(十五音音節表!T22&lt;&gt;"", _xlfn.CONCAT(U$5,$F25), "")</f>
        <v>ㆣㆦ</v>
      </c>
      <c r="V25" s="53" t="str">
        <f xml:space="preserve"> IF(十五音音節表!U22&lt;&gt;"", _xlfn.CONCAT(V$5,$F25), "")</f>
        <v>ㄫㆦ</v>
      </c>
      <c r="W25" s="53" t="str">
        <f xml:space="preserve"> IF(十五音音節表!V22&lt;&gt;"", _xlfn.CONCAT(W$5,$F25), "")</f>
        <v>ㄘㆦ</v>
      </c>
      <c r="X25" s="53" t="str">
        <f xml:space="preserve"> IF(十五音音節表!W22&lt;&gt;"", _xlfn.CONCAT(X$5,$F25), "")</f>
        <v>ㄏㆦ</v>
      </c>
      <c r="Y25" s="142" t="s">
        <v>1109</v>
      </c>
      <c r="Z25" s="50" t="s">
        <v>181</v>
      </c>
      <c r="AA25" s="50" t="s">
        <v>82</v>
      </c>
    </row>
    <row r="26" spans="2:27" hidden="1" outlineLevel="1">
      <c r="B26" s="139" cm="1">
        <f t="array" ref="B26" xml:space="preserve"> INDEX(韻母表[韻序], MATCH(TRUE, EXACT($C26, 韻母表[十五音]), 0))</f>
        <v>11</v>
      </c>
      <c r="C26" s="50" t="s">
        <v>83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ɔh</v>
      </c>
      <c r="E26" s="50" t="str" cm="1">
        <f t="array" ref="E26" xml:space="preserve"> INDEX(韻母表[台羅拼音], MATCH(TRUE, EXACT($C26, 韻母表[十五音]), 0))</f>
        <v>ooh</v>
      </c>
      <c r="F26" s="142" t="str" cm="1">
        <f t="array" ref="F26" xml:space="preserve"> INDEX(韻母表[方音符號], MATCH(TRUE, EXACT($C26, 韻母表[十五音]), 0))</f>
        <v>ㆦㆷ</v>
      </c>
      <c r="G26" s="53" t="str">
        <f xml:space="preserve"> IF(十五音音節表!F23&lt;&gt;"", _xlfn.CONCAT(G$5,$F26), "")</f>
        <v/>
      </c>
      <c r="H26" s="53" t="str">
        <f xml:space="preserve"> IF(十五音音節表!G23&lt;&gt;"", _xlfn.CONCAT(H$5,$F26), "")</f>
        <v/>
      </c>
      <c r="I26" s="53" t="str">
        <f xml:space="preserve"> IF(十五音音節表!H23&lt;&gt;"", _xlfn.CONCAT(I$5,$F26), "")</f>
        <v/>
      </c>
      <c r="J26" s="53" t="str">
        <f xml:space="preserve"> IF(十五音音節表!I23&lt;&gt;"", _xlfn.CONCAT(J$5,$F26), "")</f>
        <v/>
      </c>
      <c r="K26" s="53" t="str">
        <f xml:space="preserve"> IF(十五音音節表!J23&lt;&gt;"", _xlfn.CONCAT(K$5,$F26), "")</f>
        <v/>
      </c>
      <c r="L26" s="53" t="str">
        <f xml:space="preserve"> IF(十五音音節表!K23&lt;&gt;"", _xlfn.CONCAT(L$5,$F26), "")</f>
        <v/>
      </c>
      <c r="M26" s="53" t="str">
        <f xml:space="preserve"> IF(十五音音節表!L23&lt;&gt;"", _xlfn.CONCAT(M$5,$F26), "")</f>
        <v/>
      </c>
      <c r="N26" s="53" t="str">
        <f xml:space="preserve"> IF(十五音音節表!M23&lt;&gt;"", _xlfn.CONCAT(N$5,$F26), "")</f>
        <v/>
      </c>
      <c r="O26" s="53" t="str">
        <f xml:space="preserve"> IF(十五音音節表!N23&lt;&gt;"", _xlfn.CONCAT(O$5,$F26), "")</f>
        <v/>
      </c>
      <c r="P26" s="53" t="str">
        <f xml:space="preserve"> IF(十五音音節表!O23&lt;&gt;"", _xlfn.CONCAT(P$5,$F26), "")</f>
        <v/>
      </c>
      <c r="Q26" s="53" t="str">
        <f xml:space="preserve"> IF(十五音音節表!P23&lt;&gt;"", _xlfn.CONCAT(Q$5,$F26), "")</f>
        <v/>
      </c>
      <c r="R26" s="53" t="str">
        <f xml:space="preserve"> IF(十五音音節表!Q23&lt;&gt;"", _xlfn.CONCAT(R$5,$F26), "")</f>
        <v/>
      </c>
      <c r="S26" s="53" t="str">
        <f xml:space="preserve"> IF(十五音音節表!R23&lt;&gt;"", _xlfn.CONCAT(S$5,$F26), "")</f>
        <v/>
      </c>
      <c r="T26" s="53" t="str">
        <f xml:space="preserve"> IF(十五音音節表!S23&lt;&gt;"", _xlfn.CONCAT(T$5,$F26), "")</f>
        <v>ㄇㆦㆷ</v>
      </c>
      <c r="U26" s="53" t="str">
        <f xml:space="preserve"> IF(十五音音節表!T23&lt;&gt;"", _xlfn.CONCAT(U$5,$F26), "")</f>
        <v/>
      </c>
      <c r="V26" s="53" t="str">
        <f xml:space="preserve"> IF(十五音音節表!U23&lt;&gt;"", _xlfn.CONCAT(V$5,$F26), "")</f>
        <v/>
      </c>
      <c r="W26" s="53" t="str">
        <f xml:space="preserve"> IF(十五音音節表!V23&lt;&gt;"", _xlfn.CONCAT(W$5,$F26), "")</f>
        <v/>
      </c>
      <c r="X26" s="53" t="str">
        <f xml:space="preserve"> IF(十五音音節表!W23&lt;&gt;"", _xlfn.CONCAT(X$5,$F26), "")</f>
        <v/>
      </c>
      <c r="Y26" s="142" t="s">
        <v>1560</v>
      </c>
      <c r="Z26" s="50" t="s">
        <v>253</v>
      </c>
      <c r="AA26" s="50" t="s">
        <v>83</v>
      </c>
    </row>
    <row r="27" spans="2:27" collapsed="1">
      <c r="B27" s="139" cm="1">
        <f t="array" ref="B27" xml:space="preserve"> INDEX(韻母表[韻序], MATCH(TRUE, EXACT($C27, 韻母表[十五音]), 0))</f>
        <v>12</v>
      </c>
      <c r="C27" s="50" t="s">
        <v>84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ɪaʊ</v>
      </c>
      <c r="E27" s="50" t="str" cm="1">
        <f t="array" ref="E27" xml:space="preserve"> INDEX(韻母表[台羅拼音], MATCH(TRUE, EXACT($C27, 韻母表[十五音]), 0))</f>
        <v>iau</v>
      </c>
      <c r="F27" s="142" t="str" cm="1">
        <f t="array" ref="F27" xml:space="preserve"> INDEX(韻母表[方音符號], MATCH(TRUE, EXACT($C27, 韻母表[十五音]), 0))</f>
        <v>ㄧㄠ</v>
      </c>
      <c r="G27" s="53" t="str">
        <f xml:space="preserve"> IF(十五音音節表!F24&lt;&gt;"", _xlfn.CONCAT(G$5,$F27), "")</f>
        <v>ㄌㄧㄠ</v>
      </c>
      <c r="H27" s="53" t="str">
        <f xml:space="preserve"> IF(十五音音節表!G24&lt;&gt;"", _xlfn.CONCAT(H$5,$F27), "")</f>
        <v>ㄋㄧㄠ</v>
      </c>
      <c r="I27" s="53" t="str">
        <f xml:space="preserve"> IF(十五音音節表!H24&lt;&gt;"", _xlfn.CONCAT(I$5,$F27), "")</f>
        <v>ㄅㄧㄠ</v>
      </c>
      <c r="J27" s="53" t="str">
        <f xml:space="preserve"> IF(十五音音節表!I24&lt;&gt;"", _xlfn.CONCAT(J$5,$F27), "")</f>
        <v>ㄍㄧㄠ</v>
      </c>
      <c r="K27" s="53" t="str">
        <f xml:space="preserve"> IF(十五音音節表!J24&lt;&gt;"", _xlfn.CONCAT(K$5,$F27), "")</f>
        <v>ㄎㄧㄠ</v>
      </c>
      <c r="L27" s="53" t="str">
        <f xml:space="preserve"> IF(十五音音節表!K24&lt;&gt;"", _xlfn.CONCAT(L$5,$F27), "")</f>
        <v>ㄉㄧㄠ</v>
      </c>
      <c r="M27" s="53" t="str">
        <f xml:space="preserve"> IF(十五音音節表!L24&lt;&gt;"", _xlfn.CONCAT(M$5,$F27), "")</f>
        <v>ㄆㄧㄠ</v>
      </c>
      <c r="N27" s="53" t="str">
        <f xml:space="preserve"> IF(十五音音節表!M24&lt;&gt;"", _xlfn.CONCAT(N$5,$F27), "")</f>
        <v>ㄊㄧㄠ</v>
      </c>
      <c r="O27" s="53" t="str">
        <f xml:space="preserve"> IF(十五音音節表!N24&lt;&gt;"", _xlfn.CONCAT(O$5,$F27), "")</f>
        <v>ㄗㄧㄠ</v>
      </c>
      <c r="P27" s="53" t="str">
        <f xml:space="preserve"> IF(十五音音節表!O24&lt;&gt;"", _xlfn.CONCAT(P$5,$F27), "")</f>
        <v>ㆡㄧㄠ</v>
      </c>
      <c r="Q27" s="53" t="str">
        <f xml:space="preserve"> IF(十五音音節表!P24&lt;&gt;"", _xlfn.CONCAT(Q$5,$F27), "")</f>
        <v>ㄙㄧㄠ</v>
      </c>
      <c r="R27" s="53" t="str">
        <f xml:space="preserve"> IF(十五音音節表!Q24&lt;&gt;"", _xlfn.CONCAT(R$5,$F27), "")</f>
        <v>ㄧㄠ</v>
      </c>
      <c r="S27" s="53" t="str">
        <f xml:space="preserve"> IF(十五音音節表!R24&lt;&gt;"", _xlfn.CONCAT(S$5,$F27), "")</f>
        <v>ㆠㄧㄠ</v>
      </c>
      <c r="T27" s="53" t="str">
        <f xml:space="preserve"> IF(十五音音節表!S24&lt;&gt;"", _xlfn.CONCAT(T$5,$F27), "")</f>
        <v>ㄇㄧㄠ</v>
      </c>
      <c r="U27" s="53" t="str">
        <f xml:space="preserve"> IF(十五音音節表!T24&lt;&gt;"", _xlfn.CONCAT(U$5,$F27), "")</f>
        <v>ㆣㄧㄠ</v>
      </c>
      <c r="V27" s="53" t="str">
        <f xml:space="preserve"> IF(十五音音節表!U24&lt;&gt;"", _xlfn.CONCAT(V$5,$F27), "")</f>
        <v>ㄫㄧㄠ</v>
      </c>
      <c r="W27" s="53" t="str">
        <f xml:space="preserve"> IF(十五音音節表!V24&lt;&gt;"", _xlfn.CONCAT(W$5,$F27), "")</f>
        <v>ㄘㄧㄠ</v>
      </c>
      <c r="X27" s="53" t="str">
        <f xml:space="preserve"> IF(十五音音節表!W24&lt;&gt;"", _xlfn.CONCAT(X$5,$F27), "")</f>
        <v>ㄏㄧㄠ</v>
      </c>
      <c r="Y27" s="142" t="s">
        <v>1112</v>
      </c>
      <c r="Z27" s="50" t="s">
        <v>182</v>
      </c>
      <c r="AA27" s="50" t="s">
        <v>84</v>
      </c>
    </row>
    <row r="28" spans="2:27" hidden="1" outlineLevel="1">
      <c r="B28" s="139" cm="1">
        <f t="array" ref="B28" xml:space="preserve"> INDEX(韻母表[韻序], MATCH(TRUE, EXACT($C28, 韻母表[十五音]), 0))</f>
        <v>12</v>
      </c>
      <c r="C28" s="50" t="s">
        <v>85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ɪaʊʔ</v>
      </c>
      <c r="E28" s="50" t="str" cm="1">
        <f t="array" ref="E28" xml:space="preserve"> INDEX(韻母表[台羅拼音], MATCH(TRUE, EXACT($C28, 韻母表[十五音]), 0))</f>
        <v>iauh</v>
      </c>
      <c r="F28" s="142" t="str" cm="1">
        <f t="array" ref="F28" xml:space="preserve"> INDEX(韻母表[方音符號], MATCH(TRUE, EXACT($C28, 韻母表[十五音]), 0))</f>
        <v>ㄧㄠㆷ</v>
      </c>
      <c r="G28" s="53" t="str">
        <f xml:space="preserve"> IF(十五音音節表!F25&lt;&gt;"", _xlfn.CONCAT(G$5,$F28), "")</f>
        <v/>
      </c>
      <c r="H28" s="53" t="str">
        <f xml:space="preserve"> IF(十五音音節表!G25&lt;&gt;"", _xlfn.CONCAT(H$5,$F28), "")</f>
        <v/>
      </c>
      <c r="I28" s="53" t="str">
        <f xml:space="preserve"> IF(十五音音節表!H25&lt;&gt;"", _xlfn.CONCAT(I$5,$F28), "")</f>
        <v/>
      </c>
      <c r="J28" s="53" t="str">
        <f xml:space="preserve"> IF(十五音音節表!I25&lt;&gt;"", _xlfn.CONCAT(J$5,$F28), "")</f>
        <v/>
      </c>
      <c r="K28" s="53" t="str">
        <f xml:space="preserve"> IF(十五音音節表!J25&lt;&gt;"", _xlfn.CONCAT(K$5,$F28), "")</f>
        <v>ㄎㄧㄠㆷ</v>
      </c>
      <c r="L28" s="53" t="str">
        <f xml:space="preserve"> IF(十五音音節表!K25&lt;&gt;"", _xlfn.CONCAT(L$5,$F28), "")</f>
        <v/>
      </c>
      <c r="M28" s="53" t="str">
        <f xml:space="preserve"> IF(十五音音節表!L25&lt;&gt;"", _xlfn.CONCAT(M$5,$F28), "")</f>
        <v/>
      </c>
      <c r="N28" s="53" t="str">
        <f xml:space="preserve"> IF(十五音音節表!M25&lt;&gt;"", _xlfn.CONCAT(N$5,$F28), "")</f>
        <v/>
      </c>
      <c r="O28" s="53" t="str">
        <f xml:space="preserve"> IF(十五音音節表!N25&lt;&gt;"", _xlfn.CONCAT(O$5,$F28), "")</f>
        <v/>
      </c>
      <c r="P28" s="53" t="str">
        <f xml:space="preserve"> IF(十五音音節表!O25&lt;&gt;"", _xlfn.CONCAT(P$5,$F28), "")</f>
        <v/>
      </c>
      <c r="Q28" s="53" t="str">
        <f xml:space="preserve"> IF(十五音音節表!P25&lt;&gt;"", _xlfn.CONCAT(Q$5,$F28), "")</f>
        <v/>
      </c>
      <c r="R28" s="53" t="str">
        <f xml:space="preserve"> IF(十五音音節表!Q25&lt;&gt;"", _xlfn.CONCAT(R$5,$F28), "")</f>
        <v/>
      </c>
      <c r="S28" s="53" t="str">
        <f xml:space="preserve"> IF(十五音音節表!R25&lt;&gt;"", _xlfn.CONCAT(S$5,$F28), "")</f>
        <v/>
      </c>
      <c r="T28" s="53" t="str">
        <f xml:space="preserve"> IF(十五音音節表!S25&lt;&gt;"", _xlfn.CONCAT(T$5,$F28), "")</f>
        <v/>
      </c>
      <c r="U28" s="53" t="str">
        <f xml:space="preserve"> IF(十五音音節表!T25&lt;&gt;"", _xlfn.CONCAT(U$5,$F28), "")</f>
        <v/>
      </c>
      <c r="V28" s="53" t="str">
        <f xml:space="preserve"> IF(十五音音節表!U25&lt;&gt;"", _xlfn.CONCAT(V$5,$F28), "")</f>
        <v>ㄫㄧㄠㆷ</v>
      </c>
      <c r="W28" s="53" t="str">
        <f xml:space="preserve"> IF(十五音音節表!V25&lt;&gt;"", _xlfn.CONCAT(W$5,$F28), "")</f>
        <v/>
      </c>
      <c r="X28" s="53" t="str">
        <f xml:space="preserve"> IF(十五音音節表!W25&lt;&gt;"", _xlfn.CONCAT(X$5,$F28), "")</f>
        <v>ㄏㄧㄠㆷ</v>
      </c>
      <c r="Y28" s="142" t="s">
        <v>1114</v>
      </c>
      <c r="Z28" s="50" t="s">
        <v>183</v>
      </c>
      <c r="AA28" s="50" t="s">
        <v>85</v>
      </c>
    </row>
    <row r="29" spans="2:27" collapsed="1">
      <c r="B29" s="139" cm="1">
        <f t="array" ref="B29" xml:space="preserve"> INDEX(韻母表[韻序], MATCH(TRUE, EXACT($C29, 韻母表[十五音]), 0))</f>
        <v>13</v>
      </c>
      <c r="C29" s="50" t="s">
        <v>86</v>
      </c>
      <c r="D29" s="96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ei</v>
      </c>
      <c r="E29" s="50" t="str" cm="1">
        <f t="array" ref="E29" xml:space="preserve"> INDEX(韻母表[台羅拼音], MATCH(TRUE, EXACT($C29, 韻母表[十五音]), 0))</f>
        <v>e</v>
      </c>
      <c r="F29" s="142" t="str" cm="1">
        <f t="array" ref="F29" xml:space="preserve"> INDEX(韻母表[方音符號], MATCH(TRUE, EXACT($C29, 韻母表[十五音]), 0))</f>
        <v>ㆤ</v>
      </c>
      <c r="G29" s="53" t="str">
        <f xml:space="preserve"> IF(十五音音節表!F26&lt;&gt;"", _xlfn.CONCAT(G$5,$F29), "")</f>
        <v>ㄌㆤ</v>
      </c>
      <c r="H29" s="53" t="str">
        <f xml:space="preserve"> IF(十五音音節表!G26&lt;&gt;"", _xlfn.CONCAT(H$5,$F29), "")</f>
        <v>ㄋㆤ</v>
      </c>
      <c r="I29" s="53" t="str">
        <f xml:space="preserve"> IF(十五音音節表!H26&lt;&gt;"", _xlfn.CONCAT(I$5,$F29), "")</f>
        <v>ㄅㆤ</v>
      </c>
      <c r="J29" s="53" t="str">
        <f xml:space="preserve"> IF(十五音音節表!I26&lt;&gt;"", _xlfn.CONCAT(J$5,$F29), "")</f>
        <v>ㄍㆤ</v>
      </c>
      <c r="K29" s="53" t="str">
        <f xml:space="preserve"> IF(十五音音節表!J26&lt;&gt;"", _xlfn.CONCAT(K$5,$F29), "")</f>
        <v>ㄎㆤ</v>
      </c>
      <c r="L29" s="53" t="str">
        <f xml:space="preserve"> IF(十五音音節表!K26&lt;&gt;"", _xlfn.CONCAT(L$5,$F29), "")</f>
        <v>ㄉㆤ</v>
      </c>
      <c r="M29" s="53" t="str">
        <f xml:space="preserve"> IF(十五音音節表!L26&lt;&gt;"", _xlfn.CONCAT(M$5,$F29), "")</f>
        <v>ㄆㆤ</v>
      </c>
      <c r="N29" s="53" t="str">
        <f xml:space="preserve"> IF(十五音音節表!M26&lt;&gt;"", _xlfn.CONCAT(N$5,$F29), "")</f>
        <v>ㄊㆤ</v>
      </c>
      <c r="O29" s="53" t="str">
        <f xml:space="preserve"> IF(十五音音節表!N26&lt;&gt;"", _xlfn.CONCAT(O$5,$F29), "")</f>
        <v>ㄗㆤ</v>
      </c>
      <c r="P29" s="53" t="str">
        <f xml:space="preserve"> IF(十五音音節表!O26&lt;&gt;"", _xlfn.CONCAT(P$5,$F29), "")</f>
        <v/>
      </c>
      <c r="Q29" s="53" t="str">
        <f xml:space="preserve"> IF(十五音音節表!P26&lt;&gt;"", _xlfn.CONCAT(Q$5,$F29), "")</f>
        <v>ㄙㆤ</v>
      </c>
      <c r="R29" s="53" t="str">
        <f xml:space="preserve"> IF(十五音音節表!Q26&lt;&gt;"", _xlfn.CONCAT(R$5,$F29), "")</f>
        <v>ㆤ</v>
      </c>
      <c r="S29" s="53" t="str">
        <f xml:space="preserve"> IF(十五音音節表!R26&lt;&gt;"", _xlfn.CONCAT(S$5,$F29), "")</f>
        <v>ㆠㆤ</v>
      </c>
      <c r="T29" s="53" t="str">
        <f xml:space="preserve"> IF(十五音音節表!S26&lt;&gt;"", _xlfn.CONCAT(T$5,$F29), "")</f>
        <v>ㄇㆤ</v>
      </c>
      <c r="U29" s="53" t="str">
        <f xml:space="preserve"> IF(十五音音節表!T26&lt;&gt;"", _xlfn.CONCAT(U$5,$F29), "")</f>
        <v>ㆣㆤ</v>
      </c>
      <c r="V29" s="53" t="str">
        <f xml:space="preserve"> IF(十五音音節表!U26&lt;&gt;"", _xlfn.CONCAT(V$5,$F29), "")</f>
        <v>ㄫㆤ</v>
      </c>
      <c r="W29" s="53" t="str">
        <f xml:space="preserve"> IF(十五音音節表!V26&lt;&gt;"", _xlfn.CONCAT(W$5,$F29), "")</f>
        <v>ㄘㆤ</v>
      </c>
      <c r="X29" s="53" t="str">
        <f xml:space="preserve"> IF(十五音音節表!W26&lt;&gt;"", _xlfn.CONCAT(X$5,$F29), "")</f>
        <v>ㄏㆤ</v>
      </c>
      <c r="Y29" s="142" t="s">
        <v>1117</v>
      </c>
      <c r="Z29" s="50" t="s">
        <v>184</v>
      </c>
      <c r="AA29" s="50" t="s">
        <v>86</v>
      </c>
    </row>
    <row r="30" spans="2:27">
      <c r="B30" s="139" cm="1">
        <f t="array" ref="B30" xml:space="preserve"> INDEX(韻母表[韻序], MATCH(TRUE, EXACT($C30, 韻母表[十五音]), 0))</f>
        <v>14</v>
      </c>
      <c r="C30" s="50" t="s">
        <v>88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ɪɔŋ</v>
      </c>
      <c r="E30" s="50" t="str" cm="1">
        <f t="array" ref="E30" xml:space="preserve"> INDEX(韻母表[台羅拼音], MATCH(TRUE, EXACT($C30, 韻母表[十五音]), 0))</f>
        <v>iong</v>
      </c>
      <c r="F30" s="142" t="str" cm="1">
        <f t="array" ref="F30" xml:space="preserve"> INDEX(韻母表[方音符號], MATCH(TRUE, EXACT($C30, 韻母表[十五音]), 0))</f>
        <v>ㄧㆲ</v>
      </c>
      <c r="G30" s="53" t="str">
        <f xml:space="preserve"> IF(十五音音節表!F27&lt;&gt;"", _xlfn.CONCAT(G$5,$F30), "")</f>
        <v>ㄌㄧㆲ</v>
      </c>
      <c r="H30" s="53" t="str">
        <f xml:space="preserve"> IF(十五音音節表!G27&lt;&gt;"", _xlfn.CONCAT(H$5,$F30), "")</f>
        <v/>
      </c>
      <c r="I30" s="53" t="str">
        <f xml:space="preserve"> IF(十五音音節表!H27&lt;&gt;"", _xlfn.CONCAT(I$5,$F30), "")</f>
        <v/>
      </c>
      <c r="J30" s="53" t="str">
        <f xml:space="preserve"> IF(十五音音節表!I27&lt;&gt;"", _xlfn.CONCAT(J$5,$F30), "")</f>
        <v>ㄍㄧㆲ</v>
      </c>
      <c r="K30" s="53" t="str">
        <f xml:space="preserve"> IF(十五音音節表!J27&lt;&gt;"", _xlfn.CONCAT(K$5,$F30), "")</f>
        <v>ㄎㄧㆲ</v>
      </c>
      <c r="L30" s="53" t="str">
        <f xml:space="preserve"> IF(十五音音節表!K27&lt;&gt;"", _xlfn.CONCAT(L$5,$F30), "")</f>
        <v>ㄉㄧㆲ</v>
      </c>
      <c r="M30" s="53" t="str">
        <f xml:space="preserve"> IF(十五音音節表!L27&lt;&gt;"", _xlfn.CONCAT(M$5,$F30), "")</f>
        <v/>
      </c>
      <c r="N30" s="53" t="str">
        <f xml:space="preserve"> IF(十五音音節表!M27&lt;&gt;"", _xlfn.CONCAT(N$5,$F30), "")</f>
        <v>ㄊㄧㆲ</v>
      </c>
      <c r="O30" s="53" t="str">
        <f xml:space="preserve"> IF(十五音音節表!N27&lt;&gt;"", _xlfn.CONCAT(O$5,$F30), "")</f>
        <v>ㄗㄧㆲ</v>
      </c>
      <c r="P30" s="53" t="str">
        <f xml:space="preserve"> IF(十五音音節表!O27&lt;&gt;"", _xlfn.CONCAT(P$5,$F30), "")</f>
        <v>ㆡㄧㆲ</v>
      </c>
      <c r="Q30" s="53" t="str">
        <f xml:space="preserve"> IF(十五音音節表!P27&lt;&gt;"", _xlfn.CONCAT(Q$5,$F30), "")</f>
        <v>ㄙㄧㆲ</v>
      </c>
      <c r="R30" s="53" t="str">
        <f xml:space="preserve"> IF(十五音音節表!Q27&lt;&gt;"", _xlfn.CONCAT(R$5,$F30), "")</f>
        <v>ㄧㆲ</v>
      </c>
      <c r="S30" s="53" t="str">
        <f xml:space="preserve"> IF(十五音音節表!R27&lt;&gt;"", _xlfn.CONCAT(S$5,$F30), "")</f>
        <v/>
      </c>
      <c r="T30" s="53" t="str">
        <f xml:space="preserve"> IF(十五音音節表!S27&lt;&gt;"", _xlfn.CONCAT(T$5,$F30), "")</f>
        <v/>
      </c>
      <c r="U30" s="53" t="str">
        <f xml:space="preserve"> IF(十五音音節表!T27&lt;&gt;"", _xlfn.CONCAT(U$5,$F30), "")</f>
        <v>ㆣㄧㆲ</v>
      </c>
      <c r="V30" s="53" t="str">
        <f xml:space="preserve"> IF(十五音音節表!U27&lt;&gt;"", _xlfn.CONCAT(V$5,$F30), "")</f>
        <v/>
      </c>
      <c r="W30" s="53" t="str">
        <f xml:space="preserve"> IF(十五音音節表!V27&lt;&gt;"", _xlfn.CONCAT(W$5,$F30), "")</f>
        <v>ㄘㄧㆲ</v>
      </c>
      <c r="X30" s="53" t="str">
        <f xml:space="preserve"> IF(十五音音節表!W27&lt;&gt;"", _xlfn.CONCAT(X$5,$F30), "")</f>
        <v>ㄏㄧㆲ</v>
      </c>
      <c r="Y30" s="142" t="s">
        <v>1118</v>
      </c>
      <c r="Z30" s="50" t="s">
        <v>185</v>
      </c>
      <c r="AA30" s="50" t="s">
        <v>88</v>
      </c>
    </row>
    <row r="31" spans="2:27" hidden="1" outlineLevel="1">
      <c r="B31" s="139" cm="1">
        <f t="array" ref="B31" xml:space="preserve"> INDEX(韻母表[韻序], MATCH(TRUE, EXACT($C31, 韻母表[十五音]), 0))</f>
        <v>14</v>
      </c>
      <c r="C31" s="50" t="s">
        <v>89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ɪɔk̚</v>
      </c>
      <c r="E31" s="50" t="str" cm="1">
        <f t="array" ref="E31" xml:space="preserve"> INDEX(韻母表[台羅拼音], MATCH(TRUE, EXACT($C31, 韻母表[十五音]), 0))</f>
        <v>iok</v>
      </c>
      <c r="F31" s="142" t="str" cm="1">
        <f t="array" ref="F31" xml:space="preserve"> INDEX(韻母表[方音符號], MATCH(TRUE, EXACT($C31, 韻母表[十五音]), 0))</f>
        <v>ㄧㆦㆻ</v>
      </c>
      <c r="G31" s="53" t="str">
        <f xml:space="preserve"> IF(十五音音節表!F28&lt;&gt;"", _xlfn.CONCAT(G$5,$F31), "")</f>
        <v>ㄌㄧㆦㆻ</v>
      </c>
      <c r="H31" s="53" t="str">
        <f xml:space="preserve"> IF(十五音音節表!G28&lt;&gt;"", _xlfn.CONCAT(H$5,$F31), "")</f>
        <v/>
      </c>
      <c r="I31" s="53" t="str">
        <f xml:space="preserve"> IF(十五音音節表!H28&lt;&gt;"", _xlfn.CONCAT(I$5,$F31), "")</f>
        <v/>
      </c>
      <c r="J31" s="53" t="str">
        <f xml:space="preserve"> IF(十五音音節表!I28&lt;&gt;"", _xlfn.CONCAT(J$5,$F31), "")</f>
        <v>ㄍㄧㆦㆻ</v>
      </c>
      <c r="K31" s="53" t="str">
        <f xml:space="preserve"> IF(十五音音節表!J28&lt;&gt;"", _xlfn.CONCAT(K$5,$F31), "")</f>
        <v>ㄎㄧㆦㆻ</v>
      </c>
      <c r="L31" s="53" t="str">
        <f xml:space="preserve"> IF(十五音音節表!K28&lt;&gt;"", _xlfn.CONCAT(L$5,$F31), "")</f>
        <v>ㄉㄧㆦㆻ</v>
      </c>
      <c r="M31" s="53" t="str">
        <f xml:space="preserve"> IF(十五音音節表!L28&lt;&gt;"", _xlfn.CONCAT(M$5,$F31), "")</f>
        <v/>
      </c>
      <c r="N31" s="53" t="str">
        <f xml:space="preserve"> IF(十五音音節表!M28&lt;&gt;"", _xlfn.CONCAT(N$5,$F31), "")</f>
        <v>ㄊㄧㆦㆻ</v>
      </c>
      <c r="O31" s="53" t="str">
        <f xml:space="preserve"> IF(十五音音節表!N28&lt;&gt;"", _xlfn.CONCAT(O$5,$F31), "")</f>
        <v>ㄗㄧㆦㆻ</v>
      </c>
      <c r="P31" s="53" t="str">
        <f xml:space="preserve"> IF(十五音音節表!O28&lt;&gt;"", _xlfn.CONCAT(P$5,$F31), "")</f>
        <v>ㆡㄧㆦㆻ</v>
      </c>
      <c r="Q31" s="53" t="str">
        <f xml:space="preserve"> IF(十五音音節表!P28&lt;&gt;"", _xlfn.CONCAT(Q$5,$F31), "")</f>
        <v>ㄙㄧㆦㆻ</v>
      </c>
      <c r="R31" s="53" t="str">
        <f xml:space="preserve"> IF(十五音音節表!Q28&lt;&gt;"", _xlfn.CONCAT(R$5,$F31), "")</f>
        <v>ㄧㆦㆻ</v>
      </c>
      <c r="S31" s="53" t="str">
        <f xml:space="preserve"> IF(十五音音節表!R28&lt;&gt;"", _xlfn.CONCAT(S$5,$F31), "")</f>
        <v/>
      </c>
      <c r="T31" s="53" t="str">
        <f xml:space="preserve"> IF(十五音音節表!S28&lt;&gt;"", _xlfn.CONCAT(T$5,$F31), "")</f>
        <v/>
      </c>
      <c r="U31" s="53" t="str">
        <f xml:space="preserve"> IF(十五音音節表!T28&lt;&gt;"", _xlfn.CONCAT(U$5,$F31), "")</f>
        <v>ㆣㄧㆦㆻ</v>
      </c>
      <c r="V31" s="53" t="str">
        <f xml:space="preserve"> IF(十五音音節表!U28&lt;&gt;"", _xlfn.CONCAT(V$5,$F31), "")</f>
        <v/>
      </c>
      <c r="W31" s="53" t="str">
        <f xml:space="preserve"> IF(十五音音節表!V28&lt;&gt;"", _xlfn.CONCAT(W$5,$F31), "")</f>
        <v>ㄘㄧㆦㆻ</v>
      </c>
      <c r="X31" s="53" t="str">
        <f xml:space="preserve"> IF(十五音音節表!W28&lt;&gt;"", _xlfn.CONCAT(X$5,$F31), "")</f>
        <v>ㄏㄧㆦㆻ</v>
      </c>
      <c r="Y31" s="142" t="s">
        <v>1121</v>
      </c>
      <c r="Z31" s="50" t="s">
        <v>186</v>
      </c>
      <c r="AA31" s="50" t="s">
        <v>89</v>
      </c>
    </row>
    <row r="32" spans="2:27" collapsed="1">
      <c r="B32" s="139" cm="1">
        <f t="array" ref="B32" xml:space="preserve"> INDEX(韻母表[韻序], MATCH(TRUE, EXACT($C32, 韻母表[十五音]), 0))</f>
        <v>15</v>
      </c>
      <c r="C32" s="50" t="s">
        <v>90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ə</v>
      </c>
      <c r="E32" s="50" t="str" cm="1">
        <f t="array" ref="E32" xml:space="preserve"> INDEX(韻母表[台羅拼音], MATCH(TRUE, EXACT($C32, 韻母表[十五音]), 0))</f>
        <v>o</v>
      </c>
      <c r="F32" s="142" t="str" cm="1">
        <f t="array" ref="F32" xml:space="preserve"> INDEX(韻母表[方音符號], MATCH(TRUE, EXACT($C32, 韻母表[十五音]), 0))</f>
        <v>ㄜ</v>
      </c>
      <c r="G32" s="53" t="str">
        <f xml:space="preserve"> IF(十五音音節表!F29&lt;&gt;"", _xlfn.CONCAT(G$5,$F32), "")</f>
        <v>ㄌㄜ</v>
      </c>
      <c r="H32" s="53" t="str">
        <f xml:space="preserve"> IF(十五音音節表!G29&lt;&gt;"", _xlfn.CONCAT(H$5,$F32), "")</f>
        <v/>
      </c>
      <c r="I32" s="53" t="str">
        <f xml:space="preserve"> IF(十五音音節表!H29&lt;&gt;"", _xlfn.CONCAT(I$5,$F32), "")</f>
        <v>ㄅㄜ</v>
      </c>
      <c r="J32" s="53" t="str">
        <f xml:space="preserve"> IF(十五音音節表!I29&lt;&gt;"", _xlfn.CONCAT(J$5,$F32), "")</f>
        <v>ㄍㄜ</v>
      </c>
      <c r="K32" s="53" t="str">
        <f xml:space="preserve"> IF(十五音音節表!J29&lt;&gt;"", _xlfn.CONCAT(K$5,$F32), "")</f>
        <v>ㄎㄜ</v>
      </c>
      <c r="L32" s="53" t="str">
        <f xml:space="preserve"> IF(十五音音節表!K29&lt;&gt;"", _xlfn.CONCAT(L$5,$F32), "")</f>
        <v>ㄉㄜ</v>
      </c>
      <c r="M32" s="53" t="str">
        <f xml:space="preserve"> IF(十五音音節表!L29&lt;&gt;"", _xlfn.CONCAT(M$5,$F32), "")</f>
        <v>ㄆㄜ</v>
      </c>
      <c r="N32" s="53" t="str">
        <f xml:space="preserve"> IF(十五音音節表!M29&lt;&gt;"", _xlfn.CONCAT(N$5,$F32), "")</f>
        <v>ㄊㄜ</v>
      </c>
      <c r="O32" s="53" t="str">
        <f xml:space="preserve"> IF(十五音音節表!N29&lt;&gt;"", _xlfn.CONCAT(O$5,$F32), "")</f>
        <v>ㄗㄜ</v>
      </c>
      <c r="P32" s="53" t="str">
        <f xml:space="preserve"> IF(十五音音節表!O29&lt;&gt;"", _xlfn.CONCAT(P$5,$F32), "")</f>
        <v/>
      </c>
      <c r="Q32" s="53" t="str">
        <f xml:space="preserve"> IF(十五音音節表!P29&lt;&gt;"", _xlfn.CONCAT(Q$5,$F32), "")</f>
        <v>ㄙㄜ</v>
      </c>
      <c r="R32" s="53" t="str">
        <f xml:space="preserve"> IF(十五音音節表!Q29&lt;&gt;"", _xlfn.CONCAT(R$5,$F32), "")</f>
        <v>ㄜ</v>
      </c>
      <c r="S32" s="53" t="str">
        <f xml:space="preserve"> IF(十五音音節表!R29&lt;&gt;"", _xlfn.CONCAT(S$5,$F32), "")</f>
        <v>ㆠㄜ</v>
      </c>
      <c r="T32" s="53" t="str">
        <f xml:space="preserve"> IF(十五音音節表!S29&lt;&gt;"", _xlfn.CONCAT(T$5,$F32), "")</f>
        <v/>
      </c>
      <c r="U32" s="53" t="str">
        <f xml:space="preserve"> IF(十五音音節表!T29&lt;&gt;"", _xlfn.CONCAT(U$5,$F32), "")</f>
        <v>ㆣㄜ</v>
      </c>
      <c r="V32" s="53" t="str">
        <f xml:space="preserve"> IF(十五音音節表!U29&lt;&gt;"", _xlfn.CONCAT(V$5,$F32), "")</f>
        <v/>
      </c>
      <c r="W32" s="53" t="str">
        <f xml:space="preserve"> IF(十五音音節表!V29&lt;&gt;"", _xlfn.CONCAT(W$5,$F32), "")</f>
        <v>ㄘㄜ</v>
      </c>
      <c r="X32" s="53" t="str">
        <f xml:space="preserve"> IF(十五音音節表!W29&lt;&gt;"", _xlfn.CONCAT(X$5,$F32), "")</f>
        <v>ㄏㄜ</v>
      </c>
      <c r="Y32" s="142" t="s">
        <v>1125</v>
      </c>
      <c r="Z32" s="50" t="s">
        <v>187</v>
      </c>
      <c r="AA32" s="50" t="s">
        <v>90</v>
      </c>
    </row>
    <row r="33" spans="2:27" hidden="1" outlineLevel="1">
      <c r="B33" s="139" cm="1">
        <f t="array" ref="B33" xml:space="preserve"> INDEX(韻母表[韻序], MATCH(TRUE, EXACT($C33, 韻母表[十五音]), 0))</f>
        <v>15</v>
      </c>
      <c r="C33" s="50" t="s">
        <v>91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əʔ</v>
      </c>
      <c r="E33" s="50" t="str" cm="1">
        <f t="array" ref="E33" xml:space="preserve"> INDEX(韻母表[台羅拼音], MATCH(TRUE, EXACT($C33, 韻母表[十五音]), 0))</f>
        <v>oh</v>
      </c>
      <c r="F33" s="142" t="str" cm="1">
        <f t="array" ref="F33" xml:space="preserve"> INDEX(韻母表[方音符號], MATCH(TRUE, EXACT($C33, 韻母表[十五音]), 0))</f>
        <v>ㄜㆷ</v>
      </c>
      <c r="G33" s="53" t="str">
        <f xml:space="preserve"> IF(十五音音節表!F30&lt;&gt;"", _xlfn.CONCAT(G$5,$F33), "")</f>
        <v>ㄌㄜㆷ</v>
      </c>
      <c r="H33" s="53" t="str">
        <f xml:space="preserve"> IF(十五音音節表!G30&lt;&gt;"", _xlfn.CONCAT(H$5,$F33), "")</f>
        <v/>
      </c>
      <c r="I33" s="53" t="str">
        <f xml:space="preserve"> IF(十五音音節表!H30&lt;&gt;"", _xlfn.CONCAT(I$5,$F33), "")</f>
        <v>ㄅㄜㆷ</v>
      </c>
      <c r="J33" s="53" t="str">
        <f xml:space="preserve"> IF(十五音音節表!I30&lt;&gt;"", _xlfn.CONCAT(J$5,$F33), "")</f>
        <v>ㄍㄜㆷ</v>
      </c>
      <c r="K33" s="53" t="str">
        <f xml:space="preserve"> IF(十五音音節表!J30&lt;&gt;"", _xlfn.CONCAT(K$5,$F33), "")</f>
        <v/>
      </c>
      <c r="L33" s="53" t="str">
        <f xml:space="preserve"> IF(十五音音節表!K30&lt;&gt;"", _xlfn.CONCAT(L$5,$F33), "")</f>
        <v>ㄉㄜㆷ</v>
      </c>
      <c r="M33" s="53" t="str">
        <f xml:space="preserve"> IF(十五音音節表!L30&lt;&gt;"", _xlfn.CONCAT(M$5,$F33), "")</f>
        <v>ㄆㄜㆷ</v>
      </c>
      <c r="N33" s="53" t="str">
        <f xml:space="preserve"> IF(十五音音節表!M30&lt;&gt;"", _xlfn.CONCAT(N$5,$F33), "")</f>
        <v>ㄊㄜㆷ</v>
      </c>
      <c r="O33" s="53" t="str">
        <f xml:space="preserve"> IF(十五音音節表!N30&lt;&gt;"", _xlfn.CONCAT(O$5,$F33), "")</f>
        <v>ㄗㄜㆷ</v>
      </c>
      <c r="P33" s="53" t="str">
        <f xml:space="preserve"> IF(十五音音節表!O30&lt;&gt;"", _xlfn.CONCAT(P$5,$F33), "")</f>
        <v/>
      </c>
      <c r="Q33" s="53" t="str">
        <f xml:space="preserve"> IF(十五音音節表!P30&lt;&gt;"", _xlfn.CONCAT(Q$5,$F33), "")</f>
        <v>ㄙㄜㆷ</v>
      </c>
      <c r="R33" s="53" t="str">
        <f xml:space="preserve"> IF(十五音音節表!Q30&lt;&gt;"", _xlfn.CONCAT(R$5,$F33), "")</f>
        <v>ㄜㆷ</v>
      </c>
      <c r="S33" s="53" t="str">
        <f xml:space="preserve"> IF(十五音音節表!R30&lt;&gt;"", _xlfn.CONCAT(S$5,$F33), "")</f>
        <v/>
      </c>
      <c r="T33" s="53" t="str">
        <f xml:space="preserve"> IF(十五音音節表!S30&lt;&gt;"", _xlfn.CONCAT(T$5,$F33), "")</f>
        <v/>
      </c>
      <c r="U33" s="53" t="str">
        <f xml:space="preserve"> IF(十五音音節表!T30&lt;&gt;"", _xlfn.CONCAT(U$5,$F33), "")</f>
        <v/>
      </c>
      <c r="V33" s="53" t="str">
        <f xml:space="preserve"> IF(十五音音節表!U30&lt;&gt;"", _xlfn.CONCAT(V$5,$F33), "")</f>
        <v/>
      </c>
      <c r="W33" s="53" t="str">
        <f xml:space="preserve"> IF(十五音音節表!V30&lt;&gt;"", _xlfn.CONCAT(W$5,$F33), "")</f>
        <v>ㄘㄜㆷ</v>
      </c>
      <c r="X33" s="53" t="str">
        <f xml:space="preserve"> IF(十五音音節表!W30&lt;&gt;"", _xlfn.CONCAT(X$5,$F33), "")</f>
        <v>ㄏㄜㆷ</v>
      </c>
      <c r="Y33" s="142" t="s">
        <v>1128</v>
      </c>
      <c r="Z33" s="50" t="s">
        <v>188</v>
      </c>
      <c r="AA33" s="50" t="s">
        <v>91</v>
      </c>
    </row>
    <row r="34" spans="2:27" collapsed="1">
      <c r="B34" s="139" cm="1">
        <f t="array" ref="B34" xml:space="preserve"> INDEX(韻母表[韻序], MATCH(TRUE, EXACT($C34, 韻母表[十五音]), 0))</f>
        <v>16</v>
      </c>
      <c r="C34" s="50" t="s">
        <v>92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aɪ</v>
      </c>
      <c r="E34" s="50" t="str" cm="1">
        <f t="array" ref="E34" xml:space="preserve"> INDEX(韻母表[台羅拼音], MATCH(TRUE, EXACT($C34, 韻母表[十五音]), 0))</f>
        <v>ai</v>
      </c>
      <c r="F34" s="142" t="str" cm="1">
        <f t="array" ref="F34" xml:space="preserve"> INDEX(韻母表[方音符號], MATCH(TRUE, EXACT($C34, 韻母表[十五音]), 0))</f>
        <v>ㄞ</v>
      </c>
      <c r="G34" s="53" t="str">
        <f xml:space="preserve"> IF(十五音音節表!F31&lt;&gt;"", _xlfn.CONCAT(G$5,$F34), "")</f>
        <v>ㄌㄞ</v>
      </c>
      <c r="H34" s="53" t="str">
        <f xml:space="preserve"> IF(十五音音節表!G31&lt;&gt;"", _xlfn.CONCAT(H$5,$F34), "")</f>
        <v>ㄋㄞ</v>
      </c>
      <c r="I34" s="53" t="str">
        <f xml:space="preserve"> IF(十五音音節表!H31&lt;&gt;"", _xlfn.CONCAT(I$5,$F34), "")</f>
        <v>ㄅㄞ</v>
      </c>
      <c r="J34" s="53" t="str">
        <f xml:space="preserve"> IF(十五音音節表!I31&lt;&gt;"", _xlfn.CONCAT(J$5,$F34), "")</f>
        <v>ㄍㄞ</v>
      </c>
      <c r="K34" s="53" t="str">
        <f xml:space="preserve"> IF(十五音音節表!J31&lt;&gt;"", _xlfn.CONCAT(K$5,$F34), "")</f>
        <v>ㄎㄞ</v>
      </c>
      <c r="L34" s="53" t="str">
        <f xml:space="preserve"> IF(十五音音節表!K31&lt;&gt;"", _xlfn.CONCAT(L$5,$F34), "")</f>
        <v>ㄉㄞ</v>
      </c>
      <c r="M34" s="53" t="str">
        <f xml:space="preserve"> IF(十五音音節表!L31&lt;&gt;"", _xlfn.CONCAT(M$5,$F34), "")</f>
        <v>ㄆㄞ</v>
      </c>
      <c r="N34" s="53" t="str">
        <f xml:space="preserve"> IF(十五音音節表!M31&lt;&gt;"", _xlfn.CONCAT(N$5,$F34), "")</f>
        <v>ㄊㄞ</v>
      </c>
      <c r="O34" s="53" t="str">
        <f xml:space="preserve"> IF(十五音音節表!N31&lt;&gt;"", _xlfn.CONCAT(O$5,$F34), "")</f>
        <v>ㄗㄞ</v>
      </c>
      <c r="P34" s="53" t="str">
        <f xml:space="preserve"> IF(十五音音節表!O31&lt;&gt;"", _xlfn.CONCAT(P$5,$F34), "")</f>
        <v/>
      </c>
      <c r="Q34" s="53" t="str">
        <f xml:space="preserve"> IF(十五音音節表!P31&lt;&gt;"", _xlfn.CONCAT(Q$5,$F34), "")</f>
        <v>ㄙㄞ</v>
      </c>
      <c r="R34" s="53" t="str">
        <f xml:space="preserve"> IF(十五音音節表!Q31&lt;&gt;"", _xlfn.CONCAT(R$5,$F34), "")</f>
        <v>ㄞ</v>
      </c>
      <c r="S34" s="53" t="str">
        <f xml:space="preserve"> IF(十五音音節表!R31&lt;&gt;"", _xlfn.CONCAT(S$5,$F34), "")</f>
        <v>ㆠㄞ</v>
      </c>
      <c r="T34" s="53" t="str">
        <f xml:space="preserve"> IF(十五音音節表!S31&lt;&gt;"", _xlfn.CONCAT(T$5,$F34), "")</f>
        <v>ㄇㄞ</v>
      </c>
      <c r="U34" s="53" t="str">
        <f xml:space="preserve"> IF(十五音音節表!T31&lt;&gt;"", _xlfn.CONCAT(U$5,$F34), "")</f>
        <v>ㆣㄞ</v>
      </c>
      <c r="V34" s="53" t="str">
        <f xml:space="preserve"> IF(十五音音節表!U31&lt;&gt;"", _xlfn.CONCAT(V$5,$F34), "")</f>
        <v>ㄫㄞ</v>
      </c>
      <c r="W34" s="53" t="str">
        <f xml:space="preserve"> IF(十五音音節表!V31&lt;&gt;"", _xlfn.CONCAT(W$5,$F34), "")</f>
        <v>ㄘㄞ</v>
      </c>
      <c r="X34" s="53" t="str">
        <f xml:space="preserve"> IF(十五音音節表!W31&lt;&gt;"", _xlfn.CONCAT(X$5,$F34), "")</f>
        <v>ㄏㄞ</v>
      </c>
      <c r="Y34" s="142" t="s">
        <v>1130</v>
      </c>
      <c r="Z34" s="50" t="s">
        <v>189</v>
      </c>
      <c r="AA34" s="50" t="s">
        <v>92</v>
      </c>
    </row>
    <row r="35" spans="2:27">
      <c r="B35" s="139" cm="1">
        <f t="array" ref="B35" xml:space="preserve"> INDEX(韻母表[韻序], MATCH(TRUE, EXACT($C35, 韻母表[十五音]), 0))</f>
        <v>17</v>
      </c>
      <c r="C35" s="50" t="s">
        <v>94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in</v>
      </c>
      <c r="E35" s="50" t="str" cm="1">
        <f t="array" ref="E35" xml:space="preserve"> INDEX(韻母表[台羅拼音], MATCH(TRUE, EXACT($C35, 韻母表[十五音]), 0))</f>
        <v>in</v>
      </c>
      <c r="F35" s="142" t="str" cm="1">
        <f t="array" ref="F35" xml:space="preserve"> INDEX(韻母表[方音符號], MATCH(TRUE, EXACT($C35, 韻母表[十五音]), 0))</f>
        <v>ㄧㄣ</v>
      </c>
      <c r="G35" s="53" t="str">
        <f xml:space="preserve"> IF(十五音音節表!F32&lt;&gt;"", _xlfn.CONCAT(G$5,$F35), "")</f>
        <v>ㄌㄧㄣ</v>
      </c>
      <c r="H35" s="53" t="str">
        <f xml:space="preserve"> IF(十五音音節表!G32&lt;&gt;"", _xlfn.CONCAT(H$5,$F35), "")</f>
        <v/>
      </c>
      <c r="I35" s="53" t="str">
        <f xml:space="preserve"> IF(十五音音節表!H32&lt;&gt;"", _xlfn.CONCAT(I$5,$F35), "")</f>
        <v>ㄅㄧㄣ</v>
      </c>
      <c r="J35" s="53" t="str">
        <f xml:space="preserve"> IF(十五音音節表!I32&lt;&gt;"", _xlfn.CONCAT(J$5,$F35), "")</f>
        <v>ㄍㄧㄣ</v>
      </c>
      <c r="K35" s="53" t="str">
        <f xml:space="preserve"> IF(十五音音節表!J32&lt;&gt;"", _xlfn.CONCAT(K$5,$F35), "")</f>
        <v>ㄎㄧㄣ</v>
      </c>
      <c r="L35" s="53" t="str">
        <f xml:space="preserve"> IF(十五音音節表!K32&lt;&gt;"", _xlfn.CONCAT(L$5,$F35), "")</f>
        <v>ㄉㄧㄣ</v>
      </c>
      <c r="M35" s="53" t="str">
        <f xml:space="preserve"> IF(十五音音節表!L32&lt;&gt;"", _xlfn.CONCAT(M$5,$F35), "")</f>
        <v>ㄆㄧㄣ</v>
      </c>
      <c r="N35" s="53" t="str">
        <f xml:space="preserve"> IF(十五音音節表!M32&lt;&gt;"", _xlfn.CONCAT(N$5,$F35), "")</f>
        <v>ㄊㄧㄣ</v>
      </c>
      <c r="O35" s="53" t="str">
        <f xml:space="preserve"> IF(十五音音節表!N32&lt;&gt;"", _xlfn.CONCAT(O$5,$F35), "")</f>
        <v>ㄗㄧㄣ</v>
      </c>
      <c r="P35" s="53" t="str">
        <f xml:space="preserve"> IF(十五音音節表!O32&lt;&gt;"", _xlfn.CONCAT(P$5,$F35), "")</f>
        <v>ㆡㄧㄣ</v>
      </c>
      <c r="Q35" s="53" t="str">
        <f xml:space="preserve"> IF(十五音音節表!P32&lt;&gt;"", _xlfn.CONCAT(Q$5,$F35), "")</f>
        <v>ㄙㄧㄣ</v>
      </c>
      <c r="R35" s="53" t="str">
        <f xml:space="preserve"> IF(十五音音節表!Q32&lt;&gt;"", _xlfn.CONCAT(R$5,$F35), "")</f>
        <v>ㄧㄣ</v>
      </c>
      <c r="S35" s="53" t="str">
        <f xml:space="preserve"> IF(十五音音節表!R32&lt;&gt;"", _xlfn.CONCAT(S$5,$F35), "")</f>
        <v>ㆠㄧㄣ</v>
      </c>
      <c r="T35" s="53" t="str">
        <f xml:space="preserve"> IF(十五音音節表!S32&lt;&gt;"", _xlfn.CONCAT(T$5,$F35), "")</f>
        <v/>
      </c>
      <c r="U35" s="53" t="str">
        <f xml:space="preserve"> IF(十五音音節表!T32&lt;&gt;"", _xlfn.CONCAT(U$5,$F35), "")</f>
        <v>ㆣㄧㄣ</v>
      </c>
      <c r="V35" s="53" t="str">
        <f xml:space="preserve"> IF(十五音音節表!U32&lt;&gt;"", _xlfn.CONCAT(V$5,$F35), "")</f>
        <v/>
      </c>
      <c r="W35" s="53" t="str">
        <f xml:space="preserve"> IF(十五音音節表!V32&lt;&gt;"", _xlfn.CONCAT(W$5,$F35), "")</f>
        <v>ㄘㄧㄣ</v>
      </c>
      <c r="X35" s="53" t="str">
        <f xml:space="preserve"> IF(十五音音節表!W32&lt;&gt;"", _xlfn.CONCAT(X$5,$F35), "")</f>
        <v>ㄏㄧㄣ</v>
      </c>
      <c r="Y35" s="142" t="s">
        <v>1131</v>
      </c>
      <c r="Z35" s="50" t="s">
        <v>190</v>
      </c>
      <c r="AA35" s="50" t="s">
        <v>94</v>
      </c>
    </row>
    <row r="36" spans="2:27" hidden="1" outlineLevel="1">
      <c r="B36" s="139" cm="1">
        <f t="array" ref="B36" xml:space="preserve"> INDEX(韻母表[韻序], MATCH(TRUE, EXACT($C36, 韻母表[十五音]), 0))</f>
        <v>17</v>
      </c>
      <c r="C36" s="50" t="s">
        <v>95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it̚</v>
      </c>
      <c r="E36" s="50" t="str" cm="1">
        <f t="array" ref="E36" xml:space="preserve"> INDEX(韻母表[台羅拼音], MATCH(TRUE, EXACT($C36, 韻母表[十五音]), 0))</f>
        <v>it</v>
      </c>
      <c r="F36" s="142" t="str" cm="1">
        <f t="array" ref="F36" xml:space="preserve"> INDEX(韻母表[方音符號], MATCH(TRUE, EXACT($C36, 韻母表[十五音]), 0))</f>
        <v>ㄧㆵ</v>
      </c>
      <c r="G36" s="53" t="str">
        <f xml:space="preserve"> IF(十五音音節表!F33&lt;&gt;"", _xlfn.CONCAT(G$5,$F36), "")</f>
        <v/>
      </c>
      <c r="H36" s="53" t="str">
        <f xml:space="preserve"> IF(十五音音節表!G33&lt;&gt;"", _xlfn.CONCAT(H$5,$F36), "")</f>
        <v/>
      </c>
      <c r="I36" s="53" t="str">
        <f xml:space="preserve"> IF(十五音音節表!H33&lt;&gt;"", _xlfn.CONCAT(I$5,$F36), "")</f>
        <v>ㄅㄧㆵ</v>
      </c>
      <c r="J36" s="53" t="str">
        <f xml:space="preserve"> IF(十五音音節表!I33&lt;&gt;"", _xlfn.CONCAT(J$5,$F36), "")</f>
        <v>ㄍㄧㆵ</v>
      </c>
      <c r="K36" s="53" t="str">
        <f xml:space="preserve"> IF(十五音音節表!J33&lt;&gt;"", _xlfn.CONCAT(K$5,$F36), "")</f>
        <v>ㄎㄧㆵ</v>
      </c>
      <c r="L36" s="53" t="str">
        <f xml:space="preserve"> IF(十五音音節表!K33&lt;&gt;"", _xlfn.CONCAT(L$5,$F36), "")</f>
        <v>ㄉㄧㆵ</v>
      </c>
      <c r="M36" s="53" t="str">
        <f xml:space="preserve"> IF(十五音音節表!L33&lt;&gt;"", _xlfn.CONCAT(M$5,$F36), "")</f>
        <v>ㄆㄧㆵ</v>
      </c>
      <c r="N36" s="53" t="str">
        <f xml:space="preserve"> IF(十五音音節表!M33&lt;&gt;"", _xlfn.CONCAT(N$5,$F36), "")</f>
        <v/>
      </c>
      <c r="O36" s="53" t="str">
        <f xml:space="preserve"> IF(十五音音節表!N33&lt;&gt;"", _xlfn.CONCAT(O$5,$F36), "")</f>
        <v>ㄗㄧㆵ</v>
      </c>
      <c r="P36" s="53" t="str">
        <f xml:space="preserve"> IF(十五音音節表!O33&lt;&gt;"", _xlfn.CONCAT(P$5,$F36), "")</f>
        <v>ㆡㄧㆵ</v>
      </c>
      <c r="Q36" s="53" t="str">
        <f xml:space="preserve"> IF(十五音音節表!P33&lt;&gt;"", _xlfn.CONCAT(Q$5,$F36), "")</f>
        <v>ㄙㄧㆵ</v>
      </c>
      <c r="R36" s="53" t="str">
        <f xml:space="preserve"> IF(十五音音節表!Q33&lt;&gt;"", _xlfn.CONCAT(R$5,$F36), "")</f>
        <v>ㄧㆵ</v>
      </c>
      <c r="S36" s="53" t="str">
        <f xml:space="preserve"> IF(十五音音節表!R33&lt;&gt;"", _xlfn.CONCAT(S$5,$F36), "")</f>
        <v>ㆠㄧㆵ</v>
      </c>
      <c r="T36" s="53" t="str">
        <f xml:space="preserve"> IF(十五音音節表!S33&lt;&gt;"", _xlfn.CONCAT(T$5,$F36), "")</f>
        <v/>
      </c>
      <c r="U36" s="53" t="str">
        <f xml:space="preserve"> IF(十五音音節表!T33&lt;&gt;"", _xlfn.CONCAT(U$5,$F36), "")</f>
        <v/>
      </c>
      <c r="V36" s="53" t="str">
        <f xml:space="preserve"> IF(十五音音節表!U33&lt;&gt;"", _xlfn.CONCAT(V$5,$F36), "")</f>
        <v/>
      </c>
      <c r="W36" s="53" t="str">
        <f xml:space="preserve"> IF(十五音音節表!V33&lt;&gt;"", _xlfn.CONCAT(W$5,$F36), "")</f>
        <v>ㄘㄧㆵ</v>
      </c>
      <c r="X36" s="53" t="str">
        <f xml:space="preserve"> IF(十五音音節表!W33&lt;&gt;"", _xlfn.CONCAT(X$5,$F36), "")</f>
        <v>ㄏㄧㆵ</v>
      </c>
      <c r="Y36" s="142" t="s">
        <v>1133</v>
      </c>
      <c r="Z36" s="50" t="s">
        <v>191</v>
      </c>
      <c r="AA36" s="50" t="s">
        <v>95</v>
      </c>
    </row>
    <row r="37" spans="2:27" collapsed="1">
      <c r="B37" s="139" cm="1">
        <f t="array" ref="B37" xml:space="preserve"> INDEX(韻母表[韻序], MATCH(TRUE, EXACT($C37, 韻母表[十五音]), 0))</f>
        <v>18</v>
      </c>
      <c r="C37" s="50" t="s">
        <v>96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ɪaŋ</v>
      </c>
      <c r="E37" s="50" t="str" cm="1">
        <f t="array" ref="E37" xml:space="preserve"> INDEX(韻母表[台羅拼音], MATCH(TRUE, EXACT($C37, 韻母表[十五音]), 0))</f>
        <v>iang</v>
      </c>
      <c r="F37" s="142" t="str" cm="1">
        <f t="array" ref="F37" xml:space="preserve"> INDEX(韻母表[方音符號], MATCH(TRUE, EXACT($C37, 韻母表[十五音]), 0))</f>
        <v>ㄧㄤ</v>
      </c>
      <c r="G37" s="53" t="str">
        <f xml:space="preserve"> IF(十五音音節表!F34&lt;&gt;"", _xlfn.CONCAT(G$5,$F37), "")</f>
        <v>ㄌㄧㄤ</v>
      </c>
      <c r="H37" s="53" t="str">
        <f xml:space="preserve"> IF(十五音音節表!G34&lt;&gt;"", _xlfn.CONCAT(H$5,$F37), "")</f>
        <v/>
      </c>
      <c r="I37" s="53" t="str">
        <f xml:space="preserve"> IF(十五音音節表!H34&lt;&gt;"", _xlfn.CONCAT(I$5,$F37), "")</f>
        <v>ㄅㄧㄤ</v>
      </c>
      <c r="J37" s="53" t="str">
        <f xml:space="preserve"> IF(十五音音節表!I34&lt;&gt;"", _xlfn.CONCAT(J$5,$F37), "")</f>
        <v/>
      </c>
      <c r="K37" s="53" t="str">
        <f xml:space="preserve"> IF(十五音音節表!J34&lt;&gt;"", _xlfn.CONCAT(K$5,$F37), "")</f>
        <v>ㄎㄧㄤ</v>
      </c>
      <c r="L37" s="53" t="str">
        <f xml:space="preserve"> IF(十五音音節表!K34&lt;&gt;"", _xlfn.CONCAT(L$5,$F37), "")</f>
        <v/>
      </c>
      <c r="M37" s="53" t="str">
        <f xml:space="preserve"> IF(十五音音節表!L34&lt;&gt;"", _xlfn.CONCAT(M$5,$F37), "")</f>
        <v>ㄆㄧㄤ</v>
      </c>
      <c r="N37" s="53" t="str">
        <f xml:space="preserve"> IF(十五音音節表!M34&lt;&gt;"", _xlfn.CONCAT(N$5,$F37), "")</f>
        <v/>
      </c>
      <c r="O37" s="53" t="str">
        <f xml:space="preserve"> IF(十五音音節表!N34&lt;&gt;"", _xlfn.CONCAT(O$5,$F37), "")</f>
        <v>ㄗㄧㄤ</v>
      </c>
      <c r="P37" s="53" t="str">
        <f xml:space="preserve"> IF(十五音音節表!O34&lt;&gt;"", _xlfn.CONCAT(P$5,$F37), "")</f>
        <v>ㆡㄧㄤ</v>
      </c>
      <c r="Q37" s="53" t="str">
        <f xml:space="preserve"> IF(十五音音節表!P34&lt;&gt;"", _xlfn.CONCAT(Q$5,$F37), "")</f>
        <v>ㄙㄧㄤ</v>
      </c>
      <c r="R37" s="53" t="str">
        <f xml:space="preserve"> IF(十五音音節表!Q34&lt;&gt;"", _xlfn.CONCAT(R$5,$F37), "")</f>
        <v>ㄧㄤ</v>
      </c>
      <c r="S37" s="53" t="str">
        <f xml:space="preserve"> IF(十五音音節表!R34&lt;&gt;"", _xlfn.CONCAT(S$5,$F37), "")</f>
        <v/>
      </c>
      <c r="T37" s="53" t="str">
        <f xml:space="preserve"> IF(十五音音節表!S34&lt;&gt;"", _xlfn.CONCAT(T$5,$F37), "")</f>
        <v/>
      </c>
      <c r="U37" s="53" t="str">
        <f xml:space="preserve"> IF(十五音音節表!T34&lt;&gt;"", _xlfn.CONCAT(U$5,$F37), "")</f>
        <v>ㆣㄧㄤ</v>
      </c>
      <c r="V37" s="53" t="str">
        <f xml:space="preserve"> IF(十五音音節表!U34&lt;&gt;"", _xlfn.CONCAT(V$5,$F37), "")</f>
        <v/>
      </c>
      <c r="W37" s="53" t="str">
        <f xml:space="preserve"> IF(十五音音節表!V34&lt;&gt;"", _xlfn.CONCAT(W$5,$F37), "")</f>
        <v>ㄘㄧㄤ</v>
      </c>
      <c r="X37" s="53" t="str">
        <f xml:space="preserve"> IF(十五音音節表!W34&lt;&gt;"", _xlfn.CONCAT(X$5,$F37), "")</f>
        <v>ㄏㄧㄤ</v>
      </c>
      <c r="Y37" s="142" t="s">
        <v>1135</v>
      </c>
      <c r="Z37" s="50" t="s">
        <v>192</v>
      </c>
      <c r="AA37" s="50" t="s">
        <v>96</v>
      </c>
    </row>
    <row r="38" spans="2:27" hidden="1" outlineLevel="1">
      <c r="B38" s="139" cm="1">
        <f t="array" ref="B38" xml:space="preserve"> INDEX(韻母表[韻序], MATCH(TRUE, EXACT($C38, 韻母表[十五音]), 0))</f>
        <v>18</v>
      </c>
      <c r="C38" s="50" t="s">
        <v>97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ɪak̚</v>
      </c>
      <c r="E38" s="50" t="str" cm="1">
        <f t="array" ref="E38" xml:space="preserve"> INDEX(韻母表[台羅拼音], MATCH(TRUE, EXACT($C38, 韻母表[十五音]), 0))</f>
        <v>iak</v>
      </c>
      <c r="F38" s="142" t="str" cm="1">
        <f t="array" ref="F38" xml:space="preserve"> INDEX(韻母表[方音符號], MATCH(TRUE, EXACT($C38, 韻母表[十五音]), 0))</f>
        <v>ㄧㄚㆻ</v>
      </c>
      <c r="G38" s="53" t="str">
        <f xml:space="preserve"> IF(十五音音節表!F35&lt;&gt;"", _xlfn.CONCAT(G$5,$F38), "")</f>
        <v/>
      </c>
      <c r="H38" s="53" t="str">
        <f xml:space="preserve"> IF(十五音音節表!G35&lt;&gt;"", _xlfn.CONCAT(H$5,$F38), "")</f>
        <v/>
      </c>
      <c r="I38" s="53" t="str">
        <f xml:space="preserve"> IF(十五音音節表!H35&lt;&gt;"", _xlfn.CONCAT(I$5,$F38), "")</f>
        <v>ㄅㄧㄚㆻ</v>
      </c>
      <c r="J38" s="53" t="str">
        <f xml:space="preserve"> IF(十五音音節表!I35&lt;&gt;"", _xlfn.CONCAT(J$5,$F38), "")</f>
        <v/>
      </c>
      <c r="K38" s="53" t="str">
        <f xml:space="preserve"> IF(十五音音節表!J35&lt;&gt;"", _xlfn.CONCAT(K$5,$F38), "")</f>
        <v>ㄎㄧㄚㆻ</v>
      </c>
      <c r="L38" s="53" t="str">
        <f xml:space="preserve"> IF(十五音音節表!K35&lt;&gt;"", _xlfn.CONCAT(L$5,$F38), "")</f>
        <v>ㄉㄧㄚㆻ</v>
      </c>
      <c r="M38" s="53" t="str">
        <f xml:space="preserve"> IF(十五音音節表!L35&lt;&gt;"", _xlfn.CONCAT(M$5,$F38), "")</f>
        <v>ㄆㄧㄚㆻ</v>
      </c>
      <c r="N38" s="53" t="str">
        <f xml:space="preserve"> IF(十五音音節表!M35&lt;&gt;"", _xlfn.CONCAT(N$5,$F38), "")</f>
        <v/>
      </c>
      <c r="O38" s="53" t="str">
        <f xml:space="preserve"> IF(十五音音節表!N35&lt;&gt;"", _xlfn.CONCAT(O$5,$F38), "")</f>
        <v/>
      </c>
      <c r="P38" s="53" t="str">
        <f xml:space="preserve"> IF(十五音音節表!O35&lt;&gt;"", _xlfn.CONCAT(P$5,$F38), "")</f>
        <v/>
      </c>
      <c r="Q38" s="53" t="str">
        <f xml:space="preserve"> IF(十五音音節表!P35&lt;&gt;"", _xlfn.CONCAT(Q$5,$F38), "")</f>
        <v>ㄙㄧㄚㆻ</v>
      </c>
      <c r="R38" s="53" t="str">
        <f xml:space="preserve"> IF(十五音音節表!Q35&lt;&gt;"", _xlfn.CONCAT(R$5,$F38), "")</f>
        <v/>
      </c>
      <c r="S38" s="53" t="str">
        <f xml:space="preserve"> IF(十五音音節表!R35&lt;&gt;"", _xlfn.CONCAT(S$5,$F38), "")</f>
        <v/>
      </c>
      <c r="T38" s="53" t="str">
        <f xml:space="preserve"> IF(十五音音節表!S35&lt;&gt;"", _xlfn.CONCAT(T$5,$F38), "")</f>
        <v/>
      </c>
      <c r="U38" s="53" t="str">
        <f xml:space="preserve"> IF(十五音音節表!T35&lt;&gt;"", _xlfn.CONCAT(U$5,$F38), "")</f>
        <v/>
      </c>
      <c r="V38" s="53" t="str">
        <f xml:space="preserve"> IF(十五音音節表!U35&lt;&gt;"", _xlfn.CONCAT(V$5,$F38), "")</f>
        <v/>
      </c>
      <c r="W38" s="53" t="str">
        <f xml:space="preserve"> IF(十五音音節表!V35&lt;&gt;"", _xlfn.CONCAT(W$5,$F38), "")</f>
        <v>ㄘㄧㄚㆻ</v>
      </c>
      <c r="X38" s="53" t="str">
        <f xml:space="preserve"> IF(十五音音節表!W35&lt;&gt;"", _xlfn.CONCAT(X$5,$F38), "")</f>
        <v/>
      </c>
      <c r="Y38" s="142" t="s">
        <v>1136</v>
      </c>
      <c r="Z38" s="50" t="s">
        <v>193</v>
      </c>
      <c r="AA38" s="50" t="s">
        <v>97</v>
      </c>
    </row>
    <row r="39" spans="2:27" collapsed="1">
      <c r="B39" s="139" cm="1">
        <f t="array" ref="B39" xml:space="preserve"> INDEX(韻母表[韻序], MATCH(TRUE, EXACT($C39, 韻母表[十五音]), 0))</f>
        <v>19</v>
      </c>
      <c r="C39" s="50" t="s">
        <v>98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am</v>
      </c>
      <c r="E39" s="50" t="str" cm="1">
        <f t="array" ref="E39" xml:space="preserve"> INDEX(韻母表[台羅拼音], MATCH(TRUE, EXACT($C39, 韻母表[十五音]), 0))</f>
        <v>am</v>
      </c>
      <c r="F39" s="142" t="str" cm="1">
        <f t="array" ref="F39" xml:space="preserve"> INDEX(韻母表[方音符號], MATCH(TRUE, EXACT($C39, 韻母表[十五音]), 0))</f>
        <v>ㆰ</v>
      </c>
      <c r="G39" s="53" t="str">
        <f xml:space="preserve"> IF(十五音音節表!F36&lt;&gt;"", _xlfn.CONCAT(G$5,$F39), "")</f>
        <v>ㄌㆰ</v>
      </c>
      <c r="H39" s="53" t="str">
        <f xml:space="preserve"> IF(十五音音節表!G36&lt;&gt;"", _xlfn.CONCAT(H$5,$F39), "")</f>
        <v/>
      </c>
      <c r="I39" s="53" t="str">
        <f xml:space="preserve"> IF(十五音音節表!H36&lt;&gt;"", _xlfn.CONCAT(I$5,$F39), "")</f>
        <v/>
      </c>
      <c r="J39" s="53" t="str">
        <f xml:space="preserve"> IF(十五音音節表!I36&lt;&gt;"", _xlfn.CONCAT(J$5,$F39), "")</f>
        <v>ㄍㆰ</v>
      </c>
      <c r="K39" s="53" t="str">
        <f xml:space="preserve"> IF(十五音音節表!J36&lt;&gt;"", _xlfn.CONCAT(K$5,$F39), "")</f>
        <v>ㄎㆰ</v>
      </c>
      <c r="L39" s="53" t="str">
        <f xml:space="preserve"> IF(十五音音節表!K36&lt;&gt;"", _xlfn.CONCAT(L$5,$F39), "")</f>
        <v>ㄉㆰ</v>
      </c>
      <c r="M39" s="53" t="str">
        <f xml:space="preserve"> IF(十五音音節表!L36&lt;&gt;"", _xlfn.CONCAT(M$5,$F39), "")</f>
        <v/>
      </c>
      <c r="N39" s="53" t="str">
        <f xml:space="preserve"> IF(十五音音節表!M36&lt;&gt;"", _xlfn.CONCAT(N$5,$F39), "")</f>
        <v>ㄊㆰ</v>
      </c>
      <c r="O39" s="53" t="str">
        <f xml:space="preserve"> IF(十五音音節表!N36&lt;&gt;"", _xlfn.CONCAT(O$5,$F39), "")</f>
        <v>ㄗㆰ</v>
      </c>
      <c r="P39" s="53" t="str">
        <f xml:space="preserve"> IF(十五音音節表!O36&lt;&gt;"", _xlfn.CONCAT(P$5,$F39), "")</f>
        <v/>
      </c>
      <c r="Q39" s="53" t="str">
        <f xml:space="preserve"> IF(十五音音節表!P36&lt;&gt;"", _xlfn.CONCAT(Q$5,$F39), "")</f>
        <v>ㄙㆰ</v>
      </c>
      <c r="R39" s="53" t="str">
        <f xml:space="preserve"> IF(十五音音節表!Q36&lt;&gt;"", _xlfn.CONCAT(R$5,$F39), "")</f>
        <v>ㆰ</v>
      </c>
      <c r="S39" s="53" t="str">
        <f xml:space="preserve"> IF(十五音音節表!R36&lt;&gt;"", _xlfn.CONCAT(S$5,$F39), "")</f>
        <v/>
      </c>
      <c r="T39" s="53" t="str">
        <f xml:space="preserve"> IF(十五音音節表!S36&lt;&gt;"", _xlfn.CONCAT(T$5,$F39), "")</f>
        <v/>
      </c>
      <c r="U39" s="53" t="str">
        <f xml:space="preserve"> IF(十五音音節表!T36&lt;&gt;"", _xlfn.CONCAT(U$5,$F39), "")</f>
        <v>ㆣㆰ</v>
      </c>
      <c r="V39" s="53" t="str">
        <f xml:space="preserve"> IF(十五音音節表!U36&lt;&gt;"", _xlfn.CONCAT(V$5,$F39), "")</f>
        <v/>
      </c>
      <c r="W39" s="53" t="str">
        <f xml:space="preserve"> IF(十五音音節表!V36&lt;&gt;"", _xlfn.CONCAT(W$5,$F39), "")</f>
        <v>ㄘㆰ</v>
      </c>
      <c r="X39" s="53" t="str">
        <f xml:space="preserve"> IF(十五音音節表!W36&lt;&gt;"", _xlfn.CONCAT(X$5,$F39), "")</f>
        <v>ㄏㆰ</v>
      </c>
      <c r="Y39" s="142" t="s">
        <v>1138</v>
      </c>
      <c r="Z39" s="50" t="s">
        <v>194</v>
      </c>
      <c r="AA39" s="50" t="s">
        <v>98</v>
      </c>
    </row>
    <row r="40" spans="2:27" hidden="1" outlineLevel="1">
      <c r="B40" s="139" cm="1">
        <f t="array" ref="B40" xml:space="preserve"> INDEX(韻母表[韻序], MATCH(TRUE, EXACT($C40, 韻母表[十五音]), 0))</f>
        <v>19</v>
      </c>
      <c r="C40" s="50" t="s">
        <v>99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ap̚</v>
      </c>
      <c r="E40" s="50" t="str" cm="1">
        <f t="array" ref="E40" xml:space="preserve"> INDEX(韻母表[台羅拼音], MATCH(TRUE, EXACT($C40, 韻母表[十五音]), 0))</f>
        <v>ap</v>
      </c>
      <c r="F40" s="142" t="str" cm="1">
        <f t="array" ref="F40" xml:space="preserve"> INDEX(韻母表[方音符號], MATCH(TRUE, EXACT($C40, 韻母表[十五音]), 0))</f>
        <v>ㄚㆴ</v>
      </c>
      <c r="G40" s="53" t="str">
        <f xml:space="preserve"> IF(十五音音節表!F37&lt;&gt;"", _xlfn.CONCAT(G$5,$F40), "")</f>
        <v>ㄌㄚㆴ</v>
      </c>
      <c r="H40" s="53" t="str">
        <f xml:space="preserve"> IF(十五音音節表!G37&lt;&gt;"", _xlfn.CONCAT(H$5,$F40), "")</f>
        <v/>
      </c>
      <c r="I40" s="53" t="str">
        <f xml:space="preserve"> IF(十五音音節表!H37&lt;&gt;"", _xlfn.CONCAT(I$5,$F40), "")</f>
        <v/>
      </c>
      <c r="J40" s="53" t="str">
        <f xml:space="preserve"> IF(十五音音節表!I37&lt;&gt;"", _xlfn.CONCAT(J$5,$F40), "")</f>
        <v>ㄍㄚㆴ</v>
      </c>
      <c r="K40" s="53" t="str">
        <f xml:space="preserve"> IF(十五音音節表!J37&lt;&gt;"", _xlfn.CONCAT(K$5,$F40), "")</f>
        <v>ㄎㄚㆴ</v>
      </c>
      <c r="L40" s="53" t="str">
        <f xml:space="preserve"> IF(十五音音節表!K37&lt;&gt;"", _xlfn.CONCAT(L$5,$F40), "")</f>
        <v>ㄉㄚㆴ</v>
      </c>
      <c r="M40" s="53" t="str">
        <f xml:space="preserve"> IF(十五音音節表!L37&lt;&gt;"", _xlfn.CONCAT(M$5,$F40), "")</f>
        <v/>
      </c>
      <c r="N40" s="53" t="str">
        <f xml:space="preserve"> IF(十五音音節表!M37&lt;&gt;"", _xlfn.CONCAT(N$5,$F40), "")</f>
        <v>ㄊㄚㆴ</v>
      </c>
      <c r="O40" s="53" t="str">
        <f xml:space="preserve"> IF(十五音音節表!N37&lt;&gt;"", _xlfn.CONCAT(O$5,$F40), "")</f>
        <v>ㄗㄚㆴ</v>
      </c>
      <c r="P40" s="53" t="str">
        <f xml:space="preserve"> IF(十五音音節表!O37&lt;&gt;"", _xlfn.CONCAT(P$5,$F40), "")</f>
        <v/>
      </c>
      <c r="Q40" s="53" t="str">
        <f xml:space="preserve"> IF(十五音音節表!P37&lt;&gt;"", _xlfn.CONCAT(Q$5,$F40), "")</f>
        <v>ㄙㄚㆴ</v>
      </c>
      <c r="R40" s="53" t="str">
        <f xml:space="preserve"> IF(十五音音節表!Q37&lt;&gt;"", _xlfn.CONCAT(R$5,$F40), "")</f>
        <v>ㄚㆴ</v>
      </c>
      <c r="S40" s="53" t="str">
        <f xml:space="preserve"> IF(十五音音節表!R37&lt;&gt;"", _xlfn.CONCAT(S$5,$F40), "")</f>
        <v/>
      </c>
      <c r="T40" s="53" t="str">
        <f xml:space="preserve"> IF(十五音音節表!S37&lt;&gt;"", _xlfn.CONCAT(T$5,$F40), "")</f>
        <v/>
      </c>
      <c r="U40" s="53" t="str">
        <f xml:space="preserve"> IF(十五音音節表!T37&lt;&gt;"", _xlfn.CONCAT(U$5,$F40), "")</f>
        <v/>
      </c>
      <c r="V40" s="53" t="str">
        <f xml:space="preserve"> IF(十五音音節表!U37&lt;&gt;"", _xlfn.CONCAT(V$5,$F40), "")</f>
        <v/>
      </c>
      <c r="W40" s="53" t="str">
        <f xml:space="preserve"> IF(十五音音節表!V37&lt;&gt;"", _xlfn.CONCAT(W$5,$F40), "")</f>
        <v>ㄘㄚㆴ</v>
      </c>
      <c r="X40" s="53" t="str">
        <f xml:space="preserve"> IF(十五音音節表!W37&lt;&gt;"", _xlfn.CONCAT(X$5,$F40), "")</f>
        <v>ㄏㄚㆴ</v>
      </c>
      <c r="Y40" s="142" t="s">
        <v>1141</v>
      </c>
      <c r="Z40" s="50" t="s">
        <v>195</v>
      </c>
      <c r="AA40" s="50" t="s">
        <v>99</v>
      </c>
    </row>
    <row r="41" spans="2:27" collapsed="1">
      <c r="B41" s="139" cm="1">
        <f t="array" ref="B41" xml:space="preserve"> INDEX(韻母表[韻序], MATCH(TRUE, EXACT($C41, 韻母表[十五音]), 0))</f>
        <v>20</v>
      </c>
      <c r="C41" s="50" t="s">
        <v>100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ua</v>
      </c>
      <c r="E41" s="50" t="str" cm="1">
        <f t="array" ref="E41" xml:space="preserve"> INDEX(韻母表[台羅拼音], MATCH(TRUE, EXACT($C41, 韻母表[十五音]), 0))</f>
        <v>ua</v>
      </c>
      <c r="F41" s="142" t="str" cm="1">
        <f t="array" ref="F41" xml:space="preserve"> INDEX(韻母表[方音符號], MATCH(TRUE, EXACT($C41, 韻母表[十五音]), 0))</f>
        <v>ㄨㄚ</v>
      </c>
      <c r="G41" s="53" t="str">
        <f xml:space="preserve"> IF(十五音音節表!F38&lt;&gt;"", _xlfn.CONCAT(G$5,$F41), "")</f>
        <v>ㄌㄨㄚ</v>
      </c>
      <c r="H41" s="53" t="str">
        <f xml:space="preserve"> IF(十五音音節表!G38&lt;&gt;"", _xlfn.CONCAT(H$5,$F41), "")</f>
        <v>ㄋㄨㄚ</v>
      </c>
      <c r="I41" s="53" t="str">
        <f xml:space="preserve"> IF(十五音音節表!H38&lt;&gt;"", _xlfn.CONCAT(I$5,$F41), "")</f>
        <v>ㄅㄨㄚ</v>
      </c>
      <c r="J41" s="53" t="str">
        <f xml:space="preserve"> IF(十五音音節表!I38&lt;&gt;"", _xlfn.CONCAT(J$5,$F41), "")</f>
        <v>ㄍㄨㄚ</v>
      </c>
      <c r="K41" s="53" t="str">
        <f xml:space="preserve"> IF(十五音音節表!J38&lt;&gt;"", _xlfn.CONCAT(K$5,$F41), "")</f>
        <v>ㄎㄨㄚ</v>
      </c>
      <c r="L41" s="53" t="str">
        <f xml:space="preserve"> IF(十五音音節表!K38&lt;&gt;"", _xlfn.CONCAT(L$5,$F41), "")</f>
        <v>ㄉㄨㄚ</v>
      </c>
      <c r="M41" s="53" t="str">
        <f xml:space="preserve"> IF(十五音音節表!L38&lt;&gt;"", _xlfn.CONCAT(M$5,$F41), "")</f>
        <v>ㄆㄨㄚ</v>
      </c>
      <c r="N41" s="53" t="str">
        <f xml:space="preserve"> IF(十五音音節表!M38&lt;&gt;"", _xlfn.CONCAT(N$5,$F41), "")</f>
        <v>ㄊㄨㄚ</v>
      </c>
      <c r="O41" s="53" t="str">
        <f xml:space="preserve"> IF(十五音音節表!N38&lt;&gt;"", _xlfn.CONCAT(O$5,$F41), "")</f>
        <v>ㄗㄨㄚ</v>
      </c>
      <c r="P41" s="53" t="str">
        <f xml:space="preserve"> IF(十五音音節表!O38&lt;&gt;"", _xlfn.CONCAT(P$5,$F41), "")</f>
        <v/>
      </c>
      <c r="Q41" s="53" t="str">
        <f xml:space="preserve"> IF(十五音音節表!P38&lt;&gt;"", _xlfn.CONCAT(Q$5,$F41), "")</f>
        <v>ㄙㄨㄚ</v>
      </c>
      <c r="R41" s="53" t="str">
        <f xml:space="preserve"> IF(十五音音節表!Q38&lt;&gt;"", _xlfn.CONCAT(R$5,$F41), "")</f>
        <v>ㄨㄚ</v>
      </c>
      <c r="S41" s="53" t="str">
        <f xml:space="preserve"> IF(十五音音節表!R38&lt;&gt;"", _xlfn.CONCAT(S$5,$F41), "")</f>
        <v>ㆠㄨㄚ</v>
      </c>
      <c r="T41" s="53" t="str">
        <f xml:space="preserve"> IF(十五音音節表!S38&lt;&gt;"", _xlfn.CONCAT(T$5,$F41), "")</f>
        <v>ㄇㄨㄚ</v>
      </c>
      <c r="U41" s="53" t="str">
        <f xml:space="preserve"> IF(十五音音節表!T38&lt;&gt;"", _xlfn.CONCAT(U$5,$F41), "")</f>
        <v>ㆣㄨㄚ</v>
      </c>
      <c r="V41" s="53" t="str">
        <f xml:space="preserve"> IF(十五音音節表!U38&lt;&gt;"", _xlfn.CONCAT(V$5,$F41), "")</f>
        <v/>
      </c>
      <c r="W41" s="53" t="str">
        <f xml:space="preserve"> IF(十五音音節表!V38&lt;&gt;"", _xlfn.CONCAT(W$5,$F41), "")</f>
        <v>ㄘㄨㄚ</v>
      </c>
      <c r="X41" s="53" t="str">
        <f xml:space="preserve"> IF(十五音音節表!W38&lt;&gt;"", _xlfn.CONCAT(X$5,$F41), "")</f>
        <v>ㄏㄨㄚ</v>
      </c>
      <c r="Y41" s="142" t="s">
        <v>1144</v>
      </c>
      <c r="Z41" s="50" t="s">
        <v>196</v>
      </c>
      <c r="AA41" s="50" t="s">
        <v>100</v>
      </c>
    </row>
    <row r="42" spans="2:27" hidden="1" outlineLevel="1">
      <c r="B42" s="139" cm="1">
        <f t="array" ref="B42" xml:space="preserve"> INDEX(韻母表[韻序], MATCH(TRUE, EXACT($C42, 韻母表[十五音]), 0))</f>
        <v>20</v>
      </c>
      <c r="C42" s="50" t="s">
        <v>101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uaʔ</v>
      </c>
      <c r="E42" s="50" t="str" cm="1">
        <f t="array" ref="E42" xml:space="preserve"> INDEX(韻母表[台羅拼音], MATCH(TRUE, EXACT($C42, 韻母表[十五音]), 0))</f>
        <v>uah</v>
      </c>
      <c r="F42" s="142" t="str" cm="1">
        <f t="array" ref="F42" xml:space="preserve"> INDEX(韻母表[方音符號], MATCH(TRUE, EXACT($C42, 韻母表[十五音]), 0))</f>
        <v>ㄨㄚㆷ</v>
      </c>
      <c r="G42" s="53" t="str">
        <f xml:space="preserve"> IF(十五音音節表!F39&lt;&gt;"", _xlfn.CONCAT(G$5,$F42), "")</f>
        <v>ㄌㄨㄚㆷ</v>
      </c>
      <c r="H42" s="53" t="str">
        <f xml:space="preserve"> IF(十五音音節表!G39&lt;&gt;"", _xlfn.CONCAT(H$5,$F42), "")</f>
        <v/>
      </c>
      <c r="I42" s="53" t="str">
        <f xml:space="preserve"> IF(十五音音節表!H39&lt;&gt;"", _xlfn.CONCAT(I$5,$F42), "")</f>
        <v>ㄅㄨㄚㆷ</v>
      </c>
      <c r="J42" s="53" t="str">
        <f xml:space="preserve"> IF(十五音音節表!I39&lt;&gt;"", _xlfn.CONCAT(J$5,$F42), "")</f>
        <v>ㄍㄨㄚㆷ</v>
      </c>
      <c r="K42" s="53" t="str">
        <f xml:space="preserve"> IF(十五音音節表!J39&lt;&gt;"", _xlfn.CONCAT(K$5,$F42), "")</f>
        <v>ㄎㄨㄚㆷ</v>
      </c>
      <c r="L42" s="53" t="str">
        <f xml:space="preserve"> IF(十五音音節表!K39&lt;&gt;"", _xlfn.CONCAT(L$5,$F42), "")</f>
        <v/>
      </c>
      <c r="M42" s="53" t="str">
        <f xml:space="preserve"> IF(十五音音節表!L39&lt;&gt;"", _xlfn.CONCAT(M$5,$F42), "")</f>
        <v>ㄆㄨㄚㆷ</v>
      </c>
      <c r="N42" s="53" t="str">
        <f xml:space="preserve"> IF(十五音音節表!M39&lt;&gt;"", _xlfn.CONCAT(N$5,$F42), "")</f>
        <v>ㄊㄨㄚㆷ</v>
      </c>
      <c r="O42" s="53" t="str">
        <f xml:space="preserve"> IF(十五音音節表!N39&lt;&gt;"", _xlfn.CONCAT(O$5,$F42), "")</f>
        <v>ㄗㄨㄚㆷ</v>
      </c>
      <c r="P42" s="53" t="str">
        <f xml:space="preserve"> IF(十五音音節表!O39&lt;&gt;"", _xlfn.CONCAT(P$5,$F42), "")</f>
        <v>ㆡㄨㄚㆷ</v>
      </c>
      <c r="Q42" s="53" t="str">
        <f xml:space="preserve"> IF(十五音音節表!P39&lt;&gt;"", _xlfn.CONCAT(Q$5,$F42), "")</f>
        <v>ㄙㄨㄚㆷ</v>
      </c>
      <c r="R42" s="53" t="str">
        <f xml:space="preserve"> IF(十五音音節表!Q39&lt;&gt;"", _xlfn.CONCAT(R$5,$F42), "")</f>
        <v>ㄨㄚㆷ</v>
      </c>
      <c r="S42" s="53" t="str">
        <f xml:space="preserve"> IF(十五音音節表!R39&lt;&gt;"", _xlfn.CONCAT(S$5,$F42), "")</f>
        <v>ㆠㄨㄚㆷ</v>
      </c>
      <c r="T42" s="53" t="str">
        <f xml:space="preserve"> IF(十五音音節表!S39&lt;&gt;"", _xlfn.CONCAT(T$5,$F42), "")</f>
        <v/>
      </c>
      <c r="U42" s="53" t="str">
        <f xml:space="preserve"> IF(十五音音節表!T39&lt;&gt;"", _xlfn.CONCAT(U$5,$F42), "")</f>
        <v/>
      </c>
      <c r="V42" s="53" t="str">
        <f xml:space="preserve"> IF(十五音音節表!U39&lt;&gt;"", _xlfn.CONCAT(V$5,$F42), "")</f>
        <v/>
      </c>
      <c r="W42" s="53" t="str">
        <f xml:space="preserve"> IF(十五音音節表!V39&lt;&gt;"", _xlfn.CONCAT(W$5,$F42), "")</f>
        <v>ㄘㄨㄚㆷ</v>
      </c>
      <c r="X42" s="53" t="str">
        <f xml:space="preserve"> IF(十五音音節表!W39&lt;&gt;"", _xlfn.CONCAT(X$5,$F42), "")</f>
        <v>ㄏㄨㄚㆷ</v>
      </c>
      <c r="Y42" s="142" t="s">
        <v>1147</v>
      </c>
      <c r="Z42" s="50" t="s">
        <v>197</v>
      </c>
      <c r="AA42" s="50" t="s">
        <v>101</v>
      </c>
    </row>
    <row r="43" spans="2:27" collapsed="1">
      <c r="B43" s="139" cm="1">
        <f t="array" ref="B43" xml:space="preserve"> INDEX(韻母表[韻序], MATCH(TRUE, EXACT($C43, 韻母表[十五音]), 0))</f>
        <v>21</v>
      </c>
      <c r="C43" s="50" t="s">
        <v>102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aŋ</v>
      </c>
      <c r="E43" s="50" t="str" cm="1">
        <f t="array" ref="E43" xml:space="preserve"> INDEX(韻母表[台羅拼音], MATCH(TRUE, EXACT($C43, 韻母表[十五音]), 0))</f>
        <v>ang</v>
      </c>
      <c r="F43" s="142" t="str" cm="1">
        <f t="array" ref="F43" xml:space="preserve"> INDEX(韻母表[方音符號], MATCH(TRUE, EXACT($C43, 韻母表[十五音]), 0))</f>
        <v>ㄤ</v>
      </c>
      <c r="G43" s="53" t="str">
        <f xml:space="preserve"> IF(十五音音節表!F40&lt;&gt;"", _xlfn.CONCAT(G$5,$F43), "")</f>
        <v>ㄌㄤ</v>
      </c>
      <c r="H43" s="53" t="str">
        <f xml:space="preserve"> IF(十五音音節表!G40&lt;&gt;"", _xlfn.CONCAT(H$5,$F43), "")</f>
        <v/>
      </c>
      <c r="I43" s="53" t="str">
        <f xml:space="preserve"> IF(十五音音節表!H40&lt;&gt;"", _xlfn.CONCAT(I$5,$F43), "")</f>
        <v>ㄅㄤ</v>
      </c>
      <c r="J43" s="53" t="str">
        <f xml:space="preserve"> IF(十五音音節表!I40&lt;&gt;"", _xlfn.CONCAT(J$5,$F43), "")</f>
        <v>ㄍㄤ</v>
      </c>
      <c r="K43" s="53" t="str">
        <f xml:space="preserve"> IF(十五音音節表!J40&lt;&gt;"", _xlfn.CONCAT(K$5,$F43), "")</f>
        <v>ㄎㄤ</v>
      </c>
      <c r="L43" s="53" t="str">
        <f xml:space="preserve"> IF(十五音音節表!K40&lt;&gt;"", _xlfn.CONCAT(L$5,$F43), "")</f>
        <v>ㄉㄤ</v>
      </c>
      <c r="M43" s="53" t="str">
        <f xml:space="preserve"> IF(十五音音節表!L40&lt;&gt;"", _xlfn.CONCAT(M$5,$F43), "")</f>
        <v>ㄆㄤ</v>
      </c>
      <c r="N43" s="53" t="str">
        <f xml:space="preserve"> IF(十五音音節表!M40&lt;&gt;"", _xlfn.CONCAT(N$5,$F43), "")</f>
        <v>ㄊㄤ</v>
      </c>
      <c r="O43" s="53" t="str">
        <f xml:space="preserve"> IF(十五音音節表!N40&lt;&gt;"", _xlfn.CONCAT(O$5,$F43), "")</f>
        <v>ㄗㄤ</v>
      </c>
      <c r="P43" s="53" t="str">
        <f xml:space="preserve"> IF(十五音音節表!O40&lt;&gt;"", _xlfn.CONCAT(P$5,$F43), "")</f>
        <v/>
      </c>
      <c r="Q43" s="53" t="str">
        <f xml:space="preserve"> IF(十五音音節表!P40&lt;&gt;"", _xlfn.CONCAT(Q$5,$F43), "")</f>
        <v>ㄙㄤ</v>
      </c>
      <c r="R43" s="53" t="str">
        <f xml:space="preserve"> IF(十五音音節表!Q40&lt;&gt;"", _xlfn.CONCAT(R$5,$F43), "")</f>
        <v>ㄤ</v>
      </c>
      <c r="S43" s="53" t="str">
        <f xml:space="preserve"> IF(十五音音節表!R40&lt;&gt;"", _xlfn.CONCAT(S$5,$F43), "")</f>
        <v>ㆠㄤ</v>
      </c>
      <c r="T43" s="53" t="str">
        <f xml:space="preserve"> IF(十五音音節表!S40&lt;&gt;"", _xlfn.CONCAT(T$5,$F43), "")</f>
        <v/>
      </c>
      <c r="U43" s="53" t="str">
        <f xml:space="preserve"> IF(十五音音節表!T40&lt;&gt;"", _xlfn.CONCAT(U$5,$F43), "")</f>
        <v>ㆣㄤ</v>
      </c>
      <c r="V43" s="53" t="str">
        <f xml:space="preserve"> IF(十五音音節表!U40&lt;&gt;"", _xlfn.CONCAT(V$5,$F43), "")</f>
        <v/>
      </c>
      <c r="W43" s="53" t="str">
        <f xml:space="preserve"> IF(十五音音節表!V40&lt;&gt;"", _xlfn.CONCAT(W$5,$F43), "")</f>
        <v>ㄘㄤ</v>
      </c>
      <c r="X43" s="53" t="str">
        <f xml:space="preserve"> IF(十五音音節表!W40&lt;&gt;"", _xlfn.CONCAT(X$5,$F43), "")</f>
        <v>ㄏㄤ</v>
      </c>
      <c r="Y43" s="142" t="s">
        <v>1149</v>
      </c>
      <c r="Z43" s="50" t="s">
        <v>198</v>
      </c>
      <c r="AA43" s="50" t="s">
        <v>102</v>
      </c>
    </row>
    <row r="44" spans="2:27" hidden="1" outlineLevel="1">
      <c r="B44" s="139" cm="1">
        <f t="array" ref="B44" xml:space="preserve"> INDEX(韻母表[韻序], MATCH(TRUE, EXACT($C44, 韻母表[十五音]), 0))</f>
        <v>21</v>
      </c>
      <c r="C44" s="50" t="s">
        <v>103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ak̚</v>
      </c>
      <c r="E44" s="50" t="str" cm="1">
        <f t="array" ref="E44" xml:space="preserve"> INDEX(韻母表[台羅拼音], MATCH(TRUE, EXACT($C44, 韻母表[十五音]), 0))</f>
        <v>ak</v>
      </c>
      <c r="F44" s="142" t="str" cm="1">
        <f t="array" ref="F44" xml:space="preserve"> INDEX(韻母表[方音符號], MATCH(TRUE, EXACT($C44, 韻母表[十五音]), 0))</f>
        <v>ㄚㆻ</v>
      </c>
      <c r="G44" s="53" t="str">
        <f xml:space="preserve"> IF(十五音音節表!F41&lt;&gt;"", _xlfn.CONCAT(G$5,$F44), "")</f>
        <v>ㄌㄚㆻ</v>
      </c>
      <c r="H44" s="53" t="str">
        <f xml:space="preserve"> IF(十五音音節表!G41&lt;&gt;"", _xlfn.CONCAT(H$5,$F44), "")</f>
        <v/>
      </c>
      <c r="I44" s="53" t="str">
        <f xml:space="preserve"> IF(十五音音節表!H41&lt;&gt;"", _xlfn.CONCAT(I$5,$F44), "")</f>
        <v>ㄅㄚㆻ</v>
      </c>
      <c r="J44" s="53" t="str">
        <f xml:space="preserve"> IF(十五音音節表!I41&lt;&gt;"", _xlfn.CONCAT(J$5,$F44), "")</f>
        <v>ㄍㄚㆻ</v>
      </c>
      <c r="K44" s="53" t="str">
        <f xml:space="preserve"> IF(十五音音節表!J41&lt;&gt;"", _xlfn.CONCAT(K$5,$F44), "")</f>
        <v>ㄎㄚㆻ</v>
      </c>
      <c r="L44" s="53" t="str">
        <f xml:space="preserve"> IF(十五音音節表!K41&lt;&gt;"", _xlfn.CONCAT(L$5,$F44), "")</f>
        <v>ㄉㄚㆻ</v>
      </c>
      <c r="M44" s="53" t="str">
        <f xml:space="preserve"> IF(十五音音節表!L41&lt;&gt;"", _xlfn.CONCAT(M$5,$F44), "")</f>
        <v>ㄆㄚㆻ</v>
      </c>
      <c r="N44" s="53" t="str">
        <f xml:space="preserve"> IF(十五音音節表!M41&lt;&gt;"", _xlfn.CONCAT(N$5,$F44), "")</f>
        <v>ㄊㄚㆻ</v>
      </c>
      <c r="O44" s="53" t="str">
        <f xml:space="preserve"> IF(十五音音節表!N41&lt;&gt;"", _xlfn.CONCAT(O$5,$F44), "")</f>
        <v>ㄗㄚㆻ</v>
      </c>
      <c r="P44" s="53" t="str">
        <f xml:space="preserve"> IF(十五音音節表!O41&lt;&gt;"", _xlfn.CONCAT(P$5,$F44), "")</f>
        <v/>
      </c>
      <c r="Q44" s="53" t="str">
        <f xml:space="preserve"> IF(十五音音節表!P41&lt;&gt;"", _xlfn.CONCAT(Q$5,$F44), "")</f>
        <v>ㄙㄚㆻ</v>
      </c>
      <c r="R44" s="53" t="str">
        <f xml:space="preserve"> IF(十五音音節表!Q41&lt;&gt;"", _xlfn.CONCAT(R$5,$F44), "")</f>
        <v>ㄚㆻ</v>
      </c>
      <c r="S44" s="53" t="str">
        <f xml:space="preserve"> IF(十五音音節表!R41&lt;&gt;"", _xlfn.CONCAT(S$5,$F44), "")</f>
        <v>ㆠㄚㆻ</v>
      </c>
      <c r="T44" s="53" t="str">
        <f xml:space="preserve"> IF(十五音音節表!S41&lt;&gt;"", _xlfn.CONCAT(T$5,$F44), "")</f>
        <v/>
      </c>
      <c r="U44" s="53" t="str">
        <f xml:space="preserve"> IF(十五音音節表!T41&lt;&gt;"", _xlfn.CONCAT(U$5,$F44), "")</f>
        <v>ㆣㄚㆻ</v>
      </c>
      <c r="V44" s="53" t="str">
        <f xml:space="preserve"> IF(十五音音節表!U41&lt;&gt;"", _xlfn.CONCAT(V$5,$F44), "")</f>
        <v/>
      </c>
      <c r="W44" s="53" t="str">
        <f xml:space="preserve"> IF(十五音音節表!V41&lt;&gt;"", _xlfn.CONCAT(W$5,$F44), "")</f>
        <v>ㄘㄚㆻ</v>
      </c>
      <c r="X44" s="53" t="str">
        <f xml:space="preserve"> IF(十五音音節表!W41&lt;&gt;"", _xlfn.CONCAT(X$5,$F44), "")</f>
        <v>ㄏㄚㆻ</v>
      </c>
      <c r="Y44" s="142" t="s">
        <v>1151</v>
      </c>
      <c r="Z44" s="50" t="s">
        <v>199</v>
      </c>
      <c r="AA44" s="50" t="s">
        <v>103</v>
      </c>
    </row>
    <row r="45" spans="2:27" collapsed="1">
      <c r="B45" s="139" cm="1">
        <f t="array" ref="B45" xml:space="preserve"> INDEX(韻母表[韻序], MATCH(TRUE, EXACT($C45, 韻母表[十五音]), 0))</f>
        <v>22</v>
      </c>
      <c r="C45" s="50" t="s">
        <v>104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ɪam</v>
      </c>
      <c r="E45" s="50" t="str" cm="1">
        <f t="array" ref="E45" xml:space="preserve"> INDEX(韻母表[台羅拼音], MATCH(TRUE, EXACT($C45, 韻母表[十五音]), 0))</f>
        <v>iam</v>
      </c>
      <c r="F45" s="142" t="str" cm="1">
        <f t="array" ref="F45" xml:space="preserve"> INDEX(韻母表[方音符號], MATCH(TRUE, EXACT($C45, 韻母表[十五音]), 0))</f>
        <v>ㄧㆰ</v>
      </c>
      <c r="G45" s="53" t="str">
        <f xml:space="preserve"> IF(十五音音節表!F42&lt;&gt;"", _xlfn.CONCAT(G$5,$F45), "")</f>
        <v>ㄌㄧㆰ</v>
      </c>
      <c r="H45" s="53" t="str">
        <f xml:space="preserve"> IF(十五音音節表!G42&lt;&gt;"", _xlfn.CONCAT(H$5,$F45), "")</f>
        <v/>
      </c>
      <c r="I45" s="53" t="str">
        <f xml:space="preserve"> IF(十五音音節表!H42&lt;&gt;"", _xlfn.CONCAT(I$5,$F45), "")</f>
        <v/>
      </c>
      <c r="J45" s="53" t="str">
        <f xml:space="preserve"> IF(十五音音節表!I42&lt;&gt;"", _xlfn.CONCAT(J$5,$F45), "")</f>
        <v>ㄍㄧㆰ</v>
      </c>
      <c r="K45" s="53" t="str">
        <f xml:space="preserve"> IF(十五音音節表!J42&lt;&gt;"", _xlfn.CONCAT(K$5,$F45), "")</f>
        <v>ㄎㄧㆰ</v>
      </c>
      <c r="L45" s="53" t="str">
        <f xml:space="preserve"> IF(十五音音節表!K42&lt;&gt;"", _xlfn.CONCAT(L$5,$F45), "")</f>
        <v>ㄉㄧㆰ</v>
      </c>
      <c r="M45" s="53" t="str">
        <f xml:space="preserve"> IF(十五音音節表!L42&lt;&gt;"", _xlfn.CONCAT(M$5,$F45), "")</f>
        <v/>
      </c>
      <c r="N45" s="53" t="str">
        <f xml:space="preserve"> IF(十五音音節表!M42&lt;&gt;"", _xlfn.CONCAT(N$5,$F45), "")</f>
        <v>ㄊㄧㆰ</v>
      </c>
      <c r="O45" s="53" t="str">
        <f xml:space="preserve"> IF(十五音音節表!N42&lt;&gt;"", _xlfn.CONCAT(O$5,$F45), "")</f>
        <v>ㄗㄧㆰ</v>
      </c>
      <c r="P45" s="53" t="str">
        <f xml:space="preserve"> IF(十五音音節表!O42&lt;&gt;"", _xlfn.CONCAT(P$5,$F45), "")</f>
        <v>ㆡㄧㆰ</v>
      </c>
      <c r="Q45" s="53" t="str">
        <f xml:space="preserve"> IF(十五音音節表!P42&lt;&gt;"", _xlfn.CONCAT(Q$5,$F45), "")</f>
        <v>ㄙㄧㆰ</v>
      </c>
      <c r="R45" s="53" t="str">
        <f xml:space="preserve"> IF(十五音音節表!Q42&lt;&gt;"", _xlfn.CONCAT(R$5,$F45), "")</f>
        <v>ㄧㆰ</v>
      </c>
      <c r="S45" s="53" t="str">
        <f xml:space="preserve"> IF(十五音音節表!R42&lt;&gt;"", _xlfn.CONCAT(S$5,$F45), "")</f>
        <v/>
      </c>
      <c r="T45" s="53" t="str">
        <f xml:space="preserve"> IF(十五音音節表!S42&lt;&gt;"", _xlfn.CONCAT(T$5,$F45), "")</f>
        <v/>
      </c>
      <c r="U45" s="53" t="str">
        <f xml:space="preserve"> IF(十五音音節表!T42&lt;&gt;"", _xlfn.CONCAT(U$5,$F45), "")</f>
        <v>ㆣㄧㆰ</v>
      </c>
      <c r="V45" s="53" t="str">
        <f xml:space="preserve"> IF(十五音音節表!U42&lt;&gt;"", _xlfn.CONCAT(V$5,$F45), "")</f>
        <v/>
      </c>
      <c r="W45" s="53" t="str">
        <f xml:space="preserve"> IF(十五音音節表!V42&lt;&gt;"", _xlfn.CONCAT(W$5,$F45), "")</f>
        <v>ㄘㄧㆰ</v>
      </c>
      <c r="X45" s="53" t="str">
        <f xml:space="preserve"> IF(十五音音節表!W42&lt;&gt;"", _xlfn.CONCAT(X$5,$F45), "")</f>
        <v>ㄏㄧㆰ</v>
      </c>
      <c r="Y45" s="142" t="s">
        <v>1153</v>
      </c>
      <c r="Z45" s="50" t="s">
        <v>200</v>
      </c>
      <c r="AA45" s="50" t="s">
        <v>104</v>
      </c>
    </row>
    <row r="46" spans="2:27" hidden="1" outlineLevel="1">
      <c r="B46" s="139" cm="1">
        <f t="array" ref="B46" xml:space="preserve"> INDEX(韻母表[韻序], MATCH(TRUE, EXACT($C46, 韻母表[十五音]), 0))</f>
        <v>22</v>
      </c>
      <c r="C46" s="50" t="s">
        <v>105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ɪap̚</v>
      </c>
      <c r="E46" s="50" t="str" cm="1">
        <f t="array" ref="E46" xml:space="preserve"> INDEX(韻母表[台羅拼音], MATCH(TRUE, EXACT($C46, 韻母表[十五音]), 0))</f>
        <v>iap</v>
      </c>
      <c r="F46" s="142" t="str" cm="1">
        <f t="array" ref="F46" xml:space="preserve"> INDEX(韻母表[方音符號], MATCH(TRUE, EXACT($C46, 韻母表[十五音]), 0))</f>
        <v>ㄧㄚㆴ</v>
      </c>
      <c r="G46" s="53" t="str">
        <f xml:space="preserve"> IF(十五音音節表!F43&lt;&gt;"", _xlfn.CONCAT(G$5,$F46), "")</f>
        <v>ㄌㄧㄚㆴ</v>
      </c>
      <c r="H46" s="53" t="str">
        <f xml:space="preserve"> IF(十五音音節表!G43&lt;&gt;"", _xlfn.CONCAT(H$5,$F46), "")</f>
        <v/>
      </c>
      <c r="I46" s="53" t="str">
        <f xml:space="preserve"> IF(十五音音節表!H43&lt;&gt;"", _xlfn.CONCAT(I$5,$F46), "")</f>
        <v/>
      </c>
      <c r="J46" s="53" t="str">
        <f xml:space="preserve"> IF(十五音音節表!I43&lt;&gt;"", _xlfn.CONCAT(J$5,$F46), "")</f>
        <v>ㄍㄧㄚㆴ</v>
      </c>
      <c r="K46" s="53" t="str">
        <f xml:space="preserve"> IF(十五音音節表!J43&lt;&gt;"", _xlfn.CONCAT(K$5,$F46), "")</f>
        <v>ㄎㄧㄚㆴ</v>
      </c>
      <c r="L46" s="53" t="str">
        <f xml:space="preserve"> IF(十五音音節表!K43&lt;&gt;"", _xlfn.CONCAT(L$5,$F46), "")</f>
        <v>ㄉㄧㄚㆴ</v>
      </c>
      <c r="M46" s="53" t="str">
        <f xml:space="preserve"> IF(十五音音節表!L43&lt;&gt;"", _xlfn.CONCAT(M$5,$F46), "")</f>
        <v/>
      </c>
      <c r="N46" s="53" t="str">
        <f xml:space="preserve"> IF(十五音音節表!M43&lt;&gt;"", _xlfn.CONCAT(N$5,$F46), "")</f>
        <v>ㄊㄧㄚㆴ</v>
      </c>
      <c r="O46" s="53" t="str">
        <f xml:space="preserve"> IF(十五音音節表!N43&lt;&gt;"", _xlfn.CONCAT(O$5,$F46), "")</f>
        <v>ㄗㄧㄚㆴ</v>
      </c>
      <c r="P46" s="53" t="str">
        <f xml:space="preserve"> IF(十五音音節表!O43&lt;&gt;"", _xlfn.CONCAT(P$5,$F46), "")</f>
        <v>ㆡㄧㄚㆴ</v>
      </c>
      <c r="Q46" s="53" t="str">
        <f xml:space="preserve"> IF(十五音音節表!P43&lt;&gt;"", _xlfn.CONCAT(Q$5,$F46), "")</f>
        <v>ㄙㄧㄚㆴ</v>
      </c>
      <c r="R46" s="53" t="str">
        <f xml:space="preserve"> IF(十五音音節表!Q43&lt;&gt;"", _xlfn.CONCAT(R$5,$F46), "")</f>
        <v>ㄧㄚㆴ</v>
      </c>
      <c r="S46" s="53" t="str">
        <f xml:space="preserve"> IF(十五音音節表!R43&lt;&gt;"", _xlfn.CONCAT(S$5,$F46), "")</f>
        <v/>
      </c>
      <c r="T46" s="53" t="str">
        <f xml:space="preserve"> IF(十五音音節表!S43&lt;&gt;"", _xlfn.CONCAT(T$5,$F46), "")</f>
        <v/>
      </c>
      <c r="U46" s="53" t="str">
        <f xml:space="preserve"> IF(十五音音節表!T43&lt;&gt;"", _xlfn.CONCAT(U$5,$F46), "")</f>
        <v>ㆣㄧㄚㆴ</v>
      </c>
      <c r="V46" s="53" t="str">
        <f xml:space="preserve"> IF(十五音音節表!U43&lt;&gt;"", _xlfn.CONCAT(V$5,$F46), "")</f>
        <v/>
      </c>
      <c r="W46" s="53" t="str">
        <f xml:space="preserve"> IF(十五音音節表!V43&lt;&gt;"", _xlfn.CONCAT(W$5,$F46), "")</f>
        <v>ㄘㄧㄚㆴ</v>
      </c>
      <c r="X46" s="53" t="str">
        <f xml:space="preserve"> IF(十五音音節表!W43&lt;&gt;"", _xlfn.CONCAT(X$5,$F46), "")</f>
        <v>ㄏㄧㄚㆴ</v>
      </c>
      <c r="Y46" s="142" t="s">
        <v>1155</v>
      </c>
      <c r="Z46" s="50" t="s">
        <v>201</v>
      </c>
      <c r="AA46" s="50" t="s">
        <v>105</v>
      </c>
    </row>
    <row r="47" spans="2:27" collapsed="1">
      <c r="B47" s="139" cm="1">
        <f t="array" ref="B47" xml:space="preserve"> INDEX(韻母表[韻序], MATCH(TRUE, EXACT($C47, 韻母表[十五音]), 0))</f>
        <v>23</v>
      </c>
      <c r="C47" s="50" t="s">
        <v>106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aʊ</v>
      </c>
      <c r="E47" s="50" t="str" cm="1">
        <f t="array" ref="E47" xml:space="preserve"> INDEX(韻母表[台羅拼音], MATCH(TRUE, EXACT($C47, 韻母表[十五音]), 0))</f>
        <v>au</v>
      </c>
      <c r="F47" s="142" t="str" cm="1">
        <f t="array" ref="F47" xml:space="preserve"> INDEX(韻母表[方音符號], MATCH(TRUE, EXACT($C47, 韻母表[十五音]), 0))</f>
        <v>ㄠ</v>
      </c>
      <c r="G47" s="53" t="str">
        <f xml:space="preserve"> IF(十五音音節表!F44&lt;&gt;"", _xlfn.CONCAT(G$5,$F47), "")</f>
        <v>ㄌㄠ</v>
      </c>
      <c r="H47" s="53" t="str">
        <f xml:space="preserve"> IF(十五音音節表!G44&lt;&gt;"", _xlfn.CONCAT(H$5,$F47), "")</f>
        <v>ㄋㄠ</v>
      </c>
      <c r="I47" s="53" t="str">
        <f xml:space="preserve"> IF(十五音音節表!H44&lt;&gt;"", _xlfn.CONCAT(I$5,$F47), "")</f>
        <v>ㄅㄠ</v>
      </c>
      <c r="J47" s="53" t="str">
        <f xml:space="preserve"> IF(十五音音節表!I44&lt;&gt;"", _xlfn.CONCAT(J$5,$F47), "")</f>
        <v>ㄍㄠ</v>
      </c>
      <c r="K47" s="53" t="str">
        <f xml:space="preserve"> IF(十五音音節表!J44&lt;&gt;"", _xlfn.CONCAT(K$5,$F47), "")</f>
        <v>ㄎㄠ</v>
      </c>
      <c r="L47" s="53" t="str">
        <f xml:space="preserve"> IF(十五音音節表!K44&lt;&gt;"", _xlfn.CONCAT(L$5,$F47), "")</f>
        <v>ㄉㄠ</v>
      </c>
      <c r="M47" s="53" t="str">
        <f xml:space="preserve"> IF(十五音音節表!L44&lt;&gt;"", _xlfn.CONCAT(M$5,$F47), "")</f>
        <v>ㄆㄠ</v>
      </c>
      <c r="N47" s="53" t="str">
        <f xml:space="preserve"> IF(十五音音節表!M44&lt;&gt;"", _xlfn.CONCAT(N$5,$F47), "")</f>
        <v>ㄊㄠ</v>
      </c>
      <c r="O47" s="53" t="str">
        <f xml:space="preserve"> IF(十五音音節表!N44&lt;&gt;"", _xlfn.CONCAT(O$5,$F47), "")</f>
        <v>ㄗㄠ</v>
      </c>
      <c r="P47" s="53" t="str">
        <f xml:space="preserve"> IF(十五音音節表!O44&lt;&gt;"", _xlfn.CONCAT(P$5,$F47), "")</f>
        <v/>
      </c>
      <c r="Q47" s="53" t="str">
        <f xml:space="preserve"> IF(十五音音節表!P44&lt;&gt;"", _xlfn.CONCAT(Q$5,$F47), "")</f>
        <v>ㄙㄠ</v>
      </c>
      <c r="R47" s="53" t="str">
        <f xml:space="preserve"> IF(十五音音節表!Q44&lt;&gt;"", _xlfn.CONCAT(R$5,$F47), "")</f>
        <v>ㄠ</v>
      </c>
      <c r="S47" s="53" t="str">
        <f xml:space="preserve"> IF(十五音音節表!R44&lt;&gt;"", _xlfn.CONCAT(S$5,$F47), "")</f>
        <v>ㆠㄠ</v>
      </c>
      <c r="T47" s="53" t="str">
        <f xml:space="preserve"> IF(十五音音節表!S44&lt;&gt;"", _xlfn.CONCAT(T$5,$F47), "")</f>
        <v>ㄇㄠ</v>
      </c>
      <c r="U47" s="53" t="str">
        <f xml:space="preserve"> IF(十五音音節表!T44&lt;&gt;"", _xlfn.CONCAT(U$5,$F47), "")</f>
        <v>ㆣㄠ</v>
      </c>
      <c r="V47" s="53" t="str">
        <f xml:space="preserve"> IF(十五音音節表!U44&lt;&gt;"", _xlfn.CONCAT(V$5,$F47), "")</f>
        <v>ㄫㄠ</v>
      </c>
      <c r="W47" s="53" t="str">
        <f xml:space="preserve"> IF(十五音音節表!V44&lt;&gt;"", _xlfn.CONCAT(W$5,$F47), "")</f>
        <v>ㄘㄠ</v>
      </c>
      <c r="X47" s="53" t="str">
        <f xml:space="preserve"> IF(十五音音節表!W44&lt;&gt;"", _xlfn.CONCAT(X$5,$F47), "")</f>
        <v>ㄏㄠ</v>
      </c>
      <c r="Y47" s="142" t="s">
        <v>1158</v>
      </c>
      <c r="Z47" s="50" t="s">
        <v>202</v>
      </c>
      <c r="AA47" s="50" t="s">
        <v>106</v>
      </c>
    </row>
    <row r="48" spans="2:27" hidden="1" outlineLevel="1">
      <c r="B48" s="139" cm="1">
        <f t="array" ref="B48" xml:space="preserve"> INDEX(韻母表[韻序], MATCH(TRUE, EXACT($C48, 韻母表[十五音]), 0))</f>
        <v>23</v>
      </c>
      <c r="C48" s="50" t="s">
        <v>107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auʔ</v>
      </c>
      <c r="E48" s="50" t="str" cm="1">
        <f t="array" ref="E48" xml:space="preserve"> INDEX(韻母表[台羅拼音], MATCH(TRUE, EXACT($C48, 韻母表[十五音]), 0))</f>
        <v>auh</v>
      </c>
      <c r="F48" s="142" t="str" cm="1">
        <f t="array" ref="F48" xml:space="preserve"> INDEX(韻母表[方音符號], MATCH(TRUE, EXACT($C48, 韻母表[十五音]), 0))</f>
        <v>ㄠㆷ</v>
      </c>
      <c r="G48" s="53" t="str">
        <f xml:space="preserve"> IF(十五音音節表!F45&lt;&gt;"", _xlfn.CONCAT(G$5,$F48), "")</f>
        <v>ㄌㄠㆷ</v>
      </c>
      <c r="H48" s="53" t="str">
        <f xml:space="preserve"> IF(十五音音節表!G45&lt;&gt;"", _xlfn.CONCAT(H$5,$F48), "")</f>
        <v>ㄋㄠㆷ</v>
      </c>
      <c r="I48" s="53" t="str">
        <f xml:space="preserve"> IF(十五音音節表!H45&lt;&gt;"", _xlfn.CONCAT(I$5,$F48), "")</f>
        <v/>
      </c>
      <c r="J48" s="53" t="str">
        <f xml:space="preserve"> IF(十五音音節表!I45&lt;&gt;"", _xlfn.CONCAT(J$5,$F48), "")</f>
        <v>ㄍㄠㆷ</v>
      </c>
      <c r="K48" s="53" t="str">
        <f xml:space="preserve"> IF(十五音音節表!J45&lt;&gt;"", _xlfn.CONCAT(K$5,$F48), "")</f>
        <v/>
      </c>
      <c r="L48" s="53" t="str">
        <f xml:space="preserve"> IF(十五音音節表!K45&lt;&gt;"", _xlfn.CONCAT(L$5,$F48), "")</f>
        <v>ㄉㄠㆷ</v>
      </c>
      <c r="M48" s="53" t="str">
        <f xml:space="preserve"> IF(十五音音節表!L45&lt;&gt;"", _xlfn.CONCAT(M$5,$F48), "")</f>
        <v>ㄆㄠㆷ</v>
      </c>
      <c r="N48" s="53" t="str">
        <f xml:space="preserve"> IF(十五音音節表!M45&lt;&gt;"", _xlfn.CONCAT(N$5,$F48), "")</f>
        <v/>
      </c>
      <c r="O48" s="53" t="str">
        <f xml:space="preserve"> IF(十五音音節表!N45&lt;&gt;"", _xlfn.CONCAT(O$5,$F48), "")</f>
        <v/>
      </c>
      <c r="P48" s="53" t="str">
        <f xml:space="preserve"> IF(十五音音節表!O45&lt;&gt;"", _xlfn.CONCAT(P$5,$F48), "")</f>
        <v/>
      </c>
      <c r="Q48" s="53" t="str">
        <f xml:space="preserve"> IF(十五音音節表!P45&lt;&gt;"", _xlfn.CONCAT(Q$5,$F48), "")</f>
        <v/>
      </c>
      <c r="R48" s="53" t="str">
        <f xml:space="preserve"> IF(十五音音節表!Q45&lt;&gt;"", _xlfn.CONCAT(R$5,$F48), "")</f>
        <v/>
      </c>
      <c r="S48" s="53" t="str">
        <f xml:space="preserve"> IF(十五音音節表!R45&lt;&gt;"", _xlfn.CONCAT(S$5,$F48), "")</f>
        <v/>
      </c>
      <c r="T48" s="53" t="str">
        <f xml:space="preserve"> IF(十五音音節表!S45&lt;&gt;"", _xlfn.CONCAT(T$5,$F48), "")</f>
        <v>ㄇㄠㆷ</v>
      </c>
      <c r="U48" s="53" t="str">
        <f xml:space="preserve"> IF(十五音音節表!T45&lt;&gt;"", _xlfn.CONCAT(U$5,$F48), "")</f>
        <v/>
      </c>
      <c r="V48" s="53" t="str">
        <f xml:space="preserve"> IF(十五音音節表!U45&lt;&gt;"", _xlfn.CONCAT(V$5,$F48), "")</f>
        <v/>
      </c>
      <c r="W48" s="53" t="str">
        <f xml:space="preserve"> IF(十五音音節表!V45&lt;&gt;"", _xlfn.CONCAT(W$5,$F48), "")</f>
        <v>ㄘㄠㆷ</v>
      </c>
      <c r="X48" s="53" t="str">
        <f xml:space="preserve"> IF(十五音音節表!W45&lt;&gt;"", _xlfn.CONCAT(X$5,$F48), "")</f>
        <v/>
      </c>
      <c r="Y48" s="142" t="s">
        <v>1161</v>
      </c>
      <c r="Z48" s="50" t="s">
        <v>203</v>
      </c>
      <c r="AA48" s="50" t="s">
        <v>107</v>
      </c>
    </row>
    <row r="49" spans="2:27" collapsed="1">
      <c r="B49" s="139" cm="1">
        <f t="array" ref="B49" xml:space="preserve"> INDEX(韻母表[韻序], MATCH(TRUE, EXACT($C49, 韻母表[十五音]), 0))</f>
        <v>24</v>
      </c>
      <c r="C49" s="50" t="s">
        <v>108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ɪa</v>
      </c>
      <c r="E49" s="50" t="str" cm="1">
        <f t="array" ref="E49" xml:space="preserve"> INDEX(韻母表[台羅拼音], MATCH(TRUE, EXACT($C49, 韻母表[十五音]), 0))</f>
        <v>ia</v>
      </c>
      <c r="F49" s="142" t="str" cm="1">
        <f t="array" ref="F49" xml:space="preserve"> INDEX(韻母表[方音符號], MATCH(TRUE, EXACT($C49, 韻母表[十五音]), 0))</f>
        <v>ㄧㄚ</v>
      </c>
      <c r="G49" s="53" t="str">
        <f xml:space="preserve"> IF(十五音音節表!F46&lt;&gt;"", _xlfn.CONCAT(G$5,$F49), "")</f>
        <v/>
      </c>
      <c r="H49" s="53" t="str">
        <f xml:space="preserve"> IF(十五音音節表!G46&lt;&gt;"", _xlfn.CONCAT(H$5,$F49), "")</f>
        <v>ㄋㄧㄚ</v>
      </c>
      <c r="I49" s="53" t="str">
        <f xml:space="preserve"> IF(十五音音節表!H46&lt;&gt;"", _xlfn.CONCAT(I$5,$F49), "")</f>
        <v/>
      </c>
      <c r="J49" s="53" t="str">
        <f xml:space="preserve"> IF(十五音音節表!I46&lt;&gt;"", _xlfn.CONCAT(J$5,$F49), "")</f>
        <v>ㄍㄧㄚ</v>
      </c>
      <c r="K49" s="53" t="str">
        <f xml:space="preserve"> IF(十五音音節表!J46&lt;&gt;"", _xlfn.CONCAT(K$5,$F49), "")</f>
        <v>ㄎㄧㄚ</v>
      </c>
      <c r="L49" s="53" t="str">
        <f xml:space="preserve"> IF(十五音音節表!K46&lt;&gt;"", _xlfn.CONCAT(L$5,$F49), "")</f>
        <v>ㄉㄧㄚ</v>
      </c>
      <c r="M49" s="53" t="str">
        <f xml:space="preserve"> IF(十五音音節表!L46&lt;&gt;"", _xlfn.CONCAT(M$5,$F49), "")</f>
        <v/>
      </c>
      <c r="N49" s="53" t="str">
        <f xml:space="preserve"> IF(十五音音節表!M46&lt;&gt;"", _xlfn.CONCAT(N$5,$F49), "")</f>
        <v/>
      </c>
      <c r="O49" s="53" t="str">
        <f xml:space="preserve"> IF(十五音音節表!N46&lt;&gt;"", _xlfn.CONCAT(O$5,$F49), "")</f>
        <v>ㄗㄧㄚ</v>
      </c>
      <c r="P49" s="53" t="str">
        <f xml:space="preserve"> IF(十五音音節表!O46&lt;&gt;"", _xlfn.CONCAT(P$5,$F49), "")</f>
        <v>ㆡㄧㄚ</v>
      </c>
      <c r="Q49" s="53" t="str">
        <f xml:space="preserve"> IF(十五音音節表!P46&lt;&gt;"", _xlfn.CONCAT(Q$5,$F49), "")</f>
        <v>ㄙㄧㄚ</v>
      </c>
      <c r="R49" s="53" t="str">
        <f xml:space="preserve"> IF(十五音音節表!Q46&lt;&gt;"", _xlfn.CONCAT(R$5,$F49), "")</f>
        <v>ㄧㄚ</v>
      </c>
      <c r="S49" s="53" t="str">
        <f xml:space="preserve"> IF(十五音音節表!R46&lt;&gt;"", _xlfn.CONCAT(S$5,$F49), "")</f>
        <v/>
      </c>
      <c r="T49" s="53" t="str">
        <f xml:space="preserve"> IF(十五音音節表!S46&lt;&gt;"", _xlfn.CONCAT(T$5,$F49), "")</f>
        <v>ㄇㄧㄚ</v>
      </c>
      <c r="U49" s="53" t="str">
        <f xml:space="preserve"> IF(十五音音節表!T46&lt;&gt;"", _xlfn.CONCAT(U$5,$F49), "")</f>
        <v>ㆣㄧㄚ</v>
      </c>
      <c r="V49" s="53" t="str">
        <f xml:space="preserve"> IF(十五音音節表!U46&lt;&gt;"", _xlfn.CONCAT(V$5,$F49), "")</f>
        <v>ㄫㄧㄚ</v>
      </c>
      <c r="W49" s="53" t="str">
        <f xml:space="preserve"> IF(十五音音節表!V46&lt;&gt;"", _xlfn.CONCAT(W$5,$F49), "")</f>
        <v>ㄘㄧㄚ</v>
      </c>
      <c r="X49" s="53" t="str">
        <f xml:space="preserve"> IF(十五音音節表!W46&lt;&gt;"", _xlfn.CONCAT(X$5,$F49), "")</f>
        <v>ㄏㄧㄚ</v>
      </c>
      <c r="Y49" s="142" t="s">
        <v>1163</v>
      </c>
      <c r="Z49" s="50" t="s">
        <v>204</v>
      </c>
      <c r="AA49" s="50" t="s">
        <v>108</v>
      </c>
    </row>
    <row r="50" spans="2:27" hidden="1" outlineLevel="1">
      <c r="B50" s="139" cm="1">
        <f t="array" ref="B50" xml:space="preserve"> INDEX(韻母表[韻序], MATCH(TRUE, EXACT($C50, 韻母表[十五音]), 0))</f>
        <v>24</v>
      </c>
      <c r="C50" s="50" t="s">
        <v>109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ɪaʔ</v>
      </c>
      <c r="E50" s="50" t="str" cm="1">
        <f t="array" ref="E50" xml:space="preserve"> INDEX(韻母表[台羅拼音], MATCH(TRUE, EXACT($C50, 韻母表[十五音]), 0))</f>
        <v>iah</v>
      </c>
      <c r="F50" s="142" t="str" cm="1">
        <f t="array" ref="F50" xml:space="preserve"> INDEX(韻母表[方音符號], MATCH(TRUE, EXACT($C50, 韻母表[十五音]), 0))</f>
        <v>ㄧㄚㆷ</v>
      </c>
      <c r="G50" s="53" t="str">
        <f xml:space="preserve"> IF(十五音音節表!F47&lt;&gt;"", _xlfn.CONCAT(G$5,$F50), "")</f>
        <v>ㄌㄧㄚㆷ</v>
      </c>
      <c r="H50" s="53" t="str">
        <f xml:space="preserve"> IF(十五音音節表!G47&lt;&gt;"", _xlfn.CONCAT(H$5,$F50), "")</f>
        <v/>
      </c>
      <c r="I50" s="53" t="str">
        <f xml:space="preserve"> IF(十五音音節表!H47&lt;&gt;"", _xlfn.CONCAT(I$5,$F50), "")</f>
        <v>ㄅㄧㄚㆷ</v>
      </c>
      <c r="J50" s="53" t="str">
        <f xml:space="preserve"> IF(十五音音節表!I47&lt;&gt;"", _xlfn.CONCAT(J$5,$F50), "")</f>
        <v>ㄍㄧㄚㆷ</v>
      </c>
      <c r="K50" s="53" t="str">
        <f xml:space="preserve"> IF(十五音音節表!J47&lt;&gt;"", _xlfn.CONCAT(K$5,$F50), "")</f>
        <v>ㄎㄧㄚㆷ</v>
      </c>
      <c r="L50" s="53" t="str">
        <f xml:space="preserve"> IF(十五音音節表!K47&lt;&gt;"", _xlfn.CONCAT(L$5,$F50), "")</f>
        <v>ㄉㄧㄚㆷ</v>
      </c>
      <c r="M50" s="53" t="str">
        <f xml:space="preserve"> IF(十五音音節表!L47&lt;&gt;"", _xlfn.CONCAT(M$5,$F50), "")</f>
        <v>ㄆㄧㄚㆷ</v>
      </c>
      <c r="N50" s="53" t="str">
        <f xml:space="preserve"> IF(十五音音節表!M47&lt;&gt;"", _xlfn.CONCAT(N$5,$F50), "")</f>
        <v>ㄊㄧㄚㆷ</v>
      </c>
      <c r="O50" s="53" t="str">
        <f xml:space="preserve"> IF(十五音音節表!N47&lt;&gt;"", _xlfn.CONCAT(O$5,$F50), "")</f>
        <v>ㄗㄧㄚㆷ</v>
      </c>
      <c r="P50" s="53" t="str">
        <f xml:space="preserve"> IF(十五音音節表!O47&lt;&gt;"", _xlfn.CONCAT(P$5,$F50), "")</f>
        <v/>
      </c>
      <c r="Q50" s="53" t="str">
        <f xml:space="preserve"> IF(十五音音節表!P47&lt;&gt;"", _xlfn.CONCAT(Q$5,$F50), "")</f>
        <v>ㄙㄧㄚㆷ</v>
      </c>
      <c r="R50" s="53" t="str">
        <f xml:space="preserve"> IF(十五音音節表!Q47&lt;&gt;"", _xlfn.CONCAT(R$5,$F50), "")</f>
        <v>ㄧㄚㆷ</v>
      </c>
      <c r="S50" s="53" t="str">
        <f xml:space="preserve"> IF(十五音音節表!R47&lt;&gt;"", _xlfn.CONCAT(S$5,$F50), "")</f>
        <v/>
      </c>
      <c r="T50" s="53" t="str">
        <f xml:space="preserve"> IF(十五音音節表!S47&lt;&gt;"", _xlfn.CONCAT(T$5,$F50), "")</f>
        <v/>
      </c>
      <c r="U50" s="53" t="str">
        <f xml:space="preserve"> IF(十五音音節表!T47&lt;&gt;"", _xlfn.CONCAT(U$5,$F50), "")</f>
        <v>ㆣㄧㄚㆷ</v>
      </c>
      <c r="V50" s="53" t="str">
        <f xml:space="preserve"> IF(十五音音節表!U47&lt;&gt;"", _xlfn.CONCAT(V$5,$F50), "")</f>
        <v/>
      </c>
      <c r="W50" s="53" t="str">
        <f xml:space="preserve"> IF(十五音音節表!V47&lt;&gt;"", _xlfn.CONCAT(W$5,$F50), "")</f>
        <v>ㄘㄧㄚㆷ</v>
      </c>
      <c r="X50" s="53" t="str">
        <f xml:space="preserve"> IF(十五音音節表!W47&lt;&gt;"", _xlfn.CONCAT(X$5,$F50), "")</f>
        <v>ㄏㄧㄚㆷ</v>
      </c>
      <c r="Y50" s="142" t="s">
        <v>1164</v>
      </c>
      <c r="Z50" s="50" t="s">
        <v>205</v>
      </c>
      <c r="AA50" s="50" t="s">
        <v>109</v>
      </c>
    </row>
    <row r="51" spans="2:27" collapsed="1">
      <c r="B51" s="139" cm="1">
        <f t="array" ref="B51" xml:space="preserve"> INDEX(韻母表[韻序], MATCH(TRUE, EXACT($C51, 韻母表[十五音]), 0))</f>
        <v>25</v>
      </c>
      <c r="C51" s="50" t="s">
        <v>110</v>
      </c>
      <c r="D51" s="96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uei</v>
      </c>
      <c r="E51" s="50" t="str" cm="1">
        <f t="array" ref="E51" xml:space="preserve"> INDEX(韻母表[台羅拼音], MATCH(TRUE, EXACT($C51, 韻母表[十五音]), 0))</f>
        <v>ue</v>
      </c>
      <c r="F51" s="142" t="str" cm="1">
        <f t="array" ref="F51" xml:space="preserve"> INDEX(韻母表[方音符號], MATCH(TRUE, EXACT($C51, 韻母表[十五音]), 0))</f>
        <v>ㄨㆤ</v>
      </c>
      <c r="G51" s="53" t="str">
        <f xml:space="preserve"> IF(十五音音節表!F48&lt;&gt;"", _xlfn.CONCAT(G$5,$F51), "")</f>
        <v>ㄌㄨㆤ</v>
      </c>
      <c r="H51" s="53" t="str">
        <f xml:space="preserve"> IF(十五音音節表!G48&lt;&gt;"", _xlfn.CONCAT(H$5,$F51), "")</f>
        <v/>
      </c>
      <c r="I51" s="53" t="str">
        <f xml:space="preserve"> IF(十五音音節表!H48&lt;&gt;"", _xlfn.CONCAT(I$5,$F51), "")</f>
        <v>ㄅㄨㆤ</v>
      </c>
      <c r="J51" s="53" t="str">
        <f xml:space="preserve"> IF(十五音音節表!I48&lt;&gt;"", _xlfn.CONCAT(J$5,$F51), "")</f>
        <v>ㄍㄨㆤ</v>
      </c>
      <c r="K51" s="53" t="str">
        <f xml:space="preserve"> IF(十五音音節表!J48&lt;&gt;"", _xlfn.CONCAT(K$5,$F51), "")</f>
        <v>ㄎㄨㆤ</v>
      </c>
      <c r="L51" s="53" t="str">
        <f xml:space="preserve"> IF(十五音音節表!K48&lt;&gt;"", _xlfn.CONCAT(L$5,$F51), "")</f>
        <v>ㄉㄨㆤ</v>
      </c>
      <c r="M51" s="53" t="str">
        <f xml:space="preserve"> IF(十五音音節表!L48&lt;&gt;"", _xlfn.CONCAT(M$5,$F51), "")</f>
        <v>ㄆㄨㆤ</v>
      </c>
      <c r="N51" s="53" t="str">
        <f xml:space="preserve"> IF(十五音音節表!M48&lt;&gt;"", _xlfn.CONCAT(N$5,$F51), "")</f>
        <v/>
      </c>
      <c r="O51" s="53" t="str">
        <f xml:space="preserve"> IF(十五音音節表!N48&lt;&gt;"", _xlfn.CONCAT(O$5,$F51), "")</f>
        <v>ㄗㄨㆤ</v>
      </c>
      <c r="P51" s="53" t="str">
        <f xml:space="preserve"> IF(十五音音節表!O48&lt;&gt;"", _xlfn.CONCAT(P$5,$F51), "")</f>
        <v>ㆡㄨㆤ</v>
      </c>
      <c r="Q51" s="53" t="str">
        <f xml:space="preserve"> IF(十五音音節表!P48&lt;&gt;"", _xlfn.CONCAT(Q$5,$F51), "")</f>
        <v>ㄙㄨㆤ</v>
      </c>
      <c r="R51" s="53" t="str">
        <f xml:space="preserve"> IF(十五音音節表!Q48&lt;&gt;"", _xlfn.CONCAT(R$5,$F51), "")</f>
        <v>ㄨㆤ</v>
      </c>
      <c r="S51" s="53" t="str">
        <f xml:space="preserve"> IF(十五音音節表!R48&lt;&gt;"", _xlfn.CONCAT(S$5,$F51), "")</f>
        <v>ㆠㄨㆤ</v>
      </c>
      <c r="T51" s="53" t="str">
        <f xml:space="preserve"> IF(十五音音節表!S48&lt;&gt;"", _xlfn.CONCAT(T$5,$F51), "")</f>
        <v/>
      </c>
      <c r="U51" s="53" t="str">
        <f xml:space="preserve"> IF(十五音音節表!T48&lt;&gt;"", _xlfn.CONCAT(U$5,$F51), "")</f>
        <v>ㆣㄨㆤ</v>
      </c>
      <c r="V51" s="53" t="str">
        <f xml:space="preserve"> IF(十五音音節表!U48&lt;&gt;"", _xlfn.CONCAT(V$5,$F51), "")</f>
        <v/>
      </c>
      <c r="W51" s="53" t="str">
        <f xml:space="preserve"> IF(十五音音節表!V48&lt;&gt;"", _xlfn.CONCAT(W$5,$F51), "")</f>
        <v>ㄘㄨㆤ</v>
      </c>
      <c r="X51" s="53" t="str">
        <f xml:space="preserve"> IF(十五音音節表!W48&lt;&gt;"", _xlfn.CONCAT(X$5,$F51), "")</f>
        <v>ㄏㄨㆤ</v>
      </c>
      <c r="Y51" s="142" t="s">
        <v>1167</v>
      </c>
      <c r="Z51" s="50" t="s">
        <v>206</v>
      </c>
      <c r="AA51" s="50" t="s">
        <v>110</v>
      </c>
    </row>
    <row r="52" spans="2:27" hidden="1" outlineLevel="1">
      <c r="B52" s="139" cm="1">
        <f t="array" ref="B52" xml:space="preserve"> INDEX(韻母表[韻序], MATCH(TRUE, EXACT($C52, 韻母表[十五音]), 0))</f>
        <v>25</v>
      </c>
      <c r="C52" s="50" t="s">
        <v>111</v>
      </c>
      <c r="D52" s="96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ueiʔ</v>
      </c>
      <c r="E52" s="50" t="str" cm="1">
        <f t="array" ref="E52" xml:space="preserve"> INDEX(韻母表[台羅拼音], MATCH(TRUE, EXACT($C52, 韻母表[十五音]), 0))</f>
        <v>ueh</v>
      </c>
      <c r="F52" s="142" t="str" cm="1">
        <f t="array" ref="F52" xml:space="preserve"> INDEX(韻母表[方音符號], MATCH(TRUE, EXACT($C52, 韻母表[十五音]), 0))</f>
        <v>ㄨㆤㆷ</v>
      </c>
      <c r="G52" s="53" t="str">
        <f xml:space="preserve"> IF(十五音音節表!F49&lt;&gt;"", _xlfn.CONCAT(G$5,$F52), "")</f>
        <v/>
      </c>
      <c r="H52" s="53" t="str">
        <f xml:space="preserve"> IF(十五音音節表!G49&lt;&gt;"", _xlfn.CONCAT(H$5,$F52), "")</f>
        <v/>
      </c>
      <c r="I52" s="53" t="str">
        <f xml:space="preserve"> IF(十五音音節表!H49&lt;&gt;"", _xlfn.CONCAT(I$5,$F52), "")</f>
        <v>ㄅㄨㆤㆷ</v>
      </c>
      <c r="J52" s="53" t="str">
        <f xml:space="preserve"> IF(十五音音節表!I49&lt;&gt;"", _xlfn.CONCAT(J$5,$F52), "")</f>
        <v>ㄍㄨㆤㆷ</v>
      </c>
      <c r="K52" s="53" t="str">
        <f xml:space="preserve"> IF(十五音音節表!J49&lt;&gt;"", _xlfn.CONCAT(K$5,$F52), "")</f>
        <v>ㄎㄨㆤㆷ</v>
      </c>
      <c r="L52" s="53" t="str">
        <f xml:space="preserve"> IF(十五音音節表!K49&lt;&gt;"", _xlfn.CONCAT(L$5,$F52), "")</f>
        <v/>
      </c>
      <c r="M52" s="53" t="str">
        <f xml:space="preserve"> IF(十五音音節表!L49&lt;&gt;"", _xlfn.CONCAT(M$5,$F52), "")</f>
        <v>ㄆㄨㆤㆷ</v>
      </c>
      <c r="N52" s="53" t="str">
        <f xml:space="preserve"> IF(十五音音節表!M49&lt;&gt;"", _xlfn.CONCAT(N$5,$F52), "")</f>
        <v/>
      </c>
      <c r="O52" s="53" t="str">
        <f xml:space="preserve"> IF(十五音音節表!N49&lt;&gt;"", _xlfn.CONCAT(O$5,$F52), "")</f>
        <v/>
      </c>
      <c r="P52" s="53" t="str">
        <f xml:space="preserve"> IF(十五音音節表!O49&lt;&gt;"", _xlfn.CONCAT(P$5,$F52), "")</f>
        <v/>
      </c>
      <c r="Q52" s="53" t="str">
        <f xml:space="preserve"> IF(十五音音節表!P49&lt;&gt;"", _xlfn.CONCAT(Q$5,$F52), "")</f>
        <v>ㄙㄨㆤㆷ</v>
      </c>
      <c r="R52" s="53" t="str">
        <f xml:space="preserve"> IF(十五音音節表!Q49&lt;&gt;"", _xlfn.CONCAT(R$5,$F52), "")</f>
        <v>ㄨㆤㆷ</v>
      </c>
      <c r="S52" s="53" t="str">
        <f xml:space="preserve"> IF(十五音音節表!R49&lt;&gt;"", _xlfn.CONCAT(S$5,$F52), "")</f>
        <v>ㆠㄨㆤㆷ</v>
      </c>
      <c r="T52" s="53" t="str">
        <f xml:space="preserve"> IF(十五音音節表!S49&lt;&gt;"", _xlfn.CONCAT(T$5,$F52), "")</f>
        <v/>
      </c>
      <c r="U52" s="53" t="str">
        <f xml:space="preserve"> IF(十五音音節表!T49&lt;&gt;"", _xlfn.CONCAT(U$5,$F52), "")</f>
        <v>ㆣㄨㆤㆷ</v>
      </c>
      <c r="V52" s="53" t="str">
        <f xml:space="preserve"> IF(十五音音節表!U49&lt;&gt;"", _xlfn.CONCAT(V$5,$F52), "")</f>
        <v/>
      </c>
      <c r="W52" s="53" t="str">
        <f xml:space="preserve"> IF(十五音音節表!V49&lt;&gt;"", _xlfn.CONCAT(W$5,$F52), "")</f>
        <v/>
      </c>
      <c r="X52" s="53" t="str">
        <f xml:space="preserve"> IF(十五音音節表!W49&lt;&gt;"", _xlfn.CONCAT(X$5,$F52), "")</f>
        <v>ㄏㄨㆤㆷ</v>
      </c>
      <c r="Y52" s="142" t="s">
        <v>1170</v>
      </c>
      <c r="Z52" s="50" t="s">
        <v>207</v>
      </c>
      <c r="AA52" s="50" t="s">
        <v>111</v>
      </c>
    </row>
    <row r="53" spans="2:27" collapsed="1">
      <c r="B53" s="139" cm="1">
        <f t="array" ref="B53" xml:space="preserve"> INDEX(韻母表[韻序], MATCH(TRUE, EXACT($C53, 韻母表[十五音]), 0))</f>
        <v>26</v>
      </c>
      <c r="C53" s="50" t="s">
        <v>112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ã</v>
      </c>
      <c r="E53" s="50" t="str" cm="1">
        <f t="array" ref="E53" xml:space="preserve"> INDEX(韻母表[台羅拼音], MATCH(TRUE, EXACT($C53, 韻母表[十五音]), 0))</f>
        <v>ann</v>
      </c>
      <c r="F53" s="142" t="str" cm="1">
        <f t="array" ref="F53" xml:space="preserve"> INDEX(韻母表[方音符號], MATCH(TRUE, EXACT($C53, 韻母表[十五音]), 0))</f>
        <v>ㆩ</v>
      </c>
      <c r="G53" s="53" t="str">
        <f xml:space="preserve"> IF(十五音音節表!F50&lt;&gt;"", _xlfn.CONCAT(G$5,$F53), "")</f>
        <v/>
      </c>
      <c r="H53" s="53" t="str">
        <f xml:space="preserve"> IF(十五音音節表!G50&lt;&gt;"", _xlfn.CONCAT(H$5,$F53), "")</f>
        <v/>
      </c>
      <c r="I53" s="53" t="str">
        <f xml:space="preserve"> IF(十五音音節表!H50&lt;&gt;"", _xlfn.CONCAT(I$5,$F53), "")</f>
        <v/>
      </c>
      <c r="J53" s="53" t="str">
        <f xml:space="preserve"> IF(十五音音節表!I50&lt;&gt;"", _xlfn.CONCAT(J$5,$F53), "")</f>
        <v>ㄍㆩ</v>
      </c>
      <c r="K53" s="53" t="str">
        <f xml:space="preserve"> IF(十五音音節表!J50&lt;&gt;"", _xlfn.CONCAT(K$5,$F53), "")</f>
        <v>ㄎㆩ</v>
      </c>
      <c r="L53" s="53" t="str">
        <f xml:space="preserve"> IF(十五音音節表!K50&lt;&gt;"", _xlfn.CONCAT(L$5,$F53), "")</f>
        <v>ㄉㆩ</v>
      </c>
      <c r="M53" s="53" t="str">
        <f xml:space="preserve"> IF(十五音音節表!L50&lt;&gt;"", _xlfn.CONCAT(M$5,$F53), "")</f>
        <v>ㄆㆩ</v>
      </c>
      <c r="N53" s="53" t="str">
        <f xml:space="preserve"> IF(十五音音節表!M50&lt;&gt;"", _xlfn.CONCAT(N$5,$F53), "")</f>
        <v>ㄊㆩ</v>
      </c>
      <c r="O53" s="53" t="str">
        <f xml:space="preserve"> IF(十五音音節表!N50&lt;&gt;"", _xlfn.CONCAT(O$5,$F53), "")</f>
        <v>ㄗㆩ</v>
      </c>
      <c r="P53" s="53" t="str">
        <f xml:space="preserve"> IF(十五音音節表!O50&lt;&gt;"", _xlfn.CONCAT(P$5,$F53), "")</f>
        <v/>
      </c>
      <c r="Q53" s="53" t="str">
        <f xml:space="preserve"> IF(十五音音節表!P50&lt;&gt;"", _xlfn.CONCAT(Q$5,$F53), "")</f>
        <v>ㄙㆩ</v>
      </c>
      <c r="R53" s="53" t="str">
        <f xml:space="preserve"> IF(十五音音節表!Q50&lt;&gt;"", _xlfn.CONCAT(R$5,$F53), "")</f>
        <v>ㆩ</v>
      </c>
      <c r="S53" s="53" t="str">
        <f xml:space="preserve"> IF(十五音音節表!R50&lt;&gt;"", _xlfn.CONCAT(S$5,$F53), "")</f>
        <v/>
      </c>
      <c r="T53" s="53" t="str">
        <f xml:space="preserve"> IF(十五音音節表!S50&lt;&gt;"", _xlfn.CONCAT(T$5,$F53), "")</f>
        <v/>
      </c>
      <c r="U53" s="53" t="str">
        <f xml:space="preserve"> IF(十五音音節表!T50&lt;&gt;"", _xlfn.CONCAT(U$5,$F53), "")</f>
        <v/>
      </c>
      <c r="V53" s="53" t="str">
        <f xml:space="preserve"> IF(十五音音節表!U50&lt;&gt;"", _xlfn.CONCAT(V$5,$F53), "")</f>
        <v/>
      </c>
      <c r="W53" s="53" t="str">
        <f xml:space="preserve"> IF(十五音音節表!V50&lt;&gt;"", _xlfn.CONCAT(W$5,$F53), "")</f>
        <v>ㄘㆩ</v>
      </c>
      <c r="X53" s="53" t="str">
        <f xml:space="preserve"> IF(十五音音節表!W50&lt;&gt;"", _xlfn.CONCAT(X$5,$F53), "")</f>
        <v>ㄏㆩ</v>
      </c>
      <c r="Y53" s="142" t="s">
        <v>1174</v>
      </c>
      <c r="Z53" s="50" t="s">
        <v>208</v>
      </c>
      <c r="AA53" s="50" t="s">
        <v>112</v>
      </c>
    </row>
    <row r="54" spans="2:27" hidden="1" outlineLevel="1">
      <c r="B54" s="139" cm="1">
        <f t="array" ref="B54" xml:space="preserve"> INDEX(韻母表[韻序], MATCH(TRUE, EXACT($C54, 韻母表[十五音]), 0))</f>
        <v>26</v>
      </c>
      <c r="C54" s="50" t="s">
        <v>113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ãʔ</v>
      </c>
      <c r="E54" s="50" t="str" cm="1">
        <f t="array" ref="E54" xml:space="preserve"> INDEX(韻母表[台羅拼音], MATCH(TRUE, EXACT($C54, 韻母表[十五音]), 0))</f>
        <v>annh</v>
      </c>
      <c r="F54" s="142" t="str" cm="1">
        <f t="array" ref="F54" xml:space="preserve"> INDEX(韻母表[方音符號], MATCH(TRUE, EXACT($C54, 韻母表[十五音]), 0))</f>
        <v>ㆩㆷ</v>
      </c>
      <c r="G54" s="53" t="str">
        <f xml:space="preserve"> IF(十五音音節表!F51&lt;&gt;"", _xlfn.CONCAT(G$5,$F54), "")</f>
        <v/>
      </c>
      <c r="H54" s="53" t="str">
        <f xml:space="preserve"> IF(十五音音節表!G51&lt;&gt;"", _xlfn.CONCAT(H$5,$F54), "")</f>
        <v/>
      </c>
      <c r="I54" s="53" t="str">
        <f xml:space="preserve"> IF(十五音音節表!H51&lt;&gt;"", _xlfn.CONCAT(I$5,$F54), "")</f>
        <v/>
      </c>
      <c r="J54" s="53" t="str">
        <f xml:space="preserve"> IF(十五音音節表!I51&lt;&gt;"", _xlfn.CONCAT(J$5,$F54), "")</f>
        <v/>
      </c>
      <c r="K54" s="53" t="str">
        <f xml:space="preserve"> IF(十五音音節表!J51&lt;&gt;"", _xlfn.CONCAT(K$5,$F54), "")</f>
        <v/>
      </c>
      <c r="L54" s="53" t="str">
        <f xml:space="preserve"> IF(十五音音節表!K51&lt;&gt;"", _xlfn.CONCAT(L$5,$F54), "")</f>
        <v/>
      </c>
      <c r="M54" s="53" t="str">
        <f xml:space="preserve"> IF(十五音音節表!L51&lt;&gt;"", _xlfn.CONCAT(M$5,$F54), "")</f>
        <v/>
      </c>
      <c r="N54" s="53" t="str">
        <f xml:space="preserve"> IF(十五音音節表!M51&lt;&gt;"", _xlfn.CONCAT(N$5,$F54), "")</f>
        <v/>
      </c>
      <c r="O54" s="53" t="str">
        <f xml:space="preserve"> IF(十五音音節表!N51&lt;&gt;"", _xlfn.CONCAT(O$5,$F54), "")</f>
        <v/>
      </c>
      <c r="P54" s="53" t="str">
        <f xml:space="preserve"> IF(十五音音節表!O51&lt;&gt;"", _xlfn.CONCAT(P$5,$F54), "")</f>
        <v/>
      </c>
      <c r="Q54" s="53" t="str">
        <f xml:space="preserve"> IF(十五音音節表!P51&lt;&gt;"", _xlfn.CONCAT(Q$5,$F54), "")</f>
        <v>ㄙㆩㆷ</v>
      </c>
      <c r="R54" s="53" t="str">
        <f xml:space="preserve"> IF(十五音音節表!Q51&lt;&gt;"", _xlfn.CONCAT(R$5,$F54), "")</f>
        <v/>
      </c>
      <c r="S54" s="53" t="str">
        <f xml:space="preserve"> IF(十五音音節表!R51&lt;&gt;"", _xlfn.CONCAT(S$5,$F54), "")</f>
        <v/>
      </c>
      <c r="T54" s="53" t="str">
        <f xml:space="preserve"> IF(十五音音節表!S51&lt;&gt;"", _xlfn.CONCAT(T$5,$F54), "")</f>
        <v/>
      </c>
      <c r="U54" s="53" t="str">
        <f xml:space="preserve"> IF(十五音音節表!T51&lt;&gt;"", _xlfn.CONCAT(U$5,$F54), "")</f>
        <v/>
      </c>
      <c r="V54" s="53" t="str">
        <f xml:space="preserve"> IF(十五音音節表!U51&lt;&gt;"", _xlfn.CONCAT(V$5,$F54), "")</f>
        <v/>
      </c>
      <c r="W54" s="53" t="str">
        <f xml:space="preserve"> IF(十五音音節表!V51&lt;&gt;"", _xlfn.CONCAT(W$5,$F54), "")</f>
        <v/>
      </c>
      <c r="X54" s="53" t="str">
        <f xml:space="preserve"> IF(十五音音節表!W51&lt;&gt;"", _xlfn.CONCAT(X$5,$F54), "")</f>
        <v>ㄏㆩㆷ</v>
      </c>
      <c r="Y54" s="142" t="s">
        <v>1178</v>
      </c>
      <c r="Z54" s="50" t="s">
        <v>209</v>
      </c>
      <c r="AA54" s="50" t="s">
        <v>113</v>
      </c>
    </row>
    <row r="55" spans="2:27" collapsed="1">
      <c r="B55" s="139" cm="1">
        <f t="array" ref="B55" xml:space="preserve"> INDEX(韻母表[韻序], MATCH(TRUE, EXACT($C55, 韻母表[十五音]), 0))</f>
        <v>27</v>
      </c>
      <c r="C55" s="50" t="s">
        <v>114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u</v>
      </c>
      <c r="E55" s="50" t="str" cm="1">
        <f t="array" ref="E55" xml:space="preserve"> INDEX(韻母表[台羅拼音], MATCH(TRUE, EXACT($C55, 韻母表[十五音]), 0))</f>
        <v>u</v>
      </c>
      <c r="F55" s="142" t="str" cm="1">
        <f t="array" ref="F55" xml:space="preserve"> INDEX(韻母表[方音符號], MATCH(TRUE, EXACT($C55, 韻母表[十五音]), 0))</f>
        <v>ㄨ</v>
      </c>
      <c r="G55" s="53" t="str">
        <f xml:space="preserve"> IF(十五音音節表!F52&lt;&gt;"", _xlfn.CONCAT(G$5,$F55), "")</f>
        <v>ㄌㄨ</v>
      </c>
      <c r="H55" s="53" t="str">
        <f xml:space="preserve"> IF(十五音音節表!G52&lt;&gt;"", _xlfn.CONCAT(H$5,$F55), "")</f>
        <v/>
      </c>
      <c r="I55" s="53" t="str">
        <f xml:space="preserve"> IF(十五音音節表!H52&lt;&gt;"", _xlfn.CONCAT(I$5,$F55), "")</f>
        <v>ㄅㄨ</v>
      </c>
      <c r="J55" s="53" t="str">
        <f xml:space="preserve"> IF(十五音音節表!I52&lt;&gt;"", _xlfn.CONCAT(J$5,$F55), "")</f>
        <v>ㄍㄨ</v>
      </c>
      <c r="K55" s="53" t="str">
        <f xml:space="preserve"> IF(十五音音節表!J52&lt;&gt;"", _xlfn.CONCAT(K$5,$F55), "")</f>
        <v>ㄎㄨ</v>
      </c>
      <c r="L55" s="53" t="str">
        <f xml:space="preserve"> IF(十五音音節表!K52&lt;&gt;"", _xlfn.CONCAT(L$5,$F55), "")</f>
        <v>ㄉㄨ</v>
      </c>
      <c r="M55" s="53" t="str">
        <f xml:space="preserve"> IF(十五音音節表!L52&lt;&gt;"", _xlfn.CONCAT(M$5,$F55), "")</f>
        <v>ㄆㄨ</v>
      </c>
      <c r="N55" s="53" t="str">
        <f xml:space="preserve"> IF(十五音音節表!M52&lt;&gt;"", _xlfn.CONCAT(N$5,$F55), "")</f>
        <v>ㄊㄨ</v>
      </c>
      <c r="O55" s="53" t="str">
        <f xml:space="preserve"> IF(十五音音節表!N52&lt;&gt;"", _xlfn.CONCAT(O$5,$F55), "")</f>
        <v>ㄗㄨ</v>
      </c>
      <c r="P55" s="53" t="str">
        <f xml:space="preserve"> IF(十五音音節表!O52&lt;&gt;"", _xlfn.CONCAT(P$5,$F55), "")</f>
        <v>ㆡㄨ</v>
      </c>
      <c r="Q55" s="53" t="str">
        <f xml:space="preserve"> IF(十五音音節表!P52&lt;&gt;"", _xlfn.CONCAT(Q$5,$F55), "")</f>
        <v>ㄙㄨ</v>
      </c>
      <c r="R55" s="53" t="str">
        <f xml:space="preserve"> IF(十五音音節表!Q52&lt;&gt;"", _xlfn.CONCAT(R$5,$F55), "")</f>
        <v>ㄨ</v>
      </c>
      <c r="S55" s="53" t="str">
        <f xml:space="preserve"> IF(十五音音節表!R52&lt;&gt;"", _xlfn.CONCAT(S$5,$F55), "")</f>
        <v>ㆠㄨ</v>
      </c>
      <c r="T55" s="53" t="str">
        <f xml:space="preserve"> IF(十五音音節表!S52&lt;&gt;"", _xlfn.CONCAT(T$5,$F55), "")</f>
        <v/>
      </c>
      <c r="U55" s="53" t="str">
        <f xml:space="preserve"> IF(十五音音節表!T52&lt;&gt;"", _xlfn.CONCAT(U$5,$F55), "")</f>
        <v>ㆣㄨ</v>
      </c>
      <c r="V55" s="53" t="str">
        <f xml:space="preserve"> IF(十五音音節表!U52&lt;&gt;"", _xlfn.CONCAT(V$5,$F55), "")</f>
        <v/>
      </c>
      <c r="W55" s="53" t="str">
        <f xml:space="preserve"> IF(十五音音節表!V52&lt;&gt;"", _xlfn.CONCAT(W$5,$F55), "")</f>
        <v>ㄘㄨ</v>
      </c>
      <c r="X55" s="53" t="str">
        <f xml:space="preserve"> IF(十五音音節表!W52&lt;&gt;"", _xlfn.CONCAT(X$5,$F55), "")</f>
        <v>ㄏㄨ</v>
      </c>
      <c r="Y55" s="142" t="s">
        <v>1180</v>
      </c>
      <c r="Z55" s="50" t="s">
        <v>210</v>
      </c>
      <c r="AA55" s="50" t="s">
        <v>114</v>
      </c>
    </row>
    <row r="56" spans="2:27" hidden="1" outlineLevel="1">
      <c r="B56" s="139" cm="1">
        <f t="array" ref="B56" xml:space="preserve"> INDEX(韻母表[韻序], MATCH(TRUE, EXACT($C56, 韻母表[十五音]), 0))</f>
        <v>27</v>
      </c>
      <c r="C56" s="50" t="s">
        <v>115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uʔ</v>
      </c>
      <c r="E56" s="50" t="str" cm="1">
        <f t="array" ref="E56" xml:space="preserve"> INDEX(韻母表[台羅拼音], MATCH(TRUE, EXACT($C56, 韻母表[十五音]), 0))</f>
        <v>uh</v>
      </c>
      <c r="F56" s="142" t="str" cm="1">
        <f t="array" ref="F56" xml:space="preserve"> INDEX(韻母表[方音符號], MATCH(TRUE, EXACT($C56, 韻母表[十五音]), 0))</f>
        <v>ㄨㆷ</v>
      </c>
      <c r="G56" s="53" t="str">
        <f xml:space="preserve"> IF(十五音音節表!F53&lt;&gt;"", _xlfn.CONCAT(G$5,$F56), "")</f>
        <v/>
      </c>
      <c r="H56" s="53" t="str">
        <f xml:space="preserve"> IF(十五音音節表!G53&lt;&gt;"", _xlfn.CONCAT(H$5,$F56), "")</f>
        <v/>
      </c>
      <c r="I56" s="53" t="str">
        <f xml:space="preserve"> IF(十五音音節表!H53&lt;&gt;"", _xlfn.CONCAT(I$5,$F56), "")</f>
        <v>ㄅㄨㆷ</v>
      </c>
      <c r="J56" s="53" t="str">
        <f xml:space="preserve"> IF(十五音音節表!I53&lt;&gt;"", _xlfn.CONCAT(J$5,$F56), "")</f>
        <v/>
      </c>
      <c r="K56" s="53" t="str">
        <f xml:space="preserve"> IF(十五音音節表!J53&lt;&gt;"", _xlfn.CONCAT(K$5,$F56), "")</f>
        <v>ㄎㄨㆷ</v>
      </c>
      <c r="L56" s="53" t="str">
        <f xml:space="preserve"> IF(十五音音節表!K53&lt;&gt;"", _xlfn.CONCAT(L$5,$F56), "")</f>
        <v>ㄉㄨㆷ</v>
      </c>
      <c r="M56" s="53" t="str">
        <f xml:space="preserve"> IF(十五音音節表!L53&lt;&gt;"", _xlfn.CONCAT(M$5,$F56), "")</f>
        <v>ㄆㄨㆷ</v>
      </c>
      <c r="N56" s="53" t="str">
        <f xml:space="preserve"> IF(十五音音節表!M53&lt;&gt;"", _xlfn.CONCAT(N$5,$F56), "")</f>
        <v>ㄊㄨㆷ</v>
      </c>
      <c r="O56" s="53" t="str">
        <f xml:space="preserve"> IF(十五音音節表!N53&lt;&gt;"", _xlfn.CONCAT(O$5,$F56), "")</f>
        <v>ㄗㄨㆷ</v>
      </c>
      <c r="P56" s="53" t="str">
        <f xml:space="preserve"> IF(十五音音節表!O53&lt;&gt;"", _xlfn.CONCAT(P$5,$F56), "")</f>
        <v/>
      </c>
      <c r="Q56" s="53" t="str">
        <f xml:space="preserve"> IF(十五音音節表!P53&lt;&gt;"", _xlfn.CONCAT(Q$5,$F56), "")</f>
        <v/>
      </c>
      <c r="R56" s="53" t="str">
        <f xml:space="preserve"> IF(十五音音節表!Q53&lt;&gt;"", _xlfn.CONCAT(R$5,$F56), "")</f>
        <v>ㄨㆷ</v>
      </c>
      <c r="S56" s="53" t="str">
        <f xml:space="preserve"> IF(十五音音節表!R53&lt;&gt;"", _xlfn.CONCAT(S$5,$F56), "")</f>
        <v/>
      </c>
      <c r="T56" s="53" t="str">
        <f xml:space="preserve"> IF(十五音音節表!S53&lt;&gt;"", _xlfn.CONCAT(T$5,$F56), "")</f>
        <v/>
      </c>
      <c r="U56" s="53" t="str">
        <f xml:space="preserve"> IF(十五音音節表!T53&lt;&gt;"", _xlfn.CONCAT(U$5,$F56), "")</f>
        <v/>
      </c>
      <c r="V56" s="53" t="str">
        <f xml:space="preserve"> IF(十五音音節表!U53&lt;&gt;"", _xlfn.CONCAT(V$5,$F56), "")</f>
        <v/>
      </c>
      <c r="W56" s="53" t="str">
        <f xml:space="preserve"> IF(十五音音節表!V53&lt;&gt;"", _xlfn.CONCAT(W$5,$F56), "")</f>
        <v>ㄘㄨㆷ</v>
      </c>
      <c r="X56" s="53" t="str">
        <f xml:space="preserve"> IF(十五音音節表!W53&lt;&gt;"", _xlfn.CONCAT(X$5,$F56), "")</f>
        <v/>
      </c>
      <c r="Y56" s="142" t="s">
        <v>1182</v>
      </c>
      <c r="Z56" s="50" t="s">
        <v>211</v>
      </c>
      <c r="AA56" s="50" t="s">
        <v>115</v>
      </c>
    </row>
    <row r="57" spans="2:27" collapsed="1">
      <c r="B57" s="139" cm="1">
        <f t="array" ref="B57" xml:space="preserve"> INDEX(韻母表[韻序], MATCH(TRUE, EXACT($C57, 韻母表[十五音]), 0))</f>
        <v>28</v>
      </c>
      <c r="C57" s="50" t="s">
        <v>116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a</v>
      </c>
      <c r="E57" s="50" t="str" cm="1">
        <f t="array" ref="E57" xml:space="preserve"> INDEX(韻母表[台羅拼音], MATCH(TRUE, EXACT($C57, 韻母表[十五音]), 0))</f>
        <v>a</v>
      </c>
      <c r="F57" s="142" t="str" cm="1">
        <f t="array" ref="F57" xml:space="preserve"> INDEX(韻母表[方音符號], MATCH(TRUE, EXACT($C57, 韻母表[十五音]), 0))</f>
        <v>ㄚ</v>
      </c>
      <c r="G57" s="53" t="str">
        <f xml:space="preserve"> IF(十五音音節表!F54&lt;&gt;"", _xlfn.CONCAT(G$5,$F57), "")</f>
        <v>ㄌㄚ</v>
      </c>
      <c r="H57" s="53" t="str">
        <f xml:space="preserve"> IF(十五音音節表!G54&lt;&gt;"", _xlfn.CONCAT(H$5,$F57), "")</f>
        <v>ㄋㄚ</v>
      </c>
      <c r="I57" s="53" t="str">
        <f xml:space="preserve"> IF(十五音音節表!H54&lt;&gt;"", _xlfn.CONCAT(I$5,$F57), "")</f>
        <v>ㄅㄚ</v>
      </c>
      <c r="J57" s="53" t="str">
        <f xml:space="preserve"> IF(十五音音節表!I54&lt;&gt;"", _xlfn.CONCAT(J$5,$F57), "")</f>
        <v>ㄍㄚ</v>
      </c>
      <c r="K57" s="53" t="str">
        <f xml:space="preserve"> IF(十五音音節表!J54&lt;&gt;"", _xlfn.CONCAT(K$5,$F57), "")</f>
        <v>ㄎㄚ</v>
      </c>
      <c r="L57" s="53" t="str">
        <f xml:space="preserve"> IF(十五音音節表!K54&lt;&gt;"", _xlfn.CONCAT(L$5,$F57), "")</f>
        <v>ㄉㄚ</v>
      </c>
      <c r="M57" s="53" t="str">
        <f xml:space="preserve"> IF(十五音音節表!L54&lt;&gt;"", _xlfn.CONCAT(M$5,$F57), "")</f>
        <v>ㄆㄚ</v>
      </c>
      <c r="N57" s="53" t="str">
        <f xml:space="preserve"> IF(十五音音節表!M54&lt;&gt;"", _xlfn.CONCAT(N$5,$F57), "")</f>
        <v>ㄊㄚ</v>
      </c>
      <c r="O57" s="53" t="str">
        <f xml:space="preserve"> IF(十五音音節表!N54&lt;&gt;"", _xlfn.CONCAT(O$5,$F57), "")</f>
        <v>ㄗㄚ</v>
      </c>
      <c r="P57" s="53" t="str">
        <f xml:space="preserve"> IF(十五音音節表!O54&lt;&gt;"", _xlfn.CONCAT(P$5,$F57), "")</f>
        <v/>
      </c>
      <c r="Q57" s="53" t="str">
        <f xml:space="preserve"> IF(十五音音節表!P54&lt;&gt;"", _xlfn.CONCAT(Q$5,$F57), "")</f>
        <v>ㄙㄚ</v>
      </c>
      <c r="R57" s="53" t="str">
        <f xml:space="preserve"> IF(十五音音節表!Q54&lt;&gt;"", _xlfn.CONCAT(R$5,$F57), "")</f>
        <v>ㄚ</v>
      </c>
      <c r="S57" s="53" t="str">
        <f xml:space="preserve"> IF(十五音音節表!R54&lt;&gt;"", _xlfn.CONCAT(S$5,$F57), "")</f>
        <v>ㆠㄚ</v>
      </c>
      <c r="T57" s="53" t="str">
        <f xml:space="preserve"> IF(十五音音節表!S54&lt;&gt;"", _xlfn.CONCAT(T$5,$F57), "")</f>
        <v>ㄇㄚ</v>
      </c>
      <c r="U57" s="53" t="str">
        <f xml:space="preserve"> IF(十五音音節表!T54&lt;&gt;"", _xlfn.CONCAT(U$5,$F57), "")</f>
        <v>ㆣㄚ</v>
      </c>
      <c r="V57" s="53" t="str">
        <f xml:space="preserve"> IF(十五音音節表!U54&lt;&gt;"", _xlfn.CONCAT(V$5,$F57), "")</f>
        <v>ㄫㄚ</v>
      </c>
      <c r="W57" s="53" t="str">
        <f xml:space="preserve"> IF(十五音音節表!V54&lt;&gt;"", _xlfn.CONCAT(W$5,$F57), "")</f>
        <v>ㄘㄚ</v>
      </c>
      <c r="X57" s="53" t="str">
        <f xml:space="preserve"> IF(十五音音節表!W54&lt;&gt;"", _xlfn.CONCAT(X$5,$F57), "")</f>
        <v>ㄏㄚ</v>
      </c>
      <c r="Y57" s="142" t="s">
        <v>1184</v>
      </c>
      <c r="Z57" s="50" t="s">
        <v>212</v>
      </c>
      <c r="AA57" s="50" t="s">
        <v>116</v>
      </c>
    </row>
    <row r="58" spans="2:27" hidden="1" outlineLevel="1">
      <c r="B58" s="139" cm="1">
        <f t="array" ref="B58" xml:space="preserve"> INDEX(韻母表[韻序], MATCH(TRUE, EXACT($C58, 韻母表[十五音]), 0))</f>
        <v>28</v>
      </c>
      <c r="C58" s="50" t="s">
        <v>117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aʔ</v>
      </c>
      <c r="E58" s="50" t="str" cm="1">
        <f t="array" ref="E58" xml:space="preserve"> INDEX(韻母表[台羅拼音], MATCH(TRUE, EXACT($C58, 韻母表[十五音]), 0))</f>
        <v>ah</v>
      </c>
      <c r="F58" s="142" t="str" cm="1">
        <f t="array" ref="F58" xml:space="preserve"> INDEX(韻母表[方音符號], MATCH(TRUE, EXACT($C58, 韻母表[十五音]), 0))</f>
        <v>ㄚㆷ</v>
      </c>
      <c r="G58" s="53" t="str">
        <f xml:space="preserve"> IF(十五音音節表!F55&lt;&gt;"", _xlfn.CONCAT(G$5,$F58), "")</f>
        <v>ㄌㄚㆷ</v>
      </c>
      <c r="H58" s="53" t="str">
        <f xml:space="preserve"> IF(十五音音節表!G55&lt;&gt;"", _xlfn.CONCAT(H$5,$F58), "")</f>
        <v>ㄋㄚㆷ</v>
      </c>
      <c r="I58" s="53" t="str">
        <f xml:space="preserve"> IF(十五音音節表!H55&lt;&gt;"", _xlfn.CONCAT(I$5,$F58), "")</f>
        <v>ㄅㄚㆷ</v>
      </c>
      <c r="J58" s="53" t="str">
        <f xml:space="preserve"> IF(十五音音節表!I55&lt;&gt;"", _xlfn.CONCAT(J$5,$F58), "")</f>
        <v>ㄍㄚㆷ</v>
      </c>
      <c r="K58" s="53" t="str">
        <f xml:space="preserve"> IF(十五音音節表!J55&lt;&gt;"", _xlfn.CONCAT(K$5,$F58), "")</f>
        <v>ㄎㄚㆷ</v>
      </c>
      <c r="L58" s="53" t="str">
        <f xml:space="preserve"> IF(十五音音節表!K55&lt;&gt;"", _xlfn.CONCAT(L$5,$F58), "")</f>
        <v>ㄉㄚㆷ</v>
      </c>
      <c r="M58" s="53" t="str">
        <f xml:space="preserve"> IF(十五音音節表!L55&lt;&gt;"", _xlfn.CONCAT(M$5,$F58), "")</f>
        <v>ㄆㄚㆷ</v>
      </c>
      <c r="N58" s="53" t="str">
        <f xml:space="preserve"> IF(十五音音節表!M55&lt;&gt;"", _xlfn.CONCAT(N$5,$F58), "")</f>
        <v>ㄊㄚㆷ</v>
      </c>
      <c r="O58" s="53" t="str">
        <f xml:space="preserve"> IF(十五音音節表!N55&lt;&gt;"", _xlfn.CONCAT(O$5,$F58), "")</f>
        <v>ㄗㄚㆷ</v>
      </c>
      <c r="P58" s="53" t="str">
        <f xml:space="preserve"> IF(十五音音節表!O55&lt;&gt;"", _xlfn.CONCAT(P$5,$F58), "")</f>
        <v/>
      </c>
      <c r="Q58" s="53" t="str">
        <f xml:space="preserve"> IF(十五音音節表!P55&lt;&gt;"", _xlfn.CONCAT(Q$5,$F58), "")</f>
        <v>ㄙㄚㆷ</v>
      </c>
      <c r="R58" s="53" t="str">
        <f xml:space="preserve"> IF(十五音音節表!Q55&lt;&gt;"", _xlfn.CONCAT(R$5,$F58), "")</f>
        <v>ㄚㆷ</v>
      </c>
      <c r="S58" s="53" t="str">
        <f xml:space="preserve"> IF(十五音音節表!R55&lt;&gt;"", _xlfn.CONCAT(S$5,$F58), "")</f>
        <v>ㆠㄚㆷ</v>
      </c>
      <c r="T58" s="53" t="str">
        <f xml:space="preserve"> IF(十五音音節表!S55&lt;&gt;"", _xlfn.CONCAT(T$5,$F58), "")</f>
        <v/>
      </c>
      <c r="U58" s="53" t="str">
        <f xml:space="preserve"> IF(十五音音節表!T55&lt;&gt;"", _xlfn.CONCAT(U$5,$F58), "")</f>
        <v/>
      </c>
      <c r="V58" s="53" t="str">
        <f xml:space="preserve"> IF(十五音音節表!U55&lt;&gt;"", _xlfn.CONCAT(V$5,$F58), "")</f>
        <v/>
      </c>
      <c r="W58" s="53" t="str">
        <f xml:space="preserve"> IF(十五音音節表!V55&lt;&gt;"", _xlfn.CONCAT(W$5,$F58), "")</f>
        <v>ㄘㄚㆷ</v>
      </c>
      <c r="X58" s="53" t="str">
        <f xml:space="preserve"> IF(十五音音節表!W55&lt;&gt;"", _xlfn.CONCAT(X$5,$F58), "")</f>
        <v>ㄏㄚㆷ</v>
      </c>
      <c r="Y58" s="142" t="s">
        <v>1186</v>
      </c>
      <c r="Z58" s="50" t="s">
        <v>213</v>
      </c>
      <c r="AA58" s="50" t="s">
        <v>117</v>
      </c>
    </row>
    <row r="59" spans="2:27" collapsed="1">
      <c r="B59" s="139" cm="1">
        <f t="array" ref="B59" xml:space="preserve"> INDEX(韻母表[韻序], MATCH(TRUE, EXACT($C59, 韻母表[十五音]), 0))</f>
        <v>29</v>
      </c>
      <c r="C59" s="50" t="s">
        <v>118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i</v>
      </c>
      <c r="E59" s="50" t="str" cm="1">
        <f t="array" ref="E59" xml:space="preserve"> INDEX(韻母表[台羅拼音], MATCH(TRUE, EXACT($C59, 韻母表[十五音]), 0))</f>
        <v>i</v>
      </c>
      <c r="F59" s="142" t="str" cm="1">
        <f t="array" ref="F59" xml:space="preserve"> INDEX(韻母表[方音符號], MATCH(TRUE, EXACT($C59, 韻母表[十五音]), 0))</f>
        <v>ㄧ</v>
      </c>
      <c r="G59" s="53" t="str">
        <f xml:space="preserve"> IF(十五音音節表!F56&lt;&gt;"", _xlfn.CONCAT(G$5,$F59), "")</f>
        <v>ㄌㄧ</v>
      </c>
      <c r="H59" s="53" t="str">
        <f xml:space="preserve"> IF(十五音音節表!G56&lt;&gt;"", _xlfn.CONCAT(H$5,$F59), "")</f>
        <v>ㄋㄧ</v>
      </c>
      <c r="I59" s="53" t="str">
        <f xml:space="preserve"> IF(十五音音節表!H56&lt;&gt;"", _xlfn.CONCAT(I$5,$F59), "")</f>
        <v>ㄅㄧ</v>
      </c>
      <c r="J59" s="53" t="str">
        <f xml:space="preserve"> IF(十五音音節表!I56&lt;&gt;"", _xlfn.CONCAT(J$5,$F59), "")</f>
        <v>ㄍㄧ</v>
      </c>
      <c r="K59" s="53" t="str">
        <f xml:space="preserve"> IF(十五音音節表!J56&lt;&gt;"", _xlfn.CONCAT(K$5,$F59), "")</f>
        <v>ㄎㄧ</v>
      </c>
      <c r="L59" s="53" t="str">
        <f xml:space="preserve"> IF(十五音音節表!K56&lt;&gt;"", _xlfn.CONCAT(L$5,$F59), "")</f>
        <v>ㄉㄧ</v>
      </c>
      <c r="M59" s="53" t="str">
        <f xml:space="preserve"> IF(十五音音節表!L56&lt;&gt;"", _xlfn.CONCAT(M$5,$F59), "")</f>
        <v>ㄆㄧ</v>
      </c>
      <c r="N59" s="53" t="str">
        <f xml:space="preserve"> IF(十五音音節表!M56&lt;&gt;"", _xlfn.CONCAT(N$5,$F59), "")</f>
        <v>ㄊㄧ</v>
      </c>
      <c r="O59" s="53" t="str">
        <f xml:space="preserve"> IF(十五音音節表!N56&lt;&gt;"", _xlfn.CONCAT(O$5,$F59), "")</f>
        <v>ㄗㄧ</v>
      </c>
      <c r="P59" s="53" t="str">
        <f xml:space="preserve"> IF(十五音音節表!O56&lt;&gt;"", _xlfn.CONCAT(P$5,$F59), "")</f>
        <v>ㆡㄧ</v>
      </c>
      <c r="Q59" s="53" t="str">
        <f xml:space="preserve"> IF(十五音音節表!P56&lt;&gt;"", _xlfn.CONCAT(Q$5,$F59), "")</f>
        <v>ㄙㄧ</v>
      </c>
      <c r="R59" s="53" t="str">
        <f xml:space="preserve"> IF(十五音音節表!Q56&lt;&gt;"", _xlfn.CONCAT(R$5,$F59), "")</f>
        <v>ㄧ</v>
      </c>
      <c r="S59" s="53" t="str">
        <f xml:space="preserve"> IF(十五音音節表!R56&lt;&gt;"", _xlfn.CONCAT(S$5,$F59), "")</f>
        <v>ㆠㄧ</v>
      </c>
      <c r="T59" s="53" t="str">
        <f xml:space="preserve"> IF(十五音音節表!S56&lt;&gt;"", _xlfn.CONCAT(T$5,$F59), "")</f>
        <v>ㄇㄧ</v>
      </c>
      <c r="U59" s="53" t="str">
        <f xml:space="preserve"> IF(十五音音節表!T56&lt;&gt;"", _xlfn.CONCAT(U$5,$F59), "")</f>
        <v>ㆣㄧ</v>
      </c>
      <c r="V59" s="53" t="str">
        <f xml:space="preserve"> IF(十五音音節表!U56&lt;&gt;"", _xlfn.CONCAT(V$5,$F59), "")</f>
        <v/>
      </c>
      <c r="W59" s="53" t="str">
        <f xml:space="preserve"> IF(十五音音節表!V56&lt;&gt;"", _xlfn.CONCAT(W$5,$F59), "")</f>
        <v>ㄘㄧ</v>
      </c>
      <c r="X59" s="53" t="str">
        <f xml:space="preserve"> IF(十五音音節表!W56&lt;&gt;"", _xlfn.CONCAT(X$5,$F59), "")</f>
        <v>ㄏㄧ</v>
      </c>
      <c r="Y59" s="142" t="s">
        <v>1188</v>
      </c>
      <c r="Z59" s="50" t="s">
        <v>214</v>
      </c>
      <c r="AA59" s="50" t="s">
        <v>118</v>
      </c>
    </row>
    <row r="60" spans="2:27" hidden="1" outlineLevel="1">
      <c r="B60" s="139" cm="1">
        <f t="array" ref="B60" xml:space="preserve"> INDEX(韻母表[韻序], MATCH(TRUE, EXACT($C60, 韻母表[十五音]), 0))</f>
        <v>29</v>
      </c>
      <c r="C60" s="50" t="s">
        <v>119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iʔ</v>
      </c>
      <c r="E60" s="50" t="str" cm="1">
        <f t="array" ref="E60" xml:space="preserve"> INDEX(韻母表[台羅拼音], MATCH(TRUE, EXACT($C60, 韻母表[十五音]), 0))</f>
        <v>ih</v>
      </c>
      <c r="F60" s="142" t="str" cm="1">
        <f t="array" ref="F60" xml:space="preserve"> INDEX(韻母表[方音符號], MATCH(TRUE, EXACT($C60, 韻母表[十五音]), 0))</f>
        <v>ㄧㆷ</v>
      </c>
      <c r="G60" s="53" t="str">
        <f xml:space="preserve"> IF(十五音音節表!F57&lt;&gt;"", _xlfn.CONCAT(G$5,$F60), "")</f>
        <v/>
      </c>
      <c r="H60" s="53" t="str">
        <f xml:space="preserve"> IF(十五音音節表!G57&lt;&gt;"", _xlfn.CONCAT(H$5,$F60), "")</f>
        <v>ㄋㄧㆷ</v>
      </c>
      <c r="I60" s="53" t="str">
        <f xml:space="preserve"> IF(十五音音節表!H57&lt;&gt;"", _xlfn.CONCAT(I$5,$F60), "")</f>
        <v>ㄅㄧㆷ</v>
      </c>
      <c r="J60" s="53" t="str">
        <f xml:space="preserve"> IF(十五音音節表!I57&lt;&gt;"", _xlfn.CONCAT(J$5,$F60), "")</f>
        <v/>
      </c>
      <c r="K60" s="53" t="str">
        <f xml:space="preserve"> IF(十五音音節表!J57&lt;&gt;"", _xlfn.CONCAT(K$5,$F60), "")</f>
        <v>ㄎㄧㆷ</v>
      </c>
      <c r="L60" s="53" t="str">
        <f xml:space="preserve"> IF(十五音音節表!K57&lt;&gt;"", _xlfn.CONCAT(L$5,$F60), "")</f>
        <v>ㄉㄧㆷ</v>
      </c>
      <c r="M60" s="53" t="str">
        <f xml:space="preserve"> IF(十五音音節表!L57&lt;&gt;"", _xlfn.CONCAT(M$5,$F60), "")</f>
        <v>ㄆㄧㆷ</v>
      </c>
      <c r="N60" s="53" t="str">
        <f xml:space="preserve"> IF(十五音音節表!M57&lt;&gt;"", _xlfn.CONCAT(N$5,$F60), "")</f>
        <v>ㄊㄧㆷ</v>
      </c>
      <c r="O60" s="53" t="str">
        <f xml:space="preserve"> IF(十五音音節表!N57&lt;&gt;"", _xlfn.CONCAT(O$5,$F60), "")</f>
        <v>ㄗㄧㆷ</v>
      </c>
      <c r="P60" s="53" t="str">
        <f xml:space="preserve"> IF(十五音音節表!O57&lt;&gt;"", _xlfn.CONCAT(P$5,$F60), "")</f>
        <v/>
      </c>
      <c r="Q60" s="53" t="str">
        <f xml:space="preserve"> IF(十五音音節表!P57&lt;&gt;"", _xlfn.CONCAT(Q$5,$F60), "")</f>
        <v>ㄙㄧㆷ</v>
      </c>
      <c r="R60" s="53" t="str">
        <f xml:space="preserve"> IF(十五音音節表!Q57&lt;&gt;"", _xlfn.CONCAT(R$5,$F60), "")</f>
        <v/>
      </c>
      <c r="S60" s="53" t="str">
        <f xml:space="preserve"> IF(十五音音節表!R57&lt;&gt;"", _xlfn.CONCAT(S$5,$F60), "")</f>
        <v>ㆠㄧㆷ</v>
      </c>
      <c r="T60" s="53" t="str">
        <f xml:space="preserve"> IF(十五音音節表!S57&lt;&gt;"", _xlfn.CONCAT(T$5,$F60), "")</f>
        <v>ㄇㄧㆷ</v>
      </c>
      <c r="U60" s="53" t="str">
        <f xml:space="preserve"> IF(十五音音節表!T57&lt;&gt;"", _xlfn.CONCAT(U$5,$F60), "")</f>
        <v/>
      </c>
      <c r="V60" s="53" t="str">
        <f xml:space="preserve"> IF(十五音音節表!U57&lt;&gt;"", _xlfn.CONCAT(V$5,$F60), "")</f>
        <v/>
      </c>
      <c r="W60" s="53" t="str">
        <f xml:space="preserve"> IF(十五音音節表!V57&lt;&gt;"", _xlfn.CONCAT(W$5,$F60), "")</f>
        <v>ㄘㄧㆷ</v>
      </c>
      <c r="X60" s="53" t="str">
        <f xml:space="preserve"> IF(十五音音節表!W57&lt;&gt;"", _xlfn.CONCAT(X$5,$F60), "")</f>
        <v/>
      </c>
      <c r="Y60" s="142" t="s">
        <v>1190</v>
      </c>
      <c r="Z60" s="50" t="s">
        <v>215</v>
      </c>
      <c r="AA60" s="50" t="s">
        <v>119</v>
      </c>
    </row>
    <row r="61" spans="2:27" collapsed="1">
      <c r="B61" s="139" cm="1">
        <f t="array" ref="B61" xml:space="preserve"> INDEX(韻母表[韻序], MATCH(TRUE, EXACT($C61, 韻母表[十五音]), 0))</f>
        <v>30</v>
      </c>
      <c r="C61" s="50" t="s">
        <v>120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ɪu</v>
      </c>
      <c r="E61" s="50" t="str" cm="1">
        <f t="array" ref="E61" xml:space="preserve"> INDEX(韻母表[台羅拼音], MATCH(TRUE, EXACT($C61, 韻母表[十五音]), 0))</f>
        <v>iu</v>
      </c>
      <c r="F61" s="142" t="str" cm="1">
        <f t="array" ref="F61" xml:space="preserve"> INDEX(韻母表[方音符號], MATCH(TRUE, EXACT($C61, 韻母表[十五音]), 0))</f>
        <v>ㄧㄨ</v>
      </c>
      <c r="G61" s="53" t="str">
        <f xml:space="preserve"> IF(十五音音節表!F58&lt;&gt;"", _xlfn.CONCAT(G$5,$F61), "")</f>
        <v>ㄌㄧㄨ</v>
      </c>
      <c r="H61" s="53" t="str">
        <f xml:space="preserve"> IF(十五音音節表!G58&lt;&gt;"", _xlfn.CONCAT(H$5,$F61), "")</f>
        <v>ㄋㄧㄨ</v>
      </c>
      <c r="I61" s="53" t="str">
        <f xml:space="preserve"> IF(十五音音節表!H58&lt;&gt;"", _xlfn.CONCAT(I$5,$F61), "")</f>
        <v>ㄅㄧㄨ</v>
      </c>
      <c r="J61" s="53" t="str">
        <f xml:space="preserve"> IF(十五音音節表!I58&lt;&gt;"", _xlfn.CONCAT(J$5,$F61), "")</f>
        <v>ㄍㄧㄨ</v>
      </c>
      <c r="K61" s="53" t="str">
        <f xml:space="preserve"> IF(十五音音節表!J58&lt;&gt;"", _xlfn.CONCAT(K$5,$F61), "")</f>
        <v>ㄎㄧㄨ</v>
      </c>
      <c r="L61" s="53" t="str">
        <f xml:space="preserve"> IF(十五音音節表!K58&lt;&gt;"", _xlfn.CONCAT(L$5,$F61), "")</f>
        <v>ㄉㄧㄨ</v>
      </c>
      <c r="M61" s="53" t="str">
        <f xml:space="preserve"> IF(十五音音節表!L58&lt;&gt;"", _xlfn.CONCAT(M$5,$F61), "")</f>
        <v/>
      </c>
      <c r="N61" s="53" t="str">
        <f xml:space="preserve"> IF(十五音音節表!M58&lt;&gt;"", _xlfn.CONCAT(N$5,$F61), "")</f>
        <v>ㄊㄧㄨ</v>
      </c>
      <c r="O61" s="53" t="str">
        <f xml:space="preserve"> IF(十五音音節表!N58&lt;&gt;"", _xlfn.CONCAT(O$5,$F61), "")</f>
        <v>ㄗㄧㄨ</v>
      </c>
      <c r="P61" s="53" t="str">
        <f xml:space="preserve"> IF(十五音音節表!O58&lt;&gt;"", _xlfn.CONCAT(P$5,$F61), "")</f>
        <v>ㆡㄧㄨ</v>
      </c>
      <c r="Q61" s="53" t="str">
        <f xml:space="preserve"> IF(十五音音節表!P58&lt;&gt;"", _xlfn.CONCAT(Q$5,$F61), "")</f>
        <v>ㄙㄧㄨ</v>
      </c>
      <c r="R61" s="53" t="str">
        <f xml:space="preserve"> IF(十五音音節表!Q58&lt;&gt;"", _xlfn.CONCAT(R$5,$F61), "")</f>
        <v>ㄧㄨ</v>
      </c>
      <c r="S61" s="53" t="str">
        <f xml:space="preserve"> IF(十五音音節表!R58&lt;&gt;"", _xlfn.CONCAT(S$5,$F61), "")</f>
        <v>ㆠㄧㄨ</v>
      </c>
      <c r="T61" s="53" t="str">
        <f xml:space="preserve"> IF(十五音音節表!S58&lt;&gt;"", _xlfn.CONCAT(T$5,$F61), "")</f>
        <v/>
      </c>
      <c r="U61" s="53" t="str">
        <f xml:space="preserve"> IF(十五音音節表!T58&lt;&gt;"", _xlfn.CONCAT(U$5,$F61), "")</f>
        <v>ㆣㄧㄨ</v>
      </c>
      <c r="V61" s="53" t="str">
        <f xml:space="preserve"> IF(十五音音節表!U58&lt;&gt;"", _xlfn.CONCAT(V$5,$F61), "")</f>
        <v/>
      </c>
      <c r="W61" s="53" t="str">
        <f xml:space="preserve"> IF(十五音音節表!V58&lt;&gt;"", _xlfn.CONCAT(W$5,$F61), "")</f>
        <v>ㄘㄧㄨ</v>
      </c>
      <c r="X61" s="53" t="str">
        <f xml:space="preserve"> IF(十五音音節表!W58&lt;&gt;"", _xlfn.CONCAT(X$5,$F61), "")</f>
        <v>ㄏㄧㄨ</v>
      </c>
      <c r="Y61" s="142" t="s">
        <v>1192</v>
      </c>
      <c r="Z61" s="50" t="s">
        <v>216</v>
      </c>
      <c r="AA61" s="50" t="s">
        <v>120</v>
      </c>
    </row>
    <row r="62" spans="2:27">
      <c r="B62" s="139" cm="1">
        <f t="array" ref="B62" xml:space="preserve"> INDEX(韻母表[韻序], MATCH(TRUE, EXACT($C62, 韻母表[十五音]), 0))</f>
        <v>31</v>
      </c>
      <c r="C62" s="50" t="s">
        <v>122</v>
      </c>
      <c r="D62" s="96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ɛ̃</v>
      </c>
      <c r="E62" s="50" t="str" cm="1">
        <f t="array" ref="E62" xml:space="preserve"> INDEX(韻母表[台羅拼音], MATCH(TRUE, EXACT($C62, 韻母表[十五音]), 0))</f>
        <v>enn</v>
      </c>
      <c r="F62" s="142" t="str" cm="1">
        <f t="array" ref="F62" xml:space="preserve"> INDEX(韻母表[方音符號], MATCH(TRUE, EXACT($C62, 韻母表[十五音]), 0))</f>
        <v>ㆥ</v>
      </c>
      <c r="G62" s="53" t="str">
        <f xml:space="preserve"> IF(十五音音節表!F59&lt;&gt;"", _xlfn.CONCAT(G$5,$F62), "")</f>
        <v/>
      </c>
      <c r="H62" s="53" t="str">
        <f xml:space="preserve"> IF(十五音音節表!G59&lt;&gt;"", _xlfn.CONCAT(H$5,$F62), "")</f>
        <v/>
      </c>
      <c r="I62" s="53" t="str">
        <f xml:space="preserve"> IF(十五音音節表!H59&lt;&gt;"", _xlfn.CONCAT(I$5,$F62), "")</f>
        <v>ㄅㆥ</v>
      </c>
      <c r="J62" s="53" t="str">
        <f xml:space="preserve"> IF(十五音音節表!I59&lt;&gt;"", _xlfn.CONCAT(J$5,$F62), "")</f>
        <v>ㄍㆥ</v>
      </c>
      <c r="K62" s="53" t="str">
        <f xml:space="preserve"> IF(十五音音節表!J59&lt;&gt;"", _xlfn.CONCAT(K$5,$F62), "")</f>
        <v>ㄎㆥ</v>
      </c>
      <c r="L62" s="53" t="str">
        <f xml:space="preserve"> IF(十五音音節表!K59&lt;&gt;"", _xlfn.CONCAT(L$5,$F62), "")</f>
        <v>ㄉㆥ</v>
      </c>
      <c r="M62" s="53" t="str">
        <f xml:space="preserve"> IF(十五音音節表!L59&lt;&gt;"", _xlfn.CONCAT(M$5,$F62), "")</f>
        <v>ㄆㆥ</v>
      </c>
      <c r="N62" s="53" t="str">
        <f xml:space="preserve"> IF(十五音音節表!M59&lt;&gt;"", _xlfn.CONCAT(N$5,$F62), "")</f>
        <v>ㄊㆥ</v>
      </c>
      <c r="O62" s="53" t="str">
        <f xml:space="preserve"> IF(十五音音節表!N59&lt;&gt;"", _xlfn.CONCAT(O$5,$F62), "")</f>
        <v>ㄗㆥ</v>
      </c>
      <c r="P62" s="53" t="str">
        <f xml:space="preserve"> IF(十五音音節表!O59&lt;&gt;"", _xlfn.CONCAT(P$5,$F62), "")</f>
        <v/>
      </c>
      <c r="Q62" s="53" t="str">
        <f xml:space="preserve"> IF(十五音音節表!P59&lt;&gt;"", _xlfn.CONCAT(Q$5,$F62), "")</f>
        <v>ㄙㆥ</v>
      </c>
      <c r="R62" s="53" t="str">
        <f xml:space="preserve"> IF(十五音音節表!Q59&lt;&gt;"", _xlfn.CONCAT(R$5,$F62), "")</f>
        <v>ㆥ</v>
      </c>
      <c r="S62" s="53" t="str">
        <f xml:space="preserve"> IF(十五音音節表!R59&lt;&gt;"", _xlfn.CONCAT(S$5,$F62), "")</f>
        <v/>
      </c>
      <c r="T62" s="53" t="str">
        <f xml:space="preserve"> IF(十五音音節表!S59&lt;&gt;"", _xlfn.CONCAT(T$5,$F62), "")</f>
        <v/>
      </c>
      <c r="U62" s="53" t="str">
        <f xml:space="preserve"> IF(十五音音節表!T59&lt;&gt;"", _xlfn.CONCAT(U$5,$F62), "")</f>
        <v/>
      </c>
      <c r="V62" s="53" t="str">
        <f xml:space="preserve"> IF(十五音音節表!U59&lt;&gt;"", _xlfn.CONCAT(V$5,$F62), "")</f>
        <v/>
      </c>
      <c r="W62" s="53" t="str">
        <f xml:space="preserve"> IF(十五音音節表!V59&lt;&gt;"", _xlfn.CONCAT(W$5,$F62), "")</f>
        <v>ㄘㆥ</v>
      </c>
      <c r="X62" s="53" t="str">
        <f xml:space="preserve"> IF(十五音音節表!W59&lt;&gt;"", _xlfn.CONCAT(X$5,$F62), "")</f>
        <v>ㄏㆥ</v>
      </c>
      <c r="Y62" s="142" t="s">
        <v>1194</v>
      </c>
      <c r="Z62" s="50" t="s">
        <v>217</v>
      </c>
      <c r="AA62" s="50" t="s">
        <v>122</v>
      </c>
    </row>
    <row r="63" spans="2:27" hidden="1" outlineLevel="1">
      <c r="B63" s="139" cm="1">
        <f t="array" ref="B63" xml:space="preserve"> INDEX(韻母表[韻序], MATCH(TRUE, EXACT($C63, 韻母表[十五音]), 0))</f>
        <v>31</v>
      </c>
      <c r="C63" s="50" t="s">
        <v>123</v>
      </c>
      <c r="D63" s="96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ɛ̃ʔ</v>
      </c>
      <c r="E63" s="50" t="str" cm="1">
        <f t="array" ref="E63" xml:space="preserve"> INDEX(韻母表[台羅拼音], MATCH(TRUE, EXACT($C63, 韻母表[十五音]), 0))</f>
        <v>ennh</v>
      </c>
      <c r="F63" s="142" t="str" cm="1">
        <f t="array" ref="F63" xml:space="preserve"> INDEX(韻母表[方音符號], MATCH(TRUE, EXACT($C63, 韻母表[十五音]), 0))</f>
        <v>ㆥㆷ</v>
      </c>
      <c r="G63" s="53" t="str">
        <f xml:space="preserve"> IF(十五音音節表!F60&lt;&gt;"", _xlfn.CONCAT(G$5,$F63), "")</f>
        <v/>
      </c>
      <c r="H63" s="53" t="str">
        <f xml:space="preserve"> IF(十五音音節表!G60&lt;&gt;"", _xlfn.CONCAT(H$5,$F63), "")</f>
        <v/>
      </c>
      <c r="I63" s="53" t="str">
        <f xml:space="preserve"> IF(十五音音節表!H60&lt;&gt;"", _xlfn.CONCAT(I$5,$F63), "")</f>
        <v/>
      </c>
      <c r="J63" s="53" t="str">
        <f xml:space="preserve"> IF(十五音音節表!I60&lt;&gt;"", _xlfn.CONCAT(J$5,$F63), "")</f>
        <v/>
      </c>
      <c r="K63" s="53" t="str">
        <f xml:space="preserve"> IF(十五音音節表!J60&lt;&gt;"", _xlfn.CONCAT(K$5,$F63), "")</f>
        <v>ㄎㆥㆷ</v>
      </c>
      <c r="L63" s="53" t="str">
        <f xml:space="preserve"> IF(十五音音節表!K60&lt;&gt;"", _xlfn.CONCAT(L$5,$F63), "")</f>
        <v/>
      </c>
      <c r="M63" s="53" t="str">
        <f xml:space="preserve"> IF(十五音音節表!L60&lt;&gt;"", _xlfn.CONCAT(M$5,$F63), "")</f>
        <v/>
      </c>
      <c r="N63" s="53" t="str">
        <f xml:space="preserve"> IF(十五音音節表!M60&lt;&gt;"", _xlfn.CONCAT(N$5,$F63), "")</f>
        <v/>
      </c>
      <c r="O63" s="53" t="str">
        <f xml:space="preserve"> IF(十五音音節表!N60&lt;&gt;"", _xlfn.CONCAT(O$5,$F63), "")</f>
        <v/>
      </c>
      <c r="P63" s="53" t="str">
        <f xml:space="preserve"> IF(十五音音節表!O60&lt;&gt;"", _xlfn.CONCAT(P$5,$F63), "")</f>
        <v/>
      </c>
      <c r="Q63" s="53" t="str">
        <f xml:space="preserve"> IF(十五音音節表!P60&lt;&gt;"", _xlfn.CONCAT(Q$5,$F63), "")</f>
        <v/>
      </c>
      <c r="R63" s="53" t="str">
        <f xml:space="preserve"> IF(十五音音節表!Q60&lt;&gt;"", _xlfn.CONCAT(R$5,$F63), "")</f>
        <v/>
      </c>
      <c r="S63" s="53" t="str">
        <f xml:space="preserve"> IF(十五音音節表!R60&lt;&gt;"", _xlfn.CONCAT(S$5,$F63), "")</f>
        <v/>
      </c>
      <c r="T63" s="53" t="str">
        <f xml:space="preserve"> IF(十五音音節表!S60&lt;&gt;"", _xlfn.CONCAT(T$5,$F63), "")</f>
        <v/>
      </c>
      <c r="U63" s="53" t="str">
        <f xml:space="preserve"> IF(十五音音節表!T60&lt;&gt;"", _xlfn.CONCAT(U$5,$F63), "")</f>
        <v/>
      </c>
      <c r="V63" s="53" t="str">
        <f xml:space="preserve"> IF(十五音音節表!U60&lt;&gt;"", _xlfn.CONCAT(V$5,$F63), "")</f>
        <v/>
      </c>
      <c r="W63" s="53" t="str">
        <f xml:space="preserve"> IF(十五音音節表!V60&lt;&gt;"", _xlfn.CONCAT(W$5,$F63), "")</f>
        <v/>
      </c>
      <c r="X63" s="53" t="str">
        <f xml:space="preserve"> IF(十五音音節表!W60&lt;&gt;"", _xlfn.CONCAT(X$5,$F63), "")</f>
        <v>ㄏㆥㆷ</v>
      </c>
      <c r="Y63" s="142" t="s">
        <v>1197</v>
      </c>
      <c r="Z63" s="50" t="s">
        <v>218</v>
      </c>
      <c r="AA63" s="50" t="s">
        <v>123</v>
      </c>
    </row>
    <row r="64" spans="2:27" collapsed="1">
      <c r="B64" s="139" cm="1">
        <f t="array" ref="B64" xml:space="preserve"> INDEX(韻母表[韻序], MATCH(TRUE, EXACT($C64, 韻母表[十五音]), 0))</f>
        <v>33</v>
      </c>
      <c r="C64" s="50" t="s">
        <v>126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ɪə</v>
      </c>
      <c r="E64" s="50" t="str" cm="1">
        <f t="array" ref="E64" xml:space="preserve"> INDEX(韻母表[台羅拼音], MATCH(TRUE, EXACT($C64, 韻母表[十五音]), 0))</f>
        <v>io</v>
      </c>
      <c r="F64" s="142" t="str" cm="1">
        <f t="array" ref="F64" xml:space="preserve"> INDEX(韻母表[方音符號], MATCH(TRUE, EXACT($C64, 韻母表[十五音]), 0))</f>
        <v>ㄧㄜ</v>
      </c>
      <c r="G64" s="53" t="str">
        <f xml:space="preserve"> IF(十五音音節表!F61&lt;&gt;"", _xlfn.CONCAT(G$5,$F64), "")</f>
        <v>ㄌㄧㄜ</v>
      </c>
      <c r="H64" s="53" t="str">
        <f xml:space="preserve"> IF(十五音音節表!G61&lt;&gt;"", _xlfn.CONCAT(H$5,$F64), "")</f>
        <v/>
      </c>
      <c r="I64" s="53" t="str">
        <f xml:space="preserve"> IF(十五音音節表!H61&lt;&gt;"", _xlfn.CONCAT(I$5,$F64), "")</f>
        <v>ㄅㄧㄜ</v>
      </c>
      <c r="J64" s="53" t="str">
        <f xml:space="preserve"> IF(十五音音節表!I61&lt;&gt;"", _xlfn.CONCAT(J$5,$F64), "")</f>
        <v>ㄍㄧㄜ</v>
      </c>
      <c r="K64" s="53" t="str">
        <f xml:space="preserve"> IF(十五音音節表!J61&lt;&gt;"", _xlfn.CONCAT(K$5,$F64), "")</f>
        <v>ㄎㄧㄜ</v>
      </c>
      <c r="L64" s="53" t="str">
        <f xml:space="preserve"> IF(十五音音節表!K61&lt;&gt;"", _xlfn.CONCAT(L$5,$F64), "")</f>
        <v>ㄉㄧㄜ</v>
      </c>
      <c r="M64" s="53" t="str">
        <f xml:space="preserve"> IF(十五音音節表!L61&lt;&gt;"", _xlfn.CONCAT(M$5,$F64), "")</f>
        <v>ㄆㄧㄜ</v>
      </c>
      <c r="N64" s="53" t="str">
        <f xml:space="preserve"> IF(十五音音節表!M61&lt;&gt;"", _xlfn.CONCAT(N$5,$F64), "")</f>
        <v>ㄊㄧㄜ</v>
      </c>
      <c r="O64" s="53" t="str">
        <f xml:space="preserve"> IF(十五音音節表!N61&lt;&gt;"", _xlfn.CONCAT(O$5,$F64), "")</f>
        <v>ㄗㄧㄜ</v>
      </c>
      <c r="P64" s="53" t="str">
        <f xml:space="preserve"> IF(十五音音節表!O61&lt;&gt;"", _xlfn.CONCAT(P$5,$F64), "")</f>
        <v>ㆡㄧㄜ</v>
      </c>
      <c r="Q64" s="53" t="str">
        <f xml:space="preserve"> IF(十五音音節表!P61&lt;&gt;"", _xlfn.CONCAT(Q$5,$F64), "")</f>
        <v>ㄙㄧㄜ</v>
      </c>
      <c r="R64" s="53" t="str">
        <f xml:space="preserve"> IF(十五音音節表!Q61&lt;&gt;"", _xlfn.CONCAT(R$5,$F64), "")</f>
        <v>ㄧㄜ</v>
      </c>
      <c r="S64" s="53" t="str">
        <f xml:space="preserve"> IF(十五音音節表!R61&lt;&gt;"", _xlfn.CONCAT(S$5,$F64), "")</f>
        <v>ㆠㄧㄜ</v>
      </c>
      <c r="T64" s="53" t="str">
        <f xml:space="preserve"> IF(十五音音節表!S61&lt;&gt;"", _xlfn.CONCAT(T$5,$F64), "")</f>
        <v/>
      </c>
      <c r="U64" s="53" t="str">
        <f xml:space="preserve"> IF(十五音音節表!T61&lt;&gt;"", _xlfn.CONCAT(U$5,$F64), "")</f>
        <v>ㆣㄧㄜ</v>
      </c>
      <c r="V64" s="53" t="str">
        <f xml:space="preserve"> IF(十五音音節表!U61&lt;&gt;"", _xlfn.CONCAT(V$5,$F64), "")</f>
        <v/>
      </c>
      <c r="W64" s="53" t="str">
        <f xml:space="preserve"> IF(十五音音節表!V61&lt;&gt;"", _xlfn.CONCAT(W$5,$F64), "")</f>
        <v>ㄘㄧㄜ</v>
      </c>
      <c r="X64" s="53" t="str">
        <f xml:space="preserve"> IF(十五音音節表!W61&lt;&gt;"", _xlfn.CONCAT(X$5,$F64), "")</f>
        <v>ㄏㄧㄜ</v>
      </c>
      <c r="Y64" s="142" t="s">
        <v>1205</v>
      </c>
      <c r="Z64" s="50" t="s">
        <v>220</v>
      </c>
      <c r="AA64" s="50" t="s">
        <v>126</v>
      </c>
    </row>
    <row r="65" spans="2:27" hidden="1" outlineLevel="1">
      <c r="B65" s="139" cm="1">
        <f t="array" ref="B65" xml:space="preserve"> INDEX(韻母表[韻序], MATCH(TRUE, EXACT($C65, 韻母表[十五音]), 0))</f>
        <v>33</v>
      </c>
      <c r="C65" s="50" t="s">
        <v>127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ɪəʔ</v>
      </c>
      <c r="E65" s="50" t="str" cm="1">
        <f t="array" ref="E65" xml:space="preserve"> INDEX(韻母表[台羅拼音], MATCH(TRUE, EXACT($C65, 韻母表[十五音]), 0))</f>
        <v>ioh</v>
      </c>
      <c r="F65" s="142" t="str" cm="1">
        <f t="array" ref="F65" xml:space="preserve"> INDEX(韻母表[方音符號], MATCH(TRUE, EXACT($C65, 韻母表[十五音]), 0))</f>
        <v>ㄧㄜㆷ</v>
      </c>
      <c r="G65" s="53" t="str">
        <f xml:space="preserve"> IF(十五音音節表!F62&lt;&gt;"", _xlfn.CONCAT(G$5,$F65), "")</f>
        <v>ㄌㄧㄜㆷ</v>
      </c>
      <c r="H65" s="53" t="str">
        <f xml:space="preserve"> IF(十五音音節表!G62&lt;&gt;"", _xlfn.CONCAT(H$5,$F65), "")</f>
        <v/>
      </c>
      <c r="I65" s="53" t="str">
        <f xml:space="preserve"> IF(十五音音節表!H62&lt;&gt;"", _xlfn.CONCAT(I$5,$F65), "")</f>
        <v/>
      </c>
      <c r="J65" s="53" t="str">
        <f xml:space="preserve"> IF(十五音音節表!I62&lt;&gt;"", _xlfn.CONCAT(J$5,$F65), "")</f>
        <v>ㄍㄧㄜㆷ</v>
      </c>
      <c r="K65" s="53" t="str">
        <f xml:space="preserve"> IF(十五音音節表!J62&lt;&gt;"", _xlfn.CONCAT(K$5,$F65), "")</f>
        <v>ㄎㄧㄜㆷ</v>
      </c>
      <c r="L65" s="53" t="str">
        <f xml:space="preserve"> IF(十五音音節表!K62&lt;&gt;"", _xlfn.CONCAT(L$5,$F65), "")</f>
        <v>ㄉㄧㄜㆷ</v>
      </c>
      <c r="M65" s="53" t="str">
        <f xml:space="preserve"> IF(十五音音節表!L62&lt;&gt;"", _xlfn.CONCAT(M$5,$F65), "")</f>
        <v/>
      </c>
      <c r="N65" s="53" t="str">
        <f xml:space="preserve"> IF(十五音音節表!M62&lt;&gt;"", _xlfn.CONCAT(N$5,$F65), "")</f>
        <v/>
      </c>
      <c r="O65" s="53" t="str">
        <f xml:space="preserve"> IF(十五音音節表!N62&lt;&gt;"", _xlfn.CONCAT(O$5,$F65), "")</f>
        <v>ㄗㄧㄜㆷ</v>
      </c>
      <c r="P65" s="53" t="str">
        <f xml:space="preserve"> IF(十五音音節表!O62&lt;&gt;"", _xlfn.CONCAT(P$5,$F65), "")</f>
        <v/>
      </c>
      <c r="Q65" s="53" t="str">
        <f xml:space="preserve"> IF(十五音音節表!P62&lt;&gt;"", _xlfn.CONCAT(Q$5,$F65), "")</f>
        <v>ㄙㄧㄜㆷ</v>
      </c>
      <c r="R65" s="53" t="str">
        <f xml:space="preserve"> IF(十五音音節表!Q62&lt;&gt;"", _xlfn.CONCAT(R$5,$F65), "")</f>
        <v>ㄧㄜㆷ</v>
      </c>
      <c r="S65" s="53" t="str">
        <f xml:space="preserve"> IF(十五音音節表!R62&lt;&gt;"", _xlfn.CONCAT(S$5,$F65), "")</f>
        <v/>
      </c>
      <c r="T65" s="53" t="str">
        <f xml:space="preserve"> IF(十五音音節表!S62&lt;&gt;"", _xlfn.CONCAT(T$5,$F65), "")</f>
        <v/>
      </c>
      <c r="U65" s="53" t="str">
        <f xml:space="preserve"> IF(十五音音節表!T62&lt;&gt;"", _xlfn.CONCAT(U$5,$F65), "")</f>
        <v>ㆣㄧㄜㆷ</v>
      </c>
      <c r="V65" s="53" t="str">
        <f xml:space="preserve"> IF(十五音音節表!U62&lt;&gt;"", _xlfn.CONCAT(V$5,$F65), "")</f>
        <v/>
      </c>
      <c r="W65" s="53" t="str">
        <f xml:space="preserve"> IF(十五音音節表!V62&lt;&gt;"", _xlfn.CONCAT(W$5,$F65), "")</f>
        <v>ㄘㄧㄜㆷ</v>
      </c>
      <c r="X65" s="53" t="str">
        <f xml:space="preserve"> IF(十五音音節表!W62&lt;&gt;"", _xlfn.CONCAT(X$5,$F65), "")</f>
        <v>ㄏㄧㄜㆷ</v>
      </c>
      <c r="Y65" s="142" t="s">
        <v>1207</v>
      </c>
      <c r="Z65" s="50" t="s">
        <v>221</v>
      </c>
      <c r="AA65" s="50" t="s">
        <v>127</v>
      </c>
    </row>
    <row r="66" spans="2:27" collapsed="1">
      <c r="B66" s="139" cm="1">
        <f t="array" ref="B66" xml:space="preserve"> INDEX(韻母表[韻序], MATCH(TRUE, EXACT($C66, 韻母表[十五音]), 0))</f>
        <v>34</v>
      </c>
      <c r="C66" s="50" t="s">
        <v>128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ĩ</v>
      </c>
      <c r="E66" s="50" t="str" cm="1">
        <f t="array" ref="E66" xml:space="preserve"> INDEX(韻母表[台羅拼音], MATCH(TRUE, EXACT($C66, 韻母表[十五音]), 0))</f>
        <v>inn</v>
      </c>
      <c r="F66" s="142" t="str" cm="1">
        <f t="array" ref="F66" xml:space="preserve"> INDEX(韻母表[方音符號], MATCH(TRUE, EXACT($C66, 韻母表[十五音]), 0))</f>
        <v>ㆪ</v>
      </c>
      <c r="G66" s="53" t="str">
        <f xml:space="preserve"> IF(十五音音節表!F63&lt;&gt;"", _xlfn.CONCAT(G$5,$F66), "")</f>
        <v/>
      </c>
      <c r="H66" s="53" t="str">
        <f xml:space="preserve"> IF(十五音音節表!G63&lt;&gt;"", _xlfn.CONCAT(H$5,$F66), "")</f>
        <v/>
      </c>
      <c r="I66" s="53" t="str">
        <f xml:space="preserve"> IF(十五音音節表!H63&lt;&gt;"", _xlfn.CONCAT(I$5,$F66), "")</f>
        <v/>
      </c>
      <c r="J66" s="53" t="str">
        <f xml:space="preserve"> IF(十五音音節表!I63&lt;&gt;"", _xlfn.CONCAT(J$5,$F66), "")</f>
        <v>ㄍㆪ</v>
      </c>
      <c r="K66" s="53" t="str">
        <f xml:space="preserve"> IF(十五音音節表!J63&lt;&gt;"", _xlfn.CONCAT(K$5,$F66), "")</f>
        <v>ㄎㆪ</v>
      </c>
      <c r="L66" s="53" t="str">
        <f xml:space="preserve"> IF(十五音音節表!K63&lt;&gt;"", _xlfn.CONCAT(L$5,$F66), "")</f>
        <v>ㄉㆪ</v>
      </c>
      <c r="M66" s="53" t="str">
        <f xml:space="preserve"> IF(十五音音節表!L63&lt;&gt;"", _xlfn.CONCAT(M$5,$F66), "")</f>
        <v/>
      </c>
      <c r="N66" s="53" t="str">
        <f xml:space="preserve"> IF(十五音音節表!M63&lt;&gt;"", _xlfn.CONCAT(N$5,$F66), "")</f>
        <v>ㄊㆪ</v>
      </c>
      <c r="O66" s="53" t="str">
        <f xml:space="preserve"> IF(十五音音節表!N63&lt;&gt;"", _xlfn.CONCAT(O$5,$F66), "")</f>
        <v>ㄗㆪ</v>
      </c>
      <c r="P66" s="53" t="str">
        <f xml:space="preserve"> IF(十五音音節表!O63&lt;&gt;"", _xlfn.CONCAT(P$5,$F66), "")</f>
        <v/>
      </c>
      <c r="Q66" s="53" t="str">
        <f xml:space="preserve"> IF(十五音音節表!P63&lt;&gt;"", _xlfn.CONCAT(Q$5,$F66), "")</f>
        <v>ㄙㆪ</v>
      </c>
      <c r="R66" s="53" t="str">
        <f xml:space="preserve"> IF(十五音音節表!Q63&lt;&gt;"", _xlfn.CONCAT(R$5,$F66), "")</f>
        <v>ㆪ</v>
      </c>
      <c r="S66" s="53" t="str">
        <f xml:space="preserve"> IF(十五音音節表!R63&lt;&gt;"", _xlfn.CONCAT(S$5,$F66), "")</f>
        <v/>
      </c>
      <c r="T66" s="53" t="str">
        <f xml:space="preserve"> IF(十五音音節表!S63&lt;&gt;"", _xlfn.CONCAT(T$5,$F66), "")</f>
        <v/>
      </c>
      <c r="U66" s="53" t="str">
        <f xml:space="preserve"> IF(十五音音節表!T63&lt;&gt;"", _xlfn.CONCAT(U$5,$F66), "")</f>
        <v/>
      </c>
      <c r="V66" s="53" t="str">
        <f xml:space="preserve"> IF(十五音音節表!U63&lt;&gt;"", _xlfn.CONCAT(V$5,$F66), "")</f>
        <v/>
      </c>
      <c r="W66" s="53" t="str">
        <f xml:space="preserve"> IF(十五音音節表!V63&lt;&gt;"", _xlfn.CONCAT(W$5,$F66), "")</f>
        <v>ㄘㆪ</v>
      </c>
      <c r="X66" s="53" t="str">
        <f xml:space="preserve"> IF(十五音音節表!W63&lt;&gt;"", _xlfn.CONCAT(X$5,$F66), "")</f>
        <v>ㄏㆪ</v>
      </c>
      <c r="Y66" s="142" t="s">
        <v>1211</v>
      </c>
      <c r="Z66" s="50" t="s">
        <v>222</v>
      </c>
      <c r="AA66" s="50" t="s">
        <v>128</v>
      </c>
    </row>
    <row r="67" spans="2:27">
      <c r="B67" s="139" cm="1">
        <f t="array" ref="B67" xml:space="preserve"> INDEX(韻母表[韻序], MATCH(TRUE, EXACT($C67, 韻母表[十五音]), 0))</f>
        <v>35</v>
      </c>
      <c r="C67" s="145" t="s">
        <v>1566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ɪɔ̃</v>
      </c>
      <c r="E67" s="50" t="str" cm="1">
        <f t="array" ref="E67" xml:space="preserve"> INDEX(韻母表[台羅拼音], MATCH(TRUE, EXACT($C67, 韻母表[十五音]), 0))</f>
        <v>ionn</v>
      </c>
      <c r="F67" s="142" t="str" cm="1">
        <f t="array" ref="F67" xml:space="preserve"> INDEX(韻母表[方音符號], MATCH(TRUE, EXACT($C67, 韻母表[十五音]), 0))</f>
        <v>ㄧㆧ</v>
      </c>
      <c r="G67" s="53" t="str">
        <f xml:space="preserve"> IF(十五音音節表!F62&lt;&gt;"", _xlfn.CONCAT(G$5,$F67), "")</f>
        <v>ㄌㄧㆧ</v>
      </c>
      <c r="H67" s="53" t="str">
        <f xml:space="preserve"> IF(十五音音節表!G62&lt;&gt;"", _xlfn.CONCAT(H$5,$F67), "")</f>
        <v/>
      </c>
      <c r="I67" s="53" t="str">
        <f xml:space="preserve"> IF(十五音音節表!H62&lt;&gt;"", _xlfn.CONCAT(I$5,$F67), "")</f>
        <v/>
      </c>
      <c r="J67" s="53" t="str">
        <f xml:space="preserve"> IF(十五音音節表!I62&lt;&gt;"", _xlfn.CONCAT(J$5,$F67), "")</f>
        <v>ㄍㄧㆧ</v>
      </c>
      <c r="K67" s="53" t="str">
        <f xml:space="preserve"> IF(十五音音節表!J62&lt;&gt;"", _xlfn.CONCAT(K$5,$F67), "")</f>
        <v>ㄎㄧㆧ</v>
      </c>
      <c r="L67" s="53" t="str">
        <f xml:space="preserve"> IF(十五音音節表!K62&lt;&gt;"", _xlfn.CONCAT(L$5,$F67), "")</f>
        <v>ㄉㄧㆧ</v>
      </c>
      <c r="M67" s="53" t="str">
        <f xml:space="preserve"> IF(十五音音節表!L62&lt;&gt;"", _xlfn.CONCAT(M$5,$F67), "")</f>
        <v/>
      </c>
      <c r="N67" s="53" t="str">
        <f xml:space="preserve"> IF(十五音音節表!M62&lt;&gt;"", _xlfn.CONCAT(N$5,$F67), "")</f>
        <v/>
      </c>
      <c r="O67" s="53" t="str">
        <f xml:space="preserve"> IF(十五音音節表!N62&lt;&gt;"", _xlfn.CONCAT(O$5,$F67), "")</f>
        <v>ㄗㄧㆧ</v>
      </c>
      <c r="P67" s="53" t="str">
        <f xml:space="preserve"> IF(十五音音節表!O62&lt;&gt;"", _xlfn.CONCAT(P$5,$F67), "")</f>
        <v/>
      </c>
      <c r="Q67" s="53" t="str">
        <f xml:space="preserve"> IF(十五音音節表!P62&lt;&gt;"", _xlfn.CONCAT(Q$5,$F67), "")</f>
        <v>ㄙㄧㆧ</v>
      </c>
      <c r="R67" s="53" t="str">
        <f xml:space="preserve"> IF(十五音音節表!Q62&lt;&gt;"", _xlfn.CONCAT(R$5,$F67), "")</f>
        <v>ㄧㆧ</v>
      </c>
      <c r="S67" s="53" t="str">
        <f xml:space="preserve"> IF(十五音音節表!R62&lt;&gt;"", _xlfn.CONCAT(S$5,$F67), "")</f>
        <v/>
      </c>
      <c r="T67" s="53" t="str">
        <f xml:space="preserve"> IF(十五音音節表!S62&lt;&gt;"", _xlfn.CONCAT(T$5,$F67), "")</f>
        <v/>
      </c>
      <c r="U67" s="53" t="str">
        <f xml:space="preserve"> IF(十五音音節表!T62&lt;&gt;"", _xlfn.CONCAT(U$5,$F67), "")</f>
        <v>ㆣㄧㆧ</v>
      </c>
      <c r="V67" s="53" t="str">
        <f xml:space="preserve"> IF(十五音音節表!U62&lt;&gt;"", _xlfn.CONCAT(V$5,$F67), "")</f>
        <v/>
      </c>
      <c r="W67" s="53" t="str">
        <f xml:space="preserve"> IF(十五音音節表!V62&lt;&gt;"", _xlfn.CONCAT(W$5,$F67), "")</f>
        <v>ㄘㄧㆧ</v>
      </c>
      <c r="X67" s="53" t="str">
        <f xml:space="preserve"> IF(十五音音節表!W62&lt;&gt;"", _xlfn.CONCAT(X$5,$F67), "")</f>
        <v>ㄏㄧㆧ</v>
      </c>
      <c r="Y67" s="142" t="s">
        <v>1219</v>
      </c>
      <c r="Z67" s="50" t="s">
        <v>305</v>
      </c>
      <c r="AA67" s="50" t="s">
        <v>132</v>
      </c>
    </row>
    <row r="68" spans="2:27">
      <c r="B68" s="139" cm="1">
        <f t="array" ref="B68" xml:space="preserve"> INDEX(韻母表[韻序], MATCH(TRUE, EXACT($C68, 韻母表[十五音]), 0))</f>
        <v>36</v>
      </c>
      <c r="C68" s="50" t="s">
        <v>132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ɪã</v>
      </c>
      <c r="E68" s="50" t="str" cm="1">
        <f t="array" ref="E68" xml:space="preserve"> INDEX(韻母表[台羅拼音], MATCH(TRUE, EXACT($C68, 韻母表[十五音]), 0))</f>
        <v>iann</v>
      </c>
      <c r="F68" s="142" t="str" cm="1">
        <f t="array" ref="F68" xml:space="preserve"> INDEX(韻母表[方音符號], MATCH(TRUE, EXACT($C68, 韻母表[十五音]), 0))</f>
        <v>ㄧㆩ</v>
      </c>
      <c r="G68" s="53" t="str">
        <f xml:space="preserve"> IF(十五音音節表!F64&lt;&gt;"", _xlfn.CONCAT(G$5,$F68), "")</f>
        <v/>
      </c>
      <c r="H68" s="53" t="str">
        <f xml:space="preserve"> IF(十五音音節表!G64&lt;&gt;"", _xlfn.CONCAT(H$5,$F68), "")</f>
        <v/>
      </c>
      <c r="I68" s="53" t="str">
        <f xml:space="preserve"> IF(十五音音節表!H64&lt;&gt;"", _xlfn.CONCAT(I$5,$F68), "")</f>
        <v>ㄅㄧㆩ</v>
      </c>
      <c r="J68" s="53" t="str">
        <f xml:space="preserve"> IF(十五音音節表!I64&lt;&gt;"", _xlfn.CONCAT(J$5,$F68), "")</f>
        <v>ㄍㄧㆩ</v>
      </c>
      <c r="K68" s="53" t="str">
        <f xml:space="preserve"> IF(十五音音節表!J64&lt;&gt;"", _xlfn.CONCAT(K$5,$F68), "")</f>
        <v/>
      </c>
      <c r="L68" s="53" t="str">
        <f xml:space="preserve"> IF(十五音音節表!K64&lt;&gt;"", _xlfn.CONCAT(L$5,$F68), "")</f>
        <v>ㄉㄧㆩ</v>
      </c>
      <c r="M68" s="53" t="str">
        <f xml:space="preserve"> IF(十五音音節表!L64&lt;&gt;"", _xlfn.CONCAT(M$5,$F68), "")</f>
        <v/>
      </c>
      <c r="N68" s="53" t="str">
        <f xml:space="preserve"> IF(十五音音節表!M64&lt;&gt;"", _xlfn.CONCAT(N$5,$F68), "")</f>
        <v>ㄊㄧㆩ</v>
      </c>
      <c r="O68" s="53" t="str">
        <f xml:space="preserve"> IF(十五音音節表!N64&lt;&gt;"", _xlfn.CONCAT(O$5,$F68), "")</f>
        <v>ㄗㄧㆩ</v>
      </c>
      <c r="P68" s="53" t="str">
        <f xml:space="preserve"> IF(十五音音節表!O64&lt;&gt;"", _xlfn.CONCAT(P$5,$F68), "")</f>
        <v/>
      </c>
      <c r="Q68" s="53" t="str">
        <f xml:space="preserve"> IF(十五音音節表!P64&lt;&gt;"", _xlfn.CONCAT(Q$5,$F68), "")</f>
        <v>ㄙㄧㆩ</v>
      </c>
      <c r="R68" s="53" t="str">
        <f xml:space="preserve"> IF(十五音音節表!Q64&lt;&gt;"", _xlfn.CONCAT(R$5,$F68), "")</f>
        <v>ㄧㆩ</v>
      </c>
      <c r="S68" s="53" t="str">
        <f xml:space="preserve"> IF(十五音音節表!R64&lt;&gt;"", _xlfn.CONCAT(S$5,$F68), "")</f>
        <v/>
      </c>
      <c r="T68" s="53" t="str">
        <f xml:space="preserve"> IF(十五音音節表!S64&lt;&gt;"", _xlfn.CONCAT(T$5,$F68), "")</f>
        <v/>
      </c>
      <c r="U68" s="53" t="str">
        <f xml:space="preserve"> IF(十五音音節表!T64&lt;&gt;"", _xlfn.CONCAT(U$5,$F68), "")</f>
        <v/>
      </c>
      <c r="V68" s="53" t="str">
        <f xml:space="preserve"> IF(十五音音節表!U64&lt;&gt;"", _xlfn.CONCAT(V$5,$F68), "")</f>
        <v/>
      </c>
      <c r="W68" s="53" t="str">
        <f xml:space="preserve"> IF(十五音音節表!V64&lt;&gt;"", _xlfn.CONCAT(W$5,$F68), "")</f>
        <v>ㄘㄧㆩ</v>
      </c>
      <c r="X68" s="53" t="str">
        <f xml:space="preserve"> IF(十五音音節表!W64&lt;&gt;"", _xlfn.CONCAT(X$5,$F68), "")</f>
        <v>ㄏㄧㆩ</v>
      </c>
      <c r="Y68" s="142" t="s">
        <v>1219</v>
      </c>
      <c r="Z68" s="50" t="s">
        <v>305</v>
      </c>
      <c r="AA68" s="50" t="s">
        <v>132</v>
      </c>
    </row>
    <row r="69" spans="2:27" hidden="1" outlineLevel="1">
      <c r="B69" s="139" cm="1">
        <f t="array" ref="B69" xml:space="preserve"> INDEX(韻母表[韻序], MATCH(TRUE, EXACT($C69, 韻母表[十五音]), 0))</f>
        <v>36</v>
      </c>
      <c r="C69" s="50" t="s">
        <v>133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ɪãh</v>
      </c>
      <c r="E69" s="50" t="str" cm="1">
        <f t="array" ref="E69" xml:space="preserve"> INDEX(韻母表[台羅拼音], MATCH(TRUE, EXACT($C69, 韻母表[十五音]), 0))</f>
        <v>iannh</v>
      </c>
      <c r="F69" s="142" t="str" cm="1">
        <f t="array" ref="F69" xml:space="preserve"> INDEX(韻母表[方音符號], MATCH(TRUE, EXACT($C69, 韻母表[十五音]), 0))</f>
        <v>ㄧㆩㆷ</v>
      </c>
      <c r="G69" s="53" t="str">
        <f xml:space="preserve"> IF(十五音音節表!F65&lt;&gt;"", _xlfn.CONCAT(G$5,$F69), "")</f>
        <v/>
      </c>
      <c r="H69" s="53" t="str">
        <f xml:space="preserve"> IF(十五音音節表!G65&lt;&gt;"", _xlfn.CONCAT(H$5,$F69), "")</f>
        <v/>
      </c>
      <c r="I69" s="53" t="str">
        <f xml:space="preserve"> IF(十五音音節表!H65&lt;&gt;"", _xlfn.CONCAT(I$5,$F69), "")</f>
        <v/>
      </c>
      <c r="J69" s="53" t="str">
        <f xml:space="preserve"> IF(十五音音節表!I65&lt;&gt;"", _xlfn.CONCAT(J$5,$F69), "")</f>
        <v/>
      </c>
      <c r="K69" s="53" t="str">
        <f xml:space="preserve"> IF(十五音音節表!J65&lt;&gt;"", _xlfn.CONCAT(K$5,$F69), "")</f>
        <v/>
      </c>
      <c r="L69" s="53" t="str">
        <f xml:space="preserve"> IF(十五音音節表!K65&lt;&gt;"", _xlfn.CONCAT(L$5,$F69), "")</f>
        <v/>
      </c>
      <c r="M69" s="53" t="str">
        <f xml:space="preserve"> IF(十五音音節表!L65&lt;&gt;"", _xlfn.CONCAT(M$5,$F69), "")</f>
        <v/>
      </c>
      <c r="N69" s="53" t="str">
        <f xml:space="preserve"> IF(十五音音節表!M65&lt;&gt;"", _xlfn.CONCAT(N$5,$F69), "")</f>
        <v/>
      </c>
      <c r="O69" s="53" t="str">
        <f xml:space="preserve"> IF(十五音音節表!N65&lt;&gt;"", _xlfn.CONCAT(O$5,$F69), "")</f>
        <v/>
      </c>
      <c r="P69" s="53" t="str">
        <f xml:space="preserve"> IF(十五音音節表!O65&lt;&gt;"", _xlfn.CONCAT(P$5,$F69), "")</f>
        <v/>
      </c>
      <c r="Q69" s="53" t="str">
        <f xml:space="preserve"> IF(十五音音節表!P65&lt;&gt;"", _xlfn.CONCAT(Q$5,$F69), "")</f>
        <v/>
      </c>
      <c r="R69" s="53" t="str">
        <f xml:space="preserve"> IF(十五音音節表!Q65&lt;&gt;"", _xlfn.CONCAT(R$5,$F69), "")</f>
        <v/>
      </c>
      <c r="S69" s="53" t="str">
        <f xml:space="preserve"> IF(十五音音節表!R65&lt;&gt;"", _xlfn.CONCAT(S$5,$F69), "")</f>
        <v/>
      </c>
      <c r="T69" s="53" t="str">
        <f xml:space="preserve"> IF(十五音音節表!S65&lt;&gt;"", _xlfn.CONCAT(T$5,$F69), "")</f>
        <v/>
      </c>
      <c r="U69" s="53" t="str">
        <f xml:space="preserve"> IF(十五音音節表!T65&lt;&gt;"", _xlfn.CONCAT(U$5,$F69), "")</f>
        <v/>
      </c>
      <c r="V69" s="53" t="str">
        <f xml:space="preserve"> IF(十五音音節表!U65&lt;&gt;"", _xlfn.CONCAT(V$5,$F69), "")</f>
        <v/>
      </c>
      <c r="W69" s="53" t="str">
        <f xml:space="preserve"> IF(十五音音節表!V65&lt;&gt;"", _xlfn.CONCAT(W$5,$F69), "")</f>
        <v/>
      </c>
      <c r="X69" s="53" t="str">
        <f xml:space="preserve"> IF(十五音音節表!W65&lt;&gt;"", _xlfn.CONCAT(X$5,$F69), "")</f>
        <v>ㄏㄧㆩㆷ</v>
      </c>
      <c r="Y69" s="142" t="s">
        <v>1561</v>
      </c>
      <c r="Z69" s="50" t="s">
        <v>225</v>
      </c>
      <c r="AA69" s="50" t="s">
        <v>133</v>
      </c>
    </row>
    <row r="70" spans="2:27" collapsed="1">
      <c r="B70" s="139" cm="1">
        <f t="array" ref="B70" xml:space="preserve"> INDEX(韻母表[韻序], MATCH(TRUE, EXACT($C70, 韻母表[十五音]), 0))</f>
        <v>37</v>
      </c>
      <c r="C70" s="50" t="s">
        <v>134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tr" cm="1">
        <f t="array" ref="E70" xml:space="preserve"> INDEX(韻母表[台羅拼音], MATCH(TRUE, EXACT($C70, 韻母表[十五音]), 0))</f>
        <v>uann</v>
      </c>
      <c r="F70" s="142" t="str" cm="1">
        <f t="array" ref="F70" xml:space="preserve"> INDEX(韻母表[方音符號], MATCH(TRUE, EXACT($C70, 韻母表[十五音]), 0))</f>
        <v>ㄨㆩ</v>
      </c>
      <c r="G70" s="53" t="str">
        <f xml:space="preserve"> IF(十五音音節表!F66&lt;&gt;"", _xlfn.CONCAT(G$5,$F70), "")</f>
        <v/>
      </c>
      <c r="H70" s="53" t="str">
        <f xml:space="preserve"> IF(十五音音節表!G66&lt;&gt;"", _xlfn.CONCAT(H$5,$F70), "")</f>
        <v/>
      </c>
      <c r="I70" s="53" t="str">
        <f xml:space="preserve"> IF(十五音音節表!H66&lt;&gt;"", _xlfn.CONCAT(I$5,$F70), "")</f>
        <v>ㄅㄨㆩ</v>
      </c>
      <c r="J70" s="53" t="str">
        <f xml:space="preserve"> IF(十五音音節表!I66&lt;&gt;"", _xlfn.CONCAT(J$5,$F70), "")</f>
        <v>ㄍㄨㆩ</v>
      </c>
      <c r="K70" s="53" t="str">
        <f xml:space="preserve"> IF(十五音音節表!J66&lt;&gt;"", _xlfn.CONCAT(K$5,$F70), "")</f>
        <v>ㄎㄨㆩ</v>
      </c>
      <c r="L70" s="53" t="str">
        <f xml:space="preserve"> IF(十五音音節表!K66&lt;&gt;"", _xlfn.CONCAT(L$5,$F70), "")</f>
        <v>ㄉㄨㆩ</v>
      </c>
      <c r="M70" s="53" t="str">
        <f xml:space="preserve"> IF(十五音音節表!L66&lt;&gt;"", _xlfn.CONCAT(M$5,$F70), "")</f>
        <v>ㄆㄨㆩ</v>
      </c>
      <c r="N70" s="53" t="str">
        <f xml:space="preserve"> IF(十五音音節表!M66&lt;&gt;"", _xlfn.CONCAT(N$5,$F70), "")</f>
        <v>ㄊㄨㆩ</v>
      </c>
      <c r="O70" s="53" t="str">
        <f xml:space="preserve"> IF(十五音音節表!N66&lt;&gt;"", _xlfn.CONCAT(O$5,$F70), "")</f>
        <v/>
      </c>
      <c r="P70" s="53" t="str">
        <f xml:space="preserve"> IF(十五音音節表!O66&lt;&gt;"", _xlfn.CONCAT(P$5,$F70), "")</f>
        <v/>
      </c>
      <c r="Q70" s="53" t="str">
        <f xml:space="preserve"> IF(十五音音節表!P66&lt;&gt;"", _xlfn.CONCAT(Q$5,$F70), "")</f>
        <v>ㄙㄨㆩ</v>
      </c>
      <c r="R70" s="53" t="str">
        <f xml:space="preserve"> IF(十五音音節表!Q66&lt;&gt;"", _xlfn.CONCAT(R$5,$F70), "")</f>
        <v>ㄨㆩ</v>
      </c>
      <c r="S70" s="53" t="str">
        <f xml:space="preserve"> IF(十五音音節表!R66&lt;&gt;"", _xlfn.CONCAT(S$5,$F70), "")</f>
        <v/>
      </c>
      <c r="T70" s="53" t="str">
        <f xml:space="preserve"> IF(十五音音節表!S66&lt;&gt;"", _xlfn.CONCAT(T$5,$F70), "")</f>
        <v/>
      </c>
      <c r="U70" s="53" t="str">
        <f xml:space="preserve"> IF(十五音音節表!T66&lt;&gt;"", _xlfn.CONCAT(U$5,$F70), "")</f>
        <v/>
      </c>
      <c r="V70" s="53" t="str">
        <f xml:space="preserve"> IF(十五音音節表!U66&lt;&gt;"", _xlfn.CONCAT(V$5,$F70), "")</f>
        <v/>
      </c>
      <c r="W70" s="53" t="str">
        <f xml:space="preserve"> IF(十五音音節表!V66&lt;&gt;"", _xlfn.CONCAT(W$5,$F70), "")</f>
        <v>ㄘㄨㆩ</v>
      </c>
      <c r="X70" s="53" t="str">
        <f xml:space="preserve"> IF(十五音音節表!W66&lt;&gt;"", _xlfn.CONCAT(X$5,$F70), "")</f>
        <v>ㄏㄨㆩ</v>
      </c>
      <c r="Y70" s="142" t="s">
        <v>1223</v>
      </c>
      <c r="Z70" s="50" t="s">
        <v>226</v>
      </c>
      <c r="AA70" s="50" t="s">
        <v>134</v>
      </c>
    </row>
    <row r="71" spans="2:27">
      <c r="B71" s="139" cm="1">
        <f t="array" ref="B71" xml:space="preserve"> INDEX(韻母表[韻序], MATCH(TRUE, EXACT($C71, 韻母表[十五音]), 0))</f>
        <v>38</v>
      </c>
      <c r="C71" s="50" t="s">
        <v>136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ŋ̍</v>
      </c>
      <c r="E71" s="50" t="str" cm="1">
        <f t="array" ref="E71" xml:space="preserve"> INDEX(韻母表[台羅拼音], MATCH(TRUE, EXACT($C71, 韻母表[十五音]), 0))</f>
        <v>ng</v>
      </c>
      <c r="F71" s="142" t="str" cm="1">
        <f t="array" ref="F71" xml:space="preserve"> INDEX(韻母表[方音符號], MATCH(TRUE, EXACT($C71, 韻母表[十五音]), 0))</f>
        <v>ㆭ</v>
      </c>
      <c r="G71" s="53" t="str">
        <f xml:space="preserve"> IF(十五音音節表!F67&lt;&gt;"", _xlfn.CONCAT(G$5,$F71), "")</f>
        <v/>
      </c>
      <c r="H71" s="53" t="str">
        <f xml:space="preserve"> IF(十五音音節表!G67&lt;&gt;"", _xlfn.CONCAT(H$5,$F71), "")</f>
        <v>ㄋㆭ</v>
      </c>
      <c r="I71" s="53" t="str">
        <f xml:space="preserve"> IF(十五音音節表!H67&lt;&gt;"", _xlfn.CONCAT(I$5,$F71), "")</f>
        <v>ㄅㆭ</v>
      </c>
      <c r="J71" s="53" t="str">
        <f xml:space="preserve"> IF(十五音音節表!I67&lt;&gt;"", _xlfn.CONCAT(J$5,$F71), "")</f>
        <v>ㄍㆭ</v>
      </c>
      <c r="K71" s="53" t="str">
        <f xml:space="preserve"> IF(十五音音節表!J67&lt;&gt;"", _xlfn.CONCAT(K$5,$F71), "")</f>
        <v>ㄎㆭ</v>
      </c>
      <c r="L71" s="53" t="str">
        <f xml:space="preserve"> IF(十五音音節表!K67&lt;&gt;"", _xlfn.CONCAT(L$5,$F71), "")</f>
        <v>ㄉㆭ</v>
      </c>
      <c r="M71" s="53" t="str">
        <f xml:space="preserve"> IF(十五音音節表!L67&lt;&gt;"", _xlfn.CONCAT(M$5,$F71), "")</f>
        <v/>
      </c>
      <c r="N71" s="53" t="str">
        <f xml:space="preserve"> IF(十五音音節表!M67&lt;&gt;"", _xlfn.CONCAT(N$5,$F71), "")</f>
        <v>ㄊㆭ</v>
      </c>
      <c r="O71" s="53" t="str">
        <f xml:space="preserve"> IF(十五音音節表!N67&lt;&gt;"", _xlfn.CONCAT(O$5,$F71), "")</f>
        <v>ㄗㆭ</v>
      </c>
      <c r="P71" s="53" t="str">
        <f xml:space="preserve"> IF(十五音音節表!O67&lt;&gt;"", _xlfn.CONCAT(P$5,$F71), "")</f>
        <v/>
      </c>
      <c r="Q71" s="53" t="str">
        <f xml:space="preserve"> IF(十五音音節表!P67&lt;&gt;"", _xlfn.CONCAT(Q$5,$F71), "")</f>
        <v>ㄙㆭ</v>
      </c>
      <c r="R71" s="53" t="str">
        <f xml:space="preserve"> IF(十五音音節表!Q67&lt;&gt;"", _xlfn.CONCAT(R$5,$F71), "")</f>
        <v>ㆭ</v>
      </c>
      <c r="S71" s="53" t="str">
        <f xml:space="preserve"> IF(十五音音節表!R67&lt;&gt;"", _xlfn.CONCAT(S$5,$F71), "")</f>
        <v/>
      </c>
      <c r="T71" s="53" t="str">
        <f xml:space="preserve"> IF(十五音音節表!S67&lt;&gt;"", _xlfn.CONCAT(T$5,$F71), "")</f>
        <v>ㄇㆭ</v>
      </c>
      <c r="U71" s="53" t="str">
        <f xml:space="preserve"> IF(十五音音節表!T67&lt;&gt;"", _xlfn.CONCAT(U$5,$F71), "")</f>
        <v/>
      </c>
      <c r="V71" s="53" t="str">
        <f xml:space="preserve"> IF(十五音音節表!U67&lt;&gt;"", _xlfn.CONCAT(V$5,$F71), "")</f>
        <v/>
      </c>
      <c r="W71" s="53" t="str">
        <f xml:space="preserve"> IF(十五音音節表!V67&lt;&gt;"", _xlfn.CONCAT(W$5,$F71), "")</f>
        <v>ㄘㆭ</v>
      </c>
      <c r="X71" s="53" t="str">
        <f xml:space="preserve"> IF(十五音音節表!W67&lt;&gt;"", _xlfn.CONCAT(X$5,$F71), "")</f>
        <v>ㄏㆭ</v>
      </c>
      <c r="Y71" s="142" t="s">
        <v>1225</v>
      </c>
      <c r="Z71" s="50" t="s">
        <v>52</v>
      </c>
      <c r="AA71" s="50" t="s">
        <v>136</v>
      </c>
    </row>
    <row r="72" spans="2:27" hidden="1" outlineLevel="1">
      <c r="B72" s="139" cm="1">
        <f t="array" ref="B72" xml:space="preserve"> INDEX(韻母表[韻序], MATCH(TRUE, EXACT($C72, 韻母表[十五音]), 0))</f>
        <v>38</v>
      </c>
      <c r="C72" s="50" t="s">
        <v>137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ŋ̍h</v>
      </c>
      <c r="E72" s="50" t="str" cm="1">
        <f t="array" ref="E72" xml:space="preserve"> INDEX(韻母表[台羅拼音], MATCH(TRUE, EXACT($C72, 韻母表[十五音]), 0))</f>
        <v>ngh</v>
      </c>
      <c r="F72" s="142" t="str" cm="1">
        <f t="array" ref="F72" xml:space="preserve"> INDEX(韻母表[方音符號], MATCH(TRUE, EXACT($C72, 韻母表[十五音]), 0))</f>
        <v>ㆭㆷ</v>
      </c>
      <c r="G72" s="53" t="str">
        <f xml:space="preserve"> IF(十五音音節表!F68&lt;&gt;"", _xlfn.CONCAT(G$5,$F72), "")</f>
        <v/>
      </c>
      <c r="H72" s="53" t="str">
        <f xml:space="preserve"> IF(十五音音節表!G68&lt;&gt;"", _xlfn.CONCAT(H$5,$F72), "")</f>
        <v/>
      </c>
      <c r="I72" s="53" t="str">
        <f xml:space="preserve"> IF(十五音音節表!H68&lt;&gt;"", _xlfn.CONCAT(I$5,$F72), "")</f>
        <v/>
      </c>
      <c r="J72" s="53" t="str">
        <f xml:space="preserve"> IF(十五音音節表!I68&lt;&gt;"", _xlfn.CONCAT(J$5,$F72), "")</f>
        <v/>
      </c>
      <c r="K72" s="53" t="str">
        <f xml:space="preserve"> IF(十五音音節表!J68&lt;&gt;"", _xlfn.CONCAT(K$5,$F72), "")</f>
        <v/>
      </c>
      <c r="L72" s="53" t="str">
        <f xml:space="preserve"> IF(十五音音節表!K68&lt;&gt;"", _xlfn.CONCAT(L$5,$F72), "")</f>
        <v/>
      </c>
      <c r="M72" s="53" t="str">
        <f xml:space="preserve"> IF(十五音音節表!L68&lt;&gt;"", _xlfn.CONCAT(M$5,$F72), "")</f>
        <v>ㄆㆭㆷ</v>
      </c>
      <c r="N72" s="53" t="str">
        <f xml:space="preserve"> IF(十五音音節表!M68&lt;&gt;"", _xlfn.CONCAT(N$5,$F72), "")</f>
        <v/>
      </c>
      <c r="O72" s="53" t="str">
        <f xml:space="preserve"> IF(十五音音節表!N68&lt;&gt;"", _xlfn.CONCAT(O$5,$F72), "")</f>
        <v/>
      </c>
      <c r="P72" s="53" t="str">
        <f xml:space="preserve"> IF(十五音音節表!O68&lt;&gt;"", _xlfn.CONCAT(P$5,$F72), "")</f>
        <v/>
      </c>
      <c r="Q72" s="53" t="str">
        <f xml:space="preserve"> IF(十五音音節表!P68&lt;&gt;"", _xlfn.CONCAT(Q$5,$F72), "")</f>
        <v>ㄙㆭㆷ</v>
      </c>
      <c r="R72" s="53" t="str">
        <f xml:space="preserve"> IF(十五音音節表!Q68&lt;&gt;"", _xlfn.CONCAT(R$5,$F72), "")</f>
        <v/>
      </c>
      <c r="S72" s="53" t="str">
        <f xml:space="preserve"> IF(十五音音節表!R68&lt;&gt;"", _xlfn.CONCAT(S$5,$F72), "")</f>
        <v/>
      </c>
      <c r="T72" s="53" t="str">
        <f xml:space="preserve"> IF(十五音音節表!S68&lt;&gt;"", _xlfn.CONCAT(T$5,$F72), "")</f>
        <v/>
      </c>
      <c r="U72" s="53" t="str">
        <f xml:space="preserve"> IF(十五音音節表!T68&lt;&gt;"", _xlfn.CONCAT(U$5,$F72), "")</f>
        <v/>
      </c>
      <c r="V72" s="53" t="str">
        <f xml:space="preserve"> IF(十五音音節表!U68&lt;&gt;"", _xlfn.CONCAT(V$5,$F72), "")</f>
        <v/>
      </c>
      <c r="W72" s="53" t="str">
        <f xml:space="preserve"> IF(十五音音節表!V68&lt;&gt;"", _xlfn.CONCAT(W$5,$F72), "")</f>
        <v>ㄘㆭㆷ</v>
      </c>
      <c r="X72" s="53" t="str">
        <f xml:space="preserve"> IF(十五音音節表!W68&lt;&gt;"", _xlfn.CONCAT(X$5,$F72), "")</f>
        <v>ㄏㆭㆷ</v>
      </c>
      <c r="Y72" s="142" t="s">
        <v>1562</v>
      </c>
      <c r="Z72" s="50" t="s">
        <v>826</v>
      </c>
      <c r="AA72" s="50" t="s">
        <v>137</v>
      </c>
    </row>
    <row r="73" spans="2:27" collapsed="1">
      <c r="B73" s="139" cm="1">
        <f t="array" ref="B73" xml:space="preserve"> INDEX(韻母表[韻序], MATCH(TRUE, EXACT($C73, 韻母表[十五音]), 0))</f>
        <v>39</v>
      </c>
      <c r="C73" s="50" t="s">
        <v>139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eʔ</v>
      </c>
      <c r="E73" s="50" t="str" cm="1">
        <f t="array" ref="E73" xml:space="preserve"> INDEX(韻母表[台羅拼音], MATCH(TRUE, EXACT($C73, 韻母表[十五音]), 0))</f>
        <v>eh</v>
      </c>
      <c r="F73" s="142" t="str" cm="1">
        <f t="array" ref="F73" xml:space="preserve"> INDEX(韻母表[方音符號], MATCH(TRUE, EXACT($C73, 韻母表[十五音]), 0))</f>
        <v>ㆤㆷ</v>
      </c>
      <c r="G73" s="53" t="str">
        <f xml:space="preserve"> IF(十五音音節表!F69&lt;&gt;"", _xlfn.CONCAT(G$5,$F73), "")</f>
        <v>ㄌㆤㆷ</v>
      </c>
      <c r="H73" s="53" t="str">
        <f xml:space="preserve"> IF(十五音音節表!G69&lt;&gt;"", _xlfn.CONCAT(H$5,$F73), "")</f>
        <v>ㄋㆤㆷ</v>
      </c>
      <c r="I73" s="53" t="str">
        <f xml:space="preserve"> IF(十五音音節表!H69&lt;&gt;"", _xlfn.CONCAT(I$5,$F73), "")</f>
        <v>ㄅㆤㆷ</v>
      </c>
      <c r="J73" s="53" t="str">
        <f xml:space="preserve"> IF(十五音音節表!I69&lt;&gt;"", _xlfn.CONCAT(J$5,$F73), "")</f>
        <v>ㄍㆤㆷ</v>
      </c>
      <c r="K73" s="53" t="str">
        <f xml:space="preserve"> IF(十五音音節表!J69&lt;&gt;"", _xlfn.CONCAT(K$5,$F73), "")</f>
        <v>ㄎㆤㆷ</v>
      </c>
      <c r="L73" s="53" t="str">
        <f xml:space="preserve"> IF(十五音音節表!K69&lt;&gt;"", _xlfn.CONCAT(L$5,$F73), "")</f>
        <v>ㄉㆤㆷ</v>
      </c>
      <c r="M73" s="53" t="str">
        <f xml:space="preserve"> IF(十五音音節表!L69&lt;&gt;"", _xlfn.CONCAT(M$5,$F73), "")</f>
        <v/>
      </c>
      <c r="N73" s="53" t="str">
        <f xml:space="preserve"> IF(十五音音節表!M69&lt;&gt;"", _xlfn.CONCAT(N$5,$F73), "")</f>
        <v>ㄊㆤㆷ</v>
      </c>
      <c r="O73" s="53" t="str">
        <f xml:space="preserve"> IF(十五音音節表!N69&lt;&gt;"", _xlfn.CONCAT(O$5,$F73), "")</f>
        <v>ㄗㆤㆷ</v>
      </c>
      <c r="P73" s="53" t="str">
        <f xml:space="preserve"> IF(十五音音節表!O69&lt;&gt;"", _xlfn.CONCAT(P$5,$F73), "")</f>
        <v/>
      </c>
      <c r="Q73" s="53" t="str">
        <f xml:space="preserve"> IF(十五音音節表!P69&lt;&gt;"", _xlfn.CONCAT(Q$5,$F73), "")</f>
        <v>ㄙㆤㆷ</v>
      </c>
      <c r="R73" s="53" t="str">
        <f xml:space="preserve"> IF(十五音音節表!Q69&lt;&gt;"", _xlfn.CONCAT(R$5,$F73), "")</f>
        <v>ㆤㆷ</v>
      </c>
      <c r="S73" s="53" t="str">
        <f xml:space="preserve"> IF(十五音音節表!R69&lt;&gt;"", _xlfn.CONCAT(S$5,$F73), "")</f>
        <v>ㆠㆤㆷ</v>
      </c>
      <c r="T73" s="53" t="str">
        <f xml:space="preserve"> IF(十五音音節表!S69&lt;&gt;"", _xlfn.CONCAT(T$5,$F73), "")</f>
        <v>ㄇㆤㆷ</v>
      </c>
      <c r="U73" s="53" t="str">
        <f xml:space="preserve"> IF(十五音音節表!T69&lt;&gt;"", _xlfn.CONCAT(U$5,$F73), "")</f>
        <v/>
      </c>
      <c r="V73" s="53" t="str">
        <f xml:space="preserve"> IF(十五音音節表!U69&lt;&gt;"", _xlfn.CONCAT(V$5,$F73), "")</f>
        <v>ㄫㆤㆷ</v>
      </c>
      <c r="W73" s="53" t="str">
        <f xml:space="preserve"> IF(十五音音節表!V69&lt;&gt;"", _xlfn.CONCAT(W$5,$F73), "")</f>
        <v>ㄘㆤㆷ</v>
      </c>
      <c r="X73" s="53" t="str">
        <f xml:space="preserve"> IF(十五音音節表!W69&lt;&gt;"", _xlfn.CONCAT(X$5,$F73), "")</f>
        <v>ㄏㆤㆷ</v>
      </c>
      <c r="Y73" s="142" t="s">
        <v>1228</v>
      </c>
      <c r="Z73" s="50" t="s">
        <v>227</v>
      </c>
      <c r="AA73" s="50" t="s">
        <v>139</v>
      </c>
    </row>
    <row r="74" spans="2:27">
      <c r="B74" s="139" cm="1">
        <f t="array" ref="B74" xml:space="preserve"> INDEX(韻母表[韻序], MATCH(TRUE, EXACT($C74, 韻母表[十五音]), 0))</f>
        <v>40</v>
      </c>
      <c r="C74" s="50" t="s">
        <v>140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ãɪ</v>
      </c>
      <c r="E74" s="50" t="str" cm="1">
        <f t="array" ref="E74" xml:space="preserve"> INDEX(韻母表[台羅拼音], MATCH(TRUE, EXACT($C74, 韻母表[十五音]), 0))</f>
        <v>ainn</v>
      </c>
      <c r="F74" s="142" t="str" cm="1">
        <f t="array" ref="F74" xml:space="preserve"> INDEX(韻母表[方音符號], MATCH(TRUE, EXACT($C74, 韻母表[十五音]), 0))</f>
        <v>ㆮ</v>
      </c>
      <c r="G74" s="53" t="str">
        <f xml:space="preserve"> IF(十五音音節表!F70&lt;&gt;"", _xlfn.CONCAT(G$5,$F74), "")</f>
        <v/>
      </c>
      <c r="H74" s="53" t="str">
        <f xml:space="preserve"> IF(十五音音節表!G70&lt;&gt;"", _xlfn.CONCAT(H$5,$F74), "")</f>
        <v/>
      </c>
      <c r="I74" s="53" t="str">
        <f xml:space="preserve"> IF(十五音音節表!H70&lt;&gt;"", _xlfn.CONCAT(I$5,$F74), "")</f>
        <v/>
      </c>
      <c r="J74" s="53" t="str">
        <f xml:space="preserve"> IF(十五音音節表!I70&lt;&gt;"", _xlfn.CONCAT(J$5,$F74), "")</f>
        <v>ㄍㆮ</v>
      </c>
      <c r="K74" s="53" t="str">
        <f xml:space="preserve"> IF(十五音音節表!J70&lt;&gt;"", _xlfn.CONCAT(K$5,$F74), "")</f>
        <v>ㄎㆮ</v>
      </c>
      <c r="L74" s="53" t="str">
        <f xml:space="preserve"> IF(十五音音節表!K70&lt;&gt;"", _xlfn.CONCAT(L$5,$F74), "")</f>
        <v>ㄉㆮ</v>
      </c>
      <c r="M74" s="53" t="str">
        <f xml:space="preserve"> IF(十五音音節表!L70&lt;&gt;"", _xlfn.CONCAT(M$5,$F74), "")</f>
        <v>ㄆㆮ</v>
      </c>
      <c r="N74" s="53" t="str">
        <f xml:space="preserve"> IF(十五音音節表!M70&lt;&gt;"", _xlfn.CONCAT(N$5,$F74), "")</f>
        <v/>
      </c>
      <c r="O74" s="53" t="str">
        <f xml:space="preserve"> IF(十五音音節表!N70&lt;&gt;"", _xlfn.CONCAT(O$5,$F74), "")</f>
        <v>ㄗㆮ</v>
      </c>
      <c r="P74" s="53" t="str">
        <f xml:space="preserve"> IF(十五音音節表!O70&lt;&gt;"", _xlfn.CONCAT(P$5,$F74), "")</f>
        <v/>
      </c>
      <c r="Q74" s="53" t="str">
        <f xml:space="preserve"> IF(十五音音節表!P70&lt;&gt;"", _xlfn.CONCAT(Q$5,$F74), "")</f>
        <v/>
      </c>
      <c r="R74" s="53" t="str">
        <f xml:space="preserve"> IF(十五音音節表!Q70&lt;&gt;"", _xlfn.CONCAT(R$5,$F74), "")</f>
        <v>ㆮ</v>
      </c>
      <c r="S74" s="53" t="str">
        <f xml:space="preserve"> IF(十五音音節表!R70&lt;&gt;"", _xlfn.CONCAT(S$5,$F74), "")</f>
        <v/>
      </c>
      <c r="T74" s="53" t="str">
        <f xml:space="preserve"> IF(十五音音節表!S70&lt;&gt;"", _xlfn.CONCAT(T$5,$F74), "")</f>
        <v/>
      </c>
      <c r="U74" s="53" t="str">
        <f xml:space="preserve"> IF(十五音音節表!T70&lt;&gt;"", _xlfn.CONCAT(U$5,$F74), "")</f>
        <v/>
      </c>
      <c r="V74" s="53" t="str">
        <f xml:space="preserve"> IF(十五音音節表!U70&lt;&gt;"", _xlfn.CONCAT(V$5,$F74), "")</f>
        <v/>
      </c>
      <c r="W74" s="53" t="str">
        <f xml:space="preserve"> IF(十五音音節表!V70&lt;&gt;"", _xlfn.CONCAT(W$5,$F74), "")</f>
        <v/>
      </c>
      <c r="X74" s="53" t="str">
        <f xml:space="preserve"> IF(十五音音節表!W70&lt;&gt;"", _xlfn.CONCAT(X$5,$F74), "")</f>
        <v>ㄏㆮ</v>
      </c>
      <c r="Y74" s="142" t="s">
        <v>1230</v>
      </c>
      <c r="Z74" s="50" t="s">
        <v>228</v>
      </c>
      <c r="AA74" s="50" t="s">
        <v>140</v>
      </c>
    </row>
    <row r="75" spans="2:27">
      <c r="B75" s="139" cm="1">
        <f t="array" ref="B75" xml:space="preserve"> INDEX(韻母表[韻序], MATCH(TRUE, EXACT($C75, 韻母表[十五音]), 0))</f>
        <v>41</v>
      </c>
      <c r="C75" s="50" t="s">
        <v>142</v>
      </c>
      <c r="D75" s="96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õu</v>
      </c>
      <c r="E75" s="50" t="str" cm="1">
        <f t="array" ref="E75" xml:space="preserve"> INDEX(韻母表[台羅拼音], MATCH(TRUE, EXACT($C75, 韻母表[十五音]), 0))</f>
        <v>onn</v>
      </c>
      <c r="F75" s="142" t="str" cm="1">
        <f t="array" ref="F75" xml:space="preserve"> INDEX(韻母表[方音符號], MATCH(TRUE, EXACT($C75, 韻母表[十五音]), 0))</f>
        <v>ㆧ</v>
      </c>
      <c r="G75" s="53" t="str">
        <f xml:space="preserve"> IF(十五音音節表!F71&lt;&gt;"", _xlfn.CONCAT(G$5,$F75), "")</f>
        <v/>
      </c>
      <c r="H75" s="53" t="str">
        <f xml:space="preserve"> IF(十五音音節表!G71&lt;&gt;"", _xlfn.CONCAT(H$5,$F75), "")</f>
        <v/>
      </c>
      <c r="I75" s="53" t="str">
        <f xml:space="preserve"> IF(十五音音節表!H71&lt;&gt;"", _xlfn.CONCAT(I$5,$F75), "")</f>
        <v/>
      </c>
      <c r="J75" s="53" t="str">
        <f xml:space="preserve"> IF(十五音音節表!I71&lt;&gt;"", _xlfn.CONCAT(J$5,$F75), "")</f>
        <v>ㄍㆧ</v>
      </c>
      <c r="K75" s="53" t="str">
        <f xml:space="preserve"> IF(十五音音節表!J71&lt;&gt;"", _xlfn.CONCAT(K$5,$F75), "")</f>
        <v/>
      </c>
      <c r="L75" s="53" t="str">
        <f xml:space="preserve"> IF(十五音音節表!K71&lt;&gt;"", _xlfn.CONCAT(L$5,$F75), "")</f>
        <v/>
      </c>
      <c r="M75" s="53" t="str">
        <f xml:space="preserve"> IF(十五音音節表!L71&lt;&gt;"", _xlfn.CONCAT(M$5,$F75), "")</f>
        <v/>
      </c>
      <c r="N75" s="53" t="str">
        <f xml:space="preserve"> IF(十五音音節表!M71&lt;&gt;"", _xlfn.CONCAT(N$5,$F75), "")</f>
        <v/>
      </c>
      <c r="O75" s="53" t="str">
        <f xml:space="preserve"> IF(十五音音節表!N71&lt;&gt;"", _xlfn.CONCAT(O$5,$F75), "")</f>
        <v/>
      </c>
      <c r="P75" s="53" t="str">
        <f xml:space="preserve"> IF(十五音音節表!O71&lt;&gt;"", _xlfn.CONCAT(P$5,$F75), "")</f>
        <v/>
      </c>
      <c r="Q75" s="53" t="str">
        <f xml:space="preserve"> IF(十五音音節表!P71&lt;&gt;"", _xlfn.CONCAT(Q$5,$F75), "")</f>
        <v/>
      </c>
      <c r="R75" s="53" t="str">
        <f xml:space="preserve"> IF(十五音音節表!Q71&lt;&gt;"", _xlfn.CONCAT(R$5,$F75), "")</f>
        <v>ㆧ</v>
      </c>
      <c r="S75" s="53" t="str">
        <f xml:space="preserve"> IF(十五音音節表!R71&lt;&gt;"", _xlfn.CONCAT(S$5,$F75), "")</f>
        <v/>
      </c>
      <c r="T75" s="53" t="str">
        <f xml:space="preserve"> IF(十五音音節表!S71&lt;&gt;"", _xlfn.CONCAT(T$5,$F75), "")</f>
        <v/>
      </c>
      <c r="U75" s="53" t="str">
        <f xml:space="preserve"> IF(十五音音節表!T71&lt;&gt;"", _xlfn.CONCAT(U$5,$F75), "")</f>
        <v/>
      </c>
      <c r="V75" s="53" t="str">
        <f xml:space="preserve"> IF(十五音音節表!U71&lt;&gt;"", _xlfn.CONCAT(V$5,$F75), "")</f>
        <v/>
      </c>
      <c r="W75" s="53" t="str">
        <f xml:space="preserve"> IF(十五音音節表!V71&lt;&gt;"", _xlfn.CONCAT(W$5,$F75), "")</f>
        <v/>
      </c>
      <c r="X75" s="53" t="str">
        <f xml:space="preserve"> IF(十五音音節表!W71&lt;&gt;"", _xlfn.CONCAT(X$5,$F75), "")</f>
        <v>ㄏㆧ</v>
      </c>
      <c r="Y75" s="142" t="s">
        <v>1234</v>
      </c>
      <c r="Z75" s="50" t="s">
        <v>229</v>
      </c>
      <c r="AA75" s="50" t="s">
        <v>142</v>
      </c>
    </row>
    <row r="76" spans="2:27">
      <c r="B76" s="139" cm="1">
        <f t="array" ref="B76" xml:space="preserve"> INDEX(韻母表[韻序], MATCH(TRUE, EXACT($C76, 韻母表[十五音]), 0))</f>
        <v>42</v>
      </c>
      <c r="C76" s="50" t="s">
        <v>144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m̩</v>
      </c>
      <c r="E76" s="50" t="str" cm="1">
        <f t="array" ref="E76" xml:space="preserve"> INDEX(韻母表[台羅拼音], MATCH(TRUE, EXACT($C76, 韻母表[十五音]), 0))</f>
        <v>m</v>
      </c>
      <c r="F76" s="142" t="str" cm="1">
        <f t="array" ref="F76" xml:space="preserve"> INDEX(韻母表[方音符號], MATCH(TRUE, EXACT($C76, 韻母表[十五音]), 0))</f>
        <v>ㆬ</v>
      </c>
      <c r="G76" s="53" t="str">
        <f xml:space="preserve"> IF(十五音音節表!F72&lt;&gt;"", _xlfn.CONCAT(G$5,$F76), "")</f>
        <v/>
      </c>
      <c r="H76" s="53" t="str">
        <f xml:space="preserve"> IF(十五音音節表!G72&lt;&gt;"", _xlfn.CONCAT(H$5,$F76), "")</f>
        <v/>
      </c>
      <c r="I76" s="53" t="str">
        <f xml:space="preserve"> IF(十五音音節表!H72&lt;&gt;"", _xlfn.CONCAT(I$5,$F76), "")</f>
        <v/>
      </c>
      <c r="J76" s="53" t="str">
        <f xml:space="preserve"> IF(十五音音節表!I72&lt;&gt;"", _xlfn.CONCAT(J$5,$F76), "")</f>
        <v/>
      </c>
      <c r="K76" s="53" t="str">
        <f xml:space="preserve"> IF(十五音音節表!J72&lt;&gt;"", _xlfn.CONCAT(K$5,$F76), "")</f>
        <v/>
      </c>
      <c r="L76" s="53" t="str">
        <f xml:space="preserve"> IF(十五音音節表!K72&lt;&gt;"", _xlfn.CONCAT(L$5,$F76), "")</f>
        <v/>
      </c>
      <c r="M76" s="53" t="str">
        <f xml:space="preserve"> IF(十五音音節表!L72&lt;&gt;"", _xlfn.CONCAT(M$5,$F76), "")</f>
        <v/>
      </c>
      <c r="N76" s="53" t="str">
        <f xml:space="preserve"> IF(十五音音節表!M72&lt;&gt;"", _xlfn.CONCAT(N$5,$F76), "")</f>
        <v/>
      </c>
      <c r="O76" s="53" t="str">
        <f xml:space="preserve"> IF(十五音音節表!N72&lt;&gt;"", _xlfn.CONCAT(O$5,$F76), "")</f>
        <v/>
      </c>
      <c r="P76" s="53" t="str">
        <f xml:space="preserve"> IF(十五音音節表!O72&lt;&gt;"", _xlfn.CONCAT(P$5,$F76), "")</f>
        <v/>
      </c>
      <c r="Q76" s="53" t="str">
        <f xml:space="preserve"> IF(十五音音節表!P72&lt;&gt;"", _xlfn.CONCAT(Q$5,$F76), "")</f>
        <v/>
      </c>
      <c r="R76" s="53" t="str">
        <f xml:space="preserve"> IF(十五音音節表!Q72&lt;&gt;"", _xlfn.CONCAT(R$5,$F76), "")</f>
        <v>ㆬ</v>
      </c>
      <c r="S76" s="53" t="str">
        <f xml:space="preserve"> IF(十五音音節表!R72&lt;&gt;"", _xlfn.CONCAT(S$5,$F76), "")</f>
        <v/>
      </c>
      <c r="T76" s="53" t="str">
        <f xml:space="preserve"> IF(十五音音節表!S72&lt;&gt;"", _xlfn.CONCAT(T$5,$F76), "")</f>
        <v/>
      </c>
      <c r="U76" s="53" t="str">
        <f xml:space="preserve"> IF(十五音音節表!T72&lt;&gt;"", _xlfn.CONCAT(U$5,$F76), "")</f>
        <v/>
      </c>
      <c r="V76" s="53" t="str">
        <f xml:space="preserve"> IF(十五音音節表!U72&lt;&gt;"", _xlfn.CONCAT(V$5,$F76), "")</f>
        <v/>
      </c>
      <c r="W76" s="53" t="str">
        <f xml:space="preserve"> IF(十五音音節表!V72&lt;&gt;"", _xlfn.CONCAT(W$5,$F76), "")</f>
        <v/>
      </c>
      <c r="X76" s="53" t="str">
        <f xml:space="preserve"> IF(十五音音節表!W72&lt;&gt;"", _xlfn.CONCAT(X$5,$F76), "")</f>
        <v>ㄏㆬ</v>
      </c>
      <c r="Y76" s="142" t="s">
        <v>1237</v>
      </c>
      <c r="Z76" s="50" t="s">
        <v>44</v>
      </c>
      <c r="AA76" s="50" t="s">
        <v>144</v>
      </c>
    </row>
    <row r="77" spans="2:27" hidden="1" outlineLevel="1">
      <c r="B77" s="139" cm="1">
        <f t="array" ref="B77" xml:space="preserve"> INDEX(韻母表[韻序], MATCH(TRUE, EXACT($C77, 韻母表[十五音]), 0))</f>
        <v>42</v>
      </c>
      <c r="C77" s="50" t="s">
        <v>145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m̩h</v>
      </c>
      <c r="E77" s="50" t="str" cm="1">
        <f t="array" ref="E77" xml:space="preserve"> INDEX(韻母表[台羅拼音], MATCH(TRUE, EXACT($C77, 韻母表[十五音]), 0))</f>
        <v>mh</v>
      </c>
      <c r="F77" s="142" t="str" cm="1">
        <f t="array" ref="F77" xml:space="preserve"> INDEX(韻母表[方音符號], MATCH(TRUE, EXACT($C77, 韻母表[十五音]), 0))</f>
        <v>ㆬㆷ</v>
      </c>
      <c r="G77" s="53" t="str">
        <f xml:space="preserve"> IF(十五音音節表!F73&lt;&gt;"", _xlfn.CONCAT(G$5,$F77), "")</f>
        <v/>
      </c>
      <c r="H77" s="53" t="str">
        <f xml:space="preserve"> IF(十五音音節表!G73&lt;&gt;"", _xlfn.CONCAT(H$5,$F77), "")</f>
        <v/>
      </c>
      <c r="I77" s="53" t="str">
        <f xml:space="preserve"> IF(十五音音節表!H73&lt;&gt;"", _xlfn.CONCAT(I$5,$F77), "")</f>
        <v/>
      </c>
      <c r="J77" s="53" t="str">
        <f xml:space="preserve"> IF(十五音音節表!I73&lt;&gt;"", _xlfn.CONCAT(J$5,$F77), "")</f>
        <v/>
      </c>
      <c r="K77" s="53" t="str">
        <f xml:space="preserve"> IF(十五音音節表!J73&lt;&gt;"", _xlfn.CONCAT(K$5,$F77), "")</f>
        <v/>
      </c>
      <c r="L77" s="53" t="str">
        <f xml:space="preserve"> IF(十五音音節表!K73&lt;&gt;"", _xlfn.CONCAT(L$5,$F77), "")</f>
        <v/>
      </c>
      <c r="M77" s="53" t="str">
        <f xml:space="preserve"> IF(十五音音節表!L73&lt;&gt;"", _xlfn.CONCAT(M$5,$F77), "")</f>
        <v/>
      </c>
      <c r="N77" s="53" t="str">
        <f xml:space="preserve"> IF(十五音音節表!M73&lt;&gt;"", _xlfn.CONCAT(N$5,$F77), "")</f>
        <v/>
      </c>
      <c r="O77" s="53" t="str">
        <f xml:space="preserve"> IF(十五音音節表!N73&lt;&gt;"", _xlfn.CONCAT(O$5,$F77), "")</f>
        <v/>
      </c>
      <c r="P77" s="53" t="str">
        <f xml:space="preserve"> IF(十五音音節表!O73&lt;&gt;"", _xlfn.CONCAT(P$5,$F77), "")</f>
        <v/>
      </c>
      <c r="Q77" s="53" t="str">
        <f xml:space="preserve"> IF(十五音音節表!P73&lt;&gt;"", _xlfn.CONCAT(Q$5,$F77), "")</f>
        <v/>
      </c>
      <c r="R77" s="53" t="str">
        <f xml:space="preserve"> IF(十五音音節表!Q73&lt;&gt;"", _xlfn.CONCAT(R$5,$F77), "")</f>
        <v/>
      </c>
      <c r="S77" s="53" t="str">
        <f xml:space="preserve"> IF(十五音音節表!R73&lt;&gt;"", _xlfn.CONCAT(S$5,$F77), "")</f>
        <v/>
      </c>
      <c r="T77" s="53" t="str">
        <f xml:space="preserve"> IF(十五音音節表!S73&lt;&gt;"", _xlfn.CONCAT(T$5,$F77), "")</f>
        <v/>
      </c>
      <c r="U77" s="53" t="str">
        <f xml:space="preserve"> IF(十五音音節表!T73&lt;&gt;"", _xlfn.CONCAT(U$5,$F77), "")</f>
        <v/>
      </c>
      <c r="V77" s="53" t="str">
        <f xml:space="preserve"> IF(十五音音節表!U73&lt;&gt;"", _xlfn.CONCAT(V$5,$F77), "")</f>
        <v/>
      </c>
      <c r="W77" s="53" t="str">
        <f xml:space="preserve"> IF(十五音音節表!V73&lt;&gt;"", _xlfn.CONCAT(W$5,$F77), "")</f>
        <v/>
      </c>
      <c r="X77" s="53" t="str">
        <f xml:space="preserve"> IF(十五音音節表!W73&lt;&gt;"", _xlfn.CONCAT(X$5,$F77), "")</f>
        <v>ㄏㆬㆷ</v>
      </c>
      <c r="Y77" s="142" t="s">
        <v>1563</v>
      </c>
      <c r="Z77" s="50" t="s">
        <v>813</v>
      </c>
      <c r="AA77" s="50" t="s">
        <v>145</v>
      </c>
    </row>
    <row r="78" spans="2:27" collapsed="1">
      <c r="B78" s="139" cm="1">
        <f t="array" ref="B78" xml:space="preserve"> INDEX(韻母表[韻序], MATCH(TRUE, EXACT($C78, 韻母表[十五音]), 0))</f>
        <v>43</v>
      </c>
      <c r="C78" s="50" t="s">
        <v>146</v>
      </c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uaŋ</v>
      </c>
      <c r="E78" s="50" t="str" cm="1">
        <f t="array" ref="E78" xml:space="preserve"> INDEX(韻母表[台羅拼音], MATCH(TRUE, EXACT($C78, 韻母表[十五音]), 0))</f>
        <v>uang</v>
      </c>
      <c r="F78" s="142" t="str" cm="1">
        <f t="array" ref="F78" xml:space="preserve"> INDEX(韻母表[方音符號], MATCH(TRUE, EXACT($C78, 韻母表[十五音]), 0))</f>
        <v>ㄨㄤ</v>
      </c>
      <c r="G78" s="53" t="str">
        <f xml:space="preserve"> IF(十五音音節表!F74&lt;&gt;"", _xlfn.CONCAT(G$5,$F78), "")</f>
        <v/>
      </c>
      <c r="H78" s="53" t="str">
        <f xml:space="preserve"> IF(十五音音節表!G74&lt;&gt;"", _xlfn.CONCAT(H$5,$F78), "")</f>
        <v/>
      </c>
      <c r="I78" s="53" t="str">
        <f xml:space="preserve"> IF(十五音音節表!H74&lt;&gt;"", _xlfn.CONCAT(I$5,$F78), "")</f>
        <v/>
      </c>
      <c r="J78" s="53" t="str">
        <f xml:space="preserve"> IF(十五音音節表!I74&lt;&gt;"", _xlfn.CONCAT(J$5,$F78), "")</f>
        <v/>
      </c>
      <c r="K78" s="53" t="str">
        <f xml:space="preserve"> IF(十五音音節表!J74&lt;&gt;"", _xlfn.CONCAT(K$5,$F78), "")</f>
        <v/>
      </c>
      <c r="L78" s="53" t="str">
        <f xml:space="preserve"> IF(十五音音節表!K74&lt;&gt;"", _xlfn.CONCAT(L$5,$F78), "")</f>
        <v/>
      </c>
      <c r="M78" s="53" t="str">
        <f xml:space="preserve"> IF(十五音音節表!L74&lt;&gt;"", _xlfn.CONCAT(M$5,$F78), "")</f>
        <v/>
      </c>
      <c r="N78" s="53" t="str">
        <f xml:space="preserve"> IF(十五音音節表!M74&lt;&gt;"", _xlfn.CONCAT(N$5,$F78), "")</f>
        <v/>
      </c>
      <c r="O78" s="53" t="str">
        <f xml:space="preserve"> IF(十五音音節表!N74&lt;&gt;"", _xlfn.CONCAT(O$5,$F78), "")</f>
        <v/>
      </c>
      <c r="P78" s="53" t="str">
        <f xml:space="preserve"> IF(十五音音節表!O74&lt;&gt;"", _xlfn.CONCAT(P$5,$F78), "")</f>
        <v/>
      </c>
      <c r="Q78" s="53" t="str">
        <f xml:space="preserve"> IF(十五音音節表!P74&lt;&gt;"", _xlfn.CONCAT(Q$5,$F78), "")</f>
        <v/>
      </c>
      <c r="R78" s="53" t="str">
        <f xml:space="preserve"> IF(十五音音節表!Q74&lt;&gt;"", _xlfn.CONCAT(R$5,$F78), "")</f>
        <v>ㄨㄤ</v>
      </c>
      <c r="S78" s="53" t="str">
        <f xml:space="preserve"> IF(十五音音節表!R74&lt;&gt;"", _xlfn.CONCAT(S$5,$F78), "")</f>
        <v/>
      </c>
      <c r="T78" s="53" t="str">
        <f xml:space="preserve"> IF(十五音音節表!S74&lt;&gt;"", _xlfn.CONCAT(T$5,$F78), "")</f>
        <v/>
      </c>
      <c r="U78" s="53" t="str">
        <f xml:space="preserve"> IF(十五音音節表!T74&lt;&gt;"", _xlfn.CONCAT(U$5,$F78), "")</f>
        <v/>
      </c>
      <c r="V78" s="53" t="str">
        <f xml:space="preserve"> IF(十五音音節表!U74&lt;&gt;"", _xlfn.CONCAT(V$5,$F78), "")</f>
        <v/>
      </c>
      <c r="W78" s="53" t="str">
        <f xml:space="preserve"> IF(十五音音節表!V74&lt;&gt;"", _xlfn.CONCAT(W$5,$F78), "")</f>
        <v>ㄘㄨㄤ</v>
      </c>
      <c r="X78" s="53" t="str">
        <f xml:space="preserve"> IF(十五音音節表!W74&lt;&gt;"", _xlfn.CONCAT(X$5,$F78), "")</f>
        <v/>
      </c>
      <c r="Y78" s="142" t="s">
        <v>1240</v>
      </c>
      <c r="Z78" s="50" t="s">
        <v>230</v>
      </c>
      <c r="AA78" s="50" t="s">
        <v>146</v>
      </c>
    </row>
    <row r="79" spans="2:27">
      <c r="B79" s="139" cm="1">
        <f t="array" ref="B79" xml:space="preserve"> INDEX(韻母表[韻序], MATCH(TRUE, EXACT($C79, 韻母表[十五音]), 0))</f>
        <v>44</v>
      </c>
      <c r="C79" s="50" t="s">
        <v>148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uãi</v>
      </c>
      <c r="E79" s="50" t="str" cm="1">
        <f t="array" ref="E79" xml:space="preserve"> INDEX(韻母表[台羅拼音], MATCH(TRUE, EXACT($C79, 韻母表[十五音]), 0))</f>
        <v>uainn</v>
      </c>
      <c r="F79" s="142" t="str" cm="1">
        <f t="array" ref="F79" xml:space="preserve"> INDEX(韻母表[方音符號], MATCH(TRUE, EXACT($C79, 韻母表[十五音]), 0))</f>
        <v>ㄨㆮ</v>
      </c>
      <c r="G79" s="53" t="str">
        <f xml:space="preserve"> IF(十五音音節表!F75&lt;&gt;"", _xlfn.CONCAT(G$5,$F79), "")</f>
        <v/>
      </c>
      <c r="H79" s="53" t="str">
        <f xml:space="preserve"> IF(十五音音節表!G75&lt;&gt;"", _xlfn.CONCAT(H$5,$F79), "")</f>
        <v/>
      </c>
      <c r="I79" s="53" t="str">
        <f xml:space="preserve"> IF(十五音音節表!H75&lt;&gt;"", _xlfn.CONCAT(I$5,$F79), "")</f>
        <v/>
      </c>
      <c r="J79" s="53" t="str">
        <f xml:space="preserve"> IF(十五音音節表!I75&lt;&gt;"", _xlfn.CONCAT(J$5,$F79), "")</f>
        <v>ㄍㄨㆮ</v>
      </c>
      <c r="K79" s="53" t="str">
        <f xml:space="preserve"> IF(十五音音節表!J75&lt;&gt;"", _xlfn.CONCAT(K$5,$F79), "")</f>
        <v/>
      </c>
      <c r="L79" s="53" t="str">
        <f xml:space="preserve"> IF(十五音音節表!K75&lt;&gt;"", _xlfn.CONCAT(L$5,$F79), "")</f>
        <v/>
      </c>
      <c r="M79" s="53" t="str">
        <f xml:space="preserve"> IF(十五音音節表!L75&lt;&gt;"", _xlfn.CONCAT(M$5,$F79), "")</f>
        <v/>
      </c>
      <c r="N79" s="53" t="str">
        <f xml:space="preserve"> IF(十五音音節表!M75&lt;&gt;"", _xlfn.CONCAT(N$5,$F79), "")</f>
        <v/>
      </c>
      <c r="O79" s="53" t="str">
        <f xml:space="preserve"> IF(十五音音節表!N75&lt;&gt;"", _xlfn.CONCAT(O$5,$F79), "")</f>
        <v>ㄗㄨㆮ</v>
      </c>
      <c r="P79" s="53" t="str">
        <f xml:space="preserve"> IF(十五音音節表!O75&lt;&gt;"", _xlfn.CONCAT(P$5,$F79), "")</f>
        <v/>
      </c>
      <c r="Q79" s="53" t="str">
        <f xml:space="preserve"> IF(十五音音節表!P75&lt;&gt;"", _xlfn.CONCAT(Q$5,$F79), "")</f>
        <v>ㄙㄨㆮ</v>
      </c>
      <c r="R79" s="53" t="str">
        <f xml:space="preserve"> IF(十五音音節表!Q75&lt;&gt;"", _xlfn.CONCAT(R$5,$F79), "")</f>
        <v>ㄨㆮ</v>
      </c>
      <c r="S79" s="53" t="str">
        <f xml:space="preserve"> IF(十五音音節表!R75&lt;&gt;"", _xlfn.CONCAT(S$5,$F79), "")</f>
        <v/>
      </c>
      <c r="T79" s="53" t="str">
        <f xml:space="preserve"> IF(十五音音節表!S75&lt;&gt;"", _xlfn.CONCAT(T$5,$F79), "")</f>
        <v/>
      </c>
      <c r="U79" s="53" t="str">
        <f xml:space="preserve"> IF(十五音音節表!T75&lt;&gt;"", _xlfn.CONCAT(U$5,$F79), "")</f>
        <v/>
      </c>
      <c r="V79" s="53" t="str">
        <f xml:space="preserve"> IF(十五音音節表!U75&lt;&gt;"", _xlfn.CONCAT(V$5,$F79), "")</f>
        <v/>
      </c>
      <c r="W79" s="53" t="str">
        <f xml:space="preserve"> IF(十五音音節表!V75&lt;&gt;"", _xlfn.CONCAT(W$5,$F79), "")</f>
        <v/>
      </c>
      <c r="X79" s="53" t="str">
        <f xml:space="preserve"> IF(十五音音節表!W75&lt;&gt;"", _xlfn.CONCAT(X$5,$F79), "")</f>
        <v>ㄏㄨㆮ</v>
      </c>
      <c r="Y79" s="142" t="s">
        <v>1244</v>
      </c>
      <c r="Z79" s="50" t="s">
        <v>232</v>
      </c>
      <c r="AA79" s="50" t="s">
        <v>148</v>
      </c>
    </row>
    <row r="80" spans="2:27">
      <c r="B80" s="139" cm="1">
        <f t="array" ref="B80" xml:space="preserve"> INDEX(韻母表[韻序], MATCH(TRUE, EXACT($C80, 韻母表[十五音]), 0))</f>
        <v>46</v>
      </c>
      <c r="C80" s="50" t="s">
        <v>152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ɪãʊ</v>
      </c>
      <c r="E80" s="50" t="str" cm="1">
        <f t="array" ref="E80" xml:space="preserve"> INDEX(韻母表[台羅拼音], MATCH(TRUE, EXACT($C80, 韻母表[十五音]), 0))</f>
        <v>iaunn</v>
      </c>
      <c r="F80" s="142" t="str" cm="1">
        <f t="array" ref="F80" xml:space="preserve"> INDEX(韻母表[方音符號], MATCH(TRUE, EXACT($C80, 韻母表[十五音]), 0))</f>
        <v>ㄧㆯ</v>
      </c>
      <c r="G80" s="53" t="str">
        <f xml:space="preserve"> IF(十五音音節表!F76&lt;&gt;"", _xlfn.CONCAT(G$5,$F80), "")</f>
        <v/>
      </c>
      <c r="H80" s="53" t="str">
        <f xml:space="preserve"> IF(十五音音節表!G76&lt;&gt;"", _xlfn.CONCAT(H$5,$F80), "")</f>
        <v/>
      </c>
      <c r="I80" s="53" t="str">
        <f xml:space="preserve"> IF(十五音音節表!H76&lt;&gt;"", _xlfn.CONCAT(I$5,$F80), "")</f>
        <v/>
      </c>
      <c r="J80" s="53" t="str">
        <f xml:space="preserve"> IF(十五音音節表!I76&lt;&gt;"", _xlfn.CONCAT(J$5,$F80), "")</f>
        <v/>
      </c>
      <c r="K80" s="53" t="str">
        <f xml:space="preserve"> IF(十五音音節表!J76&lt;&gt;"", _xlfn.CONCAT(K$5,$F80), "")</f>
        <v/>
      </c>
      <c r="L80" s="53" t="str">
        <f xml:space="preserve"> IF(十五音音節表!K76&lt;&gt;"", _xlfn.CONCAT(L$5,$F80), "")</f>
        <v/>
      </c>
      <c r="M80" s="53" t="str">
        <f xml:space="preserve"> IF(十五音音節表!L76&lt;&gt;"", _xlfn.CONCAT(M$5,$F80), "")</f>
        <v/>
      </c>
      <c r="N80" s="53" t="str">
        <f xml:space="preserve"> IF(十五音音節表!M76&lt;&gt;"", _xlfn.CONCAT(N$5,$F80), "")</f>
        <v/>
      </c>
      <c r="O80" s="53" t="str">
        <f xml:space="preserve"> IF(十五音音節表!N76&lt;&gt;"", _xlfn.CONCAT(O$5,$F80), "")</f>
        <v/>
      </c>
      <c r="P80" s="53" t="str">
        <f xml:space="preserve"> IF(十五音音節表!O76&lt;&gt;"", _xlfn.CONCAT(P$5,$F80), "")</f>
        <v/>
      </c>
      <c r="Q80" s="53" t="str">
        <f xml:space="preserve"> IF(十五音音節表!P76&lt;&gt;"", _xlfn.CONCAT(Q$5,$F80), "")</f>
        <v/>
      </c>
      <c r="R80" s="53" t="str">
        <f xml:space="preserve"> IF(十五音音節表!Q76&lt;&gt;"", _xlfn.CONCAT(R$5,$F80), "")</f>
        <v>ㄧㆯ</v>
      </c>
      <c r="S80" s="53" t="str">
        <f xml:space="preserve"> IF(十五音音節表!R76&lt;&gt;"", _xlfn.CONCAT(S$5,$F80), "")</f>
        <v/>
      </c>
      <c r="T80" s="53" t="str">
        <f xml:space="preserve"> IF(十五音音節表!S76&lt;&gt;"", _xlfn.CONCAT(T$5,$F80), "")</f>
        <v/>
      </c>
      <c r="U80" s="53" t="str">
        <f xml:space="preserve"> IF(十五音音節表!T76&lt;&gt;"", _xlfn.CONCAT(U$5,$F80), "")</f>
        <v/>
      </c>
      <c r="V80" s="53" t="str">
        <f xml:space="preserve"> IF(十五音音節表!U76&lt;&gt;"", _xlfn.CONCAT(V$5,$F80), "")</f>
        <v/>
      </c>
      <c r="W80" s="53" t="str">
        <f xml:space="preserve"> IF(十五音音節表!V76&lt;&gt;"", _xlfn.CONCAT(W$5,$F80), "")</f>
        <v/>
      </c>
      <c r="X80" s="53" t="str">
        <f xml:space="preserve"> IF(十五音音節表!W76&lt;&gt;"", _xlfn.CONCAT(X$5,$F80), "")</f>
        <v/>
      </c>
      <c r="Y80" s="142" t="s">
        <v>1253</v>
      </c>
      <c r="Z80" s="50" t="s">
        <v>235</v>
      </c>
      <c r="AA80" s="50" t="s">
        <v>152</v>
      </c>
    </row>
    <row r="81" spans="2:27">
      <c r="B81" s="139" cm="1">
        <f t="array" ref="B81" xml:space="preserve"> INDEX(韻母表[韻序], MATCH(TRUE, EXACT($C81, 韻母表[十五音]), 0))</f>
        <v>47</v>
      </c>
      <c r="C81" s="50" t="s">
        <v>154</v>
      </c>
      <c r="D81" s="50" t="str" cm="1">
        <f t="array" ref="D81" xml:space="preserve"> IF( INDEX(韻母表[國際音標2], MATCH(TRUE, EXACT($C81, 韻母表[十五音]), 0))&lt;&gt;"",  INDEX(韻母表[國際音標2], MATCH(TRUE, EXACT($C81, 韻母表[十五音]), 0)),  INDEX(韻母表[國際音標], MATCH(TRUE, EXACT($C81, 韻母表[十五音]), 0)))</f>
        <v>ɔm</v>
      </c>
      <c r="E81" s="50" t="str" cm="1">
        <f t="array" ref="E81" xml:space="preserve"> INDEX(韻母表[台羅拼音], MATCH(TRUE, EXACT($C81, 韻母表[十五音]), 0))</f>
        <v>om</v>
      </c>
      <c r="F81" s="142" t="str" cm="1">
        <f t="array" ref="F81" xml:space="preserve"> INDEX(韻母表[方音符號], MATCH(TRUE, EXACT($C81, 韻母表[十五音]), 0))</f>
        <v>ㆱ</v>
      </c>
      <c r="G81" s="53" t="str">
        <f xml:space="preserve"> IF(十五音音節表!F77&lt;&gt;"", _xlfn.CONCAT(G$5,$F81), "")</f>
        <v/>
      </c>
      <c r="H81" s="53" t="str">
        <f xml:space="preserve"> IF(十五音音節表!G77&lt;&gt;"", _xlfn.CONCAT(H$5,$F81), "")</f>
        <v/>
      </c>
      <c r="I81" s="53" t="str">
        <f xml:space="preserve"> IF(十五音音節表!H77&lt;&gt;"", _xlfn.CONCAT(I$5,$F81), "")</f>
        <v/>
      </c>
      <c r="J81" s="53" t="str">
        <f xml:space="preserve"> IF(十五音音節表!I77&lt;&gt;"", _xlfn.CONCAT(J$5,$F81), "")</f>
        <v/>
      </c>
      <c r="K81" s="53" t="str">
        <f xml:space="preserve"> IF(十五音音節表!J77&lt;&gt;"", _xlfn.CONCAT(K$5,$F81), "")</f>
        <v/>
      </c>
      <c r="L81" s="53" t="str">
        <f xml:space="preserve"> IF(十五音音節表!K77&lt;&gt;"", _xlfn.CONCAT(L$5,$F81), "")</f>
        <v>ㄉㆱ</v>
      </c>
      <c r="M81" s="53" t="str">
        <f xml:space="preserve"> IF(十五音音節表!L77&lt;&gt;"", _xlfn.CONCAT(M$5,$F81), "")</f>
        <v/>
      </c>
      <c r="N81" s="53" t="str">
        <f xml:space="preserve"> IF(十五音音節表!M77&lt;&gt;"", _xlfn.CONCAT(N$5,$F81), "")</f>
        <v/>
      </c>
      <c r="O81" s="53" t="str">
        <f xml:space="preserve"> IF(十五音音節表!N77&lt;&gt;"", _xlfn.CONCAT(O$5,$F81), "")</f>
        <v/>
      </c>
      <c r="P81" s="53" t="str">
        <f xml:space="preserve"> IF(十五音音節表!O77&lt;&gt;"", _xlfn.CONCAT(P$5,$F81), "")</f>
        <v/>
      </c>
      <c r="Q81" s="53" t="str">
        <f xml:space="preserve"> IF(十五音音節表!P77&lt;&gt;"", _xlfn.CONCAT(Q$5,$F81), "")</f>
        <v>ㄙㆱ</v>
      </c>
      <c r="R81" s="53" t="str">
        <f xml:space="preserve"> IF(十五音音節表!Q77&lt;&gt;"", _xlfn.CONCAT(R$5,$F81), "")</f>
        <v>ㆱ</v>
      </c>
      <c r="S81" s="53" t="str">
        <f xml:space="preserve"> IF(十五音音節表!R77&lt;&gt;"", _xlfn.CONCAT(S$5,$F81), "")</f>
        <v/>
      </c>
      <c r="T81" s="53" t="str">
        <f xml:space="preserve"> IF(十五音音節表!S77&lt;&gt;"", _xlfn.CONCAT(T$5,$F81), "")</f>
        <v/>
      </c>
      <c r="U81" s="53" t="str">
        <f xml:space="preserve"> IF(十五音音節表!T77&lt;&gt;"", _xlfn.CONCAT(U$5,$F81), "")</f>
        <v/>
      </c>
      <c r="V81" s="53" t="str">
        <f xml:space="preserve"> IF(十五音音節表!U77&lt;&gt;"", _xlfn.CONCAT(V$5,$F81), "")</f>
        <v/>
      </c>
      <c r="W81" s="53" t="str">
        <f xml:space="preserve"> IF(十五音音節表!V77&lt;&gt;"", _xlfn.CONCAT(W$5,$F81), "")</f>
        <v/>
      </c>
      <c r="X81" s="53" t="str">
        <f xml:space="preserve"> IF(十五音音節表!W77&lt;&gt;"", _xlfn.CONCAT(X$5,$F81), "")</f>
        <v/>
      </c>
      <c r="Y81" s="142" t="s">
        <v>1256</v>
      </c>
      <c r="Z81" s="50" t="s">
        <v>236</v>
      </c>
      <c r="AA81" s="50" t="s">
        <v>154</v>
      </c>
    </row>
    <row r="82" spans="2:27">
      <c r="B82" s="139" cm="1">
        <f t="array" ref="B82" xml:space="preserve"> INDEX(韻母表[韻序], MATCH(TRUE, EXACT($C82, 韻母表[十五音]), 0))</f>
        <v>49</v>
      </c>
      <c r="C82" s="145" t="s">
        <v>1567</v>
      </c>
      <c r="D82" s="96" t="str" cm="1">
        <f t="array" ref="D82" xml:space="preserve"> IF( INDEX(韻母表[國際音標2], MATCH(TRUE, EXACT($C82, 韻母表[十五音]), 0))&lt;&gt;"",  INDEX(韻母表[國際音標2], MATCH(TRUE, EXACT($C82, 韻母表[十五音]), 0)),  INDEX(韻母表[國際音標], MATCH(TRUE, EXACT($C82, 韻母表[十五音]), 0)))</f>
        <v>ɔ̃</v>
      </c>
      <c r="E82" s="50" t="str" cm="1">
        <f t="array" ref="E82" xml:space="preserve"> INDEX(韻母表[台羅拼音], MATCH(TRUE, EXACT($C82, 韻母表[十五音]), 0))</f>
        <v/>
      </c>
      <c r="F82" s="142" t="str" cm="1">
        <f t="array" ref="F82" xml:space="preserve"> INDEX(韻母表[方音符號], MATCH(TRUE, EXACT($C82, 韻母表[十五音]), 0))</f>
        <v/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42"/>
      <c r="Z82" s="50"/>
      <c r="AA82" s="50"/>
    </row>
    <row r="83" spans="2:27" hidden="1" outlineLevel="1">
      <c r="B83" s="139" cm="1">
        <f t="array" ref="B83" xml:space="preserve"> INDEX(韻母表[韻序], MATCH(TRUE, EXACT($C83, 韻母表[十五音]), 0))</f>
        <v>49</v>
      </c>
      <c r="C83" s="50" t="s">
        <v>159</v>
      </c>
      <c r="D83" s="96" t="str" cm="1">
        <f t="array" ref="D83" xml:space="preserve"> IF( INDEX(韻母表[國際音標2], MATCH(TRUE, EXACT($C83, 韻母表[十五音]), 0))&lt;&gt;"",  INDEX(韻母表[國際音標2], MATCH(TRUE, EXACT($C83, 韻母表[十五音]), 0)),  INDEX(韻母表[國際音標], MATCH(TRUE, EXACT($C83, 韻母表[十五音]), 0)))</f>
        <v>ɔ̃ʔ</v>
      </c>
      <c r="E83" s="50" t="str" cm="1">
        <f t="array" ref="E83" xml:space="preserve"> INDEX(韻母表[台羅拼音], MATCH(TRUE, EXACT($C83, 韻母表[十五音]), 0))</f>
        <v>onnh</v>
      </c>
      <c r="F83" s="142" t="str" cm="1">
        <f t="array" ref="F83" xml:space="preserve"> INDEX(韻母表[方音符號], MATCH(TRUE, EXACT($C83, 韻母表[十五音]), 0))</f>
        <v>ㆧㆷ</v>
      </c>
      <c r="G83" s="53" t="str">
        <f xml:space="preserve"> IF(十五音音節表!F78&lt;&gt;"", _xlfn.CONCAT(G$5,$F83), "")</f>
        <v/>
      </c>
      <c r="H83" s="53" t="str">
        <f xml:space="preserve"> IF(十五音音節表!G78&lt;&gt;"", _xlfn.CONCAT(H$5,$F83), "")</f>
        <v/>
      </c>
      <c r="I83" s="53" t="str">
        <f xml:space="preserve"> IF(十五音音節表!H78&lt;&gt;"", _xlfn.CONCAT(I$5,$F83), "")</f>
        <v/>
      </c>
      <c r="J83" s="53" t="str">
        <f xml:space="preserve"> IF(十五音音節表!I78&lt;&gt;"", _xlfn.CONCAT(J$5,$F83), "")</f>
        <v/>
      </c>
      <c r="K83" s="53" t="str">
        <f xml:space="preserve"> IF(十五音音節表!J78&lt;&gt;"", _xlfn.CONCAT(K$5,$F83), "")</f>
        <v/>
      </c>
      <c r="L83" s="53" t="str">
        <f xml:space="preserve"> IF(十五音音節表!K78&lt;&gt;"", _xlfn.CONCAT(L$5,$F83), "")</f>
        <v/>
      </c>
      <c r="M83" s="53" t="str">
        <f xml:space="preserve"> IF(十五音音節表!L78&lt;&gt;"", _xlfn.CONCAT(M$5,$F83), "")</f>
        <v/>
      </c>
      <c r="N83" s="53" t="str">
        <f xml:space="preserve"> IF(十五音音節表!M78&lt;&gt;"", _xlfn.CONCAT(N$5,$F83), "")</f>
        <v/>
      </c>
      <c r="O83" s="53" t="str">
        <f xml:space="preserve"> IF(十五音音節表!N78&lt;&gt;"", _xlfn.CONCAT(O$5,$F83), "")</f>
        <v/>
      </c>
      <c r="P83" s="53" t="str">
        <f xml:space="preserve"> IF(十五音音節表!O78&lt;&gt;"", _xlfn.CONCAT(P$5,$F83), "")</f>
        <v/>
      </c>
      <c r="Q83" s="53" t="str">
        <f xml:space="preserve"> IF(十五音音節表!P78&lt;&gt;"", _xlfn.CONCAT(Q$5,$F83), "")</f>
        <v/>
      </c>
      <c r="R83" s="53" t="str">
        <f xml:space="preserve"> IF(十五音音節表!Q78&lt;&gt;"", _xlfn.CONCAT(R$5,$F83), "")</f>
        <v>ㆧㆷ</v>
      </c>
      <c r="S83" s="53" t="str">
        <f xml:space="preserve"> IF(十五音音節表!R78&lt;&gt;"", _xlfn.CONCAT(S$5,$F83), "")</f>
        <v/>
      </c>
      <c r="T83" s="53" t="str">
        <f xml:space="preserve"> IF(十五音音節表!S78&lt;&gt;"", _xlfn.CONCAT(T$5,$F83), "")</f>
        <v/>
      </c>
      <c r="U83" s="53" t="str">
        <f xml:space="preserve"> IF(十五音音節表!T78&lt;&gt;"", _xlfn.CONCAT(U$5,$F83), "")</f>
        <v/>
      </c>
      <c r="V83" s="53" t="str">
        <f xml:space="preserve"> IF(十五音音節表!U78&lt;&gt;"", _xlfn.CONCAT(V$5,$F83), "")</f>
        <v/>
      </c>
      <c r="W83" s="53" t="str">
        <f xml:space="preserve"> IF(十五音音節表!V78&lt;&gt;"", _xlfn.CONCAT(W$5,$F83), "")</f>
        <v/>
      </c>
      <c r="X83" s="53" t="str">
        <f xml:space="preserve"> IF(十五音音節表!W78&lt;&gt;"", _xlfn.CONCAT(X$5,$F83), "")</f>
        <v>ㄏㆧㆷ</v>
      </c>
      <c r="Y83" s="142" t="s">
        <v>1265</v>
      </c>
      <c r="Z83" s="50" t="s">
        <v>238</v>
      </c>
      <c r="AA83" s="50" t="s">
        <v>159</v>
      </c>
    </row>
    <row r="84" spans="2:27" collapsed="1">
      <c r="B84" s="139" cm="1">
        <f t="array" ref="B84" xml:space="preserve"> INDEX(韻母表[韻序], MATCH(TRUE, EXACT($C84, 韻母表[十五音]), 0))</f>
        <v>50</v>
      </c>
      <c r="C84" s="50" t="s">
        <v>160</v>
      </c>
      <c r="D84" s="50" t="str" cm="1">
        <f t="array" ref="D84" xml:space="preserve"> IF( INDEX(韻母表[國際音標2], MATCH(TRUE, EXACT($C84, 韻母表[十五音]), 0))&lt;&gt;"",  INDEX(韻母表[國際音標2], MATCH(TRUE, EXACT($C84, 韻母表[十五音]), 0)),  INDEX(韻母表[國際音標], MATCH(TRUE, EXACT($C84, 韻母表[十五音]), 0)))</f>
        <v>ɪũ</v>
      </c>
      <c r="E84" s="50" t="str" cm="1">
        <f t="array" ref="E84" xml:space="preserve"> INDEX(韻母表[台羅拼音], MATCH(TRUE, EXACT($C84, 韻母表[十五音]), 0))</f>
        <v>iunn</v>
      </c>
      <c r="F84" s="142" t="str" cm="1">
        <f t="array" ref="F84" xml:space="preserve"> INDEX(韻母表[方音符號], MATCH(TRUE, EXACT($C84, 韻母表[十五音]), 0))</f>
        <v>ㄧㆫ</v>
      </c>
      <c r="G84" s="53" t="str">
        <f xml:space="preserve"> IF(十五音音節表!F79&lt;&gt;"", _xlfn.CONCAT(G$5,$F84), "")</f>
        <v/>
      </c>
      <c r="H84" s="53" t="str">
        <f xml:space="preserve"> IF(十五音音節表!G79&lt;&gt;"", _xlfn.CONCAT(H$5,$F84), "")</f>
        <v/>
      </c>
      <c r="I84" s="53" t="str">
        <f xml:space="preserve"> IF(十五音音節表!H79&lt;&gt;"", _xlfn.CONCAT(I$5,$F84), "")</f>
        <v/>
      </c>
      <c r="J84" s="53" t="str">
        <f xml:space="preserve"> IF(十五音音節表!I79&lt;&gt;"", _xlfn.CONCAT(J$5,$F84), "")</f>
        <v>ㄍㄧㆫ</v>
      </c>
      <c r="K84" s="53" t="str">
        <f xml:space="preserve"> IF(十五音音節表!J79&lt;&gt;"", _xlfn.CONCAT(K$5,$F84), "")</f>
        <v>ㄎㄧㆫ</v>
      </c>
      <c r="L84" s="53" t="str">
        <f xml:space="preserve"> IF(十五音音節表!K79&lt;&gt;"", _xlfn.CONCAT(L$5,$F84), "")</f>
        <v>ㄉㄧㆫ</v>
      </c>
      <c r="M84" s="53" t="str">
        <f xml:space="preserve"> IF(十五音音節表!L79&lt;&gt;"", _xlfn.CONCAT(M$5,$F84), "")</f>
        <v/>
      </c>
      <c r="N84" s="53" t="str">
        <f xml:space="preserve"> IF(十五音音節表!M79&lt;&gt;"", _xlfn.CONCAT(N$5,$F84), "")</f>
        <v/>
      </c>
      <c r="O84" s="53" t="str">
        <f xml:space="preserve"> IF(十五音音節表!N79&lt;&gt;"", _xlfn.CONCAT(O$5,$F84), "")</f>
        <v>ㄗㄧㆫ</v>
      </c>
      <c r="P84" s="53" t="str">
        <f xml:space="preserve"> IF(十五音音節表!O79&lt;&gt;"", _xlfn.CONCAT(P$5,$F84), "")</f>
        <v/>
      </c>
      <c r="Q84" s="53" t="str">
        <f xml:space="preserve"> IF(十五音音節表!P79&lt;&gt;"", _xlfn.CONCAT(Q$5,$F84), "")</f>
        <v>ㄙㄧㆫ</v>
      </c>
      <c r="R84" s="53" t="str">
        <f xml:space="preserve"> IF(十五音音節表!Q79&lt;&gt;"", _xlfn.CONCAT(R$5,$F84), "")</f>
        <v>ㄧㆫ</v>
      </c>
      <c r="S84" s="53" t="str">
        <f xml:space="preserve"> IF(十五音音節表!R79&lt;&gt;"", _xlfn.CONCAT(S$5,$F84), "")</f>
        <v/>
      </c>
      <c r="T84" s="53" t="str">
        <f xml:space="preserve"> IF(十五音音節表!S79&lt;&gt;"", _xlfn.CONCAT(T$5,$F84), "")</f>
        <v/>
      </c>
      <c r="U84" s="53" t="str">
        <f xml:space="preserve"> IF(十五音音節表!T79&lt;&gt;"", _xlfn.CONCAT(U$5,$F84), "")</f>
        <v/>
      </c>
      <c r="V84" s="53" t="str">
        <f xml:space="preserve"> IF(十五音音節表!U79&lt;&gt;"", _xlfn.CONCAT(V$5,$F84), "")</f>
        <v/>
      </c>
      <c r="W84" s="53" t="str">
        <f xml:space="preserve"> IF(十五音音節表!V79&lt;&gt;"", _xlfn.CONCAT(W$5,$F84), "")</f>
        <v>ㄘㄧㆫ</v>
      </c>
      <c r="X84" s="53" t="str">
        <f xml:space="preserve"> IF(十五音音節表!W79&lt;&gt;"", _xlfn.CONCAT(X$5,$F84), "")</f>
        <v>ㄏㄧㆫ</v>
      </c>
      <c r="Y84" s="142" t="s">
        <v>1268</v>
      </c>
      <c r="Z84" s="50" t="s">
        <v>239</v>
      </c>
      <c r="AA84" s="50" t="s">
        <v>160</v>
      </c>
    </row>
    <row r="85" spans="2:27" hidden="1" outlineLevel="1">
      <c r="B85" s="139" cm="1">
        <f t="array" ref="B85" xml:space="preserve"> INDEX(韻母表[韻序], MATCH(TRUE, EXACT($C85, 韻母表[十五音]), 0))</f>
        <v>50</v>
      </c>
      <c r="C85" s="50" t="s">
        <v>161</v>
      </c>
      <c r="D85" s="50" t="str" cm="1">
        <f t="array" ref="D85" xml:space="preserve"> IF( INDEX(韻母表[國際音標2], MATCH(TRUE, EXACT($C85, 韻母表[十五音]), 0))&lt;&gt;"",  INDEX(韻母表[國際音標2], MATCH(TRUE, EXACT($C85, 韻母表[十五音]), 0)),  INDEX(韻母表[國際音標], MATCH(TRUE, EXACT($C85, 韻母表[十五音]), 0)))</f>
        <v>ɪũʔ</v>
      </c>
      <c r="E85" s="50" t="str" cm="1">
        <f t="array" ref="E85" xml:space="preserve"> INDEX(韻母表[台羅拼音], MATCH(TRUE, EXACT($C85, 韻母表[十五音]), 0))</f>
        <v>iunnh</v>
      </c>
      <c r="F85" s="142" t="str" cm="1">
        <f t="array" ref="F85" xml:space="preserve"> INDEX(韻母表[方音符號], MATCH(TRUE, EXACT($C85, 韻母表[十五音]), 0))</f>
        <v>ㄧㆫㆷ</v>
      </c>
      <c r="G85" s="53" t="str">
        <f xml:space="preserve"> IF(十五音音節表!F80&lt;&gt;"", _xlfn.CONCAT(G$5,$F85), "")</f>
        <v/>
      </c>
      <c r="H85" s="53" t="str">
        <f xml:space="preserve"> IF(十五音音節表!G80&lt;&gt;"", _xlfn.CONCAT(H$5,$F85), "")</f>
        <v/>
      </c>
      <c r="I85" s="53" t="str">
        <f xml:space="preserve"> IF(十五音音節表!H80&lt;&gt;"", _xlfn.CONCAT(I$5,$F85), "")</f>
        <v/>
      </c>
      <c r="J85" s="53" t="str">
        <f xml:space="preserve"> IF(十五音音節表!I80&lt;&gt;"", _xlfn.CONCAT(J$5,$F85), "")</f>
        <v/>
      </c>
      <c r="K85" s="53" t="str">
        <f xml:space="preserve"> IF(十五音音節表!J80&lt;&gt;"", _xlfn.CONCAT(K$5,$F85), "")</f>
        <v/>
      </c>
      <c r="L85" s="53" t="str">
        <f xml:space="preserve"> IF(十五音音節表!K80&lt;&gt;"", _xlfn.CONCAT(L$5,$F85), "")</f>
        <v/>
      </c>
      <c r="M85" s="53" t="str">
        <f xml:space="preserve"> IF(十五音音節表!L80&lt;&gt;"", _xlfn.CONCAT(M$5,$F85), "")</f>
        <v/>
      </c>
      <c r="N85" s="53" t="str">
        <f xml:space="preserve"> IF(十五音音節表!M80&lt;&gt;"", _xlfn.CONCAT(N$5,$F85), "")</f>
        <v/>
      </c>
      <c r="O85" s="53" t="str">
        <f xml:space="preserve"> IF(十五音音節表!N80&lt;&gt;"", _xlfn.CONCAT(O$5,$F85), "")</f>
        <v/>
      </c>
      <c r="P85" s="53" t="str">
        <f xml:space="preserve"> IF(十五音音節表!O80&lt;&gt;"", _xlfn.CONCAT(P$5,$F85), "")</f>
        <v/>
      </c>
      <c r="Q85" s="53" t="str">
        <f xml:space="preserve"> IF(十五音音節表!P80&lt;&gt;"", _xlfn.CONCAT(Q$5,$F85), "")</f>
        <v/>
      </c>
      <c r="R85" s="53" t="str">
        <f xml:space="preserve"> IF(十五音音節表!Q80&lt;&gt;"", _xlfn.CONCAT(R$5,$F85), "")</f>
        <v>ㄧㆫㆷ</v>
      </c>
      <c r="S85" s="53" t="str">
        <f xml:space="preserve"> IF(十五音音節表!R80&lt;&gt;"", _xlfn.CONCAT(S$5,$F85), "")</f>
        <v/>
      </c>
      <c r="T85" s="53" t="str">
        <f xml:space="preserve"> IF(十五音音節表!S80&lt;&gt;"", _xlfn.CONCAT(T$5,$F85), "")</f>
        <v/>
      </c>
      <c r="U85" s="53" t="str">
        <f xml:space="preserve"> IF(十五音音節表!T80&lt;&gt;"", _xlfn.CONCAT(U$5,$F85), "")</f>
        <v/>
      </c>
      <c r="V85" s="53" t="str">
        <f xml:space="preserve"> IF(十五音音節表!U80&lt;&gt;"", _xlfn.CONCAT(V$5,$F85), "")</f>
        <v/>
      </c>
      <c r="W85" s="53" t="str">
        <f xml:space="preserve"> IF(十五音音節表!V80&lt;&gt;"", _xlfn.CONCAT(W$5,$F85), "")</f>
        <v/>
      </c>
      <c r="X85" s="53" t="str">
        <f xml:space="preserve"> IF(十五音音節表!W80&lt;&gt;"", _xlfn.CONCAT(X$5,$F85), "")</f>
        <v>ㄏㄧㆫㆷ</v>
      </c>
      <c r="Y85" s="142" t="s">
        <v>1271</v>
      </c>
      <c r="Z85" s="50" t="s">
        <v>810</v>
      </c>
      <c r="AA85" s="50" t="s">
        <v>161</v>
      </c>
    </row>
    <row r="86" spans="2:27" ht="7.5" customHeight="1" collapsed="1">
      <c r="B86" s="50"/>
      <c r="C86" s="50"/>
      <c r="D86" s="50"/>
      <c r="E86" s="50"/>
      <c r="F86" s="50"/>
      <c r="Y86" s="50"/>
      <c r="Z86" s="50"/>
      <c r="AA86" s="50"/>
    </row>
    <row r="87" spans="2:27">
      <c r="B87" s="50"/>
      <c r="C87" s="51"/>
      <c r="D87" s="51"/>
      <c r="E87" s="51"/>
      <c r="F87" s="51"/>
      <c r="G87" s="49" t="s">
        <v>47</v>
      </c>
      <c r="H87" s="52" t="s">
        <v>48</v>
      </c>
      <c r="I87" s="49" t="s">
        <v>41</v>
      </c>
      <c r="J87" s="49" t="s">
        <v>49</v>
      </c>
      <c r="K87" s="49" t="s">
        <v>50</v>
      </c>
      <c r="L87" s="49" t="s">
        <v>45</v>
      </c>
      <c r="M87" s="49" t="s">
        <v>42</v>
      </c>
      <c r="N87" s="49" t="s">
        <v>46</v>
      </c>
      <c r="O87" s="49" t="s">
        <v>54</v>
      </c>
      <c r="P87" s="49" t="s">
        <v>60</v>
      </c>
      <c r="Q87" s="49" t="s">
        <v>58</v>
      </c>
      <c r="R87" s="49" t="s">
        <v>327</v>
      </c>
      <c r="S87" s="49" t="s">
        <v>43</v>
      </c>
      <c r="T87" s="52" t="s">
        <v>44</v>
      </c>
      <c r="U87" s="49" t="s">
        <v>51</v>
      </c>
      <c r="V87" s="52" t="s">
        <v>52</v>
      </c>
      <c r="W87" s="49" t="s">
        <v>56</v>
      </c>
      <c r="X87" s="49" t="s">
        <v>53</v>
      </c>
      <c r="Y87" s="51"/>
      <c r="Z87" s="51"/>
      <c r="AA87" s="51"/>
    </row>
    <row r="88" spans="2:27">
      <c r="B88" s="50"/>
      <c r="C88" s="51"/>
      <c r="D88" s="51"/>
      <c r="E88" s="51"/>
      <c r="F88" s="51"/>
      <c r="G88" s="49" t="str">
        <f xml:space="preserve"> _xlfn.XLOOKUP(G$4, 聲母表[台羅拼音], 聲母表[十五音])</f>
        <v>柳</v>
      </c>
      <c r="H88" s="52" t="str">
        <f xml:space="preserve"> _xlfn.XLOOKUP(H$4, 聲母表[台羅拼音], 聲母表[十五音])</f>
        <v>柳</v>
      </c>
      <c r="I88" s="49" t="str">
        <f xml:space="preserve"> _xlfn.XLOOKUP(I$4, 聲母表[台羅拼音], 聲母表[十五音])</f>
        <v>邊</v>
      </c>
      <c r="J88" s="49" t="str">
        <f xml:space="preserve"> _xlfn.XLOOKUP(J$4, 聲母表[台羅拼音], 聲母表[十五音])</f>
        <v>求</v>
      </c>
      <c r="K88" s="49" t="str">
        <f xml:space="preserve"> _xlfn.XLOOKUP(K$4, 聲母表[台羅拼音], 聲母表[十五音])</f>
        <v>去</v>
      </c>
      <c r="L88" s="49" t="str">
        <f xml:space="preserve"> _xlfn.XLOOKUP(L$4, 聲母表[台羅拼音], 聲母表[十五音])</f>
        <v>地</v>
      </c>
      <c r="M88" s="49" t="str">
        <f xml:space="preserve"> _xlfn.XLOOKUP(M$4, 聲母表[台羅拼音], 聲母表[十五音])</f>
        <v>頗</v>
      </c>
      <c r="N88" s="49" t="str">
        <f xml:space="preserve"> _xlfn.XLOOKUP(N$4, 聲母表[台羅拼音], 聲母表[十五音])</f>
        <v>他</v>
      </c>
      <c r="O88" s="49" t="str">
        <f xml:space="preserve"> _xlfn.XLOOKUP(O$4, 聲母表[台羅拼音], 聲母表[十五音])</f>
        <v>曾</v>
      </c>
      <c r="P88" s="49" t="str">
        <f xml:space="preserve"> _xlfn.XLOOKUP(P$4, 聲母表[台羅拼音], 聲母表[十五音])</f>
        <v>入</v>
      </c>
      <c r="Q88" s="49" t="str">
        <f xml:space="preserve"> _xlfn.XLOOKUP(Q$4, 聲母表[台羅拼音], 聲母表[十五音])</f>
        <v>時</v>
      </c>
      <c r="R88" s="49" t="str">
        <f xml:space="preserve"> _xlfn.XLOOKUP(R$4, 聲母表[台羅拼音], 聲母表[十五音])</f>
        <v>英</v>
      </c>
      <c r="S88" s="49" t="str">
        <f xml:space="preserve"> _xlfn.XLOOKUP(S$4, 聲母表[台羅拼音], 聲母表[十五音])</f>
        <v>門</v>
      </c>
      <c r="T88" s="52" t="str">
        <f xml:space="preserve"> _xlfn.XLOOKUP(T$4, 聲母表[台羅拼音], 聲母表[十五音])</f>
        <v>門</v>
      </c>
      <c r="U88" s="49" t="str">
        <f xml:space="preserve"> _xlfn.XLOOKUP(U$4, 聲母表[台羅拼音], 聲母表[十五音])</f>
        <v>語</v>
      </c>
      <c r="V88" s="52" t="str">
        <f xml:space="preserve"> _xlfn.XLOOKUP(V$4, 聲母表[台羅拼音], 聲母表[十五音])</f>
        <v>語</v>
      </c>
      <c r="W88" s="49" t="str">
        <f xml:space="preserve"> _xlfn.XLOOKUP(W$4, 聲母表[台羅拼音], 聲母表[十五音])</f>
        <v>出</v>
      </c>
      <c r="X88" s="49" t="str">
        <f xml:space="preserve"> _xlfn.XLOOKUP(X$4, 聲母表[台羅拼音], 聲母表[十五音])</f>
        <v>喜</v>
      </c>
      <c r="Y88" s="51"/>
      <c r="Z88" s="51"/>
      <c r="AA88" s="5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cm="1">
        <f t="array" ref="B18" xml:space="preserve"> INDEX(韻母表[韻序], MATCH(TRUE, EXACT($C18, 韻母表[十五音]), 0))</f>
        <v>39</v>
      </c>
      <c r="C18" s="50" t="str">
        <f xml:space="preserve"> _xlfn.XLOOKUP(E18, 韻母表[台羅拼音], 韻母表[十五音])</f>
        <v>伽（促）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eʔ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cm="1">
        <f t="array" ref="B60" xml:space="preserve"> INDEX(韻母表[韻序], MATCH(TRUE, EXACT($C60, 韻母表[十五音]), 0))</f>
        <v>49</v>
      </c>
      <c r="C60" s="50" t="str">
        <f xml:space="preserve"> _xlfn.XLOOKUP(E60, 韻母表[台羅拼音], 韻母表[十五音])</f>
        <v>扛（促）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ɔ̃ʔ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zoomScale="90" zoomScaleNormal="90" workbookViewId="0">
      <selection activeCell="F33" sqref="F33"/>
    </sheetView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10">
        <v>8</v>
      </c>
      <c r="B2" s="110">
        <v>1</v>
      </c>
      <c r="C2" s="111" t="s">
        <v>25</v>
      </c>
      <c r="D2" s="112" t="s">
        <v>7</v>
      </c>
      <c r="E2" s="112" t="s">
        <v>7</v>
      </c>
      <c r="F2" s="113" t="s">
        <v>47</v>
      </c>
      <c r="G2" s="113" t="s">
        <v>47</v>
      </c>
      <c r="H2" s="113" t="s">
        <v>47</v>
      </c>
      <c r="I2" s="113" t="s">
        <v>47</v>
      </c>
      <c r="J2" s="113" t="s">
        <v>47</v>
      </c>
      <c r="K2" s="113" t="s">
        <v>47</v>
      </c>
      <c r="L2" s="113" t="s">
        <v>1273</v>
      </c>
      <c r="M2" s="113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118">
        <v>2</v>
      </c>
      <c r="B4" s="118">
        <v>2</v>
      </c>
      <c r="C4" s="119" t="s">
        <v>19</v>
      </c>
      <c r="D4" s="120" t="s">
        <v>2</v>
      </c>
      <c r="E4" s="120" t="s">
        <v>2</v>
      </c>
      <c r="F4" s="121" t="s">
        <v>41</v>
      </c>
      <c r="G4" s="121" t="s">
        <v>41</v>
      </c>
      <c r="H4" s="121" t="s">
        <v>41</v>
      </c>
      <c r="I4" s="121" t="s">
        <v>41</v>
      </c>
      <c r="J4" s="121" t="s">
        <v>43</v>
      </c>
      <c r="K4" s="121" t="s">
        <v>43</v>
      </c>
      <c r="L4" s="121" t="s">
        <v>1276</v>
      </c>
      <c r="M4" s="121" t="s">
        <v>1276</v>
      </c>
    </row>
    <row r="5" spans="1:13" ht="44.25">
      <c r="A5" s="118">
        <v>10</v>
      </c>
      <c r="B5" s="118">
        <v>3</v>
      </c>
      <c r="C5" s="119" t="s">
        <v>27</v>
      </c>
      <c r="D5" s="120" t="s">
        <v>8</v>
      </c>
      <c r="E5" s="120" t="s">
        <v>8</v>
      </c>
      <c r="F5" s="121" t="s">
        <v>49</v>
      </c>
      <c r="G5" s="121" t="s">
        <v>49</v>
      </c>
      <c r="H5" s="121" t="s">
        <v>49</v>
      </c>
      <c r="I5" s="121" t="s">
        <v>49</v>
      </c>
      <c r="J5" s="121" t="s">
        <v>51</v>
      </c>
      <c r="K5" s="121" t="s">
        <v>51</v>
      </c>
      <c r="L5" s="121" t="s">
        <v>1277</v>
      </c>
      <c r="M5" s="121" t="s">
        <v>1277</v>
      </c>
    </row>
    <row r="6" spans="1:13" ht="44.25">
      <c r="A6" s="118">
        <v>11</v>
      </c>
      <c r="B6" s="118">
        <v>4</v>
      </c>
      <c r="C6" s="119" t="s">
        <v>28</v>
      </c>
      <c r="D6" s="120" t="s">
        <v>9</v>
      </c>
      <c r="E6" s="120" t="s">
        <v>9</v>
      </c>
      <c r="F6" s="121" t="s">
        <v>1278</v>
      </c>
      <c r="G6" s="121" t="s">
        <v>50</v>
      </c>
      <c r="H6" s="121" t="s">
        <v>50</v>
      </c>
      <c r="I6" s="121" t="s">
        <v>50</v>
      </c>
      <c r="J6" s="121" t="s">
        <v>49</v>
      </c>
      <c r="K6" s="121" t="s">
        <v>49</v>
      </c>
      <c r="L6" s="121" t="s">
        <v>1279</v>
      </c>
      <c r="M6" s="121" t="s">
        <v>1279</v>
      </c>
    </row>
    <row r="7" spans="1:13" ht="44.25">
      <c r="A7" s="118">
        <v>6</v>
      </c>
      <c r="B7" s="118">
        <v>5</v>
      </c>
      <c r="C7" s="119" t="s">
        <v>23</v>
      </c>
      <c r="D7" s="120" t="s">
        <v>5</v>
      </c>
      <c r="E7" s="120" t="s">
        <v>5</v>
      </c>
      <c r="F7" s="121" t="s">
        <v>45</v>
      </c>
      <c r="G7" s="121" t="s">
        <v>45</v>
      </c>
      <c r="H7" s="121" t="s">
        <v>45</v>
      </c>
      <c r="I7" s="121" t="s">
        <v>45</v>
      </c>
      <c r="J7" s="121" t="s">
        <v>1280</v>
      </c>
      <c r="K7" s="121" t="s">
        <v>1280</v>
      </c>
      <c r="L7" s="121" t="s">
        <v>1281</v>
      </c>
      <c r="M7" s="121" t="s">
        <v>1281</v>
      </c>
    </row>
    <row r="8" spans="1:13" ht="44.25">
      <c r="A8" s="118">
        <v>3</v>
      </c>
      <c r="B8" s="118">
        <v>6</v>
      </c>
      <c r="C8" s="119" t="s">
        <v>20</v>
      </c>
      <c r="D8" s="120" t="s">
        <v>3</v>
      </c>
      <c r="E8" s="120" t="s">
        <v>3</v>
      </c>
      <c r="F8" s="121" t="s">
        <v>1282</v>
      </c>
      <c r="G8" s="121" t="s">
        <v>42</v>
      </c>
      <c r="H8" s="121" t="s">
        <v>42</v>
      </c>
      <c r="I8" s="121" t="s">
        <v>42</v>
      </c>
      <c r="J8" s="121" t="s">
        <v>41</v>
      </c>
      <c r="K8" s="121" t="s">
        <v>41</v>
      </c>
      <c r="L8" s="121" t="s">
        <v>1283</v>
      </c>
      <c r="M8" s="121" t="s">
        <v>1283</v>
      </c>
    </row>
    <row r="9" spans="1:13" ht="44.25">
      <c r="A9" s="118">
        <v>7</v>
      </c>
      <c r="B9" s="118">
        <v>7</v>
      </c>
      <c r="C9" s="119" t="s">
        <v>24</v>
      </c>
      <c r="D9" s="120" t="s">
        <v>6</v>
      </c>
      <c r="E9" s="120" t="s">
        <v>6</v>
      </c>
      <c r="F9" s="121" t="s">
        <v>1284</v>
      </c>
      <c r="G9" s="121" t="s">
        <v>46</v>
      </c>
      <c r="H9" s="121" t="s">
        <v>46</v>
      </c>
      <c r="I9" s="121" t="s">
        <v>46</v>
      </c>
      <c r="J9" s="121" t="s">
        <v>45</v>
      </c>
      <c r="K9" s="121" t="s">
        <v>45</v>
      </c>
      <c r="L9" s="121" t="s">
        <v>1285</v>
      </c>
      <c r="M9" s="121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4">
        <v>16</v>
      </c>
      <c r="B11" s="114">
        <v>8</v>
      </c>
      <c r="C11" s="115" t="s">
        <v>33</v>
      </c>
      <c r="D11" s="116" t="s">
        <v>12</v>
      </c>
      <c r="E11" s="116" t="s">
        <v>12</v>
      </c>
      <c r="F11" s="117" t="s">
        <v>1290</v>
      </c>
      <c r="G11" s="117" t="s">
        <v>55</v>
      </c>
      <c r="H11" s="117" t="s">
        <v>1291</v>
      </c>
      <c r="I11" s="117" t="s">
        <v>1292</v>
      </c>
      <c r="J11" s="117" t="s">
        <v>1291</v>
      </c>
      <c r="K11" s="117" t="s">
        <v>60</v>
      </c>
      <c r="L11" s="117" t="s">
        <v>1293</v>
      </c>
      <c r="M11" s="117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4">
        <v>22</v>
      </c>
      <c r="B13" s="114">
        <v>9</v>
      </c>
      <c r="C13" s="115" t="s">
        <v>39</v>
      </c>
      <c r="D13" s="116" t="s">
        <v>16</v>
      </c>
      <c r="E13" s="116" t="s">
        <v>16</v>
      </c>
      <c r="F13" s="117" t="s">
        <v>1298</v>
      </c>
      <c r="G13" s="117" t="s">
        <v>61</v>
      </c>
      <c r="H13" s="117" t="s">
        <v>527</v>
      </c>
      <c r="I13" s="117" t="s">
        <v>527</v>
      </c>
      <c r="J13" s="117" t="s">
        <v>1299</v>
      </c>
      <c r="K13" s="117" t="s">
        <v>1300</v>
      </c>
      <c r="L13" s="117" t="s">
        <v>1301</v>
      </c>
      <c r="M13" s="117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4">
        <v>20</v>
      </c>
      <c r="B15" s="114">
        <v>10</v>
      </c>
      <c r="C15" s="115" t="s">
        <v>37</v>
      </c>
      <c r="D15" s="116" t="s">
        <v>14</v>
      </c>
      <c r="E15" s="116" t="s">
        <v>14</v>
      </c>
      <c r="F15" s="117" t="s">
        <v>1303</v>
      </c>
      <c r="G15" s="117" t="s">
        <v>59</v>
      </c>
      <c r="H15" s="117" t="s">
        <v>59</v>
      </c>
      <c r="I15" s="117" t="s">
        <v>59</v>
      </c>
      <c r="J15" s="117" t="s">
        <v>59</v>
      </c>
      <c r="K15" s="117" t="s">
        <v>1304</v>
      </c>
      <c r="L15" s="117" t="s">
        <v>1305</v>
      </c>
      <c r="M15" s="117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10">
        <v>4</v>
      </c>
      <c r="B17" s="110">
        <v>12</v>
      </c>
      <c r="C17" s="111" t="s">
        <v>21</v>
      </c>
      <c r="D17" s="112" t="s">
        <v>4</v>
      </c>
      <c r="E17" s="112" t="s">
        <v>4</v>
      </c>
      <c r="F17" s="113" t="s">
        <v>43</v>
      </c>
      <c r="G17" s="113" t="s">
        <v>43</v>
      </c>
      <c r="H17" s="113" t="s">
        <v>43</v>
      </c>
      <c r="I17" s="113" t="s">
        <v>43</v>
      </c>
      <c r="J17" s="113" t="s">
        <v>1306</v>
      </c>
      <c r="K17" s="113" t="s">
        <v>1306</v>
      </c>
      <c r="L17" s="113" t="s">
        <v>1307</v>
      </c>
      <c r="M17" s="113" t="s">
        <v>1308</v>
      </c>
    </row>
    <row r="18" spans="1:13" ht="44.25">
      <c r="A18" s="106">
        <v>5</v>
      </c>
      <c r="B18" s="106">
        <v>12</v>
      </c>
      <c r="C18" s="107" t="s">
        <v>22</v>
      </c>
      <c r="D18" s="108" t="s">
        <v>1540</v>
      </c>
      <c r="E18" s="108" t="s">
        <v>22</v>
      </c>
      <c r="F18" s="109" t="s">
        <v>44</v>
      </c>
      <c r="G18" s="109" t="s">
        <v>1541</v>
      </c>
      <c r="H18" s="109" t="s">
        <v>44</v>
      </c>
      <c r="I18" s="109" t="s">
        <v>44</v>
      </c>
      <c r="J18" s="109" t="s">
        <v>1309</v>
      </c>
      <c r="K18" s="109" t="s">
        <v>44</v>
      </c>
      <c r="L18" s="109" t="s">
        <v>1238</v>
      </c>
      <c r="M18" s="109" t="s">
        <v>1238</v>
      </c>
    </row>
    <row r="19" spans="1:13" ht="44.25">
      <c r="A19" s="110">
        <v>12</v>
      </c>
      <c r="B19" s="110">
        <v>13</v>
      </c>
      <c r="C19" s="111" t="s">
        <v>29</v>
      </c>
      <c r="D19" s="112" t="s">
        <v>10</v>
      </c>
      <c r="E19" s="112" t="s">
        <v>10</v>
      </c>
      <c r="F19" s="113" t="s">
        <v>1310</v>
      </c>
      <c r="G19" s="113" t="s">
        <v>51</v>
      </c>
      <c r="H19" s="113" t="s">
        <v>51</v>
      </c>
      <c r="I19" s="113" t="s">
        <v>51</v>
      </c>
      <c r="J19" s="113" t="s">
        <v>1311</v>
      </c>
      <c r="K19" s="113" t="s">
        <v>1311</v>
      </c>
      <c r="L19" s="113" t="s">
        <v>1312</v>
      </c>
      <c r="M19" s="113" t="s">
        <v>1313</v>
      </c>
    </row>
    <row r="20" spans="1:13" ht="44.25">
      <c r="A20" s="106">
        <v>13</v>
      </c>
      <c r="B20" s="106">
        <v>13</v>
      </c>
      <c r="C20" s="107" t="s">
        <v>30</v>
      </c>
      <c r="D20" s="108" t="s">
        <v>1544</v>
      </c>
      <c r="E20" s="108" t="s">
        <v>30</v>
      </c>
      <c r="F20" s="109" t="s">
        <v>1314</v>
      </c>
      <c r="G20" s="109" t="s">
        <v>1545</v>
      </c>
      <c r="H20" s="109" t="s">
        <v>52</v>
      </c>
      <c r="I20" s="109" t="s">
        <v>52</v>
      </c>
      <c r="J20" s="109" t="s">
        <v>1315</v>
      </c>
      <c r="K20" s="109" t="s">
        <v>52</v>
      </c>
      <c r="L20" s="109" t="s">
        <v>1313</v>
      </c>
      <c r="M20" s="109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4">
        <v>18</v>
      </c>
      <c r="B22" s="114">
        <v>14</v>
      </c>
      <c r="C22" s="115" t="s">
        <v>35</v>
      </c>
      <c r="D22" s="116" t="s">
        <v>1542</v>
      </c>
      <c r="E22" s="116" t="s">
        <v>1542</v>
      </c>
      <c r="F22" s="117" t="s">
        <v>1321</v>
      </c>
      <c r="G22" s="117" t="s">
        <v>1543</v>
      </c>
      <c r="H22" s="117" t="s">
        <v>1322</v>
      </c>
      <c r="I22" s="117" t="s">
        <v>1323</v>
      </c>
      <c r="J22" s="117" t="s">
        <v>1322</v>
      </c>
      <c r="K22" s="117" t="s">
        <v>1288</v>
      </c>
      <c r="L22" s="117" t="s">
        <v>1324</v>
      </c>
      <c r="M22" s="117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zoomScale="80" zoomScaleNormal="80" workbookViewId="0">
      <selection activeCell="L18" sqref="L18"/>
    </sheetView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118">
        <v>1</v>
      </c>
      <c r="B2" s="118">
        <v>11</v>
      </c>
      <c r="C2" s="119" t="s">
        <v>18</v>
      </c>
      <c r="D2" s="120" t="s">
        <v>1</v>
      </c>
      <c r="E2" s="120" t="s">
        <v>1</v>
      </c>
      <c r="F2" s="121" t="s">
        <v>1079</v>
      </c>
      <c r="G2" s="121" t="s">
        <v>327</v>
      </c>
      <c r="H2" s="121" t="s">
        <v>1079</v>
      </c>
      <c r="I2" s="121" t="s">
        <v>1079</v>
      </c>
      <c r="J2" s="121" t="s">
        <v>1079</v>
      </c>
      <c r="K2" s="121" t="s">
        <v>1079</v>
      </c>
      <c r="L2" s="121"/>
      <c r="M2" s="121" t="s">
        <v>1079</v>
      </c>
      <c r="N2" s="121" t="s">
        <v>1079</v>
      </c>
    </row>
    <row r="3" spans="1:14" ht="44.25">
      <c r="A3" s="118">
        <v>2</v>
      </c>
      <c r="B3" s="118">
        <v>2</v>
      </c>
      <c r="C3" s="119" t="s">
        <v>19</v>
      </c>
      <c r="D3" s="120" t="s">
        <v>2</v>
      </c>
      <c r="E3" s="120" t="s">
        <v>2</v>
      </c>
      <c r="F3" s="121" t="s">
        <v>41</v>
      </c>
      <c r="G3" s="121" t="s">
        <v>41</v>
      </c>
      <c r="H3" s="121" t="s">
        <v>41</v>
      </c>
      <c r="I3" s="121" t="s">
        <v>41</v>
      </c>
      <c r="J3" s="121" t="s">
        <v>43</v>
      </c>
      <c r="K3" s="121" t="s">
        <v>43</v>
      </c>
      <c r="L3" s="121" t="s">
        <v>43</v>
      </c>
      <c r="M3" s="121" t="s">
        <v>1276</v>
      </c>
      <c r="N3" s="121" t="s">
        <v>1276</v>
      </c>
    </row>
    <row r="4" spans="1:14" ht="44.25">
      <c r="A4" s="118">
        <v>3</v>
      </c>
      <c r="B4" s="118">
        <v>6</v>
      </c>
      <c r="C4" s="119" t="s">
        <v>20</v>
      </c>
      <c r="D4" s="120" t="s">
        <v>3</v>
      </c>
      <c r="E4" s="120" t="s">
        <v>3</v>
      </c>
      <c r="F4" s="121" t="s">
        <v>1282</v>
      </c>
      <c r="G4" s="121" t="s">
        <v>42</v>
      </c>
      <c r="H4" s="121" t="s">
        <v>42</v>
      </c>
      <c r="I4" s="121" t="s">
        <v>42</v>
      </c>
      <c r="J4" s="121" t="s">
        <v>41</v>
      </c>
      <c r="K4" s="121" t="s">
        <v>41</v>
      </c>
      <c r="L4" s="121" t="s">
        <v>41</v>
      </c>
      <c r="M4" s="121" t="s">
        <v>1283</v>
      </c>
      <c r="N4" s="121" t="s">
        <v>1283</v>
      </c>
    </row>
    <row r="5" spans="1:14" ht="44.25">
      <c r="A5" s="122">
        <v>4</v>
      </c>
      <c r="B5" s="122">
        <v>12</v>
      </c>
      <c r="C5" s="123" t="s">
        <v>21</v>
      </c>
      <c r="D5" s="124" t="s">
        <v>4</v>
      </c>
      <c r="E5" s="124" t="s">
        <v>4</v>
      </c>
      <c r="F5" s="125" t="s">
        <v>43</v>
      </c>
      <c r="G5" s="125" t="s">
        <v>43</v>
      </c>
      <c r="H5" s="125" t="s">
        <v>43</v>
      </c>
      <c r="I5" s="125" t="s">
        <v>43</v>
      </c>
      <c r="J5" s="125" t="s">
        <v>1306</v>
      </c>
      <c r="K5" s="125" t="s">
        <v>1306</v>
      </c>
      <c r="L5" s="125" t="s">
        <v>1306</v>
      </c>
      <c r="M5" s="125" t="s">
        <v>1307</v>
      </c>
      <c r="N5" s="125" t="s">
        <v>1308</v>
      </c>
    </row>
    <row r="6" spans="1:14" ht="44.25">
      <c r="A6" s="126">
        <v>5</v>
      </c>
      <c r="B6" s="126">
        <v>12</v>
      </c>
      <c r="C6" s="127" t="s">
        <v>22</v>
      </c>
      <c r="D6" s="128" t="s">
        <v>1540</v>
      </c>
      <c r="E6" s="128" t="s">
        <v>22</v>
      </c>
      <c r="F6" s="129" t="s">
        <v>44</v>
      </c>
      <c r="G6" s="129" t="s">
        <v>1541</v>
      </c>
      <c r="H6" s="129" t="s">
        <v>44</v>
      </c>
      <c r="I6" s="129" t="s">
        <v>44</v>
      </c>
      <c r="J6" s="129" t="s">
        <v>1309</v>
      </c>
      <c r="K6" s="129" t="s">
        <v>44</v>
      </c>
      <c r="L6" s="129" t="s">
        <v>1547</v>
      </c>
      <c r="M6" s="129" t="s">
        <v>1238</v>
      </c>
      <c r="N6" s="129" t="s">
        <v>1238</v>
      </c>
    </row>
    <row r="7" spans="1:14" ht="44.25">
      <c r="A7" s="118">
        <v>6</v>
      </c>
      <c r="B7" s="118">
        <v>5</v>
      </c>
      <c r="C7" s="119" t="s">
        <v>23</v>
      </c>
      <c r="D7" s="120" t="s">
        <v>5</v>
      </c>
      <c r="E7" s="120" t="s">
        <v>5</v>
      </c>
      <c r="F7" s="121" t="s">
        <v>45</v>
      </c>
      <c r="G7" s="121" t="s">
        <v>45</v>
      </c>
      <c r="H7" s="121" t="s">
        <v>45</v>
      </c>
      <c r="I7" s="121" t="s">
        <v>45</v>
      </c>
      <c r="J7" s="121" t="s">
        <v>1280</v>
      </c>
      <c r="K7" s="121" t="s">
        <v>1280</v>
      </c>
      <c r="L7" s="121" t="s">
        <v>1280</v>
      </c>
      <c r="M7" s="121" t="s">
        <v>1281</v>
      </c>
      <c r="N7" s="121" t="s">
        <v>1281</v>
      </c>
    </row>
    <row r="8" spans="1:14" ht="44.25">
      <c r="A8" s="118">
        <v>7</v>
      </c>
      <c r="B8" s="118">
        <v>7</v>
      </c>
      <c r="C8" s="119" t="s">
        <v>24</v>
      </c>
      <c r="D8" s="120" t="s">
        <v>6</v>
      </c>
      <c r="E8" s="120" t="s">
        <v>6</v>
      </c>
      <c r="F8" s="121" t="s">
        <v>1284</v>
      </c>
      <c r="G8" s="121" t="s">
        <v>46</v>
      </c>
      <c r="H8" s="121" t="s">
        <v>46</v>
      </c>
      <c r="I8" s="121" t="s">
        <v>46</v>
      </c>
      <c r="J8" s="121" t="s">
        <v>45</v>
      </c>
      <c r="K8" s="121" t="s">
        <v>45</v>
      </c>
      <c r="L8" s="121" t="s">
        <v>45</v>
      </c>
      <c r="M8" s="121" t="s">
        <v>1285</v>
      </c>
      <c r="N8" s="121" t="s">
        <v>1285</v>
      </c>
    </row>
    <row r="9" spans="1:14" ht="44.25">
      <c r="A9" s="122">
        <v>8</v>
      </c>
      <c r="B9" s="122">
        <v>1</v>
      </c>
      <c r="C9" s="123" t="s">
        <v>25</v>
      </c>
      <c r="D9" s="124" t="s">
        <v>7</v>
      </c>
      <c r="E9" s="124" t="s">
        <v>7</v>
      </c>
      <c r="F9" s="125" t="s">
        <v>47</v>
      </c>
      <c r="G9" s="125" t="s">
        <v>47</v>
      </c>
      <c r="H9" s="125" t="s">
        <v>47</v>
      </c>
      <c r="I9" s="125" t="s">
        <v>47</v>
      </c>
      <c r="J9" s="125" t="s">
        <v>47</v>
      </c>
      <c r="K9" s="125" t="s">
        <v>47</v>
      </c>
      <c r="L9" s="125" t="s">
        <v>47</v>
      </c>
      <c r="M9" s="125" t="s">
        <v>1273</v>
      </c>
      <c r="N9" s="125" t="s">
        <v>1273</v>
      </c>
    </row>
    <row r="10" spans="1:14" ht="44.25">
      <c r="A10" s="126">
        <v>9</v>
      </c>
      <c r="B10" s="126">
        <v>1</v>
      </c>
      <c r="C10" s="127" t="s">
        <v>26</v>
      </c>
      <c r="D10" s="128" t="s">
        <v>7</v>
      </c>
      <c r="E10" s="128" t="s">
        <v>26</v>
      </c>
      <c r="F10" s="129" t="s">
        <v>48</v>
      </c>
      <c r="G10" s="129" t="s">
        <v>48</v>
      </c>
      <c r="H10" s="129" t="s">
        <v>48</v>
      </c>
      <c r="I10" s="129" t="s">
        <v>48</v>
      </c>
      <c r="J10" s="129" t="s">
        <v>1274</v>
      </c>
      <c r="K10" s="129" t="s">
        <v>48</v>
      </c>
      <c r="L10" s="129" t="s">
        <v>1548</v>
      </c>
      <c r="M10" s="129" t="s">
        <v>1275</v>
      </c>
      <c r="N10" s="129" t="s">
        <v>1275</v>
      </c>
    </row>
    <row r="11" spans="1:14" ht="44.25">
      <c r="A11" s="118">
        <v>10</v>
      </c>
      <c r="B11" s="118">
        <v>3</v>
      </c>
      <c r="C11" s="119" t="s">
        <v>27</v>
      </c>
      <c r="D11" s="120" t="s">
        <v>8</v>
      </c>
      <c r="E11" s="120" t="s">
        <v>8</v>
      </c>
      <c r="F11" s="121" t="s">
        <v>49</v>
      </c>
      <c r="G11" s="121" t="s">
        <v>49</v>
      </c>
      <c r="H11" s="121" t="s">
        <v>49</v>
      </c>
      <c r="I11" s="121" t="s">
        <v>49</v>
      </c>
      <c r="J11" s="121" t="s">
        <v>51</v>
      </c>
      <c r="K11" s="121" t="s">
        <v>51</v>
      </c>
      <c r="L11" s="121" t="s">
        <v>51</v>
      </c>
      <c r="M11" s="121" t="s">
        <v>1277</v>
      </c>
      <c r="N11" s="121" t="s">
        <v>1277</v>
      </c>
    </row>
    <row r="12" spans="1:14" ht="44.25">
      <c r="A12" s="118">
        <v>11</v>
      </c>
      <c r="B12" s="118">
        <v>4</v>
      </c>
      <c r="C12" s="119" t="s">
        <v>28</v>
      </c>
      <c r="D12" s="120" t="s">
        <v>9</v>
      </c>
      <c r="E12" s="120" t="s">
        <v>9</v>
      </c>
      <c r="F12" s="121" t="s">
        <v>1278</v>
      </c>
      <c r="G12" s="121" t="s">
        <v>50</v>
      </c>
      <c r="H12" s="121" t="s">
        <v>50</v>
      </c>
      <c r="I12" s="121" t="s">
        <v>50</v>
      </c>
      <c r="J12" s="121" t="s">
        <v>49</v>
      </c>
      <c r="K12" s="121" t="s">
        <v>49</v>
      </c>
      <c r="L12" s="121" t="s">
        <v>49</v>
      </c>
      <c r="M12" s="121" t="s">
        <v>1279</v>
      </c>
      <c r="N12" s="121" t="s">
        <v>1279</v>
      </c>
    </row>
    <row r="13" spans="1:14" ht="44.25">
      <c r="A13" s="122">
        <v>12</v>
      </c>
      <c r="B13" s="122">
        <v>13</v>
      </c>
      <c r="C13" s="123" t="s">
        <v>29</v>
      </c>
      <c r="D13" s="124" t="s">
        <v>10</v>
      </c>
      <c r="E13" s="124" t="s">
        <v>10</v>
      </c>
      <c r="F13" s="125" t="s">
        <v>1310</v>
      </c>
      <c r="G13" s="125" t="s">
        <v>51</v>
      </c>
      <c r="H13" s="125" t="s">
        <v>51</v>
      </c>
      <c r="I13" s="125" t="s">
        <v>51</v>
      </c>
      <c r="J13" s="125" t="s">
        <v>1311</v>
      </c>
      <c r="K13" s="125" t="s">
        <v>1311</v>
      </c>
      <c r="L13" s="125" t="s">
        <v>1311</v>
      </c>
      <c r="M13" s="125" t="s">
        <v>1312</v>
      </c>
      <c r="N13" s="125" t="s">
        <v>1313</v>
      </c>
    </row>
    <row r="14" spans="1:14" ht="44.25">
      <c r="A14" s="126">
        <v>13</v>
      </c>
      <c r="B14" s="126">
        <v>13</v>
      </c>
      <c r="C14" s="127" t="s">
        <v>30</v>
      </c>
      <c r="D14" s="128" t="s">
        <v>1544</v>
      </c>
      <c r="E14" s="128" t="s">
        <v>30</v>
      </c>
      <c r="F14" s="129" t="s">
        <v>1314</v>
      </c>
      <c r="G14" s="129" t="s">
        <v>1545</v>
      </c>
      <c r="H14" s="129" t="s">
        <v>52</v>
      </c>
      <c r="I14" s="129" t="s">
        <v>52</v>
      </c>
      <c r="J14" s="129" t="s">
        <v>1315</v>
      </c>
      <c r="K14" s="129" t="s">
        <v>52</v>
      </c>
      <c r="L14" s="129" t="s">
        <v>1549</v>
      </c>
      <c r="M14" s="129" t="s">
        <v>1313</v>
      </c>
      <c r="N14" s="129" t="s">
        <v>1316</v>
      </c>
    </row>
    <row r="15" spans="1:14" ht="44.25">
      <c r="A15" s="118">
        <v>14</v>
      </c>
      <c r="B15" s="118">
        <v>15</v>
      </c>
      <c r="C15" s="119" t="s">
        <v>31</v>
      </c>
      <c r="D15" s="120" t="s">
        <v>11</v>
      </c>
      <c r="E15" s="120" t="s">
        <v>11</v>
      </c>
      <c r="F15" s="121" t="s">
        <v>53</v>
      </c>
      <c r="G15" s="121" t="s">
        <v>53</v>
      </c>
      <c r="H15" s="121" t="s">
        <v>53</v>
      </c>
      <c r="I15" s="121" t="s">
        <v>53</v>
      </c>
      <c r="J15" s="121" t="s">
        <v>53</v>
      </c>
      <c r="K15" s="121" t="s">
        <v>53</v>
      </c>
      <c r="L15" s="121" t="s">
        <v>53</v>
      </c>
      <c r="M15" s="130" t="s">
        <v>1385</v>
      </c>
      <c r="N15" s="121" t="s">
        <v>1325</v>
      </c>
    </row>
    <row r="16" spans="1:14" ht="44.25">
      <c r="A16" s="118">
        <v>15</v>
      </c>
      <c r="B16" s="118">
        <v>8</v>
      </c>
      <c r="C16" s="119" t="s">
        <v>32</v>
      </c>
      <c r="D16" s="120" t="s">
        <v>12</v>
      </c>
      <c r="E16" s="120" t="s">
        <v>12</v>
      </c>
      <c r="F16" s="121" t="s">
        <v>1286</v>
      </c>
      <c r="G16" s="121" t="s">
        <v>54</v>
      </c>
      <c r="H16" s="121" t="s">
        <v>1287</v>
      </c>
      <c r="I16" s="121" t="s">
        <v>1288</v>
      </c>
      <c r="J16" s="121" t="s">
        <v>1287</v>
      </c>
      <c r="K16" s="121" t="s">
        <v>1287</v>
      </c>
      <c r="L16" s="121" t="s">
        <v>1287</v>
      </c>
      <c r="M16" s="121" t="s">
        <v>1289</v>
      </c>
      <c r="N16" s="121" t="s">
        <v>1289</v>
      </c>
    </row>
    <row r="17" spans="1:14" ht="44.25">
      <c r="A17" s="131">
        <v>16</v>
      </c>
      <c r="B17" s="131">
        <v>8</v>
      </c>
      <c r="C17" s="132" t="s">
        <v>33</v>
      </c>
      <c r="D17" s="133" t="s">
        <v>12</v>
      </c>
      <c r="E17" s="133" t="s">
        <v>12</v>
      </c>
      <c r="F17" s="134" t="s">
        <v>1290</v>
      </c>
      <c r="G17" s="134" t="s">
        <v>55</v>
      </c>
      <c r="H17" s="134" t="s">
        <v>1291</v>
      </c>
      <c r="I17" s="134" t="s">
        <v>1292</v>
      </c>
      <c r="J17" s="134" t="s">
        <v>1291</v>
      </c>
      <c r="K17" s="134" t="s">
        <v>61</v>
      </c>
      <c r="L17" s="134" t="s">
        <v>1556</v>
      </c>
      <c r="M17" s="134" t="s">
        <v>1293</v>
      </c>
      <c r="N17" s="134" t="s">
        <v>1293</v>
      </c>
    </row>
    <row r="18" spans="1:14" ht="44.25">
      <c r="A18" s="118">
        <v>17</v>
      </c>
      <c r="B18" s="118">
        <v>14</v>
      </c>
      <c r="C18" s="119" t="s">
        <v>34</v>
      </c>
      <c r="D18" s="120" t="s">
        <v>13</v>
      </c>
      <c r="E18" s="120" t="s">
        <v>13</v>
      </c>
      <c r="F18" s="121" t="s">
        <v>1317</v>
      </c>
      <c r="G18" s="121" t="s">
        <v>56</v>
      </c>
      <c r="H18" s="121" t="s">
        <v>1318</v>
      </c>
      <c r="I18" s="121" t="s">
        <v>1319</v>
      </c>
      <c r="J18" s="121" t="s">
        <v>1318</v>
      </c>
      <c r="K18" s="121" t="s">
        <v>1318</v>
      </c>
      <c r="L18" s="121" t="s">
        <v>1318</v>
      </c>
      <c r="M18" s="121" t="s">
        <v>1320</v>
      </c>
      <c r="N18" s="121" t="s">
        <v>1320</v>
      </c>
    </row>
    <row r="19" spans="1:14" ht="44.25">
      <c r="A19" s="131">
        <v>18</v>
      </c>
      <c r="B19" s="131">
        <v>14</v>
      </c>
      <c r="C19" s="132" t="s">
        <v>35</v>
      </c>
      <c r="D19" s="133" t="s">
        <v>1542</v>
      </c>
      <c r="E19" s="133" t="s">
        <v>1542</v>
      </c>
      <c r="F19" s="134" t="s">
        <v>1321</v>
      </c>
      <c r="G19" s="134" t="s">
        <v>1543</v>
      </c>
      <c r="H19" s="134" t="s">
        <v>1322</v>
      </c>
      <c r="I19" s="134" t="s">
        <v>1323</v>
      </c>
      <c r="J19" s="134" t="s">
        <v>1322</v>
      </c>
      <c r="K19" s="134" t="s">
        <v>1550</v>
      </c>
      <c r="L19" s="134" t="s">
        <v>1555</v>
      </c>
      <c r="M19" s="134" t="s">
        <v>1324</v>
      </c>
      <c r="N19" s="134" t="s">
        <v>1324</v>
      </c>
    </row>
    <row r="20" spans="1:14" ht="44.25">
      <c r="A20" s="118">
        <v>19</v>
      </c>
      <c r="B20" s="118">
        <v>9</v>
      </c>
      <c r="C20" s="119" t="s">
        <v>38</v>
      </c>
      <c r="D20" s="120" t="s">
        <v>15</v>
      </c>
      <c r="E20" s="120" t="s">
        <v>15</v>
      </c>
      <c r="F20" s="121" t="s">
        <v>1294</v>
      </c>
      <c r="G20" s="121" t="s">
        <v>60</v>
      </c>
      <c r="H20" s="121" t="s">
        <v>60</v>
      </c>
      <c r="I20" s="121" t="s">
        <v>60</v>
      </c>
      <c r="J20" s="121" t="s">
        <v>1295</v>
      </c>
      <c r="K20" s="121" t="s">
        <v>1295</v>
      </c>
      <c r="L20" s="121" t="s">
        <v>1295</v>
      </c>
      <c r="M20" s="121" t="s">
        <v>1296</v>
      </c>
      <c r="N20" s="121" t="s">
        <v>1297</v>
      </c>
    </row>
    <row r="21" spans="1:14" ht="44.25">
      <c r="A21" s="131">
        <v>20</v>
      </c>
      <c r="B21" s="131">
        <v>9</v>
      </c>
      <c r="C21" s="132" t="s">
        <v>39</v>
      </c>
      <c r="D21" s="133" t="s">
        <v>16</v>
      </c>
      <c r="E21" s="133" t="s">
        <v>16</v>
      </c>
      <c r="F21" s="134" t="s">
        <v>1298</v>
      </c>
      <c r="G21" s="134" t="s">
        <v>61</v>
      </c>
      <c r="H21" s="134" t="s">
        <v>527</v>
      </c>
      <c r="I21" s="134" t="s">
        <v>527</v>
      </c>
      <c r="J21" s="134" t="s">
        <v>1299</v>
      </c>
      <c r="K21" s="134" t="s">
        <v>1551</v>
      </c>
      <c r="L21" s="134" t="s">
        <v>1554</v>
      </c>
      <c r="M21" s="134" t="s">
        <v>1301</v>
      </c>
      <c r="N21" s="134" t="s">
        <v>1297</v>
      </c>
    </row>
    <row r="22" spans="1:14" ht="44.25">
      <c r="A22" s="118">
        <v>21</v>
      </c>
      <c r="B22" s="118">
        <v>10</v>
      </c>
      <c r="C22" s="119" t="s">
        <v>36</v>
      </c>
      <c r="D22" s="120" t="s">
        <v>14</v>
      </c>
      <c r="E22" s="120" t="s">
        <v>14</v>
      </c>
      <c r="F22" s="121" t="s">
        <v>58</v>
      </c>
      <c r="G22" s="121" t="s">
        <v>58</v>
      </c>
      <c r="H22" s="121" t="s">
        <v>58</v>
      </c>
      <c r="I22" s="121" t="s">
        <v>58</v>
      </c>
      <c r="J22" s="121" t="s">
        <v>58</v>
      </c>
      <c r="K22" s="121" t="s">
        <v>58</v>
      </c>
      <c r="L22" s="121" t="s">
        <v>58</v>
      </c>
      <c r="M22" s="121" t="s">
        <v>1302</v>
      </c>
      <c r="N22" s="121" t="s">
        <v>1302</v>
      </c>
    </row>
    <row r="23" spans="1:14" ht="44.25">
      <c r="A23" s="135">
        <v>22</v>
      </c>
      <c r="B23" s="135">
        <v>10</v>
      </c>
      <c r="C23" s="136" t="s">
        <v>37</v>
      </c>
      <c r="D23" s="137" t="s">
        <v>14</v>
      </c>
      <c r="E23" s="137" t="s">
        <v>14</v>
      </c>
      <c r="F23" s="138" t="s">
        <v>1303</v>
      </c>
      <c r="G23" s="138" t="s">
        <v>59</v>
      </c>
      <c r="H23" s="138" t="s">
        <v>59</v>
      </c>
      <c r="I23" s="138" t="s">
        <v>59</v>
      </c>
      <c r="J23" s="138" t="s">
        <v>59</v>
      </c>
      <c r="K23" s="138" t="s">
        <v>1552</v>
      </c>
      <c r="L23" s="138" t="s">
        <v>1553</v>
      </c>
      <c r="M23" s="138" t="s">
        <v>1305</v>
      </c>
      <c r="N23" s="138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workbookViewId="0">
      <pane ySplit="1" topLeftCell="A60" activePane="bottomLeft" state="frozen"/>
      <selection pane="bottomLeft" activeCell="E26" sqref="E26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" si="1" xml:space="preserve"> _xlfn.CONCAT(H72, "h")</f>
        <v>iannh</v>
      </c>
      <c r="I73" s="57" t="str">
        <f t="shared" ref="I73" si="2" xml:space="preserve"> _xlfn.CONCAT(I72, "h")</f>
        <v>iaⁿh</v>
      </c>
      <c r="J73" s="57" t="str">
        <f t="shared" ref="J73" si="3" xml:space="preserve"> _xlfn.CONCAT(J72, "h")</f>
        <v>niah</v>
      </c>
      <c r="K73" s="57" t="str">
        <f t="shared" ref="K73" si="4"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" si="5" xml:space="preserve"> _xlfn.CONCAT(H76, "h")</f>
        <v>ngh</v>
      </c>
      <c r="I77" s="57" t="str">
        <f t="shared" ref="I77" si="6" xml:space="preserve"> _xlfn.CONCAT(I76, "h")</f>
        <v>ngh</v>
      </c>
      <c r="J77" s="57" t="str">
        <f t="shared" ref="J77" si="7" xml:space="preserve"> _xlfn.CONCAT(J76, "h")</f>
        <v>ngh</v>
      </c>
      <c r="K77" s="57" t="str">
        <f t="shared" ref="K77" si="8"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" si="9" xml:space="preserve"> _xlfn.CONCAT(H84, "h")</f>
        <v>mh</v>
      </c>
      <c r="I85" s="57" t="str">
        <f t="shared" ref="I85" si="10" xml:space="preserve"> _xlfn.CONCAT(I84, "h")</f>
        <v>mh</v>
      </c>
      <c r="J85" s="57" t="str">
        <f t="shared" ref="J85" si="11" xml:space="preserve"> _xlfn.CONCAT(J84, "h")</f>
        <v>mh</v>
      </c>
      <c r="K85" s="57" t="str">
        <f t="shared" ref="K85" si="12"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>
      <pane ySplit="1" topLeftCell="A100" activePane="bottomLeft" state="frozen"/>
      <selection pane="bottomLeft" activeCell="P106" sqref="P106:Q115"/>
    </sheetView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:K73" si="1" xml:space="preserve"> _xlfn.CONCAT(H72, "h")</f>
        <v>iannh</v>
      </c>
      <c r="I73" s="57" t="str">
        <f t="shared" si="1"/>
        <v>iaⁿh</v>
      </c>
      <c r="J73" s="57" t="str">
        <f t="shared" si="1"/>
        <v>niah</v>
      </c>
      <c r="K73" s="57" t="str">
        <f t="shared" si="1"/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:K77" si="2" xml:space="preserve"> _xlfn.CONCAT(H76, "h")</f>
        <v>ngh</v>
      </c>
      <c r="I77" s="57" t="str">
        <f t="shared" si="2"/>
        <v>ngh</v>
      </c>
      <c r="J77" s="57" t="str">
        <f t="shared" si="2"/>
        <v>ngh</v>
      </c>
      <c r="K77" s="57" t="str">
        <f t="shared" si="2"/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:K85" si="3" xml:space="preserve"> _xlfn.CONCAT(H84, "h")</f>
        <v>mh</v>
      </c>
      <c r="I85" s="57" t="str">
        <f t="shared" si="3"/>
        <v>mh</v>
      </c>
      <c r="J85" s="57" t="str">
        <f t="shared" si="3"/>
        <v>mh</v>
      </c>
      <c r="K85" s="57" t="str">
        <f t="shared" si="3"/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>
      <selection activeCell="E2" sqref="E2:E49"/>
    </sheetView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zoomScaleNormal="100" workbookViewId="0">
      <pane xSplit="4" ySplit="3" topLeftCell="E80" activePane="bottomRight" state="frozen"/>
      <selection pane="topRight" activeCell="E1" sqref="E1"/>
      <selection pane="bottomLeft" activeCell="A4" sqref="A4"/>
      <selection pane="bottomRight" activeCell="Z1" sqref="A1:Z3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105" t="s">
        <v>17</v>
      </c>
      <c r="B1" s="105"/>
      <c r="C1" s="105"/>
      <c r="D1" s="105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105" t="s">
        <v>0</v>
      </c>
      <c r="B2" s="105"/>
      <c r="C2" s="105"/>
      <c r="D2" s="105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105" t="s">
        <v>40</v>
      </c>
      <c r="B3" s="105"/>
      <c r="C3" s="105"/>
      <c r="D3" s="105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2026-08-08T14:59:19Z</dcterms:modified>
</cp:coreProperties>
</file>