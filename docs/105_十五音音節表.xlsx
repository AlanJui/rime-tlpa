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A156D487-C636-445D-BAFB-AD72F3EF71A2}" xr6:coauthVersionLast="47" xr6:coauthVersionMax="47" xr10:uidLastSave="{00000000-0000-0000-0000-000000000000}"/>
  <bookViews>
    <workbookView xWindow="-38520" yWindow="-120" windowWidth="38640" windowHeight="15720" activeTab="3" xr2:uid="{5BF56E62-E34C-4B16-A26D-70A9456E8A67}"/>
  </bookViews>
  <sheets>
    <sheet name="工作表1" sheetId="1" r:id="rId1"/>
    <sheet name="十五音聲母" sheetId="4" r:id="rId2"/>
    <sheet name="十五音韻母" sheetId="5" r:id="rId3"/>
    <sheet name="十五音韻母【台羅拼音】" sheetId="7" r:id="rId4"/>
    <sheet name="工作表2" sheetId="8" r:id="rId5"/>
    <sheet name="十五音音節表" sheetId="6" r:id="rId6"/>
    <sheet name="十五音音節表【BoPoMo序】" sheetId="2" r:id="rId7"/>
    <sheet name="音節表【台羅拼音序】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T3" i="7" l="1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2" i="7"/>
  <c r="S7" i="7"/>
  <c r="U7" i="7"/>
  <c r="S8" i="7"/>
  <c r="U8" i="7"/>
  <c r="S9" i="7"/>
  <c r="U9" i="7"/>
  <c r="S10" i="7"/>
  <c r="U10" i="7"/>
  <c r="S11" i="7"/>
  <c r="U12" i="7"/>
  <c r="U17" i="7"/>
  <c r="S18" i="7"/>
  <c r="U18" i="7"/>
  <c r="S23" i="7"/>
  <c r="U23" i="7"/>
  <c r="S24" i="7"/>
  <c r="U24" i="7"/>
  <c r="S25" i="7"/>
  <c r="U25" i="7"/>
  <c r="S26" i="7"/>
  <c r="U26" i="7"/>
  <c r="S27" i="7"/>
  <c r="U28" i="7"/>
  <c r="U32" i="7"/>
  <c r="S33" i="7"/>
  <c r="U33" i="7"/>
  <c r="S34" i="7"/>
  <c r="U34" i="7"/>
  <c r="S39" i="7"/>
  <c r="U39" i="7"/>
  <c r="S40" i="7"/>
  <c r="U40" i="7"/>
  <c r="S41" i="7"/>
  <c r="U41" i="7"/>
  <c r="S42" i="7"/>
  <c r="U42" i="7"/>
  <c r="S43" i="7"/>
  <c r="U44" i="7"/>
  <c r="U48" i="7"/>
  <c r="S49" i="7"/>
  <c r="U49" i="7"/>
  <c r="S50" i="7"/>
  <c r="U50" i="7"/>
  <c r="S55" i="7"/>
  <c r="U55" i="7"/>
  <c r="S56" i="7"/>
  <c r="U56" i="7"/>
  <c r="S57" i="7"/>
  <c r="U57" i="7"/>
  <c r="S58" i="7"/>
  <c r="U58" i="7"/>
  <c r="S59" i="7"/>
  <c r="U60" i="7"/>
  <c r="U64" i="7"/>
  <c r="S65" i="7"/>
  <c r="U65" i="7"/>
  <c r="S66" i="7"/>
  <c r="U66" i="7"/>
  <c r="S71" i="7"/>
  <c r="U71" i="7"/>
  <c r="S72" i="7"/>
  <c r="U72" i="7"/>
  <c r="S73" i="7"/>
  <c r="U73" i="7"/>
  <c r="S74" i="7"/>
  <c r="U74" i="7"/>
  <c r="S75" i="7"/>
  <c r="S79" i="7"/>
  <c r="U79" i="7"/>
  <c r="S80" i="7"/>
  <c r="U80" i="7"/>
  <c r="S81" i="7"/>
  <c r="U81" i="7"/>
  <c r="S82" i="7"/>
  <c r="U82" i="7"/>
  <c r="S89" i="7"/>
  <c r="U89" i="7"/>
  <c r="S90" i="7"/>
  <c r="U90" i="7"/>
  <c r="S91" i="7"/>
  <c r="S95" i="7"/>
  <c r="U95" i="7"/>
  <c r="S96" i="7"/>
  <c r="U96" i="7"/>
  <c r="S97" i="7"/>
  <c r="U97" i="7"/>
  <c r="S98" i="7"/>
  <c r="U98" i="7"/>
  <c r="U2" i="7"/>
  <c r="D2" i="8" a="1"/>
  <c r="D2" i="8" s="1"/>
  <c r="S2" i="7"/>
  <c r="R4" i="7"/>
  <c r="S4" i="7" s="1"/>
  <c r="R5" i="7"/>
  <c r="S5" i="7" s="1"/>
  <c r="R6" i="7"/>
  <c r="S6" i="7" s="1"/>
  <c r="R7" i="7"/>
  <c r="R8" i="7"/>
  <c r="R9" i="7"/>
  <c r="R10" i="7"/>
  <c r="R11" i="7"/>
  <c r="U11" i="7" s="1"/>
  <c r="R12" i="7"/>
  <c r="S12" i="7" s="1"/>
  <c r="R13" i="7"/>
  <c r="S13" i="7" s="1"/>
  <c r="R14" i="7"/>
  <c r="S14" i="7" s="1"/>
  <c r="R15" i="7"/>
  <c r="S15" i="7" s="1"/>
  <c r="R16" i="7"/>
  <c r="U16" i="7" s="1"/>
  <c r="R17" i="7"/>
  <c r="S17" i="7" s="1"/>
  <c r="R18" i="7"/>
  <c r="R19" i="7"/>
  <c r="S19" i="7" s="1"/>
  <c r="R20" i="7"/>
  <c r="S20" i="7" s="1"/>
  <c r="R21" i="7"/>
  <c r="S21" i="7" s="1"/>
  <c r="R22" i="7"/>
  <c r="S22" i="7" s="1"/>
  <c r="R24" i="7"/>
  <c r="R25" i="7"/>
  <c r="R26" i="7"/>
  <c r="R27" i="7"/>
  <c r="U27" i="7" s="1"/>
  <c r="R28" i="7"/>
  <c r="S28" i="7" s="1"/>
  <c r="R29" i="7"/>
  <c r="S29" i="7" s="1"/>
  <c r="R30" i="7"/>
  <c r="S30" i="7" s="1"/>
  <c r="R31" i="7"/>
  <c r="U31" i="7" s="1"/>
  <c r="R32" i="7"/>
  <c r="S32" i="7" s="1"/>
  <c r="R33" i="7"/>
  <c r="R34" i="7"/>
  <c r="R35" i="7"/>
  <c r="S35" i="7" s="1"/>
  <c r="R36" i="7"/>
  <c r="S36" i="7" s="1"/>
  <c r="R37" i="7"/>
  <c r="S37" i="7" s="1"/>
  <c r="R38" i="7"/>
  <c r="S38" i="7" s="1"/>
  <c r="R39" i="7"/>
  <c r="R40" i="7"/>
  <c r="R41" i="7"/>
  <c r="R42" i="7"/>
  <c r="R43" i="7"/>
  <c r="U43" i="7" s="1"/>
  <c r="R44" i="7"/>
  <c r="S44" i="7" s="1"/>
  <c r="R45" i="7"/>
  <c r="S45" i="7" s="1"/>
  <c r="R46" i="7"/>
  <c r="S46" i="7" s="1"/>
  <c r="R47" i="7"/>
  <c r="S47" i="7" s="1"/>
  <c r="R48" i="7"/>
  <c r="S48" i="7" s="1"/>
  <c r="R49" i="7"/>
  <c r="R50" i="7"/>
  <c r="R51" i="7"/>
  <c r="S51" i="7" s="1"/>
  <c r="R52" i="7"/>
  <c r="S52" i="7" s="1"/>
  <c r="R53" i="7"/>
  <c r="S53" i="7" s="1"/>
  <c r="R54" i="7"/>
  <c r="S54" i="7" s="1"/>
  <c r="R55" i="7"/>
  <c r="R56" i="7"/>
  <c r="R57" i="7"/>
  <c r="R58" i="7"/>
  <c r="R59" i="7"/>
  <c r="U59" i="7" s="1"/>
  <c r="R60" i="7"/>
  <c r="S60" i="7" s="1"/>
  <c r="R61" i="7"/>
  <c r="S61" i="7" s="1"/>
  <c r="R62" i="7"/>
  <c r="S62" i="7" s="1"/>
  <c r="R63" i="7"/>
  <c r="S63" i="7" s="1"/>
  <c r="R64" i="7"/>
  <c r="S64" i="7" s="1"/>
  <c r="R65" i="7"/>
  <c r="R66" i="7"/>
  <c r="R67" i="7"/>
  <c r="S67" i="7" s="1"/>
  <c r="R68" i="7"/>
  <c r="U68" i="7" s="1"/>
  <c r="R69" i="7"/>
  <c r="S69" i="7" s="1"/>
  <c r="R70" i="7"/>
  <c r="S70" i="7" s="1"/>
  <c r="R71" i="7"/>
  <c r="R72" i="7"/>
  <c r="R74" i="7"/>
  <c r="R75" i="7"/>
  <c r="U75" i="7" s="1"/>
  <c r="R76" i="7"/>
  <c r="S76" i="7" s="1"/>
  <c r="R78" i="7"/>
  <c r="S78" i="7" s="1"/>
  <c r="R79" i="7"/>
  <c r="R80" i="7"/>
  <c r="R81" i="7"/>
  <c r="R82" i="7"/>
  <c r="R83" i="7"/>
  <c r="S83" i="7" s="1"/>
  <c r="R84" i="7"/>
  <c r="U84" i="7" s="1"/>
  <c r="R86" i="7"/>
  <c r="S86" i="7" s="1"/>
  <c r="R87" i="7"/>
  <c r="S87" i="7" s="1"/>
  <c r="R88" i="7"/>
  <c r="U88" i="7" s="1"/>
  <c r="R89" i="7"/>
  <c r="R90" i="7"/>
  <c r="R91" i="7"/>
  <c r="U91" i="7" s="1"/>
  <c r="R92" i="7"/>
  <c r="S92" i="7" s="1"/>
  <c r="R93" i="7"/>
  <c r="S93" i="7" s="1"/>
  <c r="R94" i="7"/>
  <c r="S94" i="7" s="1"/>
  <c r="R95" i="7"/>
  <c r="R96" i="7"/>
  <c r="R97" i="7"/>
  <c r="R98" i="7"/>
  <c r="R99" i="7"/>
  <c r="S99" i="7" s="1"/>
  <c r="R100" i="7"/>
  <c r="U100" i="7" s="1"/>
  <c r="R101" i="7"/>
  <c r="S101" i="7" s="1"/>
  <c r="R102" i="7"/>
  <c r="S102" i="7" s="1"/>
  <c r="R103" i="7"/>
  <c r="S103" i="7" s="1"/>
  <c r="R104" i="7"/>
  <c r="S104" i="7" s="1"/>
  <c r="R3" i="7"/>
  <c r="S3" i="7" s="1"/>
  <c r="R2" i="7"/>
  <c r="F63" i="5"/>
  <c r="D60" i="6" a="1"/>
  <c r="D60" i="6" s="1"/>
  <c r="E63" i="5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M85" i="7"/>
  <c r="L85" i="7"/>
  <c r="K85" i="7"/>
  <c r="J85" i="7"/>
  <c r="I85" i="7"/>
  <c r="H85" i="7"/>
  <c r="G85" i="7"/>
  <c r="R85" i="7" s="1"/>
  <c r="E85" i="7"/>
  <c r="B85" i="7"/>
  <c r="B84" i="7"/>
  <c r="B83" i="7"/>
  <c r="F82" i="7"/>
  <c r="E82" i="7"/>
  <c r="B82" i="7"/>
  <c r="B81" i="7"/>
  <c r="B80" i="7"/>
  <c r="B79" i="7"/>
  <c r="B78" i="7"/>
  <c r="M77" i="7"/>
  <c r="L77" i="7"/>
  <c r="K77" i="7"/>
  <c r="J77" i="7"/>
  <c r="I77" i="7"/>
  <c r="H77" i="7"/>
  <c r="G77" i="7"/>
  <c r="R77" i="7" s="1"/>
  <c r="E77" i="7"/>
  <c r="B77" i="7"/>
  <c r="B76" i="7"/>
  <c r="B75" i="7"/>
  <c r="B74" i="7"/>
  <c r="M73" i="7"/>
  <c r="L73" i="7"/>
  <c r="K73" i="7"/>
  <c r="J73" i="7"/>
  <c r="I73" i="7"/>
  <c r="H73" i="7"/>
  <c r="G73" i="7"/>
  <c r="R73" i="7" s="1"/>
  <c r="E73" i="7"/>
  <c r="B73" i="7"/>
  <c r="B72" i="7"/>
  <c r="B71" i="7"/>
  <c r="B70" i="7"/>
  <c r="B69" i="7"/>
  <c r="B68" i="7"/>
  <c r="B67" i="7"/>
  <c r="B66" i="7"/>
  <c r="B65" i="7"/>
  <c r="B64" i="7"/>
  <c r="F63" i="7"/>
  <c r="E63" i="7"/>
  <c r="B63" i="7"/>
  <c r="F62" i="7"/>
  <c r="E62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M23" i="7"/>
  <c r="L23" i="7"/>
  <c r="K23" i="7"/>
  <c r="J23" i="7"/>
  <c r="I23" i="7"/>
  <c r="H23" i="7"/>
  <c r="G23" i="7"/>
  <c r="R23" i="7" s="1"/>
  <c r="E23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P1" i="7"/>
  <c r="O1" i="7"/>
  <c r="D4" i="3" a="1"/>
  <c r="D4" i="3" s="1"/>
  <c r="D5" i="3" a="1"/>
  <c r="D5" i="3" s="1"/>
  <c r="D6" i="3" a="1"/>
  <c r="D6" i="3" s="1"/>
  <c r="D7" i="3" a="1"/>
  <c r="D7" i="3" s="1"/>
  <c r="D8" i="3" a="1"/>
  <c r="D8" i="3" s="1"/>
  <c r="D9" i="3" a="1"/>
  <c r="D9" i="3" s="1"/>
  <c r="D10" i="3" a="1"/>
  <c r="D10" i="3" s="1"/>
  <c r="D11" i="3" a="1"/>
  <c r="D11" i="3" s="1"/>
  <c r="D12" i="3" a="1"/>
  <c r="D12" i="3" s="1"/>
  <c r="D13" i="3" a="1"/>
  <c r="D13" i="3" s="1"/>
  <c r="D14" i="3" a="1"/>
  <c r="D14" i="3" s="1"/>
  <c r="D15" i="3" a="1"/>
  <c r="D15" i="3" s="1"/>
  <c r="D16" i="3" a="1"/>
  <c r="D16" i="3" s="1"/>
  <c r="D17" i="3" a="1"/>
  <c r="D17" i="3"/>
  <c r="D18" i="3" a="1"/>
  <c r="D18" i="3" s="1"/>
  <c r="D19" i="3" a="1"/>
  <c r="D19" i="3" s="1"/>
  <c r="D20" i="3" a="1"/>
  <c r="D20" i="3" s="1"/>
  <c r="D21" i="3" a="1"/>
  <c r="D21" i="3" s="1"/>
  <c r="D22" i="3" a="1"/>
  <c r="D22" i="3" s="1"/>
  <c r="D23" i="3" a="1"/>
  <c r="D23" i="3" s="1"/>
  <c r="D24" i="3" a="1"/>
  <c r="D24" i="3" s="1"/>
  <c r="D25" i="3" a="1"/>
  <c r="D25" i="3"/>
  <c r="D26" i="3" a="1"/>
  <c r="D26" i="3" s="1"/>
  <c r="D27" i="3" a="1"/>
  <c r="D27" i="3" s="1"/>
  <c r="D28" i="3" a="1"/>
  <c r="D28" i="3" s="1"/>
  <c r="D29" i="3" a="1"/>
  <c r="D29" i="3" s="1"/>
  <c r="D30" i="3" a="1"/>
  <c r="D30" i="3"/>
  <c r="D31" i="3" a="1"/>
  <c r="D31" i="3" s="1"/>
  <c r="D32" i="3" a="1"/>
  <c r="D32" i="3" s="1"/>
  <c r="D33" i="3" a="1"/>
  <c r="D33" i="3" s="1"/>
  <c r="D34" i="3" a="1"/>
  <c r="D34" i="3"/>
  <c r="D35" i="3" a="1"/>
  <c r="D35" i="3" s="1"/>
  <c r="D36" i="3" a="1"/>
  <c r="D36" i="3" s="1"/>
  <c r="D37" i="3" a="1"/>
  <c r="D37" i="3" s="1"/>
  <c r="D38" i="3" a="1"/>
  <c r="D38" i="3" s="1"/>
  <c r="D39" i="3" a="1"/>
  <c r="D39" i="3" s="1"/>
  <c r="D40" i="3" a="1"/>
  <c r="D40" i="3" s="1"/>
  <c r="D41" i="3" a="1"/>
  <c r="D41" i="3" s="1"/>
  <c r="D42" i="3" a="1"/>
  <c r="D42" i="3" s="1"/>
  <c r="D43" i="3" a="1"/>
  <c r="D43" i="3" s="1"/>
  <c r="D44" i="3" a="1"/>
  <c r="D44" i="3" s="1"/>
  <c r="D45" i="3" a="1"/>
  <c r="D45" i="3" s="1"/>
  <c r="D46" i="3" a="1"/>
  <c r="D46" i="3" s="1"/>
  <c r="D47" i="3" a="1"/>
  <c r="D47" i="3" s="1"/>
  <c r="D48" i="3" a="1"/>
  <c r="D48" i="3"/>
  <c r="D49" i="3" a="1"/>
  <c r="D49" i="3"/>
  <c r="D50" i="3" a="1"/>
  <c r="D50" i="3" s="1"/>
  <c r="D51" i="3" a="1"/>
  <c r="D51" i="3" s="1"/>
  <c r="D52" i="3" a="1"/>
  <c r="D52" i="3" s="1"/>
  <c r="D53" i="3" a="1"/>
  <c r="D53" i="3" s="1"/>
  <c r="D54" i="3" a="1"/>
  <c r="D54" i="3"/>
  <c r="D55" i="3" a="1"/>
  <c r="D55" i="3" s="1"/>
  <c r="D56" i="3" a="1"/>
  <c r="D56" i="3" s="1"/>
  <c r="D57" i="3" a="1"/>
  <c r="D57" i="3" s="1"/>
  <c r="D58" i="3" a="1"/>
  <c r="D58" i="3" s="1"/>
  <c r="D59" i="3" a="1"/>
  <c r="D59" i="3" s="1"/>
  <c r="D60" i="3" a="1"/>
  <c r="D60" i="3" s="1"/>
  <c r="D61" i="3" a="1"/>
  <c r="D61" i="3" s="1"/>
  <c r="D62" i="3" a="1"/>
  <c r="D62" i="3" s="1"/>
  <c r="D63" i="3" a="1"/>
  <c r="D63" i="3" s="1"/>
  <c r="D64" i="3" a="1"/>
  <c r="D64" i="3"/>
  <c r="D65" i="3" a="1"/>
  <c r="D65" i="3" s="1"/>
  <c r="D66" i="3" a="1"/>
  <c r="D66" i="3" s="1"/>
  <c r="D67" i="3" a="1"/>
  <c r="D67" i="3" s="1"/>
  <c r="D68" i="3" a="1"/>
  <c r="D68" i="3" s="1"/>
  <c r="D69" i="3" a="1"/>
  <c r="D69" i="3" s="1"/>
  <c r="D70" i="3" a="1"/>
  <c r="D70" i="3" s="1"/>
  <c r="D71" i="3" a="1"/>
  <c r="D71" i="3" s="1"/>
  <c r="D72" i="3" a="1"/>
  <c r="D72" i="3" s="1"/>
  <c r="D73" i="3" a="1"/>
  <c r="D73" i="3" s="1"/>
  <c r="D74" i="3" a="1"/>
  <c r="D74" i="3" s="1"/>
  <c r="D75" i="3" a="1"/>
  <c r="D75" i="3" s="1"/>
  <c r="D76" i="3" a="1"/>
  <c r="D76" i="3" s="1"/>
  <c r="D77" i="3" a="1"/>
  <c r="D77" i="3" s="1"/>
  <c r="D78" i="3" a="1"/>
  <c r="D78" i="3" s="1"/>
  <c r="D79" i="3" a="1"/>
  <c r="D79" i="3" s="1"/>
  <c r="B4" i="3" a="1"/>
  <c r="B4" i="3" s="1"/>
  <c r="B5" i="3" a="1"/>
  <c r="B5" i="3"/>
  <c r="B6" i="3" a="1"/>
  <c r="B6" i="3" s="1"/>
  <c r="B7" i="3" a="1"/>
  <c r="B7" i="3"/>
  <c r="B8" i="3" a="1"/>
  <c r="B8" i="3"/>
  <c r="B9" i="3" a="1"/>
  <c r="B9" i="3"/>
  <c r="B10" i="3" a="1"/>
  <c r="B10" i="3" s="1"/>
  <c r="B11" i="3" a="1"/>
  <c r="B11" i="3"/>
  <c r="B12" i="3" a="1"/>
  <c r="B12" i="3" s="1"/>
  <c r="B13" i="3" a="1"/>
  <c r="B13" i="3"/>
  <c r="B14" i="3" a="1"/>
  <c r="B14" i="3" s="1"/>
  <c r="B15" i="3" a="1"/>
  <c r="B15" i="3"/>
  <c r="B16" i="3" a="1"/>
  <c r="B16" i="3"/>
  <c r="B17" i="3" a="1"/>
  <c r="B17" i="3"/>
  <c r="B18" i="3" a="1"/>
  <c r="B18" i="3"/>
  <c r="B19" i="3" a="1"/>
  <c r="B19" i="3"/>
  <c r="B20" i="3" a="1"/>
  <c r="B20" i="3" s="1"/>
  <c r="B21" i="3" a="1"/>
  <c r="B21" i="3"/>
  <c r="B22" i="3" a="1"/>
  <c r="B22" i="3" s="1"/>
  <c r="B23" i="3" a="1"/>
  <c r="B23" i="3"/>
  <c r="B24" i="3" a="1"/>
  <c r="B24" i="3"/>
  <c r="B25" i="3" a="1"/>
  <c r="B25" i="3"/>
  <c r="B26" i="3" a="1"/>
  <c r="B26" i="3"/>
  <c r="B27" i="3" a="1"/>
  <c r="B27" i="3"/>
  <c r="B28" i="3" a="1"/>
  <c r="B28" i="3" s="1"/>
  <c r="B29" i="3" a="1"/>
  <c r="B29" i="3"/>
  <c r="B30" i="3" a="1"/>
  <c r="B30" i="3" s="1"/>
  <c r="B31" i="3" a="1"/>
  <c r="B31" i="3"/>
  <c r="B32" i="3" a="1"/>
  <c r="B32" i="3"/>
  <c r="B33" i="3" a="1"/>
  <c r="B33" i="3"/>
  <c r="B34" i="3" a="1"/>
  <c r="B34" i="3"/>
  <c r="B35" i="3" a="1"/>
  <c r="B35" i="3"/>
  <c r="B36" i="3" a="1"/>
  <c r="B36" i="3" s="1"/>
  <c r="B37" i="3" a="1"/>
  <c r="B37" i="3"/>
  <c r="B38" i="3" a="1"/>
  <c r="B38" i="3" s="1"/>
  <c r="B39" i="3" a="1"/>
  <c r="B39" i="3"/>
  <c r="B40" i="3" a="1"/>
  <c r="B40" i="3"/>
  <c r="B41" i="3" a="1"/>
  <c r="B41" i="3"/>
  <c r="B42" i="3" a="1"/>
  <c r="B42" i="3"/>
  <c r="B43" i="3" a="1"/>
  <c r="B43" i="3"/>
  <c r="B44" i="3" a="1"/>
  <c r="B44" i="3" s="1"/>
  <c r="B45" i="3" a="1"/>
  <c r="B45" i="3"/>
  <c r="B46" i="3" a="1"/>
  <c r="B46" i="3" s="1"/>
  <c r="B47" i="3" a="1"/>
  <c r="B47" i="3"/>
  <c r="B48" i="3" a="1"/>
  <c r="B48" i="3"/>
  <c r="B49" i="3" a="1"/>
  <c r="B49" i="3"/>
  <c r="B50" i="3" a="1"/>
  <c r="B50" i="3"/>
  <c r="B51" i="3" a="1"/>
  <c r="B51" i="3"/>
  <c r="B52" i="3" a="1"/>
  <c r="B52" i="3" s="1"/>
  <c r="B53" i="3" a="1"/>
  <c r="B53" i="3"/>
  <c r="B54" i="3" a="1"/>
  <c r="B54" i="3" s="1"/>
  <c r="B55" i="3" a="1"/>
  <c r="B55" i="3"/>
  <c r="B56" i="3" a="1"/>
  <c r="B56" i="3"/>
  <c r="B57" i="3" a="1"/>
  <c r="B57" i="3"/>
  <c r="B58" i="3" a="1"/>
  <c r="B58" i="3" s="1"/>
  <c r="B59" i="3" a="1"/>
  <c r="B59" i="3"/>
  <c r="B60" i="3" a="1"/>
  <c r="B60" i="3" s="1"/>
  <c r="B61" i="3" a="1"/>
  <c r="B61" i="3"/>
  <c r="B62" i="3" a="1"/>
  <c r="B62" i="3" s="1"/>
  <c r="B63" i="3" a="1"/>
  <c r="B63" i="3"/>
  <c r="B64" i="3" a="1"/>
  <c r="B64" i="3"/>
  <c r="B65" i="3" a="1"/>
  <c r="B65" i="3"/>
  <c r="B66" i="3" a="1"/>
  <c r="B66" i="3" s="1"/>
  <c r="B67" i="3" a="1"/>
  <c r="B67" i="3"/>
  <c r="B68" i="3" a="1"/>
  <c r="B68" i="3" s="1"/>
  <c r="B69" i="3" a="1"/>
  <c r="B69" i="3"/>
  <c r="B70" i="3" a="1"/>
  <c r="B70" i="3" s="1"/>
  <c r="B71" i="3" a="1"/>
  <c r="B71" i="3"/>
  <c r="B72" i="3" a="1"/>
  <c r="B72" i="3"/>
  <c r="B73" i="3" a="1"/>
  <c r="B73" i="3"/>
  <c r="B74" i="3" a="1"/>
  <c r="B74" i="3" s="1"/>
  <c r="B75" i="3" a="1"/>
  <c r="B75" i="3"/>
  <c r="B76" i="3" a="1"/>
  <c r="B76" i="3" s="1"/>
  <c r="B77" i="3" a="1"/>
  <c r="B77" i="3"/>
  <c r="B78" i="3" a="1"/>
  <c r="B78" i="3" s="1"/>
  <c r="B79" i="3" a="1"/>
  <c r="B79" i="3"/>
  <c r="D7" i="6" a="1"/>
  <c r="D7" i="6" s="1"/>
  <c r="D8" i="6" a="1"/>
  <c r="D8" i="6"/>
  <c r="D9" i="6" a="1"/>
  <c r="D9" i="6" s="1"/>
  <c r="D10" i="6" a="1"/>
  <c r="D10" i="6"/>
  <c r="D11" i="6" a="1"/>
  <c r="D11" i="6" s="1"/>
  <c r="D12" i="6" a="1"/>
  <c r="D12" i="6" s="1"/>
  <c r="D13" i="6" a="1"/>
  <c r="D13" i="6" s="1"/>
  <c r="D14" i="6" a="1"/>
  <c r="D14" i="6" s="1"/>
  <c r="D15" i="6" a="1"/>
  <c r="D15" i="6" s="1"/>
  <c r="D16" i="6" a="1"/>
  <c r="D16" i="6" s="1"/>
  <c r="D17" i="6" a="1"/>
  <c r="D17" i="6"/>
  <c r="D18" i="6" a="1"/>
  <c r="D18" i="6" s="1"/>
  <c r="D19" i="6" a="1"/>
  <c r="D19" i="6" s="1"/>
  <c r="D20" i="6" a="1"/>
  <c r="D20" i="6"/>
  <c r="D21" i="6" a="1"/>
  <c r="D21" i="6" s="1"/>
  <c r="D22" i="6" a="1"/>
  <c r="D22" i="6" s="1"/>
  <c r="D23" i="6" a="1"/>
  <c r="D23" i="6" s="1"/>
  <c r="D24" i="6" a="1"/>
  <c r="D24" i="6" s="1"/>
  <c r="D25" i="6" a="1"/>
  <c r="D25" i="6" s="1"/>
  <c r="D26" i="6" a="1"/>
  <c r="D26" i="6" s="1"/>
  <c r="D27" i="6" a="1"/>
  <c r="D27" i="6"/>
  <c r="D28" i="6" a="1"/>
  <c r="D28" i="6" s="1"/>
  <c r="D29" i="6" a="1"/>
  <c r="D29" i="6" s="1"/>
  <c r="D30" i="6" a="1"/>
  <c r="D30" i="6" s="1"/>
  <c r="D31" i="6" a="1"/>
  <c r="D31" i="6" s="1"/>
  <c r="D32" i="6" a="1"/>
  <c r="D32" i="6" s="1"/>
  <c r="D33" i="6" a="1"/>
  <c r="D33" i="6" s="1"/>
  <c r="D34" i="6" a="1"/>
  <c r="D34" i="6" s="1"/>
  <c r="D35" i="6" a="1"/>
  <c r="D35" i="6" s="1"/>
  <c r="D36" i="6" a="1"/>
  <c r="D36" i="6" s="1"/>
  <c r="D37" i="6" a="1"/>
  <c r="D37" i="6" s="1"/>
  <c r="D38" i="6" a="1"/>
  <c r="D38" i="6" s="1"/>
  <c r="D39" i="6" a="1"/>
  <c r="D39" i="6" s="1"/>
  <c r="D40" i="6" a="1"/>
  <c r="D40" i="6" s="1"/>
  <c r="D41" i="6" a="1"/>
  <c r="D41" i="6"/>
  <c r="D42" i="6" a="1"/>
  <c r="D42" i="6"/>
  <c r="D43" i="6" a="1"/>
  <c r="D43" i="6" s="1"/>
  <c r="D44" i="6" a="1"/>
  <c r="D44" i="6" s="1"/>
  <c r="D45" i="6" a="1"/>
  <c r="D45" i="6" s="1"/>
  <c r="D46" i="6" a="1"/>
  <c r="D46" i="6" s="1"/>
  <c r="D47" i="6" a="1"/>
  <c r="D47" i="6" s="1"/>
  <c r="D48" i="6" a="1"/>
  <c r="D48" i="6" s="1"/>
  <c r="D49" i="6" a="1"/>
  <c r="D49" i="6" s="1"/>
  <c r="D50" i="6" a="1"/>
  <c r="D50" i="6"/>
  <c r="D51" i="6" a="1"/>
  <c r="D51" i="6" s="1"/>
  <c r="D52" i="6" a="1"/>
  <c r="D52" i="6"/>
  <c r="D53" i="6" a="1"/>
  <c r="D53" i="6" s="1"/>
  <c r="D54" i="6" a="1"/>
  <c r="D54" i="6" s="1"/>
  <c r="D55" i="6" a="1"/>
  <c r="D55" i="6" s="1"/>
  <c r="D56" i="6" a="1"/>
  <c r="D56" i="6" s="1"/>
  <c r="D57" i="6" a="1"/>
  <c r="D57" i="6" s="1"/>
  <c r="D58" i="6" a="1"/>
  <c r="D58" i="6" s="1"/>
  <c r="D59" i="6" a="1"/>
  <c r="D59" i="6" s="1"/>
  <c r="D61" i="6" a="1"/>
  <c r="D61" i="6" s="1"/>
  <c r="D62" i="6" a="1"/>
  <c r="D62" i="6" s="1"/>
  <c r="D63" i="6" a="1"/>
  <c r="D63" i="6" s="1"/>
  <c r="D64" i="6" a="1"/>
  <c r="D64" i="6" s="1"/>
  <c r="D65" i="6" a="1"/>
  <c r="D65" i="6" s="1"/>
  <c r="D66" i="6" a="1"/>
  <c r="D66" i="6" s="1"/>
  <c r="D67" i="6" a="1"/>
  <c r="D67" i="6" s="1"/>
  <c r="D68" i="6" a="1"/>
  <c r="D68" i="6" s="1"/>
  <c r="D69" i="6" a="1"/>
  <c r="D69" i="6"/>
  <c r="D70" i="6" a="1"/>
  <c r="D70" i="6" s="1"/>
  <c r="D71" i="6" a="1"/>
  <c r="D71" i="6" s="1"/>
  <c r="D72" i="6" a="1"/>
  <c r="D72" i="6"/>
  <c r="D73" i="6" a="1"/>
  <c r="D73" i="6" s="1"/>
  <c r="D74" i="6" a="1"/>
  <c r="D74" i="6" s="1"/>
  <c r="D75" i="6" a="1"/>
  <c r="D75" i="6" s="1"/>
  <c r="D76" i="6" a="1"/>
  <c r="D76" i="6" s="1"/>
  <c r="D77" i="6" a="1"/>
  <c r="D77" i="6" s="1"/>
  <c r="D78" i="6" a="1"/>
  <c r="D78" i="6" s="1"/>
  <c r="D79" i="6" a="1"/>
  <c r="D79" i="6" s="1"/>
  <c r="D80" i="6" a="1"/>
  <c r="D80" i="6" s="1"/>
  <c r="D6" i="6" a="1"/>
  <c r="D6" i="6" s="1"/>
  <c r="M85" i="5"/>
  <c r="L85" i="5"/>
  <c r="K85" i="5"/>
  <c r="J85" i="5"/>
  <c r="I85" i="5"/>
  <c r="H85" i="5"/>
  <c r="G85" i="5"/>
  <c r="E85" i="5"/>
  <c r="M77" i="5"/>
  <c r="L77" i="5"/>
  <c r="K77" i="5"/>
  <c r="J77" i="5"/>
  <c r="I77" i="5"/>
  <c r="H77" i="5"/>
  <c r="G77" i="5"/>
  <c r="E68" i="6" s="1" a="1"/>
  <c r="E68" i="6" s="1"/>
  <c r="E77" i="5"/>
  <c r="B65" i="6" a="1"/>
  <c r="B65" i="6" s="1"/>
  <c r="M73" i="5"/>
  <c r="L73" i="5"/>
  <c r="K73" i="5"/>
  <c r="J73" i="5"/>
  <c r="I73" i="5"/>
  <c r="H73" i="5"/>
  <c r="G73" i="5"/>
  <c r="E73" i="5"/>
  <c r="M23" i="5"/>
  <c r="L23" i="5"/>
  <c r="H23" i="5"/>
  <c r="I23" i="5"/>
  <c r="J23" i="5"/>
  <c r="K23" i="5"/>
  <c r="G23" i="5"/>
  <c r="E23" i="5"/>
  <c r="B7" i="6" a="1"/>
  <c r="B7" i="6" s="1"/>
  <c r="B8" i="6" a="1"/>
  <c r="B8" i="6" s="1"/>
  <c r="B9" i="6" a="1"/>
  <c r="B9" i="6" s="1"/>
  <c r="B10" i="6" a="1"/>
  <c r="B10" i="6" s="1"/>
  <c r="B11" i="6" a="1"/>
  <c r="B11" i="6"/>
  <c r="B12" i="6" a="1"/>
  <c r="B12" i="6" s="1"/>
  <c r="B13" i="6" a="1"/>
  <c r="B13" i="6"/>
  <c r="B14" i="6" a="1"/>
  <c r="B14" i="6" s="1"/>
  <c r="B15" i="6" a="1"/>
  <c r="B15" i="6" s="1"/>
  <c r="B16" i="6" a="1"/>
  <c r="B16" i="6" s="1"/>
  <c r="B17" i="6" a="1"/>
  <c r="B17" i="6" s="1"/>
  <c r="B18" i="6" a="1"/>
  <c r="B18" i="6" s="1"/>
  <c r="B19" i="6" a="1"/>
  <c r="B19" i="6" s="1"/>
  <c r="B20" i="6" a="1"/>
  <c r="B20" i="6" s="1"/>
  <c r="B21" i="6" a="1"/>
  <c r="B21" i="6" s="1"/>
  <c r="B22" i="6" a="1"/>
  <c r="B22" i="6" s="1"/>
  <c r="B23" i="6" a="1"/>
  <c r="B23" i="6" s="1"/>
  <c r="B24" i="6" a="1"/>
  <c r="B24" i="6" s="1"/>
  <c r="B25" i="6" a="1"/>
  <c r="B25" i="6" s="1"/>
  <c r="B26" i="6" a="1"/>
  <c r="B26" i="6" s="1"/>
  <c r="B27" i="6" a="1"/>
  <c r="B27" i="6" s="1"/>
  <c r="B28" i="6" a="1"/>
  <c r="B28" i="6" s="1"/>
  <c r="B29" i="6" a="1"/>
  <c r="B29" i="6" s="1"/>
  <c r="B30" i="6" a="1"/>
  <c r="B30" i="6" s="1"/>
  <c r="B31" i="6" a="1"/>
  <c r="B31" i="6" s="1"/>
  <c r="B32" i="6" a="1"/>
  <c r="B32" i="6" s="1"/>
  <c r="B33" i="6" a="1"/>
  <c r="B33" i="6" s="1"/>
  <c r="B34" i="6" a="1"/>
  <c r="B34" i="6" s="1"/>
  <c r="B35" i="6" a="1"/>
  <c r="B35" i="6" s="1"/>
  <c r="B36" i="6" a="1"/>
  <c r="B36" i="6" s="1"/>
  <c r="B37" i="6" a="1"/>
  <c r="B37" i="6" s="1"/>
  <c r="B38" i="6" a="1"/>
  <c r="B38" i="6" s="1"/>
  <c r="B39" i="6" a="1"/>
  <c r="B39" i="6" s="1"/>
  <c r="B40" i="6" a="1"/>
  <c r="B40" i="6" s="1"/>
  <c r="B41" i="6" a="1"/>
  <c r="B41" i="6" s="1"/>
  <c r="B42" i="6" a="1"/>
  <c r="B42" i="6" s="1"/>
  <c r="B43" i="6" a="1"/>
  <c r="B43" i="6" s="1"/>
  <c r="B44" i="6" a="1"/>
  <c r="B44" i="6" s="1"/>
  <c r="B45" i="6" a="1"/>
  <c r="B45" i="6" s="1"/>
  <c r="B46" i="6" a="1"/>
  <c r="B46" i="6" s="1"/>
  <c r="B47" i="6" a="1"/>
  <c r="B47" i="6" s="1"/>
  <c r="B48" i="6" a="1"/>
  <c r="B48" i="6" s="1"/>
  <c r="B49" i="6" a="1"/>
  <c r="B49" i="6" s="1"/>
  <c r="B50" i="6" a="1"/>
  <c r="B50" i="6" s="1"/>
  <c r="B51" i="6" a="1"/>
  <c r="B51" i="6" s="1"/>
  <c r="B52" i="6" a="1"/>
  <c r="B52" i="6" s="1"/>
  <c r="B53" i="6" a="1"/>
  <c r="B53" i="6" s="1"/>
  <c r="B54" i="6" a="1"/>
  <c r="B54" i="6" s="1"/>
  <c r="B55" i="6" a="1"/>
  <c r="B55" i="6" s="1"/>
  <c r="B56" i="6" a="1"/>
  <c r="B56" i="6" s="1"/>
  <c r="B57" i="6" a="1"/>
  <c r="B57" i="6" s="1"/>
  <c r="B58" i="6" a="1"/>
  <c r="B58" i="6" s="1"/>
  <c r="B59" i="6" a="1"/>
  <c r="B59" i="6" s="1"/>
  <c r="B60" i="6" a="1"/>
  <c r="B60" i="6" s="1"/>
  <c r="B61" i="6" a="1"/>
  <c r="B61" i="6" s="1"/>
  <c r="B62" i="6" a="1"/>
  <c r="B62" i="6" s="1"/>
  <c r="B63" i="6" a="1"/>
  <c r="B63" i="6" s="1"/>
  <c r="B64" i="6" a="1"/>
  <c r="B64" i="6" s="1"/>
  <c r="B66" i="6" a="1"/>
  <c r="B66" i="6" s="1"/>
  <c r="B67" i="6" a="1"/>
  <c r="B67" i="6" s="1"/>
  <c r="B68" i="6" a="1"/>
  <c r="B68" i="6" s="1"/>
  <c r="B69" i="6" a="1"/>
  <c r="B69" i="6" s="1"/>
  <c r="B70" i="6" a="1"/>
  <c r="B70" i="6" s="1"/>
  <c r="B71" i="6" a="1"/>
  <c r="B71" i="6" s="1"/>
  <c r="B72" i="6" a="1"/>
  <c r="B72" i="6" s="1"/>
  <c r="B73" i="6" a="1"/>
  <c r="B73" i="6" s="1"/>
  <c r="B74" i="6" a="1"/>
  <c r="B74" i="6" s="1"/>
  <c r="B75" i="6" a="1"/>
  <c r="B75" i="6" s="1"/>
  <c r="B76" i="6" a="1"/>
  <c r="B76" i="6" s="1"/>
  <c r="B77" i="6" a="1"/>
  <c r="B77" i="6" s="1"/>
  <c r="B78" i="6" a="1"/>
  <c r="B78" i="6" s="1"/>
  <c r="B79" i="6" a="1"/>
  <c r="B79" i="6" s="1"/>
  <c r="B80" i="6" a="1"/>
  <c r="B80" i="6" s="1"/>
  <c r="B6" i="6" a="1"/>
  <c r="B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/>
  <c r="E79" i="6" a="1"/>
  <c r="E79" i="6" s="1"/>
  <c r="E80" i="6" a="1"/>
  <c r="E80" i="6" s="1"/>
  <c r="E6" i="6" a="1"/>
  <c r="E6" i="6" s="1"/>
  <c r="E82" i="5"/>
  <c r="F82" i="5"/>
  <c r="F62" i="5"/>
  <c r="P1" i="5"/>
  <c r="O1" i="5"/>
  <c r="E62" i="5"/>
  <c r="S88" i="7" l="1"/>
  <c r="S16" i="7"/>
  <c r="U103" i="7"/>
  <c r="U63" i="7"/>
  <c r="U47" i="7"/>
  <c r="U15" i="7"/>
  <c r="U102" i="7"/>
  <c r="U94" i="7"/>
  <c r="U86" i="7"/>
  <c r="U78" i="7"/>
  <c r="U70" i="7"/>
  <c r="U62" i="7"/>
  <c r="U54" i="7"/>
  <c r="U46" i="7"/>
  <c r="U38" i="7"/>
  <c r="U30" i="7"/>
  <c r="U22" i="7"/>
  <c r="U14" i="7"/>
  <c r="U6" i="7"/>
  <c r="U87" i="7"/>
  <c r="S31" i="7"/>
  <c r="U101" i="7"/>
  <c r="U93" i="7"/>
  <c r="U85" i="7"/>
  <c r="U77" i="7"/>
  <c r="U69" i="7"/>
  <c r="U61" i="7"/>
  <c r="U53" i="7"/>
  <c r="U45" i="7"/>
  <c r="U37" i="7"/>
  <c r="U29" i="7"/>
  <c r="U21" i="7"/>
  <c r="U13" i="7"/>
  <c r="U5" i="7"/>
  <c r="S85" i="7"/>
  <c r="S77" i="7"/>
  <c r="U52" i="7"/>
  <c r="U104" i="7"/>
  <c r="U92" i="7"/>
  <c r="U76" i="7"/>
  <c r="U36" i="7"/>
  <c r="U20" i="7"/>
  <c r="U4" i="7"/>
  <c r="S100" i="7"/>
  <c r="S84" i="7"/>
  <c r="S68" i="7"/>
  <c r="U99" i="7"/>
  <c r="U83" i="7"/>
  <c r="U67" i="7"/>
  <c r="U51" i="7"/>
  <c r="U35" i="7"/>
  <c r="U19" i="7"/>
  <c r="U3" i="7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H83" i="6"/>
  <c r="G83" i="6"/>
  <c r="F83" i="6"/>
  <c r="M2" i="6"/>
  <c r="H2" i="6"/>
  <c r="U2" i="6"/>
  <c r="Q3" i="6"/>
  <c r="V3" i="6"/>
  <c r="N3" i="6"/>
  <c r="M3" i="6"/>
  <c r="K3" i="6"/>
  <c r="P3" i="6"/>
  <c r="L3" i="6"/>
  <c r="H3" i="6"/>
  <c r="U3" i="6"/>
  <c r="T3" i="6"/>
  <c r="S3" i="6"/>
  <c r="R3" i="6"/>
  <c r="G3" i="6"/>
  <c r="F3" i="6"/>
  <c r="J3" i="6"/>
  <c r="I3" i="6"/>
  <c r="O3" i="6"/>
  <c r="W3" i="6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3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Z68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Z88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Z89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Z95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Z97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Z99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Z102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Z80" i="2"/>
  <c r="Z13" i="2"/>
  <c r="Z76" i="2"/>
  <c r="Z11" i="2"/>
  <c r="Z26" i="2"/>
  <c r="Z22" i="2"/>
  <c r="Z31" i="2"/>
  <c r="Z17" i="2"/>
  <c r="Z36" i="2"/>
  <c r="Z10" i="2"/>
  <c r="Z33" i="2"/>
  <c r="Z79" i="2"/>
  <c r="Z70" i="2"/>
  <c r="Z19" i="2"/>
  <c r="Z59" i="2"/>
  <c r="Z47" i="2"/>
  <c r="Z32" i="2"/>
  <c r="Z63" i="2"/>
  <c r="Z54" i="2"/>
  <c r="Z52" i="2"/>
  <c r="Z73" i="2"/>
  <c r="Z41" i="2"/>
  <c r="Z37" i="2"/>
  <c r="Z50" i="2"/>
  <c r="Z12" i="2"/>
  <c r="Z77" i="2"/>
  <c r="Z43" i="2"/>
  <c r="Z24" i="2"/>
  <c r="Z27" i="2"/>
  <c r="Z65" i="2"/>
  <c r="Z9" i="2"/>
  <c r="Z71" i="2"/>
  <c r="Z49" i="2"/>
  <c r="Z68" i="2"/>
  <c r="Z8" i="2"/>
  <c r="Z6" i="2"/>
  <c r="Z51" i="2"/>
  <c r="Z61" i="2"/>
  <c r="Z14" i="2"/>
  <c r="Z78" i="2"/>
  <c r="Z42" i="2"/>
  <c r="Z53" i="2"/>
  <c r="Z57" i="2"/>
  <c r="Z5" i="2"/>
  <c r="Z28" i="2"/>
  <c r="Z38" i="2"/>
  <c r="Z23" i="2"/>
  <c r="Z18" i="2"/>
  <c r="Z48" i="2"/>
  <c r="Z39" i="2"/>
  <c r="Z35" i="2"/>
  <c r="Z20" i="2"/>
  <c r="Z83" i="2"/>
  <c r="Z21" i="2"/>
  <c r="Z44" i="2"/>
  <c r="Z29" i="2"/>
  <c r="Z62" i="2"/>
  <c r="Z67" i="2"/>
  <c r="Z64" i="2"/>
  <c r="Z15" i="2"/>
  <c r="Z75" i="2"/>
  <c r="Z74" i="2"/>
  <c r="Z40" i="2"/>
  <c r="Z81" i="2"/>
  <c r="Z45" i="2"/>
  <c r="Z55" i="2"/>
  <c r="Z66" i="2"/>
  <c r="Z56" i="2"/>
  <c r="Z82" i="2"/>
  <c r="Z58" i="2"/>
  <c r="Z34" i="2"/>
  <c r="Z25" i="2"/>
  <c r="Z46" i="2"/>
  <c r="Z72" i="2"/>
  <c r="Z30" i="2"/>
  <c r="Z69" i="2"/>
  <c r="Z16" i="2"/>
  <c r="Z7" i="2"/>
  <c r="Z60" i="2"/>
  <c r="J78" i="2"/>
  <c r="J15" i="2"/>
  <c r="J64" i="2"/>
  <c r="J45" i="2"/>
  <c r="J39" i="2"/>
  <c r="J5" i="2"/>
  <c r="J10" i="2"/>
  <c r="J44" i="2"/>
  <c r="J48" i="2"/>
  <c r="J40" i="2"/>
  <c r="J51" i="2"/>
  <c r="J29" i="2"/>
  <c r="J20" i="2"/>
  <c r="J62" i="2"/>
  <c r="J8" i="2"/>
  <c r="J43" i="2"/>
  <c r="J75" i="2"/>
  <c r="J6" i="2"/>
  <c r="J76" i="2"/>
  <c r="J9" i="2"/>
  <c r="J79" i="2"/>
  <c r="J83" i="2"/>
  <c r="J19" i="2"/>
  <c r="J36" i="2"/>
  <c r="J53" i="2"/>
  <c r="J70" i="2"/>
  <c r="J72" i="2"/>
  <c r="J34" i="2"/>
  <c r="J38" i="2"/>
  <c r="J81" i="2"/>
  <c r="J61" i="2"/>
  <c r="J59" i="2"/>
  <c r="J69" i="2"/>
  <c r="J55" i="2"/>
  <c r="J24" i="2"/>
  <c r="J58" i="2"/>
  <c r="J52" i="2"/>
  <c r="J73" i="2"/>
  <c r="J68" i="2"/>
  <c r="J16" i="2"/>
  <c r="J37" i="2"/>
  <c r="J21" i="2"/>
  <c r="J63" i="2"/>
  <c r="J42" i="2"/>
  <c r="J30" i="2"/>
  <c r="J71" i="2"/>
  <c r="J26" i="2"/>
  <c r="J25" i="2"/>
  <c r="J27" i="2"/>
  <c r="J57" i="2"/>
  <c r="J67" i="2"/>
  <c r="J14" i="2"/>
  <c r="J22" i="2"/>
  <c r="J17" i="2"/>
  <c r="J13" i="2"/>
  <c r="J18" i="2"/>
  <c r="J33" i="2"/>
  <c r="J49" i="2"/>
  <c r="J56" i="2"/>
  <c r="J60" i="2"/>
  <c r="J46" i="2"/>
  <c r="J82" i="2"/>
  <c r="J32" i="2"/>
  <c r="J23" i="2"/>
  <c r="J35" i="2"/>
  <c r="J47" i="2"/>
  <c r="J66" i="2"/>
  <c r="J65" i="2"/>
  <c r="J41" i="2"/>
  <c r="J31" i="2"/>
  <c r="J28" i="2"/>
  <c r="J11" i="2"/>
  <c r="J54" i="2"/>
  <c r="J77" i="2"/>
  <c r="J12" i="2"/>
  <c r="J50" i="2"/>
  <c r="J74" i="2"/>
  <c r="J7" i="2"/>
  <c r="J80" i="2"/>
  <c r="P54" i="2"/>
  <c r="P6" i="2"/>
  <c r="P28" i="2"/>
  <c r="P70" i="2"/>
  <c r="P14" i="2"/>
  <c r="P69" i="2"/>
  <c r="P61" i="2"/>
  <c r="P75" i="2"/>
  <c r="P59" i="2"/>
  <c r="P71" i="2"/>
  <c r="P38" i="2"/>
  <c r="P20" i="2"/>
  <c r="P33" i="2"/>
  <c r="P81" i="2"/>
  <c r="P58" i="2"/>
  <c r="P47" i="2"/>
  <c r="P63" i="2"/>
  <c r="P82" i="2"/>
  <c r="P51" i="2"/>
  <c r="P53" i="2"/>
  <c r="P79" i="2"/>
  <c r="P29" i="2"/>
  <c r="P46" i="2"/>
  <c r="P57" i="2"/>
  <c r="P18" i="2"/>
  <c r="P42" i="2"/>
  <c r="P32" i="2"/>
  <c r="P55" i="2"/>
  <c r="P25" i="2"/>
  <c r="P23" i="2"/>
  <c r="P27" i="2"/>
  <c r="P8" i="2"/>
  <c r="P60" i="2"/>
  <c r="P49" i="2"/>
  <c r="P44" i="2"/>
  <c r="P74" i="2"/>
  <c r="P52" i="2"/>
  <c r="P72" i="2"/>
  <c r="P37" i="2"/>
  <c r="P41" i="2"/>
  <c r="P10" i="2"/>
  <c r="P73" i="2"/>
  <c r="P35" i="2"/>
  <c r="P80" i="2"/>
  <c r="P83" i="2"/>
  <c r="P40" i="2"/>
  <c r="P30" i="2"/>
  <c r="P48" i="2"/>
  <c r="P24" i="2"/>
  <c r="P21" i="2"/>
  <c r="P77" i="2"/>
  <c r="P15" i="2"/>
  <c r="P39" i="2"/>
  <c r="P62" i="2"/>
  <c r="P19" i="2"/>
  <c r="P66" i="2"/>
  <c r="P11" i="2"/>
  <c r="P43" i="2"/>
  <c r="P13" i="2"/>
  <c r="P50" i="2"/>
  <c r="P67" i="2"/>
  <c r="P64" i="2"/>
  <c r="P22" i="2"/>
  <c r="P56" i="2"/>
  <c r="P68" i="2"/>
  <c r="P5" i="2"/>
  <c r="P65" i="2"/>
  <c r="P17" i="2"/>
  <c r="P76" i="2"/>
  <c r="P78" i="2"/>
  <c r="P26" i="2"/>
  <c r="P9" i="2"/>
  <c r="P16" i="2"/>
  <c r="P12" i="2"/>
  <c r="P34" i="2"/>
  <c r="P31" i="2"/>
  <c r="P45" i="2"/>
  <c r="P7" i="2"/>
  <c r="P36" i="2"/>
  <c r="V83" i="2"/>
  <c r="V9" i="2"/>
  <c r="V74" i="2"/>
  <c r="V77" i="2"/>
  <c r="V73" i="2"/>
  <c r="V47" i="2"/>
  <c r="V28" i="2"/>
  <c r="V39" i="2"/>
  <c r="V10" i="2"/>
  <c r="V62" i="2"/>
  <c r="V43" i="2"/>
  <c r="V55" i="2"/>
  <c r="V54" i="2"/>
  <c r="V8" i="2"/>
  <c r="V58" i="2"/>
  <c r="V82" i="2"/>
  <c r="V70" i="2"/>
  <c r="V20" i="2"/>
  <c r="V41" i="2"/>
  <c r="V60" i="2"/>
  <c r="V36" i="2"/>
  <c r="V59" i="2"/>
  <c r="V5" i="2"/>
  <c r="V45" i="2"/>
  <c r="V13" i="2"/>
  <c r="V57" i="2"/>
  <c r="V80" i="2"/>
  <c r="V31" i="2"/>
  <c r="V18" i="2"/>
  <c r="V40" i="2"/>
  <c r="V33" i="2"/>
  <c r="V35" i="2"/>
  <c r="V68" i="2"/>
  <c r="V66" i="2"/>
  <c r="V53" i="2"/>
  <c r="V75" i="2"/>
  <c r="V24" i="2"/>
  <c r="V34" i="2"/>
  <c r="V49" i="2"/>
  <c r="V38" i="2"/>
  <c r="V63" i="2"/>
  <c r="V19" i="2"/>
  <c r="V37" i="2"/>
  <c r="V42" i="2"/>
  <c r="V6" i="2"/>
  <c r="V48" i="2"/>
  <c r="V71" i="2"/>
  <c r="V78" i="2"/>
  <c r="V76" i="2"/>
  <c r="V14" i="2"/>
  <c r="V64" i="2"/>
  <c r="V81" i="2"/>
  <c r="V30" i="2"/>
  <c r="V23" i="2"/>
  <c r="V12" i="2"/>
  <c r="V15" i="2"/>
  <c r="V11" i="2"/>
  <c r="V32" i="2"/>
  <c r="V46" i="2"/>
  <c r="V27" i="2"/>
  <c r="V17" i="2"/>
  <c r="V22" i="2"/>
  <c r="V21" i="2"/>
  <c r="V79" i="2"/>
  <c r="V52" i="2"/>
  <c r="V29" i="2"/>
  <c r="V56" i="2"/>
  <c r="V50" i="2"/>
  <c r="V69" i="2"/>
  <c r="V25" i="2"/>
  <c r="V61" i="2"/>
  <c r="V72" i="2"/>
  <c r="V51" i="2"/>
  <c r="V65" i="2"/>
  <c r="V26" i="2"/>
  <c r="V67" i="2"/>
  <c r="V16" i="2"/>
  <c r="V7" i="2"/>
  <c r="V44" i="2"/>
  <c r="F47" i="2"/>
  <c r="F77" i="2"/>
  <c r="F80" i="2"/>
  <c r="F42" i="2"/>
  <c r="F72" i="2"/>
  <c r="F41" i="2"/>
  <c r="F81" i="2"/>
  <c r="F46" i="2"/>
  <c r="F53" i="2"/>
  <c r="F54" i="2"/>
  <c r="F60" i="2"/>
  <c r="F55" i="2"/>
  <c r="F56" i="2"/>
  <c r="F28" i="2"/>
  <c r="F5" i="2"/>
  <c r="F26" i="2"/>
  <c r="F22" i="2"/>
  <c r="F49" i="2"/>
  <c r="F24" i="2"/>
  <c r="F82" i="2"/>
  <c r="F33" i="2"/>
  <c r="F43" i="2"/>
  <c r="F52" i="2"/>
  <c r="F20" i="2"/>
  <c r="F19" i="2"/>
  <c r="F15" i="2"/>
  <c r="F48" i="2"/>
  <c r="F71" i="2"/>
  <c r="F45" i="2"/>
  <c r="F51" i="2"/>
  <c r="F16" i="2"/>
  <c r="F67" i="2"/>
  <c r="F9" i="2"/>
  <c r="F44" i="2"/>
  <c r="F70" i="2"/>
  <c r="F66" i="2"/>
  <c r="F50" i="2"/>
  <c r="F10" i="2"/>
  <c r="F63" i="2"/>
  <c r="F79" i="2"/>
  <c r="F11" i="2"/>
  <c r="F29" i="2"/>
  <c r="F34" i="2"/>
  <c r="F8" i="2"/>
  <c r="F74" i="2"/>
  <c r="F68" i="2"/>
  <c r="F35" i="2"/>
  <c r="F13" i="2"/>
  <c r="F12" i="2"/>
  <c r="F39" i="2"/>
  <c r="F25" i="2"/>
  <c r="F23" i="2"/>
  <c r="F31" i="2"/>
  <c r="F61" i="2"/>
  <c r="F30" i="2"/>
  <c r="F18" i="2"/>
  <c r="F83" i="2"/>
  <c r="F6" i="2"/>
  <c r="F76" i="2"/>
  <c r="F27" i="2"/>
  <c r="F57" i="2"/>
  <c r="F14" i="2"/>
  <c r="F17" i="2"/>
  <c r="F38" i="2"/>
  <c r="F69" i="2"/>
  <c r="F21" i="2"/>
  <c r="F59" i="2"/>
  <c r="F65" i="2"/>
  <c r="F40" i="2"/>
  <c r="F75" i="2"/>
  <c r="F58" i="2"/>
  <c r="F37" i="2"/>
  <c r="F78" i="2"/>
  <c r="F73" i="2"/>
  <c r="F62" i="2"/>
  <c r="F36" i="2"/>
  <c r="F64" i="2"/>
  <c r="F7" i="2"/>
  <c r="F32" i="2"/>
  <c r="L33" i="2"/>
  <c r="L65" i="2"/>
  <c r="L16" i="2"/>
  <c r="L67" i="2"/>
  <c r="L25" i="2"/>
  <c r="L60" i="2"/>
  <c r="L61" i="2"/>
  <c r="L40" i="2"/>
  <c r="L82" i="2"/>
  <c r="L8" i="2"/>
  <c r="L17" i="2"/>
  <c r="L38" i="2"/>
  <c r="L74" i="2"/>
  <c r="L54" i="2"/>
  <c r="L12" i="2"/>
  <c r="L78" i="2"/>
  <c r="L27" i="2"/>
  <c r="L51" i="2"/>
  <c r="L29" i="2"/>
  <c r="L69" i="2"/>
  <c r="L35" i="2"/>
  <c r="L24" i="2"/>
  <c r="L52" i="2"/>
  <c r="L15" i="2"/>
  <c r="L37" i="2"/>
  <c r="L48" i="2"/>
  <c r="L36" i="2"/>
  <c r="L31" i="2"/>
  <c r="L72" i="2"/>
  <c r="L59" i="2"/>
  <c r="L19" i="2"/>
  <c r="L34" i="2"/>
  <c r="L26" i="2"/>
  <c r="L14" i="2"/>
  <c r="L41" i="2"/>
  <c r="L70" i="2"/>
  <c r="L62" i="2"/>
  <c r="L21" i="2"/>
  <c r="L42" i="2"/>
  <c r="L5" i="2"/>
  <c r="L18" i="2"/>
  <c r="L23" i="2"/>
  <c r="L28" i="2"/>
  <c r="L58" i="2"/>
  <c r="L71" i="2"/>
  <c r="L77" i="2"/>
  <c r="L39" i="2"/>
  <c r="L11" i="2"/>
  <c r="L30" i="2"/>
  <c r="L53" i="2"/>
  <c r="L56" i="2"/>
  <c r="L32" i="2"/>
  <c r="L22" i="2"/>
  <c r="L68" i="2"/>
  <c r="L20" i="2"/>
  <c r="L13" i="2"/>
  <c r="L45" i="2"/>
  <c r="L80" i="2"/>
  <c r="L66" i="2"/>
  <c r="L81" i="2"/>
  <c r="L64" i="2"/>
  <c r="L83" i="2"/>
  <c r="L55" i="2"/>
  <c r="L10" i="2"/>
  <c r="L63" i="2"/>
  <c r="L47" i="2"/>
  <c r="L73" i="2"/>
  <c r="L79" i="2"/>
  <c r="L57" i="2"/>
  <c r="L6" i="2"/>
  <c r="L9" i="2"/>
  <c r="L76" i="2"/>
  <c r="L46" i="2"/>
  <c r="L75" i="2"/>
  <c r="L43" i="2"/>
  <c r="L49" i="2"/>
  <c r="L44" i="2"/>
  <c r="L7" i="2"/>
  <c r="L50" i="2"/>
  <c r="R45" i="2"/>
  <c r="R23" i="2"/>
  <c r="R74" i="2"/>
  <c r="R79" i="2"/>
  <c r="R26" i="2"/>
  <c r="R14" i="2"/>
  <c r="R29" i="2"/>
  <c r="R35" i="2"/>
  <c r="R83" i="2"/>
  <c r="R15" i="2"/>
  <c r="R44" i="2"/>
  <c r="R81" i="2"/>
  <c r="R61" i="2"/>
  <c r="R50" i="2"/>
  <c r="R80" i="2"/>
  <c r="R16" i="2"/>
  <c r="R76" i="2"/>
  <c r="R8" i="2"/>
  <c r="R55" i="2"/>
  <c r="R68" i="2"/>
  <c r="R32" i="2"/>
  <c r="R19" i="2"/>
  <c r="R46" i="2"/>
  <c r="R36" i="2"/>
  <c r="R56" i="2"/>
  <c r="R65" i="2"/>
  <c r="R30" i="2"/>
  <c r="R20" i="2"/>
  <c r="R54" i="2"/>
  <c r="R38" i="2"/>
  <c r="R5" i="2"/>
  <c r="R17" i="2"/>
  <c r="R67" i="2"/>
  <c r="R49" i="2"/>
  <c r="R40" i="2"/>
  <c r="R63" i="2"/>
  <c r="R72" i="2"/>
  <c r="R51" i="2"/>
  <c r="R59" i="2"/>
  <c r="R28" i="2"/>
  <c r="R27" i="2"/>
  <c r="R57" i="2"/>
  <c r="R31" i="2"/>
  <c r="R58" i="2"/>
  <c r="R41" i="2"/>
  <c r="R60" i="2"/>
  <c r="R71" i="2"/>
  <c r="R75" i="2"/>
  <c r="R6" i="2"/>
  <c r="R52" i="2"/>
  <c r="R22" i="2"/>
  <c r="R37" i="2"/>
  <c r="R25" i="2"/>
  <c r="R64" i="2"/>
  <c r="R70" i="2"/>
  <c r="R78" i="2"/>
  <c r="R77" i="2"/>
  <c r="R69" i="2"/>
  <c r="R42" i="2"/>
  <c r="R24" i="2"/>
  <c r="R34" i="2"/>
  <c r="R39" i="2"/>
  <c r="R62" i="2"/>
  <c r="R21" i="2"/>
  <c r="R47" i="2"/>
  <c r="R66" i="2"/>
  <c r="R48" i="2"/>
  <c r="R43" i="2"/>
  <c r="R11" i="2"/>
  <c r="R12" i="2"/>
  <c r="R33" i="2"/>
  <c r="R53" i="2"/>
  <c r="R82" i="2"/>
  <c r="R18" i="2"/>
  <c r="R10" i="2"/>
  <c r="R13" i="2"/>
  <c r="R9" i="2"/>
  <c r="R7" i="2"/>
  <c r="R73" i="2"/>
  <c r="X37" i="2"/>
  <c r="X27" i="2"/>
  <c r="X55" i="2"/>
  <c r="X53" i="2"/>
  <c r="X35" i="2"/>
  <c r="X44" i="2"/>
  <c r="X36" i="2"/>
  <c r="X15" i="2"/>
  <c r="X8" i="2"/>
  <c r="X60" i="2"/>
  <c r="X17" i="2"/>
  <c r="X67" i="2"/>
  <c r="X49" i="2"/>
  <c r="X72" i="2"/>
  <c r="X31" i="2"/>
  <c r="X61" i="2"/>
  <c r="X26" i="2"/>
  <c r="X38" i="2"/>
  <c r="X66" i="2"/>
  <c r="X70" i="2"/>
  <c r="X29" i="2"/>
  <c r="X81" i="2"/>
  <c r="X54" i="2"/>
  <c r="X11" i="2"/>
  <c r="X14" i="2"/>
  <c r="X23" i="2"/>
  <c r="X28" i="2"/>
  <c r="X47" i="2"/>
  <c r="X68" i="2"/>
  <c r="X48" i="2"/>
  <c r="X13" i="2"/>
  <c r="X33" i="2"/>
  <c r="X22" i="2"/>
  <c r="X83" i="2"/>
  <c r="X21" i="2"/>
  <c r="X74" i="2"/>
  <c r="X82" i="2"/>
  <c r="X64" i="2"/>
  <c r="X63" i="2"/>
  <c r="X12" i="2"/>
  <c r="X32" i="2"/>
  <c r="X69" i="2"/>
  <c r="X24" i="2"/>
  <c r="X59" i="2"/>
  <c r="X41" i="2"/>
  <c r="X34" i="2"/>
  <c r="X52" i="2"/>
  <c r="X5" i="2"/>
  <c r="X62" i="2"/>
  <c r="X45" i="2"/>
  <c r="X46" i="2"/>
  <c r="X19" i="2"/>
  <c r="X43" i="2"/>
  <c r="X78" i="2"/>
  <c r="X73" i="2"/>
  <c r="X6" i="2"/>
  <c r="X57" i="2"/>
  <c r="X75" i="2"/>
  <c r="X42" i="2"/>
  <c r="X30" i="2"/>
  <c r="X39" i="2"/>
  <c r="X65" i="2"/>
  <c r="X18" i="2"/>
  <c r="X71" i="2"/>
  <c r="X40" i="2"/>
  <c r="X79" i="2"/>
  <c r="X50" i="2"/>
  <c r="X20" i="2"/>
  <c r="X58" i="2"/>
  <c r="X25" i="2"/>
  <c r="X56" i="2"/>
  <c r="X16" i="2"/>
  <c r="X76" i="2"/>
  <c r="X10" i="2"/>
  <c r="X80" i="2"/>
  <c r="X9" i="2"/>
  <c r="X77" i="2"/>
  <c r="X7" i="2"/>
  <c r="X51" i="2"/>
  <c r="H74" i="2"/>
  <c r="H32" i="2"/>
  <c r="H24" i="2"/>
  <c r="H76" i="2"/>
  <c r="H58" i="2"/>
  <c r="H36" i="2"/>
  <c r="H15" i="2"/>
  <c r="H83" i="2"/>
  <c r="H77" i="2"/>
  <c r="H26" i="2"/>
  <c r="H6" i="2"/>
  <c r="H18" i="2"/>
  <c r="H35" i="2"/>
  <c r="H21" i="2"/>
  <c r="H61" i="2"/>
  <c r="H10" i="2"/>
  <c r="H81" i="2"/>
  <c r="H66" i="2"/>
  <c r="H42" i="2"/>
  <c r="H63" i="2"/>
  <c r="H11" i="2"/>
  <c r="H68" i="2"/>
  <c r="H54" i="2"/>
  <c r="H19" i="2"/>
  <c r="H31" i="2"/>
  <c r="H39" i="2"/>
  <c r="H82" i="2"/>
  <c r="H34" i="2"/>
  <c r="H20" i="2"/>
  <c r="H25" i="2"/>
  <c r="H43" i="2"/>
  <c r="H51" i="2"/>
  <c r="H16" i="2"/>
  <c r="H75" i="2"/>
  <c r="H50" i="2"/>
  <c r="H13" i="2"/>
  <c r="H62" i="2"/>
  <c r="H46" i="2"/>
  <c r="H57" i="2"/>
  <c r="H27" i="2"/>
  <c r="H29" i="2"/>
  <c r="H38" i="2"/>
  <c r="H30" i="2"/>
  <c r="H55" i="2"/>
  <c r="H71" i="2"/>
  <c r="H64" i="2"/>
  <c r="H56" i="2"/>
  <c r="H22" i="2"/>
  <c r="H45" i="2"/>
  <c r="H69" i="2"/>
  <c r="H78" i="2"/>
  <c r="H41" i="2"/>
  <c r="H53" i="2"/>
  <c r="H48" i="2"/>
  <c r="H65" i="2"/>
  <c r="H8" i="2"/>
  <c r="H72" i="2"/>
  <c r="H60" i="2"/>
  <c r="H52" i="2"/>
  <c r="H28" i="2"/>
  <c r="H5" i="2"/>
  <c r="H59" i="2"/>
  <c r="H37" i="2"/>
  <c r="H67" i="2"/>
  <c r="H40" i="2"/>
  <c r="H80" i="2"/>
  <c r="H79" i="2"/>
  <c r="H33" i="2"/>
  <c r="H17" i="2"/>
  <c r="H73" i="2"/>
  <c r="H14" i="2"/>
  <c r="H70" i="2"/>
  <c r="H23" i="2"/>
  <c r="H49" i="2"/>
  <c r="H44" i="2"/>
  <c r="H12" i="2"/>
  <c r="H9" i="2"/>
  <c r="H7" i="2"/>
  <c r="H47" i="2"/>
  <c r="N60" i="2"/>
  <c r="N77" i="2"/>
  <c r="N20" i="2"/>
  <c r="N40" i="2"/>
  <c r="N46" i="2"/>
  <c r="N61" i="2"/>
  <c r="N15" i="2"/>
  <c r="N39" i="2"/>
  <c r="N73" i="2"/>
  <c r="N6" i="2"/>
  <c r="N63" i="2"/>
  <c r="N54" i="2"/>
  <c r="N12" i="2"/>
  <c r="N41" i="2"/>
  <c r="N71" i="2"/>
  <c r="N27" i="2"/>
  <c r="N79" i="2"/>
  <c r="N33" i="2"/>
  <c r="N23" i="2"/>
  <c r="N25" i="2"/>
  <c r="N83" i="2"/>
  <c r="N50" i="2"/>
  <c r="N69" i="2"/>
  <c r="N48" i="2"/>
  <c r="N62" i="2"/>
  <c r="N19" i="2"/>
  <c r="N51" i="2"/>
  <c r="N66" i="2"/>
  <c r="N52" i="2"/>
  <c r="N80" i="2"/>
  <c r="N38" i="2"/>
  <c r="N37" i="2"/>
  <c r="N8" i="2"/>
  <c r="N70" i="2"/>
  <c r="N22" i="2"/>
  <c r="N5" i="2"/>
  <c r="N67" i="2"/>
  <c r="N58" i="2"/>
  <c r="N28" i="2"/>
  <c r="N42" i="2"/>
  <c r="N16" i="2"/>
  <c r="N64" i="2"/>
  <c r="N11" i="2"/>
  <c r="N36" i="2"/>
  <c r="N68" i="2"/>
  <c r="N56" i="2"/>
  <c r="N32" i="2"/>
  <c r="N75" i="2"/>
  <c r="N43" i="2"/>
  <c r="N59" i="2"/>
  <c r="N18" i="2"/>
  <c r="N44" i="2"/>
  <c r="N47" i="2"/>
  <c r="N57" i="2"/>
  <c r="N24" i="2"/>
  <c r="N21" i="2"/>
  <c r="N53" i="2"/>
  <c r="N82" i="2"/>
  <c r="N14" i="2"/>
  <c r="N78" i="2"/>
  <c r="N26" i="2"/>
  <c r="N65" i="2"/>
  <c r="N17" i="2"/>
  <c r="N35" i="2"/>
  <c r="N34" i="2"/>
  <c r="N13" i="2"/>
  <c r="N29" i="2"/>
  <c r="N31" i="2"/>
  <c r="N30" i="2"/>
  <c r="N10" i="2"/>
  <c r="N76" i="2"/>
  <c r="N9" i="2"/>
  <c r="N72" i="2"/>
  <c r="N55" i="2"/>
  <c r="N74" i="2"/>
  <c r="N81" i="2"/>
  <c r="N45" i="2"/>
  <c r="N7" i="2"/>
  <c r="N49" i="2"/>
  <c r="T24" i="2"/>
  <c r="T47" i="2"/>
  <c r="T11" i="2"/>
  <c r="T80" i="2"/>
  <c r="T44" i="2"/>
  <c r="T18" i="2"/>
  <c r="T8" i="2"/>
  <c r="T48" i="2"/>
  <c r="T61" i="2"/>
  <c r="T45" i="2"/>
  <c r="T16" i="2"/>
  <c r="T6" i="2"/>
  <c r="T12" i="2"/>
  <c r="T23" i="2"/>
  <c r="T71" i="2"/>
  <c r="T74" i="2"/>
  <c r="T72" i="2"/>
  <c r="T14" i="2"/>
  <c r="T59" i="2"/>
  <c r="T52" i="2"/>
  <c r="T77" i="2"/>
  <c r="T65" i="2"/>
  <c r="T57" i="2"/>
  <c r="T29" i="2"/>
  <c r="T13" i="2"/>
  <c r="T35" i="2"/>
  <c r="T55" i="2"/>
  <c r="T43" i="2"/>
  <c r="T53" i="2"/>
  <c r="T82" i="2"/>
  <c r="T49" i="2"/>
  <c r="T50" i="2"/>
  <c r="T15" i="2"/>
  <c r="T5" i="2"/>
  <c r="T60" i="2"/>
  <c r="T41" i="2"/>
  <c r="T9" i="2"/>
  <c r="T81" i="2"/>
  <c r="T79" i="2"/>
  <c r="T10" i="2"/>
  <c r="T34" i="2"/>
  <c r="T63" i="2"/>
  <c r="T69" i="2"/>
  <c r="T70" i="2"/>
  <c r="T58" i="2"/>
  <c r="T19" i="2"/>
  <c r="T64" i="2"/>
  <c r="T17" i="2"/>
  <c r="T78" i="2"/>
  <c r="T66" i="2"/>
  <c r="T39" i="2"/>
  <c r="T83" i="2"/>
  <c r="T36" i="2"/>
  <c r="T54" i="2"/>
  <c r="T30" i="2"/>
  <c r="T76" i="2"/>
  <c r="T62" i="2"/>
  <c r="T42" i="2"/>
  <c r="T31" i="2"/>
  <c r="T25" i="2"/>
  <c r="T28" i="2"/>
  <c r="T75" i="2"/>
  <c r="T32" i="2"/>
  <c r="T33" i="2"/>
  <c r="T67" i="2"/>
  <c r="T73" i="2"/>
  <c r="T27" i="2"/>
  <c r="T21" i="2"/>
  <c r="T20" i="2"/>
  <c r="T37" i="2"/>
  <c r="T51" i="2"/>
  <c r="T38" i="2"/>
  <c r="T68" i="2"/>
  <c r="T40" i="2"/>
  <c r="T26" i="2"/>
  <c r="T46" i="2"/>
  <c r="T22" i="2"/>
  <c r="T7" i="2"/>
  <c r="T56" i="2"/>
  <c r="Y19" i="2"/>
  <c r="Y50" i="2"/>
  <c r="Y57" i="2"/>
  <c r="Y14" i="2"/>
  <c r="Y66" i="2"/>
  <c r="Y12" i="2"/>
  <c r="Y32" i="2"/>
  <c r="Y21" i="2"/>
  <c r="Y83" i="2"/>
  <c r="Y70" i="2"/>
  <c r="Y60" i="2"/>
  <c r="Y63" i="2"/>
  <c r="Y41" i="2"/>
  <c r="Y74" i="2"/>
  <c r="Y62" i="2"/>
  <c r="Y76" i="2"/>
  <c r="Y43" i="2"/>
  <c r="Y10" i="2"/>
  <c r="Y53" i="2"/>
  <c r="Y73" i="2"/>
  <c r="Y75" i="2"/>
  <c r="Y34" i="2"/>
  <c r="Y65" i="2"/>
  <c r="Y25" i="2"/>
  <c r="Y58" i="2"/>
  <c r="Y35" i="2"/>
  <c r="Y81" i="2"/>
  <c r="Y40" i="2"/>
  <c r="Y59" i="2"/>
  <c r="Y8" i="2"/>
  <c r="Y39" i="2"/>
  <c r="Y78" i="2"/>
  <c r="Y68" i="2"/>
  <c r="Y17" i="2"/>
  <c r="Y49" i="2"/>
  <c r="Y54" i="2"/>
  <c r="Y37" i="2"/>
  <c r="Y52" i="2"/>
  <c r="Y26" i="2"/>
  <c r="Y22" i="2"/>
  <c r="Y13" i="2"/>
  <c r="Y72" i="2"/>
  <c r="Y77" i="2"/>
  <c r="Y15" i="2"/>
  <c r="Y55" i="2"/>
  <c r="Y24" i="2"/>
  <c r="Y29" i="2"/>
  <c r="Y69" i="2"/>
  <c r="Y42" i="2"/>
  <c r="Y47" i="2"/>
  <c r="Y18" i="2"/>
  <c r="Y38" i="2"/>
  <c r="Y11" i="2"/>
  <c r="Y61" i="2"/>
  <c r="Y46" i="2"/>
  <c r="Y44" i="2"/>
  <c r="Y71" i="2"/>
  <c r="Y30" i="2"/>
  <c r="Y48" i="2"/>
  <c r="Y6" i="2"/>
  <c r="Y56" i="2"/>
  <c r="Y82" i="2"/>
  <c r="Y51" i="2"/>
  <c r="Y5" i="2"/>
  <c r="Y80" i="2"/>
  <c r="Y31" i="2"/>
  <c r="Y20" i="2"/>
  <c r="Y45" i="2"/>
  <c r="Y28" i="2"/>
  <c r="Y33" i="2"/>
  <c r="Y9" i="2"/>
  <c r="Y27" i="2"/>
  <c r="Y23" i="2"/>
  <c r="Y79" i="2"/>
  <c r="Y67" i="2"/>
  <c r="Y16" i="2"/>
  <c r="Y36" i="2"/>
  <c r="Y7" i="2"/>
  <c r="Y64" i="2"/>
  <c r="I59" i="2"/>
  <c r="I36" i="2"/>
  <c r="I24" i="2"/>
  <c r="I6" i="2"/>
  <c r="I82" i="2"/>
  <c r="I39" i="2"/>
  <c r="I74" i="2"/>
  <c r="I55" i="2"/>
  <c r="I60" i="2"/>
  <c r="I23" i="2"/>
  <c r="I79" i="2"/>
  <c r="I25" i="2"/>
  <c r="I40" i="2"/>
  <c r="I56" i="2"/>
  <c r="I41" i="2"/>
  <c r="I13" i="2"/>
  <c r="I63" i="2"/>
  <c r="I37" i="2"/>
  <c r="I52" i="2"/>
  <c r="I46" i="2"/>
  <c r="I18" i="2"/>
  <c r="I78" i="2"/>
  <c r="I26" i="2"/>
  <c r="I31" i="2"/>
  <c r="I64" i="2"/>
  <c r="I12" i="2"/>
  <c r="I45" i="2"/>
  <c r="I14" i="2"/>
  <c r="I22" i="2"/>
  <c r="I83" i="2"/>
  <c r="I35" i="2"/>
  <c r="I50" i="2"/>
  <c r="I75" i="2"/>
  <c r="I69" i="2"/>
  <c r="I42" i="2"/>
  <c r="I34" i="2"/>
  <c r="I15" i="2"/>
  <c r="I27" i="2"/>
  <c r="I61" i="2"/>
  <c r="I20" i="2"/>
  <c r="I53" i="2"/>
  <c r="I48" i="2"/>
  <c r="I19" i="2"/>
  <c r="I44" i="2"/>
  <c r="I47" i="2"/>
  <c r="I16" i="2"/>
  <c r="I49" i="2"/>
  <c r="I77" i="2"/>
  <c r="I73" i="2"/>
  <c r="I66" i="2"/>
  <c r="I32" i="2"/>
  <c r="I72" i="2"/>
  <c r="I33" i="2"/>
  <c r="I8" i="2"/>
  <c r="I29" i="2"/>
  <c r="I80" i="2"/>
  <c r="I58" i="2"/>
  <c r="I54" i="2"/>
  <c r="I5" i="2"/>
  <c r="I21" i="2"/>
  <c r="I67" i="2"/>
  <c r="I70" i="2"/>
  <c r="I62" i="2"/>
  <c r="I28" i="2"/>
  <c r="I17" i="2"/>
  <c r="I30" i="2"/>
  <c r="I81" i="2"/>
  <c r="I43" i="2"/>
  <c r="I68" i="2"/>
  <c r="I51" i="2"/>
  <c r="I71" i="2"/>
  <c r="I10" i="2"/>
  <c r="I38" i="2"/>
  <c r="I57" i="2"/>
  <c r="I9" i="2"/>
  <c r="I76" i="2"/>
  <c r="I11" i="2"/>
  <c r="I7" i="2"/>
  <c r="I65" i="2"/>
  <c r="O39" i="2"/>
  <c r="O32" i="2"/>
  <c r="O69" i="2"/>
  <c r="O77" i="2"/>
  <c r="O14" i="2"/>
  <c r="O6" i="2"/>
  <c r="O40" i="2"/>
  <c r="O21" i="2"/>
  <c r="O30" i="2"/>
  <c r="O27" i="2"/>
  <c r="O79" i="2"/>
  <c r="O73" i="2"/>
  <c r="O12" i="2"/>
  <c r="O34" i="2"/>
  <c r="O20" i="2"/>
  <c r="O38" i="2"/>
  <c r="O44" i="2"/>
  <c r="O35" i="2"/>
  <c r="O19" i="2"/>
  <c r="O53" i="2"/>
  <c r="O29" i="2"/>
  <c r="O80" i="2"/>
  <c r="O48" i="2"/>
  <c r="O72" i="2"/>
  <c r="O42" i="2"/>
  <c r="O26" i="2"/>
  <c r="O57" i="2"/>
  <c r="O82" i="2"/>
  <c r="O8" i="2"/>
  <c r="O5" i="2"/>
  <c r="O22" i="2"/>
  <c r="O24" i="2"/>
  <c r="O33" i="2"/>
  <c r="O62" i="2"/>
  <c r="O74" i="2"/>
  <c r="O11" i="2"/>
  <c r="O75" i="2"/>
  <c r="O13" i="2"/>
  <c r="O63" i="2"/>
  <c r="O49" i="2"/>
  <c r="O31" i="2"/>
  <c r="O17" i="2"/>
  <c r="O16" i="2"/>
  <c r="O56" i="2"/>
  <c r="O55" i="2"/>
  <c r="O58" i="2"/>
  <c r="O60" i="2"/>
  <c r="O43" i="2"/>
  <c r="O51" i="2"/>
  <c r="O61" i="2"/>
  <c r="O37" i="2"/>
  <c r="O52" i="2"/>
  <c r="O50" i="2"/>
  <c r="O47" i="2"/>
  <c r="O68" i="2"/>
  <c r="O83" i="2"/>
  <c r="O65" i="2"/>
  <c r="O36" i="2"/>
  <c r="O18" i="2"/>
  <c r="O10" i="2"/>
  <c r="O25" i="2"/>
  <c r="O9" i="2"/>
  <c r="O76" i="2"/>
  <c r="O15" i="2"/>
  <c r="O66" i="2"/>
  <c r="O46" i="2"/>
  <c r="O45" i="2"/>
  <c r="O70" i="2"/>
  <c r="O78" i="2"/>
  <c r="O59" i="2"/>
  <c r="O28" i="2"/>
  <c r="O23" i="2"/>
  <c r="O81" i="2"/>
  <c r="O54" i="2"/>
  <c r="O41" i="2"/>
  <c r="O67" i="2"/>
  <c r="O64" i="2"/>
  <c r="O7" i="2"/>
  <c r="O71" i="2"/>
  <c r="U63" i="2"/>
  <c r="U28" i="2"/>
  <c r="U10" i="2"/>
  <c r="U79" i="2"/>
  <c r="U8" i="2"/>
  <c r="U48" i="2"/>
  <c r="U70" i="2"/>
  <c r="U15" i="2"/>
  <c r="U45" i="2"/>
  <c r="U59" i="2"/>
  <c r="U69" i="2"/>
  <c r="U72" i="2"/>
  <c r="U66" i="2"/>
  <c r="U36" i="2"/>
  <c r="U30" i="2"/>
  <c r="U49" i="2"/>
  <c r="U65" i="2"/>
  <c r="U19" i="2"/>
  <c r="U29" i="2"/>
  <c r="U53" i="2"/>
  <c r="U31" i="2"/>
  <c r="U26" i="2"/>
  <c r="U62" i="2"/>
  <c r="U67" i="2"/>
  <c r="U22" i="2"/>
  <c r="U41" i="2"/>
  <c r="U61" i="2"/>
  <c r="U6" i="2"/>
  <c r="U38" i="2"/>
  <c r="U14" i="2"/>
  <c r="U37" i="2"/>
  <c r="U9" i="2"/>
  <c r="U23" i="2"/>
  <c r="U68" i="2"/>
  <c r="U57" i="2"/>
  <c r="U64" i="2"/>
  <c r="U56" i="2"/>
  <c r="U25" i="2"/>
  <c r="U83" i="2"/>
  <c r="U12" i="2"/>
  <c r="U40" i="2"/>
  <c r="U18" i="2"/>
  <c r="U54" i="2"/>
  <c r="U39" i="2"/>
  <c r="U24" i="2"/>
  <c r="U47" i="2"/>
  <c r="U43" i="2"/>
  <c r="U11" i="2"/>
  <c r="U21" i="2"/>
  <c r="U78" i="2"/>
  <c r="U76" i="2"/>
  <c r="U75" i="2"/>
  <c r="U32" i="2"/>
  <c r="U17" i="2"/>
  <c r="U27" i="2"/>
  <c r="U42" i="2"/>
  <c r="U71" i="2"/>
  <c r="U58" i="2"/>
  <c r="U55" i="2"/>
  <c r="U5" i="2"/>
  <c r="U82" i="2"/>
  <c r="U33" i="2"/>
  <c r="U60" i="2"/>
  <c r="U73" i="2"/>
  <c r="U74" i="2"/>
  <c r="U46" i="2"/>
  <c r="U20" i="2"/>
  <c r="U52" i="2"/>
  <c r="U34" i="2"/>
  <c r="U80" i="2"/>
  <c r="U51" i="2"/>
  <c r="U50" i="2"/>
  <c r="U44" i="2"/>
  <c r="U77" i="2"/>
  <c r="U13" i="2"/>
  <c r="U35" i="2"/>
  <c r="U16" i="2"/>
  <c r="U7" i="2"/>
  <c r="U81" i="2"/>
  <c r="E75" i="2"/>
  <c r="E20" i="2"/>
  <c r="E79" i="2"/>
  <c r="E35" i="2"/>
  <c r="E12" i="2"/>
  <c r="E43" i="2"/>
  <c r="E49" i="2"/>
  <c r="E16" i="2"/>
  <c r="E66" i="2"/>
  <c r="E69" i="2"/>
  <c r="E64" i="2"/>
  <c r="E23" i="2"/>
  <c r="E67" i="2"/>
  <c r="E8" i="2"/>
  <c r="E65" i="2"/>
  <c r="E17" i="2"/>
  <c r="E15" i="2"/>
  <c r="E55" i="2"/>
  <c r="E77" i="2"/>
  <c r="E38" i="2"/>
  <c r="E24" i="2"/>
  <c r="E50" i="2"/>
  <c r="E57" i="2"/>
  <c r="E81" i="2"/>
  <c r="E25" i="2"/>
  <c r="E53" i="2"/>
  <c r="E28" i="2"/>
  <c r="E54" i="2"/>
  <c r="E63" i="2"/>
  <c r="E51" i="2"/>
  <c r="E36" i="2"/>
  <c r="E39" i="2"/>
  <c r="E31" i="2"/>
  <c r="E78" i="2"/>
  <c r="E40" i="2"/>
  <c r="E62" i="2"/>
  <c r="E32" i="2"/>
  <c r="E48" i="2"/>
  <c r="E68" i="2"/>
  <c r="E47" i="2"/>
  <c r="E19" i="2"/>
  <c r="E56" i="2"/>
  <c r="E22" i="2"/>
  <c r="E21" i="2"/>
  <c r="E80" i="2"/>
  <c r="E61" i="2"/>
  <c r="E30" i="2"/>
  <c r="E60" i="2"/>
  <c r="E26" i="2"/>
  <c r="E14" i="2"/>
  <c r="E44" i="2"/>
  <c r="E71" i="2"/>
  <c r="E52" i="2"/>
  <c r="E10" i="2"/>
  <c r="E13" i="2"/>
  <c r="E42" i="2"/>
  <c r="E72" i="2"/>
  <c r="E33" i="2"/>
  <c r="E73" i="2"/>
  <c r="E46" i="2"/>
  <c r="E82" i="2"/>
  <c r="E5" i="2"/>
  <c r="E37" i="2"/>
  <c r="E34" i="2"/>
  <c r="E76" i="2"/>
  <c r="E74" i="2"/>
  <c r="E59" i="2"/>
  <c r="E45" i="2"/>
  <c r="E41" i="2"/>
  <c r="E29" i="2"/>
  <c r="E6" i="2"/>
  <c r="E58" i="2"/>
  <c r="E11" i="2"/>
  <c r="E9" i="2"/>
  <c r="E18" i="2"/>
  <c r="E83" i="2"/>
  <c r="E70" i="2"/>
  <c r="E7" i="2"/>
  <c r="E27" i="2"/>
  <c r="K36" i="2"/>
  <c r="K65" i="2"/>
  <c r="K23" i="2"/>
  <c r="K43" i="2"/>
  <c r="K74" i="2"/>
  <c r="K31" i="2"/>
  <c r="K61" i="2"/>
  <c r="K47" i="2"/>
  <c r="K12" i="2"/>
  <c r="K55" i="2"/>
  <c r="K41" i="2"/>
  <c r="K54" i="2"/>
  <c r="K75" i="2"/>
  <c r="K39" i="2"/>
  <c r="K21" i="2"/>
  <c r="K70" i="2"/>
  <c r="K63" i="2"/>
  <c r="K46" i="2"/>
  <c r="K11" i="2"/>
  <c r="K35" i="2"/>
  <c r="K64" i="2"/>
  <c r="K57" i="2"/>
  <c r="K81" i="2"/>
  <c r="K69" i="2"/>
  <c r="K71" i="2"/>
  <c r="K66" i="2"/>
  <c r="K83" i="2"/>
  <c r="K77" i="2"/>
  <c r="K30" i="2"/>
  <c r="K26" i="2"/>
  <c r="K33" i="2"/>
  <c r="K56" i="2"/>
  <c r="K48" i="2"/>
  <c r="K38" i="2"/>
  <c r="K9" i="2"/>
  <c r="K5" i="2"/>
  <c r="K20" i="2"/>
  <c r="K18" i="2"/>
  <c r="K8" i="2"/>
  <c r="K45" i="2"/>
  <c r="K44" i="2"/>
  <c r="K79" i="2"/>
  <c r="K22" i="2"/>
  <c r="K52" i="2"/>
  <c r="K25" i="2"/>
  <c r="K40" i="2"/>
  <c r="K67" i="2"/>
  <c r="K10" i="2"/>
  <c r="K80" i="2"/>
  <c r="K14" i="2"/>
  <c r="K17" i="2"/>
  <c r="K13" i="2"/>
  <c r="K42" i="2"/>
  <c r="K62" i="2"/>
  <c r="K19" i="2"/>
  <c r="K73" i="2"/>
  <c r="K72" i="2"/>
  <c r="K32" i="2"/>
  <c r="K6" i="2"/>
  <c r="K51" i="2"/>
  <c r="K24" i="2"/>
  <c r="K58" i="2"/>
  <c r="K60" i="2"/>
  <c r="K28" i="2"/>
  <c r="K27" i="2"/>
  <c r="K34" i="2"/>
  <c r="K49" i="2"/>
  <c r="K29" i="2"/>
  <c r="K50" i="2"/>
  <c r="K76" i="2"/>
  <c r="K15" i="2"/>
  <c r="K16" i="2"/>
  <c r="K53" i="2"/>
  <c r="K82" i="2"/>
  <c r="K78" i="2"/>
  <c r="K59" i="2"/>
  <c r="K68" i="2"/>
  <c r="K7" i="2"/>
  <c r="K37" i="2"/>
  <c r="Q46" i="2"/>
  <c r="Q55" i="2"/>
  <c r="Q23" i="2"/>
  <c r="Q57" i="2"/>
  <c r="Q15" i="2"/>
  <c r="Q8" i="2"/>
  <c r="Q76" i="2"/>
  <c r="Q17" i="2"/>
  <c r="Q9" i="2"/>
  <c r="Q45" i="2"/>
  <c r="Q48" i="2"/>
  <c r="Q38" i="2"/>
  <c r="Q74" i="2"/>
  <c r="Q70" i="2"/>
  <c r="Q27" i="2"/>
  <c r="Q58" i="2"/>
  <c r="Q37" i="2"/>
  <c r="Q71" i="2"/>
  <c r="Q65" i="2"/>
  <c r="Q79" i="2"/>
  <c r="Q77" i="2"/>
  <c r="Q56" i="2"/>
  <c r="Q53" i="2"/>
  <c r="Q24" i="2"/>
  <c r="Q18" i="2"/>
  <c r="Q34" i="2"/>
  <c r="Q32" i="2"/>
  <c r="Q42" i="2"/>
  <c r="Q41" i="2"/>
  <c r="Q60" i="2"/>
  <c r="Q36" i="2"/>
  <c r="Q78" i="2"/>
  <c r="Q25" i="2"/>
  <c r="Q75" i="2"/>
  <c r="Q54" i="2"/>
  <c r="Q81" i="2"/>
  <c r="Q82" i="2"/>
  <c r="Q33" i="2"/>
  <c r="Q19" i="2"/>
  <c r="Q28" i="2"/>
  <c r="Q66" i="2"/>
  <c r="Q47" i="2"/>
  <c r="Q12" i="2"/>
  <c r="Q13" i="2"/>
  <c r="Q61" i="2"/>
  <c r="Q21" i="2"/>
  <c r="Q64" i="2"/>
  <c r="Q39" i="2"/>
  <c r="Q31" i="2"/>
  <c r="Q10" i="2"/>
  <c r="Q35" i="2"/>
  <c r="Q83" i="2"/>
  <c r="Q51" i="2"/>
  <c r="Q63" i="2"/>
  <c r="Q30" i="2"/>
  <c r="Q11" i="2"/>
  <c r="Q62" i="2"/>
  <c r="Q16" i="2"/>
  <c r="Q6" i="2"/>
  <c r="Q5" i="2"/>
  <c r="Q68" i="2"/>
  <c r="Q43" i="2"/>
  <c r="Q72" i="2"/>
  <c r="Q29" i="2"/>
  <c r="Q80" i="2"/>
  <c r="Q59" i="2"/>
  <c r="Q14" i="2"/>
  <c r="Q50" i="2"/>
  <c r="Q69" i="2"/>
  <c r="Q67" i="2"/>
  <c r="Q44" i="2"/>
  <c r="Q20" i="2"/>
  <c r="Q49" i="2"/>
  <c r="Q40" i="2"/>
  <c r="Q73" i="2"/>
  <c r="Q26" i="2"/>
  <c r="Q52" i="2"/>
  <c r="Q7" i="2"/>
  <c r="Q22" i="2"/>
  <c r="W43" i="2"/>
  <c r="W31" i="2"/>
  <c r="W55" i="2"/>
  <c r="W67" i="2"/>
  <c r="W65" i="2"/>
  <c r="W57" i="2"/>
  <c r="W20" i="2"/>
  <c r="W38" i="2"/>
  <c r="W49" i="2"/>
  <c r="W39" i="2"/>
  <c r="W21" i="2"/>
  <c r="W29" i="2"/>
  <c r="W17" i="2"/>
  <c r="W53" i="2"/>
  <c r="W73" i="2"/>
  <c r="W11" i="2"/>
  <c r="W8" i="2"/>
  <c r="W68" i="2"/>
  <c r="W66" i="2"/>
  <c r="W80" i="2"/>
  <c r="W13" i="2"/>
  <c r="W33" i="2"/>
  <c r="W40" i="2"/>
  <c r="W34" i="2"/>
  <c r="W37" i="2"/>
  <c r="W41" i="2"/>
  <c r="W82" i="2"/>
  <c r="W27" i="2"/>
  <c r="W16" i="2"/>
  <c r="W6" i="2"/>
  <c r="W69" i="2"/>
  <c r="W79" i="2"/>
  <c r="W75" i="2"/>
  <c r="W61" i="2"/>
  <c r="W18" i="2"/>
  <c r="W42" i="2"/>
  <c r="W5" i="2"/>
  <c r="W44" i="2"/>
  <c r="W30" i="2"/>
  <c r="W51" i="2"/>
  <c r="W50" i="2"/>
  <c r="W60" i="2"/>
  <c r="W74" i="2"/>
  <c r="W70" i="2"/>
  <c r="W83" i="2"/>
  <c r="W77" i="2"/>
  <c r="W25" i="2"/>
  <c r="W35" i="2"/>
  <c r="W71" i="2"/>
  <c r="W45" i="2"/>
  <c r="W9" i="2"/>
  <c r="W54" i="2"/>
  <c r="W46" i="2"/>
  <c r="W22" i="2"/>
  <c r="W23" i="2"/>
  <c r="W48" i="2"/>
  <c r="W14" i="2"/>
  <c r="W64" i="2"/>
  <c r="W72" i="2"/>
  <c r="W32" i="2"/>
  <c r="W28" i="2"/>
  <c r="W26" i="2"/>
  <c r="W52" i="2"/>
  <c r="W36" i="2"/>
  <c r="W59" i="2"/>
  <c r="W19" i="2"/>
  <c r="W63" i="2"/>
  <c r="W24" i="2"/>
  <c r="W15" i="2"/>
  <c r="W58" i="2"/>
  <c r="W56" i="2"/>
  <c r="W47" i="2"/>
  <c r="W10" i="2"/>
  <c r="W81" i="2"/>
  <c r="W78" i="2"/>
  <c r="W76" i="2"/>
  <c r="W62" i="2"/>
  <c r="W7" i="2"/>
  <c r="W12" i="2"/>
  <c r="G71" i="2"/>
  <c r="G65" i="2"/>
  <c r="G83" i="2"/>
  <c r="G41" i="2"/>
  <c r="G63" i="2"/>
  <c r="G48" i="2"/>
  <c r="G27" i="2"/>
  <c r="G54" i="2"/>
  <c r="G8" i="2"/>
  <c r="G62" i="2"/>
  <c r="G28" i="2"/>
  <c r="G40" i="2"/>
  <c r="G52" i="2"/>
  <c r="G67" i="2"/>
  <c r="G59" i="2"/>
  <c r="G73" i="2"/>
  <c r="G10" i="2"/>
  <c r="G34" i="2"/>
  <c r="G42" i="2"/>
  <c r="G77" i="2"/>
  <c r="G64" i="2"/>
  <c r="G25" i="2"/>
  <c r="G13" i="2"/>
  <c r="G38" i="2"/>
  <c r="G18" i="2"/>
  <c r="G37" i="2"/>
  <c r="G68" i="2"/>
  <c r="G45" i="2"/>
  <c r="G31" i="2"/>
  <c r="G58" i="2"/>
  <c r="G55" i="2"/>
  <c r="G69" i="2"/>
  <c r="G79" i="2"/>
  <c r="G78" i="2"/>
  <c r="G43" i="2"/>
  <c r="G80" i="2"/>
  <c r="G76" i="2"/>
  <c r="G82" i="2"/>
  <c r="G47" i="2"/>
  <c r="G46" i="2"/>
  <c r="G16" i="2"/>
  <c r="G60" i="2"/>
  <c r="G29" i="2"/>
  <c r="G57" i="2"/>
  <c r="G9" i="2"/>
  <c r="G17" i="2"/>
  <c r="G6" i="2"/>
  <c r="G36" i="2"/>
  <c r="G33" i="2"/>
  <c r="G61" i="2"/>
  <c r="G35" i="2"/>
  <c r="G75" i="2"/>
  <c r="G66" i="2"/>
  <c r="G23" i="2"/>
  <c r="G5" i="2"/>
  <c r="G12" i="2"/>
  <c r="G30" i="2"/>
  <c r="G81" i="2"/>
  <c r="G20" i="2"/>
  <c r="G19" i="2"/>
  <c r="G44" i="2"/>
  <c r="G22" i="2"/>
  <c r="G11" i="2"/>
  <c r="G53" i="2"/>
  <c r="G56" i="2"/>
  <c r="G50" i="2"/>
  <c r="G26" i="2"/>
  <c r="G32" i="2"/>
  <c r="G39" i="2"/>
  <c r="G51" i="2"/>
  <c r="G24" i="2"/>
  <c r="G49" i="2"/>
  <c r="G14" i="2"/>
  <c r="G21" i="2"/>
  <c r="G74" i="2"/>
  <c r="G70" i="2"/>
  <c r="G72" i="2"/>
  <c r="G7" i="2"/>
  <c r="G15" i="2"/>
  <c r="M66" i="2"/>
  <c r="M82" i="2"/>
  <c r="M56" i="2"/>
  <c r="M9" i="2"/>
  <c r="M73" i="2"/>
  <c r="M69" i="2"/>
  <c r="M61" i="2"/>
  <c r="M67" i="2"/>
  <c r="M45" i="2"/>
  <c r="M58" i="2"/>
  <c r="M51" i="2"/>
  <c r="M17" i="2"/>
  <c r="M47" i="2"/>
  <c r="M31" i="2"/>
  <c r="M80" i="2"/>
  <c r="M72" i="2"/>
  <c r="M38" i="2"/>
  <c r="M29" i="2"/>
  <c r="M13" i="2"/>
  <c r="M70" i="2"/>
  <c r="M64" i="2"/>
  <c r="M12" i="2"/>
  <c r="M32" i="2"/>
  <c r="M35" i="2"/>
  <c r="M41" i="2"/>
  <c r="M36" i="2"/>
  <c r="M77" i="2"/>
  <c r="M75" i="2"/>
  <c r="M28" i="2"/>
  <c r="M27" i="2"/>
  <c r="M39" i="2"/>
  <c r="M83" i="2"/>
  <c r="M76" i="2"/>
  <c r="M48" i="2"/>
  <c r="M20" i="2"/>
  <c r="M68" i="2"/>
  <c r="M44" i="2"/>
  <c r="M14" i="2"/>
  <c r="M78" i="2"/>
  <c r="M52" i="2"/>
  <c r="M59" i="2"/>
  <c r="M53" i="2"/>
  <c r="M57" i="2"/>
  <c r="M74" i="2"/>
  <c r="M37" i="2"/>
  <c r="M40" i="2"/>
  <c r="M8" i="2"/>
  <c r="M21" i="2"/>
  <c r="M65" i="2"/>
  <c r="M49" i="2"/>
  <c r="M24" i="2"/>
  <c r="M10" i="2"/>
  <c r="M26" i="2"/>
  <c r="M33" i="2"/>
  <c r="M16" i="2"/>
  <c r="M18" i="2"/>
  <c r="M30" i="2"/>
  <c r="M81" i="2"/>
  <c r="M23" i="2"/>
  <c r="M15" i="2"/>
  <c r="M63" i="2"/>
  <c r="M60" i="2"/>
  <c r="M42" i="2"/>
  <c r="M62" i="2"/>
  <c r="M79" i="2"/>
  <c r="M46" i="2"/>
  <c r="M43" i="2"/>
  <c r="M11" i="2"/>
  <c r="M71" i="2"/>
  <c r="M55" i="2"/>
  <c r="M54" i="2"/>
  <c r="M5" i="2"/>
  <c r="M50" i="2"/>
  <c r="M19" i="2"/>
  <c r="M34" i="2"/>
  <c r="M6" i="2"/>
  <c r="M25" i="2"/>
  <c r="M7" i="2"/>
  <c r="M22" i="2"/>
  <c r="S11" i="2"/>
  <c r="S56" i="2"/>
  <c r="S65" i="2"/>
  <c r="S73" i="2"/>
  <c r="S18" i="2"/>
  <c r="S31" i="2"/>
  <c r="S28" i="2"/>
  <c r="S66" i="2"/>
  <c r="S39" i="2"/>
  <c r="S61" i="2"/>
  <c r="S64" i="2"/>
  <c r="S83" i="2"/>
  <c r="S75" i="2"/>
  <c r="S54" i="2"/>
  <c r="S27" i="2"/>
  <c r="S5" i="2"/>
  <c r="S25" i="2"/>
  <c r="S62" i="2"/>
  <c r="S34" i="2"/>
  <c r="S24" i="2"/>
  <c r="S10" i="2"/>
  <c r="S76" i="2"/>
  <c r="S41" i="2"/>
  <c r="S52" i="2"/>
  <c r="S69" i="2"/>
  <c r="S9" i="2"/>
  <c r="S67" i="2"/>
  <c r="S36" i="2"/>
  <c r="S30" i="2"/>
  <c r="S17" i="2"/>
  <c r="S57" i="2"/>
  <c r="S42" i="2"/>
  <c r="S79" i="2"/>
  <c r="S43" i="2"/>
  <c r="S46" i="2"/>
  <c r="S37" i="2"/>
  <c r="S71" i="2"/>
  <c r="S6" i="2"/>
  <c r="S47" i="2"/>
  <c r="S22" i="2"/>
  <c r="S29" i="2"/>
  <c r="S49" i="2"/>
  <c r="S50" i="2"/>
  <c r="S32" i="2"/>
  <c r="S21" i="2"/>
  <c r="S33" i="2"/>
  <c r="S40" i="2"/>
  <c r="S20" i="2"/>
  <c r="S68" i="2"/>
  <c r="S26" i="2"/>
  <c r="S58" i="2"/>
  <c r="S12" i="2"/>
  <c r="S38" i="2"/>
  <c r="S59" i="2"/>
  <c r="S55" i="2"/>
  <c r="S80" i="2"/>
  <c r="S60" i="2"/>
  <c r="S82" i="2"/>
  <c r="S70" i="2"/>
  <c r="S78" i="2"/>
  <c r="S8" i="2"/>
  <c r="S14" i="2"/>
  <c r="S44" i="2"/>
  <c r="S72" i="2"/>
  <c r="S48" i="2"/>
  <c r="S13" i="2"/>
  <c r="S45" i="2"/>
  <c r="S16" i="2"/>
  <c r="S74" i="2"/>
  <c r="S19" i="2"/>
  <c r="S77" i="2"/>
  <c r="S23" i="2"/>
  <c r="S15" i="2"/>
  <c r="S63" i="2"/>
  <c r="S51" i="2"/>
  <c r="S53" i="2"/>
  <c r="S35" i="2"/>
  <c r="S7" i="2"/>
  <c r="S81" i="2"/>
  <c r="B3" i="3" l="1" a="1"/>
  <c r="B3" i="3" s="1"/>
  <c r="D3" i="3" a="1"/>
  <c r="D3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<sst xmlns="http://schemas.openxmlformats.org/spreadsheetml/2006/main" count="5169" uniqueCount="1557">
  <si>
    <t>十五音</t>
  </si>
  <si>
    <t>英</t>
    <phoneticPr fontId="2" type="noConversion"/>
  </si>
  <si>
    <t>邊</t>
  </si>
  <si>
    <t>頗</t>
  </si>
  <si>
    <t>門</t>
  </si>
  <si>
    <t>地</t>
  </si>
  <si>
    <t>他</t>
  </si>
  <si>
    <t>柳</t>
  </si>
  <si>
    <t>求</t>
  </si>
  <si>
    <t>去</t>
  </si>
  <si>
    <t>語</t>
  </si>
  <si>
    <t>喜</t>
  </si>
  <si>
    <t>曾</t>
  </si>
  <si>
    <t>出</t>
  </si>
  <si>
    <t>時</t>
  </si>
  <si>
    <t>入</t>
  </si>
  <si>
    <t>入</t>
    <phoneticPr fontId="2" type="noConversion"/>
  </si>
  <si>
    <t>漢字例</t>
    <phoneticPr fontId="2" type="noConversion"/>
  </si>
  <si>
    <t>恩</t>
    <phoneticPr fontId="2" type="noConversion"/>
  </si>
  <si>
    <t>比</t>
    <phoneticPr fontId="2" type="noConversion"/>
  </si>
  <si>
    <t>鼻</t>
    <phoneticPr fontId="2" type="noConversion"/>
  </si>
  <si>
    <t>文</t>
    <phoneticPr fontId="2" type="noConversion"/>
  </si>
  <si>
    <t>毛</t>
    <phoneticPr fontId="2" type="noConversion"/>
  </si>
  <si>
    <t>底</t>
    <phoneticPr fontId="2" type="noConversion"/>
  </si>
  <si>
    <t>替</t>
    <phoneticPr fontId="2" type="noConversion"/>
  </si>
  <si>
    <t>理</t>
    <phoneticPr fontId="2" type="noConversion"/>
  </si>
  <si>
    <t>耐</t>
    <phoneticPr fontId="2" type="noConversion"/>
  </si>
  <si>
    <t>己</t>
    <phoneticPr fontId="2" type="noConversion"/>
  </si>
  <si>
    <t>起</t>
    <phoneticPr fontId="2" type="noConversion"/>
  </si>
  <si>
    <t>禦</t>
    <phoneticPr fontId="2" type="noConversion"/>
  </si>
  <si>
    <t>雅</t>
    <phoneticPr fontId="2" type="noConversion"/>
  </si>
  <si>
    <t>非</t>
    <phoneticPr fontId="2" type="noConversion"/>
  </si>
  <si>
    <t>阻</t>
    <phoneticPr fontId="2" type="noConversion"/>
  </si>
  <si>
    <t>止</t>
    <phoneticPr fontId="2" type="noConversion"/>
  </si>
  <si>
    <t>取</t>
    <phoneticPr fontId="2" type="noConversion"/>
  </si>
  <si>
    <t>測</t>
    <phoneticPr fontId="2" type="noConversion"/>
  </si>
  <si>
    <t>詞</t>
    <phoneticPr fontId="2" type="noConversion"/>
  </si>
  <si>
    <t>施</t>
    <phoneticPr fontId="2" type="noConversion"/>
  </si>
  <si>
    <t>如</t>
    <phoneticPr fontId="2" type="noConversion"/>
  </si>
  <si>
    <t>二</t>
    <phoneticPr fontId="2" type="noConversion"/>
  </si>
  <si>
    <t>台羅拼音</t>
    <phoneticPr fontId="2" type="noConversion"/>
  </si>
  <si>
    <t>p</t>
  </si>
  <si>
    <t>ph</t>
  </si>
  <si>
    <t>b</t>
  </si>
  <si>
    <t>m</t>
  </si>
  <si>
    <t>t</t>
  </si>
  <si>
    <t>th</t>
  </si>
  <si>
    <t>l</t>
  </si>
  <si>
    <t>n</t>
  </si>
  <si>
    <t>k</t>
  </si>
  <si>
    <t>kh</t>
  </si>
  <si>
    <t>g</t>
  </si>
  <si>
    <t>ng</t>
  </si>
  <si>
    <t>h</t>
  </si>
  <si>
    <t>ts</t>
  </si>
  <si>
    <t>tsi</t>
  </si>
  <si>
    <t>tsh</t>
  </si>
  <si>
    <t>tshi</t>
  </si>
  <si>
    <t>s</t>
  </si>
  <si>
    <t>si</t>
  </si>
  <si>
    <t>j</t>
  </si>
  <si>
    <t>ji</t>
    <phoneticPr fontId="2" type="noConversion"/>
  </si>
  <si>
    <t>君（舒）</t>
  </si>
  <si>
    <t>君（促）</t>
  </si>
  <si>
    <t>堅（舒）</t>
  </si>
  <si>
    <t>堅（促）</t>
  </si>
  <si>
    <t>金（舒）</t>
  </si>
  <si>
    <t>金（促）</t>
  </si>
  <si>
    <t>規（舒）</t>
  </si>
  <si>
    <t>規（促）</t>
  </si>
  <si>
    <t>嘉（舒）</t>
  </si>
  <si>
    <t>嘉（促）</t>
  </si>
  <si>
    <t>干（舒）</t>
  </si>
  <si>
    <t>干（促）</t>
  </si>
  <si>
    <t>公（舒）</t>
  </si>
  <si>
    <t>公（促）</t>
  </si>
  <si>
    <t>乖（舒）</t>
  </si>
  <si>
    <t>乖（促）</t>
  </si>
  <si>
    <t>經（舒）</t>
  </si>
  <si>
    <t>經（促）</t>
  </si>
  <si>
    <t>觀（舒）</t>
  </si>
  <si>
    <t>觀（促）</t>
  </si>
  <si>
    <t>沽（舒）</t>
  </si>
  <si>
    <t>沽（促）</t>
  </si>
  <si>
    <t>嬌（舒）</t>
  </si>
  <si>
    <t>嬌（促）</t>
  </si>
  <si>
    <t>稽（舒）</t>
  </si>
  <si>
    <t>稽（促）</t>
  </si>
  <si>
    <t>恭（舒）</t>
  </si>
  <si>
    <t>恭（促）</t>
  </si>
  <si>
    <t>高（舒）</t>
  </si>
  <si>
    <t>高（促）</t>
  </si>
  <si>
    <t>皆（舒）</t>
  </si>
  <si>
    <t>皆（促）</t>
  </si>
  <si>
    <t>巾（舒）</t>
  </si>
  <si>
    <t>巾（促）</t>
  </si>
  <si>
    <t>姜（舒）</t>
  </si>
  <si>
    <t>姜（促）</t>
  </si>
  <si>
    <t>甘（舒）</t>
  </si>
  <si>
    <t>甘（促）</t>
  </si>
  <si>
    <t>瓜（舒）</t>
  </si>
  <si>
    <t>瓜（促）</t>
  </si>
  <si>
    <t>江（舒）</t>
  </si>
  <si>
    <t>江（促）</t>
  </si>
  <si>
    <t>兼（舒）</t>
  </si>
  <si>
    <t>兼（促）</t>
  </si>
  <si>
    <t>交（舒）</t>
  </si>
  <si>
    <t>交（促）</t>
  </si>
  <si>
    <t>迦（舒）</t>
  </si>
  <si>
    <t>迦（促）</t>
  </si>
  <si>
    <t>檜（舒）</t>
  </si>
  <si>
    <t>檜（促）</t>
  </si>
  <si>
    <t>監（舒）</t>
  </si>
  <si>
    <t>監（促）</t>
  </si>
  <si>
    <t>艍（舒）</t>
  </si>
  <si>
    <t>艍（促）</t>
  </si>
  <si>
    <t>膠（舒）</t>
  </si>
  <si>
    <t>膠（促）</t>
  </si>
  <si>
    <t>居（舒）</t>
  </si>
  <si>
    <t>居（促）</t>
  </si>
  <si>
    <t>丩（舒）</t>
  </si>
  <si>
    <t>丩（促）</t>
  </si>
  <si>
    <t>更（舒）</t>
  </si>
  <si>
    <t>更（促）</t>
  </si>
  <si>
    <t>褌（舒）</t>
  </si>
  <si>
    <t>褌（促）</t>
  </si>
  <si>
    <t>茄（舒）</t>
  </si>
  <si>
    <t>茄（促）</t>
  </si>
  <si>
    <t>梔（舒）</t>
  </si>
  <si>
    <t>梔（促）</t>
  </si>
  <si>
    <t>薑（舒）</t>
  </si>
  <si>
    <t>薑（促）</t>
  </si>
  <si>
    <t>驚（舒）</t>
  </si>
  <si>
    <t>驚（促）</t>
  </si>
  <si>
    <t>官（舒）</t>
  </si>
  <si>
    <t>官（促）</t>
  </si>
  <si>
    <t>鋼（舒）</t>
  </si>
  <si>
    <t>鋼（促）</t>
  </si>
  <si>
    <t>伽（舒）</t>
  </si>
  <si>
    <t>伽（促）</t>
  </si>
  <si>
    <t>閒（舒）</t>
  </si>
  <si>
    <t>閒（促）</t>
  </si>
  <si>
    <t>姑（舒）</t>
  </si>
  <si>
    <t>姑（促）</t>
  </si>
  <si>
    <t>姆（舒）</t>
  </si>
  <si>
    <t>姆（促）</t>
  </si>
  <si>
    <t>光（舒）</t>
  </si>
  <si>
    <t>光（促）</t>
  </si>
  <si>
    <t>閂（舒）</t>
  </si>
  <si>
    <t>閂（促）</t>
  </si>
  <si>
    <t>糜（舒）</t>
  </si>
  <si>
    <t>糜（促）</t>
  </si>
  <si>
    <t>嘄（舒）</t>
  </si>
  <si>
    <t>嘄（促）</t>
  </si>
  <si>
    <t>箴（舒）</t>
  </si>
  <si>
    <t>箴（促）</t>
  </si>
  <si>
    <t>爻（舒）</t>
  </si>
  <si>
    <t>爻（促）</t>
  </si>
  <si>
    <t>扛（舒）</t>
  </si>
  <si>
    <t>扛（促）</t>
  </si>
  <si>
    <t>牛（舒）</t>
  </si>
  <si>
    <t>牛（促）</t>
  </si>
  <si>
    <t>un</t>
  </si>
  <si>
    <t>ut</t>
  </si>
  <si>
    <t>ian</t>
  </si>
  <si>
    <t>iat</t>
  </si>
  <si>
    <t>im</t>
  </si>
  <si>
    <t>ip</t>
  </si>
  <si>
    <t>ui</t>
  </si>
  <si>
    <t>ee</t>
  </si>
  <si>
    <t>eeh</t>
  </si>
  <si>
    <t>an</t>
  </si>
  <si>
    <t>at</t>
  </si>
  <si>
    <t>ong</t>
  </si>
  <si>
    <t>ok</t>
  </si>
  <si>
    <t>uai</t>
  </si>
  <si>
    <t>uaih</t>
  </si>
  <si>
    <t>ing</t>
  </si>
  <si>
    <t>ik</t>
  </si>
  <si>
    <t>uan</t>
  </si>
  <si>
    <t>uat</t>
  </si>
  <si>
    <t>oo</t>
  </si>
  <si>
    <t>iau</t>
  </si>
  <si>
    <t>iauh</t>
  </si>
  <si>
    <t>e</t>
  </si>
  <si>
    <t>iong</t>
  </si>
  <si>
    <t>iok</t>
  </si>
  <si>
    <t>o</t>
  </si>
  <si>
    <t>oh</t>
  </si>
  <si>
    <t>ai</t>
  </si>
  <si>
    <t>in</t>
  </si>
  <si>
    <t>it</t>
  </si>
  <si>
    <t>iang</t>
  </si>
  <si>
    <t>iak</t>
  </si>
  <si>
    <t>am</t>
  </si>
  <si>
    <t>ap</t>
  </si>
  <si>
    <t>ua</t>
  </si>
  <si>
    <t>uah</t>
  </si>
  <si>
    <t>ang</t>
  </si>
  <si>
    <t>ak</t>
  </si>
  <si>
    <t>iam</t>
  </si>
  <si>
    <t>iap</t>
  </si>
  <si>
    <t>au</t>
  </si>
  <si>
    <t>auh</t>
  </si>
  <si>
    <t>ia</t>
  </si>
  <si>
    <t>iah</t>
  </si>
  <si>
    <t>ue</t>
  </si>
  <si>
    <t>ueh</t>
  </si>
  <si>
    <t>ann</t>
  </si>
  <si>
    <t>annh</t>
  </si>
  <si>
    <t>u</t>
  </si>
  <si>
    <t>uh</t>
  </si>
  <si>
    <t>a</t>
  </si>
  <si>
    <t>ah</t>
  </si>
  <si>
    <t>i</t>
  </si>
  <si>
    <t>ih</t>
  </si>
  <si>
    <t>iu</t>
  </si>
  <si>
    <t>enn</t>
  </si>
  <si>
    <t>ennh</t>
  </si>
  <si>
    <t>uinn</t>
  </si>
  <si>
    <t>io</t>
  </si>
  <si>
    <t>ioh</t>
  </si>
  <si>
    <t>inn</t>
  </si>
  <si>
    <t>innh</t>
  </si>
  <si>
    <t>ionn</t>
  </si>
  <si>
    <t>iannh</t>
  </si>
  <si>
    <t>uann</t>
  </si>
  <si>
    <t>eh</t>
  </si>
  <si>
    <t>ainn</t>
  </si>
  <si>
    <t>onn</t>
  </si>
  <si>
    <t>uang</t>
  </si>
  <si>
    <t>uak</t>
  </si>
  <si>
    <t>uainn</t>
  </si>
  <si>
    <t>uainnh</t>
  </si>
  <si>
    <t>uenn</t>
  </si>
  <si>
    <t>iaunn</t>
  </si>
  <si>
    <t>om</t>
  </si>
  <si>
    <t>aunn</t>
  </si>
  <si>
    <t>onnh</t>
  </si>
  <si>
    <t>iunn</t>
  </si>
  <si>
    <t>分</t>
    <phoneticPr fontId="2" type="noConversion"/>
  </si>
  <si>
    <t>掀</t>
    <phoneticPr fontId="2" type="noConversion"/>
  </si>
  <si>
    <t>佛</t>
    <phoneticPr fontId="2" type="noConversion"/>
  </si>
  <si>
    <t>結</t>
    <phoneticPr fontId="2" type="noConversion"/>
  </si>
  <si>
    <t>深</t>
    <phoneticPr fontId="2" type="noConversion"/>
  </si>
  <si>
    <t>擦</t>
    <phoneticPr fontId="2" type="noConversion"/>
  </si>
  <si>
    <t>其</t>
    <phoneticPr fontId="2" type="noConversion"/>
  </si>
  <si>
    <t>急</t>
    <phoneticPr fontId="2" type="noConversion"/>
  </si>
  <si>
    <t>歸</t>
    <phoneticPr fontId="2" type="noConversion"/>
  </si>
  <si>
    <t>加</t>
    <phoneticPr fontId="2" type="noConversion"/>
  </si>
  <si>
    <t>格</t>
    <phoneticPr fontId="2" type="noConversion"/>
  </si>
  <si>
    <t>蘭</t>
    <phoneticPr fontId="2" type="noConversion"/>
  </si>
  <si>
    <t>薄</t>
    <phoneticPr fontId="2" type="noConversion"/>
  </si>
  <si>
    <t>ooh</t>
  </si>
  <si>
    <t>ooh</t>
    <phoneticPr fontId="2" type="noConversion"/>
  </si>
  <si>
    <t>風</t>
    <phoneticPr fontId="2" type="noConversion"/>
  </si>
  <si>
    <t>服</t>
    <phoneticPr fontId="2" type="noConversion"/>
  </si>
  <si>
    <t>怪</t>
    <phoneticPr fontId="2" type="noConversion"/>
  </si>
  <si>
    <t>孬</t>
    <phoneticPr fontId="2" type="noConversion"/>
  </si>
  <si>
    <t>情</t>
    <phoneticPr fontId="2" type="noConversion"/>
  </si>
  <si>
    <t>團</t>
    <phoneticPr fontId="2" type="noConversion"/>
  </si>
  <si>
    <t>決</t>
    <phoneticPr fontId="2" type="noConversion"/>
  </si>
  <si>
    <t>姑</t>
    <phoneticPr fontId="2" type="noConversion"/>
  </si>
  <si>
    <t>鵰</t>
    <phoneticPr fontId="2" type="noConversion"/>
  </si>
  <si>
    <t>愀</t>
    <phoneticPr fontId="2" type="noConversion"/>
  </si>
  <si>
    <t>街</t>
    <phoneticPr fontId="2" type="noConversion"/>
  </si>
  <si>
    <t>中</t>
    <phoneticPr fontId="2" type="noConversion"/>
  </si>
  <si>
    <t>菊</t>
    <phoneticPr fontId="2" type="noConversion"/>
  </si>
  <si>
    <t>刀</t>
    <phoneticPr fontId="2" type="noConversion"/>
  </si>
  <si>
    <t>卓</t>
    <phoneticPr fontId="2" type="noConversion"/>
  </si>
  <si>
    <t>皆</t>
    <phoneticPr fontId="2" type="noConversion"/>
  </si>
  <si>
    <t>今</t>
    <phoneticPr fontId="2" type="noConversion"/>
  </si>
  <si>
    <t>乞</t>
    <phoneticPr fontId="2" type="noConversion"/>
  </si>
  <si>
    <t>湯</t>
    <phoneticPr fontId="2" type="noConversion"/>
  </si>
  <si>
    <t>漳</t>
    <phoneticPr fontId="2" type="noConversion"/>
  </si>
  <si>
    <t>鑠</t>
    <phoneticPr fontId="2" type="noConversion"/>
  </si>
  <si>
    <t>堪</t>
    <phoneticPr fontId="2" type="noConversion"/>
  </si>
  <si>
    <t>合</t>
    <phoneticPr fontId="2" type="noConversion"/>
  </si>
  <si>
    <t>呱</t>
    <phoneticPr fontId="2" type="noConversion"/>
  </si>
  <si>
    <t>割</t>
    <phoneticPr fontId="2" type="noConversion"/>
  </si>
  <si>
    <t>東</t>
    <phoneticPr fontId="2" type="noConversion"/>
  </si>
  <si>
    <t>北</t>
    <phoneticPr fontId="2" type="noConversion"/>
  </si>
  <si>
    <t>謙</t>
    <phoneticPr fontId="2" type="noConversion"/>
  </si>
  <si>
    <t>俠</t>
    <phoneticPr fontId="2" type="noConversion"/>
  </si>
  <si>
    <t>包</t>
    <phoneticPr fontId="2" type="noConversion"/>
  </si>
  <si>
    <t>𩛩</t>
    <phoneticPr fontId="2" type="noConversion"/>
  </si>
  <si>
    <t>爹</t>
    <phoneticPr fontId="2" type="noConversion"/>
  </si>
  <si>
    <t>壁</t>
    <phoneticPr fontId="2" type="noConversion"/>
  </si>
  <si>
    <t>魁</t>
    <phoneticPr fontId="2" type="noConversion"/>
  </si>
  <si>
    <t>郭</t>
    <phoneticPr fontId="2" type="noConversion"/>
  </si>
  <si>
    <t>擔</t>
    <phoneticPr fontId="2" type="noConversion"/>
  </si>
  <si>
    <t>喢</t>
    <phoneticPr fontId="2" type="noConversion"/>
  </si>
  <si>
    <t>丘</t>
    <phoneticPr fontId="2" type="noConversion"/>
  </si>
  <si>
    <t>焠</t>
    <phoneticPr fontId="2" type="noConversion"/>
  </si>
  <si>
    <t>咬</t>
    <phoneticPr fontId="2" type="noConversion"/>
  </si>
  <si>
    <t>搭</t>
    <phoneticPr fontId="2" type="noConversion"/>
  </si>
  <si>
    <t>摺</t>
    <phoneticPr fontId="2" type="noConversion"/>
  </si>
  <si>
    <t>抽</t>
    <phoneticPr fontId="2" type="noConversion"/>
  </si>
  <si>
    <t>青</t>
    <phoneticPr fontId="2" type="noConversion"/>
  </si>
  <si>
    <t>喀</t>
    <phoneticPr fontId="2" type="noConversion"/>
  </si>
  <si>
    <t>招</t>
    <phoneticPr fontId="2" type="noConversion"/>
  </si>
  <si>
    <t>借</t>
    <phoneticPr fontId="2" type="noConversion"/>
  </si>
  <si>
    <t>甜</t>
    <phoneticPr fontId="2" type="noConversion"/>
  </si>
  <si>
    <t>腔</t>
    <phoneticPr fontId="2" type="noConversion"/>
  </si>
  <si>
    <t>聽</t>
    <phoneticPr fontId="2" type="noConversion"/>
  </si>
  <si>
    <t>iann</t>
  </si>
  <si>
    <t>iann</t>
    <phoneticPr fontId="2" type="noConversion"/>
  </si>
  <si>
    <t>單</t>
    <phoneticPr fontId="2" type="noConversion"/>
  </si>
  <si>
    <t>短</t>
    <phoneticPr fontId="2" type="noConversion"/>
  </si>
  <si>
    <t>篋</t>
    <phoneticPr fontId="2" type="noConversion"/>
  </si>
  <si>
    <t>歹</t>
    <phoneticPr fontId="2" type="noConversion"/>
  </si>
  <si>
    <t>姆</t>
    <phoneticPr fontId="2" type="noConversion"/>
  </si>
  <si>
    <t>闖</t>
    <phoneticPr fontId="2" type="noConversion"/>
  </si>
  <si>
    <t>糜</t>
    <phoneticPr fontId="2" type="noConversion"/>
  </si>
  <si>
    <t>妹</t>
    <phoneticPr fontId="2" type="noConversion"/>
  </si>
  <si>
    <t>uennh</t>
    <phoneticPr fontId="2" type="noConversion"/>
  </si>
  <si>
    <t>嘄</t>
    <phoneticPr fontId="2" type="noConversion"/>
  </si>
  <si>
    <t>iaunnh</t>
    <phoneticPr fontId="2" type="noConversion"/>
  </si>
  <si>
    <t>岋</t>
    <phoneticPr fontId="2" type="noConversion"/>
  </si>
  <si>
    <t>丼</t>
    <phoneticPr fontId="2" type="noConversion"/>
  </si>
  <si>
    <t>喥</t>
    <phoneticPr fontId="2" type="noConversion"/>
  </si>
  <si>
    <t>op</t>
    <phoneticPr fontId="2" type="noConversion"/>
  </si>
  <si>
    <t>藕</t>
    <phoneticPr fontId="2" type="noConversion"/>
  </si>
  <si>
    <t>onnh</t>
    <phoneticPr fontId="2" type="noConversion"/>
  </si>
  <si>
    <t>十五音</t>
    <phoneticPr fontId="2" type="noConversion"/>
  </si>
  <si>
    <t>漢字例</t>
  </si>
  <si>
    <t>台羅拼音</t>
  </si>
  <si>
    <t>Ø</t>
  </si>
  <si>
    <t>ba</t>
  </si>
  <si>
    <t>ga</t>
  </si>
  <si>
    <t>ha</t>
  </si>
  <si>
    <t>ka</t>
  </si>
  <si>
    <t>kha</t>
  </si>
  <si>
    <t>la</t>
  </si>
  <si>
    <t>ma</t>
  </si>
  <si>
    <t>na</t>
  </si>
  <si>
    <t>nga</t>
  </si>
  <si>
    <t>pa</t>
  </si>
  <si>
    <t>pha</t>
  </si>
  <si>
    <t>sa</t>
  </si>
  <si>
    <t>ta</t>
  </si>
  <si>
    <t>tha</t>
  </si>
  <si>
    <t>tsa</t>
  </si>
  <si>
    <t>tsha</t>
  </si>
  <si>
    <t>bah</t>
  </si>
  <si>
    <t>hah</t>
  </si>
  <si>
    <t>kah</t>
  </si>
  <si>
    <t>khah</t>
  </si>
  <si>
    <t>lah</t>
  </si>
  <si>
    <t>nah</t>
  </si>
  <si>
    <t>pah</t>
  </si>
  <si>
    <t>phah</t>
  </si>
  <si>
    <t>sah</t>
  </si>
  <si>
    <t>tah</t>
  </si>
  <si>
    <t>thah</t>
  </si>
  <si>
    <t>tsah</t>
  </si>
  <si>
    <t>tshah</t>
  </si>
  <si>
    <t>bai</t>
  </si>
  <si>
    <t>gai</t>
  </si>
  <si>
    <t>hai</t>
  </si>
  <si>
    <t>kai</t>
  </si>
  <si>
    <t>khai</t>
  </si>
  <si>
    <t>lai</t>
  </si>
  <si>
    <t>mai</t>
  </si>
  <si>
    <t>nai</t>
  </si>
  <si>
    <t>ngai</t>
  </si>
  <si>
    <t>pai</t>
  </si>
  <si>
    <t>phai</t>
  </si>
  <si>
    <t>sai</t>
  </si>
  <si>
    <t>tai</t>
  </si>
  <si>
    <t>thai</t>
  </si>
  <si>
    <t>tsai</t>
  </si>
  <si>
    <t>tshai</t>
  </si>
  <si>
    <t>hainn</t>
  </si>
  <si>
    <t>kainn</t>
  </si>
  <si>
    <t>khainn</t>
  </si>
  <si>
    <t>phainn</t>
  </si>
  <si>
    <t>tainn</t>
  </si>
  <si>
    <t>tsainn</t>
  </si>
  <si>
    <t>bak</t>
  </si>
  <si>
    <t>gak</t>
  </si>
  <si>
    <t>hak</t>
  </si>
  <si>
    <t>kak</t>
  </si>
  <si>
    <t>khak</t>
  </si>
  <si>
    <t>lak</t>
  </si>
  <si>
    <t>pak</t>
  </si>
  <si>
    <t>phak</t>
  </si>
  <si>
    <t>sak</t>
  </si>
  <si>
    <t>tak</t>
  </si>
  <si>
    <t>thak</t>
  </si>
  <si>
    <t>tsak</t>
  </si>
  <si>
    <t>tshak</t>
  </si>
  <si>
    <t>gam</t>
  </si>
  <si>
    <t>ham</t>
  </si>
  <si>
    <t>kam</t>
  </si>
  <si>
    <t>kham</t>
  </si>
  <si>
    <t>lam</t>
  </si>
  <si>
    <t>sam</t>
  </si>
  <si>
    <t>tam</t>
  </si>
  <si>
    <t>tham</t>
  </si>
  <si>
    <t>tsam</t>
  </si>
  <si>
    <t>tsham</t>
  </si>
  <si>
    <t>ban</t>
  </si>
  <si>
    <t>gan</t>
  </si>
  <si>
    <t>han</t>
  </si>
  <si>
    <t>kan</t>
  </si>
  <si>
    <t>khan</t>
  </si>
  <si>
    <t>lan</t>
  </si>
  <si>
    <t>pan</t>
  </si>
  <si>
    <t>phan</t>
  </si>
  <si>
    <t>san</t>
  </si>
  <si>
    <t>tan</t>
  </si>
  <si>
    <t>than</t>
  </si>
  <si>
    <t>tsan</t>
  </si>
  <si>
    <t>tshan</t>
  </si>
  <si>
    <t>bang</t>
  </si>
  <si>
    <t>gang</t>
  </si>
  <si>
    <t>hang</t>
  </si>
  <si>
    <t>kang</t>
  </si>
  <si>
    <t>khang</t>
  </si>
  <si>
    <t>lang</t>
  </si>
  <si>
    <t>pang</t>
  </si>
  <si>
    <t>phang</t>
  </si>
  <si>
    <t>sang</t>
  </si>
  <si>
    <t>tang</t>
  </si>
  <si>
    <t>thang</t>
  </si>
  <si>
    <t>tsang</t>
  </si>
  <si>
    <t>tshang</t>
  </si>
  <si>
    <t>hann</t>
  </si>
  <si>
    <t>kann</t>
  </si>
  <si>
    <t>khann</t>
  </si>
  <si>
    <t>phann</t>
  </si>
  <si>
    <t>sann</t>
  </si>
  <si>
    <t>tann</t>
  </si>
  <si>
    <t>thann</t>
  </si>
  <si>
    <t>tsann</t>
  </si>
  <si>
    <t>tshann</t>
  </si>
  <si>
    <t>hannh</t>
  </si>
  <si>
    <t>sannh</t>
  </si>
  <si>
    <t>hap</t>
  </si>
  <si>
    <t>kap</t>
  </si>
  <si>
    <t>khap</t>
  </si>
  <si>
    <t>lap</t>
  </si>
  <si>
    <t>sap</t>
  </si>
  <si>
    <t>tap</t>
  </si>
  <si>
    <t>thap</t>
  </si>
  <si>
    <t>tsap</t>
  </si>
  <si>
    <t>tshap</t>
  </si>
  <si>
    <t>bat</t>
  </si>
  <si>
    <t>hat</t>
  </si>
  <si>
    <t>kat</t>
  </si>
  <si>
    <t>khat</t>
  </si>
  <si>
    <t>lat</t>
  </si>
  <si>
    <t>pat</t>
  </si>
  <si>
    <t>sat</t>
  </si>
  <si>
    <t>tat</t>
  </si>
  <si>
    <t>that</t>
  </si>
  <si>
    <t>tsat</t>
  </si>
  <si>
    <t>tshat</t>
  </si>
  <si>
    <t>bau</t>
  </si>
  <si>
    <t>gau</t>
  </si>
  <si>
    <t>hau</t>
  </si>
  <si>
    <t>kau</t>
  </si>
  <si>
    <t>khau</t>
  </si>
  <si>
    <t>lau</t>
  </si>
  <si>
    <t>mau</t>
  </si>
  <si>
    <t>nau</t>
  </si>
  <si>
    <t>ngau</t>
  </si>
  <si>
    <t>pau</t>
  </si>
  <si>
    <t>phau</t>
  </si>
  <si>
    <t>sau</t>
  </si>
  <si>
    <t>tau</t>
  </si>
  <si>
    <t>thau</t>
  </si>
  <si>
    <t>tsau</t>
  </si>
  <si>
    <t>tshau</t>
  </si>
  <si>
    <t>kauh</t>
  </si>
  <si>
    <t>lauh</t>
  </si>
  <si>
    <t>mauh</t>
  </si>
  <si>
    <t>nauh</t>
  </si>
  <si>
    <t>phauh</t>
  </si>
  <si>
    <t>tauh</t>
  </si>
  <si>
    <t>tshauh</t>
  </si>
  <si>
    <t>be</t>
  </si>
  <si>
    <t>ge</t>
  </si>
  <si>
    <t>he</t>
  </si>
  <si>
    <t>ke</t>
  </si>
  <si>
    <t>khe</t>
  </si>
  <si>
    <t>le</t>
  </si>
  <si>
    <t>me</t>
  </si>
  <si>
    <t>ne</t>
  </si>
  <si>
    <t>nge</t>
  </si>
  <si>
    <t>pe</t>
  </si>
  <si>
    <t>phe</t>
  </si>
  <si>
    <t>se</t>
  </si>
  <si>
    <t>te</t>
  </si>
  <si>
    <t>the</t>
  </si>
  <si>
    <t>tse</t>
  </si>
  <si>
    <t>tshe</t>
  </si>
  <si>
    <t>beh</t>
  </si>
  <si>
    <t>heh</t>
  </si>
  <si>
    <t>keh</t>
  </si>
  <si>
    <t>kheh</t>
  </si>
  <si>
    <t>leh</t>
  </si>
  <si>
    <t>meh</t>
  </si>
  <si>
    <t>neh</t>
  </si>
  <si>
    <t>ngeh</t>
  </si>
  <si>
    <t>peh</t>
  </si>
  <si>
    <t>seh</t>
  </si>
  <si>
    <t>teh</t>
  </si>
  <si>
    <t>theh</t>
  </si>
  <si>
    <t>tseh</t>
  </si>
  <si>
    <t>tsheh</t>
  </si>
  <si>
    <t>henn</t>
  </si>
  <si>
    <t>kenn</t>
  </si>
  <si>
    <t>khenn</t>
  </si>
  <si>
    <t>penn</t>
  </si>
  <si>
    <t>phenn</t>
  </si>
  <si>
    <t>senn</t>
  </si>
  <si>
    <t>tenn</t>
  </si>
  <si>
    <t>thenn</t>
  </si>
  <si>
    <t>tsenn</t>
  </si>
  <si>
    <t>tshenn</t>
  </si>
  <si>
    <t>hennh</t>
  </si>
  <si>
    <t>khennh</t>
  </si>
  <si>
    <t>bi</t>
  </si>
  <si>
    <t>gi</t>
  </si>
  <si>
    <t>hi</t>
  </si>
  <si>
    <t>ji</t>
  </si>
  <si>
    <t>ki</t>
  </si>
  <si>
    <t>khi</t>
  </si>
  <si>
    <t>li</t>
  </si>
  <si>
    <t>mi</t>
  </si>
  <si>
    <t>ni</t>
  </si>
  <si>
    <t>pi</t>
  </si>
  <si>
    <t>phi</t>
  </si>
  <si>
    <t>ti</t>
  </si>
  <si>
    <t>thi</t>
  </si>
  <si>
    <t>gia</t>
  </si>
  <si>
    <t>hia</t>
  </si>
  <si>
    <t>jia</t>
  </si>
  <si>
    <t>kia</t>
  </si>
  <si>
    <t>khia</t>
  </si>
  <si>
    <t>mia</t>
  </si>
  <si>
    <t>nia</t>
  </si>
  <si>
    <t>ngia</t>
  </si>
  <si>
    <t>sia</t>
  </si>
  <si>
    <t>tia</t>
  </si>
  <si>
    <t>tsia</t>
  </si>
  <si>
    <t>tshia</t>
  </si>
  <si>
    <t>giah</t>
  </si>
  <si>
    <t>hiah</t>
  </si>
  <si>
    <t>kiah</t>
  </si>
  <si>
    <t>khiah</t>
  </si>
  <si>
    <t>liah</t>
  </si>
  <si>
    <t>piah</t>
  </si>
  <si>
    <t>phiah</t>
  </si>
  <si>
    <t>siah</t>
  </si>
  <si>
    <t>tiah</t>
  </si>
  <si>
    <t>thiah</t>
  </si>
  <si>
    <t>tsiah</t>
  </si>
  <si>
    <t>tshiah</t>
  </si>
  <si>
    <t>khiak</t>
  </si>
  <si>
    <t>piak</t>
  </si>
  <si>
    <t>phiak</t>
  </si>
  <si>
    <t>siak</t>
  </si>
  <si>
    <t>tiak</t>
  </si>
  <si>
    <t>tshiak</t>
  </si>
  <si>
    <t>giam</t>
  </si>
  <si>
    <t>hiam</t>
  </si>
  <si>
    <t>jiam</t>
  </si>
  <si>
    <t>kiam</t>
  </si>
  <si>
    <t>khiam</t>
  </si>
  <si>
    <t>liam</t>
  </si>
  <si>
    <t>siam</t>
  </si>
  <si>
    <t>tiam</t>
  </si>
  <si>
    <t>thiam</t>
  </si>
  <si>
    <t>tsiam</t>
  </si>
  <si>
    <t>tshiam</t>
  </si>
  <si>
    <t>bian</t>
  </si>
  <si>
    <t>gian</t>
  </si>
  <si>
    <t>hian</t>
  </si>
  <si>
    <t>jian</t>
  </si>
  <si>
    <t>kian</t>
  </si>
  <si>
    <t>khian</t>
  </si>
  <si>
    <t>lian</t>
  </si>
  <si>
    <t>pian</t>
  </si>
  <si>
    <t>phian</t>
  </si>
  <si>
    <t>sian</t>
  </si>
  <si>
    <t>tian</t>
  </si>
  <si>
    <t>thian</t>
  </si>
  <si>
    <t>tsian</t>
  </si>
  <si>
    <t>tshian</t>
  </si>
  <si>
    <t>giang</t>
  </si>
  <si>
    <t>hiang</t>
  </si>
  <si>
    <t>jiang</t>
  </si>
  <si>
    <t>khiang</t>
  </si>
  <si>
    <t>liang</t>
  </si>
  <si>
    <t>piang</t>
  </si>
  <si>
    <t>phiang</t>
  </si>
  <si>
    <t>siang</t>
  </si>
  <si>
    <t>tsiang</t>
  </si>
  <si>
    <t>tshiang</t>
  </si>
  <si>
    <t>hiann</t>
  </si>
  <si>
    <t>kiann</t>
  </si>
  <si>
    <t>piann</t>
  </si>
  <si>
    <t>siann</t>
  </si>
  <si>
    <t>tiann</t>
  </si>
  <si>
    <t>thiann</t>
  </si>
  <si>
    <t>tsiann</t>
  </si>
  <si>
    <t>tshiann</t>
  </si>
  <si>
    <t>hiannh</t>
  </si>
  <si>
    <t>giap</t>
  </si>
  <si>
    <t>hiap</t>
  </si>
  <si>
    <t>jiap</t>
  </si>
  <si>
    <t>kiap</t>
  </si>
  <si>
    <t>khiap</t>
  </si>
  <si>
    <t>liap</t>
  </si>
  <si>
    <t>siap</t>
  </si>
  <si>
    <t>tiap</t>
  </si>
  <si>
    <t>thiap</t>
  </si>
  <si>
    <t>tsiap</t>
  </si>
  <si>
    <t>tshiap</t>
  </si>
  <si>
    <t>biat</t>
  </si>
  <si>
    <t>giat</t>
  </si>
  <si>
    <t>hiat</t>
  </si>
  <si>
    <t>jiat</t>
  </si>
  <si>
    <t>kiat</t>
  </si>
  <si>
    <t>khiat</t>
  </si>
  <si>
    <t>liat</t>
  </si>
  <si>
    <t>piat</t>
  </si>
  <si>
    <t>phiat</t>
  </si>
  <si>
    <t>siat</t>
  </si>
  <si>
    <t>tiat</t>
  </si>
  <si>
    <t>thiat</t>
  </si>
  <si>
    <t>tsiat</t>
  </si>
  <si>
    <t>tshiat</t>
  </si>
  <si>
    <t>biau</t>
  </si>
  <si>
    <t>giau</t>
  </si>
  <si>
    <t>hiau</t>
  </si>
  <si>
    <t>jiau</t>
  </si>
  <si>
    <t>kiau</t>
  </si>
  <si>
    <t>khiau</t>
  </si>
  <si>
    <t>liau</t>
  </si>
  <si>
    <t>miau</t>
  </si>
  <si>
    <t>niau</t>
  </si>
  <si>
    <t>ngiau</t>
  </si>
  <si>
    <t>piau</t>
  </si>
  <si>
    <t>phiau</t>
  </si>
  <si>
    <t>siau</t>
  </si>
  <si>
    <t>tiau</t>
  </si>
  <si>
    <t>thiau</t>
  </si>
  <si>
    <t>tsiau</t>
  </si>
  <si>
    <t>tshiau</t>
  </si>
  <si>
    <t>hiauh</t>
  </si>
  <si>
    <t>khiauh</t>
  </si>
  <si>
    <t>ngiauh</t>
  </si>
  <si>
    <t>bih</t>
  </si>
  <si>
    <t>khih</t>
  </si>
  <si>
    <t>mih</t>
  </si>
  <si>
    <t>nih</t>
  </si>
  <si>
    <t>pih</t>
  </si>
  <si>
    <t>phih</t>
  </si>
  <si>
    <t>sih</t>
  </si>
  <si>
    <t>tih</t>
  </si>
  <si>
    <t>thih</t>
  </si>
  <si>
    <t>tsih</t>
  </si>
  <si>
    <t>tshih</t>
  </si>
  <si>
    <t>bik</t>
  </si>
  <si>
    <t>gik</t>
  </si>
  <si>
    <t>hik</t>
  </si>
  <si>
    <t>kik</t>
  </si>
  <si>
    <t>lik</t>
  </si>
  <si>
    <t>pik</t>
  </si>
  <si>
    <t>phik</t>
  </si>
  <si>
    <t>sik</t>
  </si>
  <si>
    <t>tik</t>
  </si>
  <si>
    <t>thik</t>
  </si>
  <si>
    <t>tsik</t>
  </si>
  <si>
    <t>tshik</t>
  </si>
  <si>
    <t>gim</t>
  </si>
  <si>
    <t>him</t>
  </si>
  <si>
    <t>jim</t>
  </si>
  <si>
    <t>kim</t>
  </si>
  <si>
    <t>khim</t>
  </si>
  <si>
    <t>lim</t>
  </si>
  <si>
    <t>sim</t>
  </si>
  <si>
    <t>tim</t>
  </si>
  <si>
    <t>thim</t>
  </si>
  <si>
    <t>tsim</t>
  </si>
  <si>
    <t>tshim</t>
  </si>
  <si>
    <t>bin</t>
  </si>
  <si>
    <t>gin</t>
  </si>
  <si>
    <t>hin</t>
  </si>
  <si>
    <t>jin</t>
  </si>
  <si>
    <t>kin</t>
  </si>
  <si>
    <t>khin</t>
  </si>
  <si>
    <t>lin</t>
  </si>
  <si>
    <t>pin</t>
  </si>
  <si>
    <t>phin</t>
  </si>
  <si>
    <t>sin</t>
  </si>
  <si>
    <t>tin</t>
  </si>
  <si>
    <t>thin</t>
  </si>
  <si>
    <t>tsin</t>
  </si>
  <si>
    <t>tshin</t>
  </si>
  <si>
    <t>bing</t>
  </si>
  <si>
    <t>ging</t>
  </si>
  <si>
    <t>hing</t>
  </si>
  <si>
    <t>king</t>
  </si>
  <si>
    <t>khing</t>
  </si>
  <si>
    <t>ling</t>
  </si>
  <si>
    <t>ping</t>
  </si>
  <si>
    <t>phing</t>
  </si>
  <si>
    <t>sing</t>
  </si>
  <si>
    <t>ting</t>
  </si>
  <si>
    <t>thing</t>
  </si>
  <si>
    <t>tsing</t>
  </si>
  <si>
    <t>tshing</t>
  </si>
  <si>
    <t>hinn</t>
  </si>
  <si>
    <t>kinn</t>
  </si>
  <si>
    <t>khinn</t>
  </si>
  <si>
    <t>sinn</t>
  </si>
  <si>
    <t>tinn</t>
  </si>
  <si>
    <t>thinn</t>
  </si>
  <si>
    <t>tsinn</t>
  </si>
  <si>
    <t>tshinn</t>
  </si>
  <si>
    <t>bio</t>
  </si>
  <si>
    <t>gio</t>
  </si>
  <si>
    <t>hio</t>
  </si>
  <si>
    <t>jio</t>
  </si>
  <si>
    <t>kio</t>
  </si>
  <si>
    <t>khio</t>
  </si>
  <si>
    <t>lio</t>
  </si>
  <si>
    <t>pio</t>
  </si>
  <si>
    <t>phio</t>
  </si>
  <si>
    <t>sio</t>
  </si>
  <si>
    <t>tio</t>
  </si>
  <si>
    <t>thio</t>
  </si>
  <si>
    <t>tsio</t>
  </si>
  <si>
    <t>tshio</t>
  </si>
  <si>
    <t>gioh</t>
  </si>
  <si>
    <t>hioh</t>
  </si>
  <si>
    <t>kioh</t>
  </si>
  <si>
    <t>khioh</t>
  </si>
  <si>
    <t>lioh</t>
  </si>
  <si>
    <t>sioh</t>
  </si>
  <si>
    <t>tioh</t>
  </si>
  <si>
    <t>tsioh</t>
  </si>
  <si>
    <t>tshioh</t>
  </si>
  <si>
    <t>giok</t>
  </si>
  <si>
    <t>hiok</t>
  </si>
  <si>
    <t>jiok</t>
  </si>
  <si>
    <t>kiok</t>
  </si>
  <si>
    <t>khiok</t>
  </si>
  <si>
    <t>liok</t>
  </si>
  <si>
    <t>siok</t>
  </si>
  <si>
    <t>tiok</t>
  </si>
  <si>
    <t>thiok</t>
  </si>
  <si>
    <t>tsiok</t>
  </si>
  <si>
    <t>tshiok</t>
  </si>
  <si>
    <t>giong</t>
  </si>
  <si>
    <t>hiong</t>
  </si>
  <si>
    <t>jiong</t>
  </si>
  <si>
    <t>kiong</t>
  </si>
  <si>
    <t>khiong</t>
  </si>
  <si>
    <t>liong</t>
  </si>
  <si>
    <t>siong</t>
  </si>
  <si>
    <t>tiong</t>
  </si>
  <si>
    <t>thiong</t>
  </si>
  <si>
    <t>tsiong</t>
  </si>
  <si>
    <t>tshiong</t>
  </si>
  <si>
    <t>hip</t>
  </si>
  <si>
    <t>jip</t>
  </si>
  <si>
    <t>kip</t>
  </si>
  <si>
    <t>khip</t>
  </si>
  <si>
    <t>lip</t>
  </si>
  <si>
    <t>sip</t>
  </si>
  <si>
    <t>tsip</t>
  </si>
  <si>
    <t>tship</t>
  </si>
  <si>
    <t>bit</t>
  </si>
  <si>
    <t>hit</t>
  </si>
  <si>
    <t>jit</t>
  </si>
  <si>
    <t>kit</t>
  </si>
  <si>
    <t>khit</t>
  </si>
  <si>
    <t>pit</t>
  </si>
  <si>
    <t>phit</t>
  </si>
  <si>
    <t>sit</t>
  </si>
  <si>
    <t>tit</t>
  </si>
  <si>
    <t>tsit</t>
  </si>
  <si>
    <t>tshit</t>
  </si>
  <si>
    <t>biu</t>
  </si>
  <si>
    <t>giu</t>
  </si>
  <si>
    <t>hiu</t>
  </si>
  <si>
    <t>jiu</t>
  </si>
  <si>
    <t>kiu</t>
  </si>
  <si>
    <t>khiu</t>
  </si>
  <si>
    <t>liu</t>
  </si>
  <si>
    <t>niu</t>
  </si>
  <si>
    <t>piu</t>
  </si>
  <si>
    <t>siu</t>
  </si>
  <si>
    <t>tiu</t>
  </si>
  <si>
    <t>thiu</t>
  </si>
  <si>
    <t>tsiu</t>
  </si>
  <si>
    <t>tshiu</t>
  </si>
  <si>
    <t>hiunn</t>
  </si>
  <si>
    <t>kiunn</t>
  </si>
  <si>
    <t>khiunn</t>
  </si>
  <si>
    <t>siunn</t>
  </si>
  <si>
    <t>tiunn</t>
  </si>
  <si>
    <t>tsiunn</t>
  </si>
  <si>
    <t>tshiunn</t>
  </si>
  <si>
    <t>iunnh</t>
  </si>
  <si>
    <t>hiunnh</t>
  </si>
  <si>
    <t>hm</t>
  </si>
  <si>
    <t>mh</t>
  </si>
  <si>
    <t>hmh</t>
  </si>
  <si>
    <t>hng</t>
  </si>
  <si>
    <t>kng</t>
  </si>
  <si>
    <t>khng</t>
  </si>
  <si>
    <t>mng</t>
  </si>
  <si>
    <t>nng</t>
  </si>
  <si>
    <t>png</t>
  </si>
  <si>
    <t>sng</t>
  </si>
  <si>
    <t>tng</t>
  </si>
  <si>
    <t>thng</t>
  </si>
  <si>
    <t>tsng</t>
  </si>
  <si>
    <t>tshng</t>
  </si>
  <si>
    <t>ngh</t>
  </si>
  <si>
    <t>hngh</t>
  </si>
  <si>
    <t>phngh</t>
  </si>
  <si>
    <t>sngh</t>
  </si>
  <si>
    <t>tshngh</t>
  </si>
  <si>
    <t>bo</t>
  </si>
  <si>
    <t>go</t>
  </si>
  <si>
    <t>ho</t>
  </si>
  <si>
    <t>ko</t>
  </si>
  <si>
    <t>kho</t>
  </si>
  <si>
    <t>lo</t>
  </si>
  <si>
    <t>po</t>
  </si>
  <si>
    <t>pho</t>
  </si>
  <si>
    <t>so</t>
  </si>
  <si>
    <t>to</t>
  </si>
  <si>
    <t>tho</t>
  </si>
  <si>
    <t>tso</t>
  </si>
  <si>
    <t>tsho</t>
  </si>
  <si>
    <t>hoh</t>
  </si>
  <si>
    <t>koh</t>
  </si>
  <si>
    <t>loh</t>
  </si>
  <si>
    <t>poh</t>
  </si>
  <si>
    <t>phoh</t>
  </si>
  <si>
    <t>soh</t>
  </si>
  <si>
    <t>toh</t>
  </si>
  <si>
    <t>thoh</t>
  </si>
  <si>
    <t>tsoh</t>
  </si>
  <si>
    <t>tshoh</t>
  </si>
  <si>
    <t>bok</t>
  </si>
  <si>
    <t>gok</t>
  </si>
  <si>
    <t>hok</t>
  </si>
  <si>
    <t>kok</t>
  </si>
  <si>
    <t>khok</t>
  </si>
  <si>
    <t>lok</t>
  </si>
  <si>
    <t>pok</t>
  </si>
  <si>
    <t>phok</t>
  </si>
  <si>
    <t>sok</t>
  </si>
  <si>
    <t>tok</t>
  </si>
  <si>
    <t>thok</t>
  </si>
  <si>
    <t>tsok</t>
  </si>
  <si>
    <t>tshok</t>
  </si>
  <si>
    <t>som</t>
  </si>
  <si>
    <t>tom</t>
  </si>
  <si>
    <t>bong</t>
  </si>
  <si>
    <t>gong</t>
  </si>
  <si>
    <t>hong</t>
  </si>
  <si>
    <t>kong</t>
  </si>
  <si>
    <t>khong</t>
  </si>
  <si>
    <t>long</t>
  </si>
  <si>
    <t>pong</t>
  </si>
  <si>
    <t>phong</t>
  </si>
  <si>
    <t>song</t>
  </si>
  <si>
    <t>tong</t>
  </si>
  <si>
    <t>thong</t>
  </si>
  <si>
    <t>tsong</t>
  </si>
  <si>
    <t>tshong</t>
  </si>
  <si>
    <t>honn</t>
  </si>
  <si>
    <t>konn</t>
  </si>
  <si>
    <t>honnh</t>
  </si>
  <si>
    <t>boo</t>
  </si>
  <si>
    <t>goo</t>
  </si>
  <si>
    <t>hoo</t>
  </si>
  <si>
    <t>koo</t>
  </si>
  <si>
    <t>khoo</t>
  </si>
  <si>
    <t>loo</t>
  </si>
  <si>
    <t>moo</t>
  </si>
  <si>
    <t>noo</t>
  </si>
  <si>
    <t>ngoo</t>
  </si>
  <si>
    <t>poo</t>
  </si>
  <si>
    <t>phoo</t>
  </si>
  <si>
    <t>soo</t>
  </si>
  <si>
    <t>too</t>
  </si>
  <si>
    <t>thoo</t>
  </si>
  <si>
    <t>tsoo</t>
  </si>
  <si>
    <t>tshoo</t>
  </si>
  <si>
    <t>mooh</t>
  </si>
  <si>
    <t>bu</t>
  </si>
  <si>
    <t>gu</t>
  </si>
  <si>
    <t>hu</t>
  </si>
  <si>
    <t>ju</t>
  </si>
  <si>
    <t>ku</t>
  </si>
  <si>
    <t>khu</t>
  </si>
  <si>
    <t>lu</t>
  </si>
  <si>
    <t>pu</t>
  </si>
  <si>
    <t>phu</t>
  </si>
  <si>
    <t>su</t>
  </si>
  <si>
    <t>tu</t>
  </si>
  <si>
    <t>thu</t>
  </si>
  <si>
    <t>tsu</t>
  </si>
  <si>
    <t>tshu</t>
  </si>
  <si>
    <t>bua</t>
  </si>
  <si>
    <t>gua</t>
  </si>
  <si>
    <t>hua</t>
  </si>
  <si>
    <t>kua</t>
  </si>
  <si>
    <t>khua</t>
  </si>
  <si>
    <t>lua</t>
  </si>
  <si>
    <t>mua</t>
  </si>
  <si>
    <t>nua</t>
  </si>
  <si>
    <t>pua</t>
  </si>
  <si>
    <t>phua</t>
  </si>
  <si>
    <t>sua</t>
  </si>
  <si>
    <t>tua</t>
  </si>
  <si>
    <t>thua</t>
  </si>
  <si>
    <t>tsua</t>
  </si>
  <si>
    <t>tshua</t>
  </si>
  <si>
    <t>buah</t>
  </si>
  <si>
    <t>huah</t>
  </si>
  <si>
    <t>juah</t>
  </si>
  <si>
    <t>kuah</t>
  </si>
  <si>
    <t>khuah</t>
  </si>
  <si>
    <t>luah</t>
  </si>
  <si>
    <t>puah</t>
  </si>
  <si>
    <t>phuah</t>
  </si>
  <si>
    <t>suah</t>
  </si>
  <si>
    <t>thuah</t>
  </si>
  <si>
    <t>tsuah</t>
  </si>
  <si>
    <t>tshuah</t>
  </si>
  <si>
    <t>huai</t>
  </si>
  <si>
    <t>kuai</t>
  </si>
  <si>
    <t>khuai</t>
  </si>
  <si>
    <t>suai</t>
  </si>
  <si>
    <t>huainn</t>
  </si>
  <si>
    <t>kuainn</t>
  </si>
  <si>
    <t>suainn</t>
  </si>
  <si>
    <t>tsuainn</t>
  </si>
  <si>
    <t>buan</t>
  </si>
  <si>
    <t>guan</t>
  </si>
  <si>
    <t>huan</t>
  </si>
  <si>
    <t>kuan</t>
  </si>
  <si>
    <t>khuan</t>
  </si>
  <si>
    <t>luan</t>
  </si>
  <si>
    <t>puan</t>
  </si>
  <si>
    <t>phuan</t>
  </si>
  <si>
    <t>suan</t>
  </si>
  <si>
    <t>tuan</t>
  </si>
  <si>
    <t>thuan</t>
  </si>
  <si>
    <t>tsuan</t>
  </si>
  <si>
    <t>tshuan</t>
  </si>
  <si>
    <t>tshuang</t>
  </si>
  <si>
    <t>huann</t>
  </si>
  <si>
    <t>kuann</t>
  </si>
  <si>
    <t>khuann</t>
  </si>
  <si>
    <t>puann</t>
  </si>
  <si>
    <t>phuann</t>
  </si>
  <si>
    <t>suann</t>
  </si>
  <si>
    <t>tuann</t>
  </si>
  <si>
    <t>thuann</t>
  </si>
  <si>
    <t>tshuann</t>
  </si>
  <si>
    <t>buat</t>
  </si>
  <si>
    <t>guat</t>
  </si>
  <si>
    <t>huat</t>
  </si>
  <si>
    <t>kuat</t>
  </si>
  <si>
    <t>khuat</t>
  </si>
  <si>
    <t>luat</t>
  </si>
  <si>
    <t>puat</t>
  </si>
  <si>
    <t>phuat</t>
  </si>
  <si>
    <t>suat</t>
  </si>
  <si>
    <t>tuat</t>
  </si>
  <si>
    <t>thuat</t>
  </si>
  <si>
    <t>tsuat</t>
  </si>
  <si>
    <t>bue</t>
  </si>
  <si>
    <t>gue</t>
  </si>
  <si>
    <t>hue</t>
  </si>
  <si>
    <t>jue</t>
  </si>
  <si>
    <t>kue</t>
  </si>
  <si>
    <t>khue</t>
  </si>
  <si>
    <t>lue</t>
  </si>
  <si>
    <t>pue</t>
  </si>
  <si>
    <t>phue</t>
  </si>
  <si>
    <t>sue</t>
  </si>
  <si>
    <t>tue</t>
  </si>
  <si>
    <t>tsue</t>
  </si>
  <si>
    <t>tshue</t>
  </si>
  <si>
    <t>bueh</t>
  </si>
  <si>
    <t>gueh</t>
  </si>
  <si>
    <t>hueh</t>
  </si>
  <si>
    <t>kueh</t>
  </si>
  <si>
    <t>khueh</t>
  </si>
  <si>
    <t>pueh</t>
  </si>
  <si>
    <t>phueh</t>
  </si>
  <si>
    <t>sueh</t>
  </si>
  <si>
    <t>khuh</t>
  </si>
  <si>
    <t>puh</t>
  </si>
  <si>
    <t>phuh</t>
  </si>
  <si>
    <t>tuh</t>
  </si>
  <si>
    <t>thuh</t>
  </si>
  <si>
    <t>tsuh</t>
  </si>
  <si>
    <t>tshuh</t>
  </si>
  <si>
    <t>bui</t>
  </si>
  <si>
    <t>gui</t>
  </si>
  <si>
    <t>hui</t>
  </si>
  <si>
    <t>kui</t>
  </si>
  <si>
    <t>khui</t>
  </si>
  <si>
    <t>lui</t>
  </si>
  <si>
    <t>mui</t>
  </si>
  <si>
    <t>pui</t>
  </si>
  <si>
    <t>phui</t>
  </si>
  <si>
    <t>sui</t>
  </si>
  <si>
    <t>tui</t>
  </si>
  <si>
    <t>thui</t>
  </si>
  <si>
    <t>tsui</t>
  </si>
  <si>
    <t>tshui</t>
  </si>
  <si>
    <t>bun</t>
  </si>
  <si>
    <t>gun</t>
  </si>
  <si>
    <t>hun</t>
  </si>
  <si>
    <t>jun</t>
  </si>
  <si>
    <t>kun</t>
  </si>
  <si>
    <t>khun</t>
  </si>
  <si>
    <t>lun</t>
  </si>
  <si>
    <t>pun</t>
  </si>
  <si>
    <t>phun</t>
  </si>
  <si>
    <t>sun</t>
  </si>
  <si>
    <t>tun</t>
  </si>
  <si>
    <t>thun</t>
  </si>
  <si>
    <t>tsun</t>
  </si>
  <si>
    <t>tshun</t>
  </si>
  <si>
    <t>but</t>
  </si>
  <si>
    <t>hut</t>
  </si>
  <si>
    <t>kut</t>
  </si>
  <si>
    <t>khut</t>
  </si>
  <si>
    <t>lut</t>
  </si>
  <si>
    <t>put</t>
  </si>
  <si>
    <t>phut</t>
  </si>
  <si>
    <t>sut</t>
  </si>
  <si>
    <t>tut</t>
  </si>
  <si>
    <t>thut</t>
  </si>
  <si>
    <t>tsut</t>
  </si>
  <si>
    <t>tshut</t>
  </si>
  <si>
    <t>序號</t>
    <phoneticPr fontId="2" type="noConversion"/>
  </si>
  <si>
    <t>英</t>
  </si>
  <si>
    <t>韻序</t>
    <phoneticPr fontId="2" type="noConversion"/>
  </si>
  <si>
    <t>國際音標</t>
    <phoneticPr fontId="2" type="noConversion"/>
  </si>
  <si>
    <t>白話字</t>
    <phoneticPr fontId="2" type="noConversion"/>
  </si>
  <si>
    <t>閩拼方案</t>
    <phoneticPr fontId="2" type="noConversion"/>
  </si>
  <si>
    <t>注音二式</t>
    <phoneticPr fontId="2" type="noConversion"/>
  </si>
  <si>
    <t>方音符號</t>
  </si>
  <si>
    <t>台語注音</t>
  </si>
  <si>
    <t>台語音標</t>
    <phoneticPr fontId="2" type="noConversion"/>
  </si>
  <si>
    <t>音序</t>
    <phoneticPr fontId="2" type="noConversion"/>
  </si>
  <si>
    <t>新十五音</t>
    <phoneticPr fontId="2" type="noConversion"/>
  </si>
  <si>
    <t>ㄨㄣ</t>
  </si>
  <si>
    <t>ut̚</t>
  </si>
  <si>
    <t>ㄨㆵ</t>
  </si>
  <si>
    <t>ㄨㄉ</t>
  </si>
  <si>
    <t>ㄧㄢ</t>
  </si>
  <si>
    <t>ㄧㄚㆵ</t>
  </si>
  <si>
    <t>ㄧㄚㄉ</t>
  </si>
  <si>
    <t>ㄧㆬ</t>
  </si>
  <si>
    <t>ㄧㄇ</t>
  </si>
  <si>
    <t>ip̚</t>
  </si>
  <si>
    <t>一ㆴ</t>
  </si>
  <si>
    <t>ㄧㄅ</t>
  </si>
  <si>
    <t>ㄨㄧ</t>
  </si>
  <si>
    <t/>
  </si>
  <si>
    <t>ɛ</t>
  </si>
  <si>
    <t>ㄝ</t>
  </si>
  <si>
    <t>ɛʔ</t>
  </si>
  <si>
    <t>ㄝㆷ</t>
  </si>
  <si>
    <t>ㄝㄏ</t>
  </si>
  <si>
    <t>ㄢ</t>
  </si>
  <si>
    <t>at̚</t>
  </si>
  <si>
    <t>ㄚㆵ</t>
  </si>
  <si>
    <t>ㄚㄉ</t>
  </si>
  <si>
    <t>ㆲ</t>
  </si>
  <si>
    <t>ㄛㄥ</t>
  </si>
  <si>
    <t>ㆦㆻ</t>
  </si>
  <si>
    <t>ㄛㄍ</t>
  </si>
  <si>
    <t>oai</t>
  </si>
  <si>
    <t>ㄨㄞ</t>
  </si>
  <si>
    <t>uaiʔ</t>
  </si>
  <si>
    <t>oaih</t>
  </si>
  <si>
    <t>ㄨㄞㆷ</t>
  </si>
  <si>
    <t>ㄨㄞㄏ</t>
  </si>
  <si>
    <t>eng</t>
  </si>
  <si>
    <t>ek</t>
  </si>
  <si>
    <t>oan</t>
  </si>
  <si>
    <t>ㄨㄢ</t>
  </si>
  <si>
    <t>uat̚</t>
  </si>
  <si>
    <t>oat</t>
  </si>
  <si>
    <t>ㄨㄚㆵ</t>
  </si>
  <si>
    <t>ㄨㄚㄉ</t>
  </si>
  <si>
    <t>ɔ</t>
  </si>
  <si>
    <t>o͘</t>
  </si>
  <si>
    <t>ㆦ</t>
  </si>
  <si>
    <t>ㄛ</t>
  </si>
  <si>
    <t>iao</t>
  </si>
  <si>
    <t>ㄧㄠ</t>
  </si>
  <si>
    <t>iaoh</t>
  </si>
  <si>
    <t>ㄧㄠㆷ</t>
  </si>
  <si>
    <t>ㄧㄠㄏ</t>
  </si>
  <si>
    <t>ei</t>
  </si>
  <si>
    <t>ㆤ</t>
  </si>
  <si>
    <t>ㄧㆲ</t>
  </si>
  <si>
    <t>ㄧㄛㄥ</t>
  </si>
  <si>
    <t>iook</t>
  </si>
  <si>
    <t>ㄧㆦㆻ</t>
  </si>
  <si>
    <t>ㄧㄛㄍ</t>
  </si>
  <si>
    <t>ə</t>
  </si>
  <si>
    <t>or</t>
  </si>
  <si>
    <t>ㄜ</t>
  </si>
  <si>
    <t>əʔ</t>
  </si>
  <si>
    <t>orh</t>
  </si>
  <si>
    <t>ㄜㆷ</t>
  </si>
  <si>
    <t>ㄜㄏ</t>
  </si>
  <si>
    <t>ㄞ</t>
  </si>
  <si>
    <t>ㄧㄣ</t>
  </si>
  <si>
    <t>it̚</t>
  </si>
  <si>
    <t>ㄧㆵ</t>
  </si>
  <si>
    <t>ㄧㄉ</t>
  </si>
  <si>
    <t>ㄧㄤ</t>
  </si>
  <si>
    <t>ㄧㄚㆻ</t>
  </si>
  <si>
    <t>ㄧㄚㄍ</t>
  </si>
  <si>
    <t>ㆰ</t>
  </si>
  <si>
    <t>ㄚㄇ</t>
  </si>
  <si>
    <t>ap̚</t>
  </si>
  <si>
    <t>ㄚㆴ</t>
  </si>
  <si>
    <t>ㄚㄅ</t>
  </si>
  <si>
    <t>oa</t>
  </si>
  <si>
    <t>ㄨㄚ</t>
  </si>
  <si>
    <t>uaʔ</t>
  </si>
  <si>
    <t>oah</t>
  </si>
  <si>
    <t>ㄨㄚㆷ</t>
  </si>
  <si>
    <t>ㄨㄚㄏ</t>
  </si>
  <si>
    <t>ㄤ</t>
  </si>
  <si>
    <t>ak̚</t>
  </si>
  <si>
    <t>ㄚㆻ</t>
  </si>
  <si>
    <t>ㄚㄍ</t>
  </si>
  <si>
    <t>ㄧㆰ</t>
  </si>
  <si>
    <t>ㄧㄚㄇ</t>
  </si>
  <si>
    <t>ㄧㄚㆴ</t>
  </si>
  <si>
    <t>ㄧㄚㄅ</t>
  </si>
  <si>
    <t>ao</t>
  </si>
  <si>
    <t>ㄠ</t>
  </si>
  <si>
    <t>auʔ</t>
  </si>
  <si>
    <t>aoh</t>
  </si>
  <si>
    <t>ㄠㆷ</t>
  </si>
  <si>
    <t>ㄠㄏ</t>
  </si>
  <si>
    <t>ㄧㄚ</t>
  </si>
  <si>
    <t>ㄧㄚㆷ</t>
  </si>
  <si>
    <t>ㄧㄚㄏ</t>
  </si>
  <si>
    <t>oe</t>
  </si>
  <si>
    <t>ㄨㆤ</t>
  </si>
  <si>
    <t>ㄨㄝ</t>
  </si>
  <si>
    <t>oeh</t>
  </si>
  <si>
    <t>ㄨㆤㆷ</t>
  </si>
  <si>
    <t>ㄨㄝㄏ</t>
  </si>
  <si>
    <t>ã</t>
  </si>
  <si>
    <t>aⁿ</t>
  </si>
  <si>
    <t>ㆩ</t>
  </si>
  <si>
    <t>⁰ㄚ</t>
  </si>
  <si>
    <t>ãʔ</t>
  </si>
  <si>
    <t>ahⁿ</t>
  </si>
  <si>
    <t>ㆩㆷ</t>
  </si>
  <si>
    <t>⁰ㄚㄏ</t>
  </si>
  <si>
    <t>ㄨ</t>
  </si>
  <si>
    <t>uʔ</t>
  </si>
  <si>
    <t>ㄨㆷ</t>
  </si>
  <si>
    <t>ㄨㄏ</t>
  </si>
  <si>
    <t>ㄚ</t>
  </si>
  <si>
    <t>aʔ</t>
  </si>
  <si>
    <t>ㄚㆷ</t>
  </si>
  <si>
    <t>ㄚㄏ</t>
  </si>
  <si>
    <t>ㄧ</t>
  </si>
  <si>
    <t>iʔ</t>
  </si>
  <si>
    <t>ㄧㆷ</t>
  </si>
  <si>
    <t>ㄧㄏ</t>
  </si>
  <si>
    <t>ㄧㄨ</t>
  </si>
  <si>
    <t>eⁿ</t>
  </si>
  <si>
    <t>ㆥ</t>
  </si>
  <si>
    <t>⁰ㄝ</t>
  </si>
  <si>
    <t>ehⁿ</t>
  </si>
  <si>
    <t>ㆥㆷ</t>
  </si>
  <si>
    <t>⁰ㄝㄏ</t>
  </si>
  <si>
    <t>uĩ</t>
  </si>
  <si>
    <t>uiⁿ</t>
  </si>
  <si>
    <t>nui</t>
  </si>
  <si>
    <t>ㄨㆪ</t>
  </si>
  <si>
    <t>⁰ㄨㄧ</t>
  </si>
  <si>
    <t>ior</t>
  </si>
  <si>
    <t>ㄧㄜ</t>
  </si>
  <si>
    <t>iorh</t>
  </si>
  <si>
    <t>ㄧㄜㆷ</t>
  </si>
  <si>
    <t>ㄧㄜㄏ</t>
  </si>
  <si>
    <t>ĩ</t>
  </si>
  <si>
    <t>iⁿ</t>
  </si>
  <si>
    <t>ㆪ</t>
  </si>
  <si>
    <t>⁰ㄧ</t>
  </si>
  <si>
    <t>ioⁿ</t>
  </si>
  <si>
    <t>nioo</t>
  </si>
  <si>
    <t>ioonn</t>
  </si>
  <si>
    <t>ㄧㆧ</t>
  </si>
  <si>
    <t>⁰ㄧㄛ</t>
  </si>
  <si>
    <t>iaⁿ</t>
  </si>
  <si>
    <t>ㄧㆩ</t>
  </si>
  <si>
    <t>⁰ㄧㄚ</t>
  </si>
  <si>
    <t>uã</t>
  </si>
  <si>
    <t>oaⁿ</t>
  </si>
  <si>
    <t>ㄨㆩ</t>
  </si>
  <si>
    <t>⁰ㄨㄚ</t>
  </si>
  <si>
    <t>ㆭ</t>
  </si>
  <si>
    <t>ㄥ</t>
  </si>
  <si>
    <t>eʔ</t>
  </si>
  <si>
    <t>ㆤㆷ</t>
  </si>
  <si>
    <t>aiⁿ</t>
  </si>
  <si>
    <t>ㆮ</t>
  </si>
  <si>
    <t>⁰ㄞ</t>
  </si>
  <si>
    <t>oⁿ</t>
  </si>
  <si>
    <t>oonn</t>
  </si>
  <si>
    <t>ㆧ</t>
  </si>
  <si>
    <t>⁰ㄛ</t>
  </si>
  <si>
    <t>m̩</t>
  </si>
  <si>
    <t>ㆬ</t>
  </si>
  <si>
    <t>ㄇ</t>
  </si>
  <si>
    <t>oang</t>
  </si>
  <si>
    <t>ㄨㄤ</t>
  </si>
  <si>
    <t>uãi</t>
  </si>
  <si>
    <t>oaiⁿ</t>
  </si>
  <si>
    <t>nuai</t>
  </si>
  <si>
    <t>ㄨㆮ</t>
  </si>
  <si>
    <t>⁰ㄨㄞ</t>
  </si>
  <si>
    <t>uãiʔ</t>
  </si>
  <si>
    <t>uaihnn</t>
  </si>
  <si>
    <t>oaihⁿ</t>
  </si>
  <si>
    <t>ㄨㆮㆷ</t>
  </si>
  <si>
    <t>⁰ㄨㄞㄏ</t>
  </si>
  <si>
    <t>iauⁿ</t>
  </si>
  <si>
    <t>niao</t>
  </si>
  <si>
    <t>ㄧㆯ</t>
  </si>
  <si>
    <t>⁰ㄧㄠ</t>
  </si>
  <si>
    <t>oom</t>
  </si>
  <si>
    <t>ㆱ</t>
  </si>
  <si>
    <t>ㄛㄇ</t>
  </si>
  <si>
    <t>op</t>
  </si>
  <si>
    <t>oop</t>
  </si>
  <si>
    <t>ㆦㆴ</t>
  </si>
  <si>
    <t>ㄛㄅ</t>
  </si>
  <si>
    <t>ohnn</t>
  </si>
  <si>
    <t>ohⁿ</t>
  </si>
  <si>
    <t>niuh</t>
  </si>
  <si>
    <t>ㆧㆷ</t>
  </si>
  <si>
    <t>⁰ㄛㄏ</t>
  </si>
  <si>
    <t>iuⁿ</t>
  </si>
  <si>
    <t>ㄧㆫ</t>
  </si>
  <si>
    <t>⁰ㄧㄨ</t>
  </si>
  <si>
    <t>iuhⁿ</t>
  </si>
  <si>
    <t>ㄧㆫㆷ</t>
  </si>
  <si>
    <t>⁰ㄧㄨㄏ</t>
  </si>
  <si>
    <t>ㄌ</t>
  </si>
  <si>
    <t>ln</t>
  </si>
  <si>
    <t>ㄋ</t>
  </si>
  <si>
    <t>ㄅ</t>
  </si>
  <si>
    <t>ㄍ</t>
  </si>
  <si>
    <t>kʰ</t>
  </si>
  <si>
    <t>ㄎ</t>
  </si>
  <si>
    <t>d</t>
  </si>
  <si>
    <t>ㄉ</t>
  </si>
  <si>
    <t>pʰ</t>
  </si>
  <si>
    <t>ㄆ</t>
  </si>
  <si>
    <t>tʰ</t>
  </si>
  <si>
    <t>ㄊ</t>
  </si>
  <si>
    <t>ʦ</t>
  </si>
  <si>
    <t>z</t>
  </si>
  <si>
    <t>ch</t>
  </si>
  <si>
    <t>ㄗ</t>
  </si>
  <si>
    <t>ʨ</t>
  </si>
  <si>
    <t>zi</t>
  </si>
  <si>
    <t>chi</t>
  </si>
  <si>
    <t>ㄐ</t>
  </si>
  <si>
    <t>ʣ</t>
  </si>
  <si>
    <t>zz</t>
  </si>
  <si>
    <t>ㆡ</t>
  </si>
  <si>
    <t>ㄖ</t>
  </si>
  <si>
    <t>ʥ</t>
  </si>
  <si>
    <t>zzi</t>
  </si>
  <si>
    <t>jj</t>
  </si>
  <si>
    <t>ㆢ</t>
  </si>
  <si>
    <t>ㄙ</t>
  </si>
  <si>
    <t>ɕ</t>
  </si>
  <si>
    <t>sh</t>
  </si>
  <si>
    <t>ㄒ</t>
  </si>
  <si>
    <t>bb</t>
  </si>
  <si>
    <t>ㆠ</t>
  </si>
  <si>
    <t>ㄪ</t>
  </si>
  <si>
    <t>bbn</t>
  </si>
  <si>
    <t>ɡ</t>
  </si>
  <si>
    <t>gg</t>
  </si>
  <si>
    <t>ㆣ</t>
  </si>
  <si>
    <t>ㄫ</t>
  </si>
  <si>
    <t>ŋ</t>
  </si>
  <si>
    <t>ggn</t>
  </si>
  <si>
    <t xml:space="preserve">⁰ㄫ </t>
  </si>
  <si>
    <t>ʦʰ</t>
  </si>
  <si>
    <t>c</t>
  </si>
  <si>
    <t>chh</t>
  </si>
  <si>
    <t>ㄘ</t>
  </si>
  <si>
    <t>ʨʰ</t>
  </si>
  <si>
    <t>ci</t>
  </si>
  <si>
    <t>chhi</t>
  </si>
  <si>
    <t>ㄑ</t>
  </si>
  <si>
    <t>ㄏ</t>
  </si>
  <si>
    <t>uei</t>
  </si>
  <si>
    <t>褌</t>
    <phoneticPr fontId="2" type="noConversion"/>
  </si>
  <si>
    <t>e</t>
    <phoneticPr fontId="2" type="noConversion"/>
  </si>
  <si>
    <t>uak</t>
    <phoneticPr fontId="2" type="noConversion"/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</si>
  <si>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an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</si>
  <si>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at̚</t>
    </r>
  </si>
  <si>
    <r>
      <rPr>
        <sz val="16"/>
        <color theme="1"/>
        <rFont val="Noto Sans TC Medium"/>
        <family val="2"/>
        <charset val="136"/>
      </rPr>
      <t>ɔŋ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</si>
  <si>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k̚</t>
    </r>
  </si>
  <si>
    <r>
      <rPr>
        <sz val="16"/>
        <color theme="1"/>
        <rFont val="Noto Sans TC Medium"/>
        <family val="2"/>
        <charset val="136"/>
      </rPr>
      <t>ɪŋ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</si>
  <si>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k</t>
    </r>
  </si>
  <si>
    <r>
      <rPr>
        <sz val="16"/>
        <color theme="1"/>
        <rFont val="Noto Sans TC Medium"/>
        <family val="2"/>
        <charset val="136"/>
      </rPr>
      <t>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</si>
  <si>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</si>
  <si>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  <r>
      <rPr>
        <sz val="16"/>
        <color theme="1"/>
        <rFont val="Charis SIL"/>
      </rPr>
      <t>ʔ</t>
    </r>
  </si>
  <si>
    <r>
      <rPr>
        <sz val="16"/>
        <color theme="1"/>
        <rFont val="Noto Sans TC Medium"/>
        <family val="2"/>
        <charset val="136"/>
      </rPr>
      <t>ɪɔŋ</t>
    </r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</si>
  <si>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k̚</t>
    </r>
  </si>
  <si>
    <r>
      <t>a</t>
    </r>
    <r>
      <rPr>
        <sz val="16"/>
        <color theme="1"/>
        <rFont val="Noto Sans TC Medium"/>
        <family val="2"/>
        <charset val="136"/>
      </rPr>
      <t>ɪ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</si>
  <si>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</si>
  <si>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ak̚</t>
    </r>
  </si>
  <si>
    <r>
      <t>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</si>
  <si>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am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</si>
  <si>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ap̚</t>
    </r>
  </si>
  <si>
    <r>
      <t>a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</si>
  <si>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</si>
  <si>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</si>
  <si>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</si>
  <si>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ə</t>
    </r>
  </si>
  <si>
    <r>
      <rPr>
        <sz val="16"/>
        <color theme="1"/>
        <rFont val="Arial"/>
        <family val="2"/>
        <charset val="254"/>
      </rPr>
      <t>ɪ</t>
    </r>
    <r>
      <rPr>
        <sz val="16"/>
        <color theme="1"/>
        <rFont val="Charis SIL"/>
      </rPr>
      <t>əʔ</t>
    </r>
    <phoneticPr fontId="2" type="noConversion"/>
  </si>
  <si>
    <t>ĩʔ</t>
    <phoneticPr fontId="2" type="noConversion"/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</si>
  <si>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̃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</si>
  <si>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</si>
  <si>
    <r>
      <rPr>
        <sz val="16"/>
        <color theme="1"/>
        <rFont val="Noto Sans TC Medium"/>
        <family val="2"/>
        <charset val="136"/>
      </rPr>
      <t>ŋ</t>
    </r>
    <r>
      <rPr>
        <sz val="16"/>
        <color theme="1"/>
        <rFont val="Charis SIL"/>
      </rPr>
      <t>̍</t>
    </r>
  </si>
  <si>
    <r>
      <t>ã</t>
    </r>
    <r>
      <rPr>
        <sz val="16"/>
        <color theme="1"/>
        <rFont val="Noto Sans TC Medium"/>
        <family val="2"/>
        <charset val="136"/>
      </rPr>
      <t>ɪ</t>
    </r>
  </si>
  <si>
    <r>
      <t>ua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</si>
  <si>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</si>
  <si>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m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</si>
  <si>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p̚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</si>
  <si>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̃ʔ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</si>
  <si>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ũ</t>
    </r>
  </si>
  <si>
    <t>uẽiʔ</t>
  </si>
  <si>
    <t>uẽi</t>
    <phoneticPr fontId="2" type="noConversion"/>
  </si>
  <si>
    <t>ɪãʊʔ</t>
  </si>
  <si>
    <t>ãʊ</t>
    <phoneticPr fontId="2" type="noConversion"/>
  </si>
  <si>
    <r>
      <rPr>
        <sz val="16"/>
        <color theme="1"/>
        <rFont val="Arial"/>
        <family val="2"/>
        <charset val="254"/>
      </rPr>
      <t>ɔ</t>
    </r>
    <r>
      <rPr>
        <sz val="16"/>
        <color theme="1"/>
        <rFont val="Charis SIL"/>
      </rPr>
      <t>̃</t>
    </r>
    <phoneticPr fontId="2" type="noConversion"/>
  </si>
  <si>
    <r>
      <rPr>
        <sz val="16"/>
        <color theme="2"/>
        <rFont val="Noto Sans TC Medium"/>
        <family val="2"/>
        <charset val="136"/>
      </rPr>
      <t>ɪ</t>
    </r>
    <r>
      <rPr>
        <sz val="16"/>
        <color theme="2"/>
        <rFont val="Charis SIL"/>
      </rPr>
      <t>ũʔ</t>
    </r>
  </si>
  <si>
    <t>國際音標2</t>
  </si>
  <si>
    <t>ɛŋ</t>
  </si>
  <si>
    <t>ɛk</t>
  </si>
  <si>
    <t>ing</t>
    <phoneticPr fontId="2" type="noConversion"/>
  </si>
  <si>
    <t>ik</t>
    <phoneticPr fontId="2" type="noConversion"/>
  </si>
  <si>
    <t>ㄧㄥ</t>
    <phoneticPr fontId="2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</si>
  <si>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ㆻ</t>
    </r>
    <phoneticPr fontId="2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</si>
  <si>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ㄍ</t>
    </r>
    <phoneticPr fontId="2" type="noConversion"/>
  </si>
  <si>
    <t>ou</t>
    <phoneticPr fontId="2" type="noConversion"/>
  </si>
  <si>
    <t>ueiʔ</t>
  </si>
  <si>
    <t>ue</t>
    <phoneticPr fontId="2" type="noConversion"/>
  </si>
  <si>
    <t>ueʔ</t>
    <phoneticPr fontId="2" type="noConversion"/>
  </si>
  <si>
    <t>eʔ</t>
    <phoneticPr fontId="2" type="noConversion"/>
  </si>
  <si>
    <t>君（舒）</t>
    <phoneticPr fontId="2" type="noConversion"/>
  </si>
  <si>
    <t>沽（促）</t>
    <phoneticPr fontId="2" type="noConversion"/>
  </si>
  <si>
    <t>ㄏ</t>
    <phoneticPr fontId="2" type="noConversion"/>
  </si>
  <si>
    <t>驚（促）</t>
    <phoneticPr fontId="2" type="noConversion"/>
  </si>
  <si>
    <t>鋼（促）</t>
    <phoneticPr fontId="2" type="noConversion"/>
  </si>
  <si>
    <t>姆（促）</t>
    <phoneticPr fontId="2" type="noConversion"/>
  </si>
  <si>
    <t>韻序</t>
  </si>
  <si>
    <t>韻母</t>
  </si>
  <si>
    <t>韻母</t>
    <phoneticPr fontId="2" type="noConversion"/>
  </si>
  <si>
    <t>國際音標</t>
  </si>
  <si>
    <t>er</t>
    <phoneticPr fontId="2" type="noConversion"/>
  </si>
  <si>
    <t>ir</t>
    <phoneticPr fontId="2" type="noConversion"/>
  </si>
  <si>
    <t>ɨ</t>
    <phoneticPr fontId="2" type="noConversion"/>
  </si>
  <si>
    <t>ə</t>
    <phoneticPr fontId="2" type="noConversion"/>
  </si>
  <si>
    <t>ㆨ</t>
  </si>
  <si>
    <t>ɛ</t>
    <phoneticPr fontId="2" type="noConversion"/>
  </si>
  <si>
    <t>ö/e</t>
    <phoneticPr fontId="2" type="noConversion"/>
  </si>
  <si>
    <t>ṳ/u</t>
    <phoneticPr fontId="2" type="noConversion"/>
  </si>
  <si>
    <t>ɛŋ</t>
    <phoneticPr fontId="2" type="noConversion"/>
  </si>
  <si>
    <t>促聲判斷</t>
    <phoneticPr fontId="2" type="noConversion"/>
  </si>
  <si>
    <t xml:space="preserve">    - xform/un([48])/ut$1/    # 君</t>
  </si>
  <si>
    <t xml:space="preserve">    - xform/ian([48])/iat$1/    # 堅</t>
  </si>
  <si>
    <t xml:space="preserve">    - xform/im([48])/ip$1/    # 金</t>
  </si>
  <si>
    <t xml:space="preserve">    - xform/ui([48])/$1/    # 規</t>
  </si>
  <si>
    <t xml:space="preserve">    - xform/([48])/ee$1/    # 規</t>
  </si>
  <si>
    <t xml:space="preserve">    - xform/ee([48])/eeh$1/    # 嘉</t>
  </si>
  <si>
    <t xml:space="preserve">    - xform/an([48])/at$1/    # 干</t>
  </si>
  <si>
    <t xml:space="preserve">    - xform/ong([48])/ok$1/    # 公</t>
  </si>
  <si>
    <t xml:space="preserve">    - xform/uai([48])/uaih$1/    # 乖</t>
  </si>
  <si>
    <t xml:space="preserve">    - xform/ing([48])/ik$1/    # 經</t>
  </si>
  <si>
    <t xml:space="preserve">    - xform/uan([48])/uat$1/    # 觀</t>
  </si>
  <si>
    <t xml:space="preserve">    - xform/oo([48])/ooh$1/    # 沽</t>
  </si>
  <si>
    <t xml:space="preserve">    - xform/iau([48])/iauh$1/    # 嬌</t>
  </si>
  <si>
    <t xml:space="preserve">    - xform/e([48])/$1/    # 稽</t>
  </si>
  <si>
    <t xml:space="preserve">    - xform/([48])/iong$1/    # </t>
  </si>
  <si>
    <t xml:space="preserve">    - xform/iong([48])/iok$1/    # 恭</t>
  </si>
  <si>
    <t xml:space="preserve">    - xform/o([48])/oh$1/    # 高</t>
  </si>
  <si>
    <t xml:space="preserve">    - xform/ai([48])/$1/    # 皆</t>
  </si>
  <si>
    <t xml:space="preserve">    - xform/([48])/in$1/    # </t>
  </si>
  <si>
    <t xml:space="preserve">    - xform/in([48])/it$1/    # 巾</t>
  </si>
  <si>
    <t xml:space="preserve">    - xform/iang([48])/iak$1/    # 姜</t>
  </si>
  <si>
    <t xml:space="preserve">    - xform/am([48])/ap$1/    # 甘</t>
  </si>
  <si>
    <t xml:space="preserve">    - xform/ua([48])/uah$1/    # 瓜</t>
  </si>
  <si>
    <t xml:space="preserve">    - xform/ang([48])/ak$1/    # 江</t>
  </si>
  <si>
    <t xml:space="preserve">    - xform/iam([48])/iap$1/    # 兼</t>
  </si>
  <si>
    <t xml:space="preserve">    - xform/au([48])/auh$1/    # 交</t>
  </si>
  <si>
    <t xml:space="preserve">    - xform/ia([48])/iah$1/    # 迦</t>
  </si>
  <si>
    <t xml:space="preserve">    - xform/ue([48])/ueh$1/    # 檜</t>
  </si>
  <si>
    <t xml:space="preserve">    - xform/ann([48])/annh$1/    # 監</t>
  </si>
  <si>
    <t xml:space="preserve">    - xform/u([48])/uh$1/    # 艍</t>
  </si>
  <si>
    <t xml:space="preserve">    - xform/a([48])/ah$1/    # 膠</t>
  </si>
  <si>
    <t xml:space="preserve">    - xform/i([48])/ih$1/    # 居</t>
  </si>
  <si>
    <t xml:space="preserve">    - xform/iu([48])/$1/    # 丩</t>
  </si>
  <si>
    <t xml:space="preserve">    - xform/([48])/enn$1/    # </t>
  </si>
  <si>
    <t xml:space="preserve">    - xform/enn([48])/ennh$1/    # 更</t>
  </si>
  <si>
    <t xml:space="preserve">    - xform/uinn([48])/$1/    # 褌</t>
  </si>
  <si>
    <t xml:space="preserve">    - xform/([48])/io$1/    # </t>
  </si>
  <si>
    <t xml:space="preserve">    - xform/io([48])/ioh$1/    # 茄</t>
  </si>
  <si>
    <t xml:space="preserve">    - xform/inn([48])/$1/    # 梔</t>
  </si>
  <si>
    <t xml:space="preserve">    - xform/([48])/ionn$1/    # 梔</t>
  </si>
  <si>
    <t xml:space="preserve">    - xform/ionn([48])/$1/    # 薑</t>
  </si>
  <si>
    <t xml:space="preserve">    - xform/([48])/iann$1/    # </t>
  </si>
  <si>
    <t xml:space="preserve">    - xform/iann([48])/iannh$1/    # 驚</t>
  </si>
  <si>
    <t xml:space="preserve">    - xform/uann([48])/$1/    # 官</t>
  </si>
  <si>
    <t xml:space="preserve">    - xform/([48])/ng$1/    # </t>
  </si>
  <si>
    <t xml:space="preserve">    - xform/ng([48])/ngh$1/    # 鋼</t>
  </si>
  <si>
    <t xml:space="preserve">    - xform/([48])/eh$1/    # 伽</t>
  </si>
  <si>
    <t xml:space="preserve">    - xform/ainn([48])/$1/    # 閒</t>
  </si>
  <si>
    <t xml:space="preserve">    - xform/([48])/onn$1/    # </t>
  </si>
  <si>
    <t xml:space="preserve">    - xform/onn([48])/$1/    # 姑</t>
  </si>
  <si>
    <t xml:space="preserve">    - xform/([48])/m$1/    # </t>
  </si>
  <si>
    <t xml:space="preserve">    - xform/m([48])/mh$1/    # 姆</t>
  </si>
  <si>
    <t xml:space="preserve">    - xform/uang([48])/$1/    # 光</t>
  </si>
  <si>
    <t xml:space="preserve">    - xform/([48])/uainn$1/    # 光</t>
  </si>
  <si>
    <t xml:space="preserve">    - xform/uainn([48])/uainnh$1/    # 閂</t>
  </si>
  <si>
    <t xml:space="preserve">    - xform/([48])/$1/    # 糜</t>
  </si>
  <si>
    <t xml:space="preserve">    - xform/([48])/iaunn$1/    # 糜</t>
  </si>
  <si>
    <t xml:space="preserve">    - xform/iaunn([48])/$1/    # 嘄</t>
  </si>
  <si>
    <t xml:space="preserve">    - xform/([48])/om$1/    # 嘄</t>
  </si>
  <si>
    <t xml:space="preserve">    - xform/om([48])/op$1/    # 箴</t>
  </si>
  <si>
    <t xml:space="preserve">    - xform/([48])/$1/    # 爻</t>
  </si>
  <si>
    <t xml:space="preserve">    - xform/([48])/$1/    # </t>
  </si>
  <si>
    <t xml:space="preserve">    - xform/([48])/onnh$1/    # 扛</t>
  </si>
  <si>
    <t xml:space="preserve">    - xform/iunn([48])/iunnh$1/    # 牛</t>
  </si>
  <si>
    <t xml:space="preserve">    - xform/er([48])/ir$1/    # </t>
  </si>
  <si>
    <t xml:space="preserve">    - xform/ir([48])/$1/    # </t>
  </si>
  <si>
    <t>字母長</t>
  </si>
  <si>
    <t>字母長</t>
    <phoneticPr fontId="2" type="noConversion"/>
  </si>
  <si>
    <r>
      <t>xform</t>
    </r>
    <r>
      <rPr>
        <sz val="12"/>
        <color theme="1"/>
        <rFont val="細明體"/>
        <family val="3"/>
        <charset val="136"/>
      </rPr>
      <t>轉換式</t>
    </r>
    <phoneticPr fontId="2" type="noConversion"/>
  </si>
  <si>
    <t>xform轉換式</t>
  </si>
  <si>
    <t xml:space="preserve">    - xform/un([48?])/ut$1/    # 君</t>
  </si>
  <si>
    <t xml:space="preserve">    - xform/ut([48?])/ian$1/    # 君</t>
  </si>
  <si>
    <t xml:space="preserve">    - xform/ian([48?])/iat$1/    # 堅</t>
  </si>
  <si>
    <t xml:space="preserve">    - xform/iat([48?])/im$1/    # 堅</t>
  </si>
  <si>
    <t xml:space="preserve">    - xform/im([48?])/ip$1/    # 金</t>
  </si>
  <si>
    <t xml:space="preserve">    - xform/ip([48?])/ui$1/    # 金</t>
  </si>
  <si>
    <t xml:space="preserve">    - xform/ui([48?])/$1/    # 規</t>
  </si>
  <si>
    <t xml:space="preserve">    - xform/ee([48?])/eeh$1/    # 嘉</t>
  </si>
  <si>
    <t xml:space="preserve">    - xform/eeh([48?])/an$1/    # 嘉</t>
  </si>
  <si>
    <t xml:space="preserve">    - xform/an([48?])/at$1/    # 干</t>
  </si>
  <si>
    <t xml:space="preserve">    - xform/at([48?])/ong$1/    # 干</t>
  </si>
  <si>
    <t xml:space="preserve">    - xform/ong([48?])/ok$1/    # 公</t>
  </si>
  <si>
    <t xml:space="preserve">    - xform/ok([48?])/uai$1/    # 公</t>
  </si>
  <si>
    <t xml:space="preserve">    - xform/uai([48?])/uaih$1/    # 乖</t>
  </si>
  <si>
    <t xml:space="preserve">    - xform/uaih([48?])/ing$1/    # 乖</t>
  </si>
  <si>
    <t xml:space="preserve">    - xform/ing([48?])/ik$1/    # 經</t>
  </si>
  <si>
    <t xml:space="preserve">    - xform/ik([48?])/uan$1/    # 經</t>
  </si>
  <si>
    <t xml:space="preserve">    - xform/uan([48?])/uat$1/    # 觀</t>
  </si>
  <si>
    <t xml:space="preserve">    - xform/uat([48?])/oo$1/    # 觀</t>
  </si>
  <si>
    <t xml:space="preserve">    - xform/oo([48?])/ooh$1/    # 沽</t>
  </si>
  <si>
    <t xml:space="preserve">    - xform/ooh([48?])/iau$1/    # 沽</t>
  </si>
  <si>
    <t xml:space="preserve">    - xform/iau([48?])/iauh$1/    # 嬌</t>
  </si>
  <si>
    <t xml:space="preserve">    - xform/iauh([48?])/e$1/    # 嬌</t>
  </si>
  <si>
    <t xml:space="preserve">    - xform/e([48?])/$1/    # 稽</t>
  </si>
  <si>
    <t xml:space="preserve">    - xform/iong([48?])/iok$1/    # 恭</t>
  </si>
  <si>
    <t xml:space="preserve">    - xform/iok([48?])/o$1/    # 恭</t>
  </si>
  <si>
    <t xml:space="preserve">    - xform/o([48?])/oh$1/    # 高</t>
  </si>
  <si>
    <t xml:space="preserve">    - xform/oh([48?])/ai$1/    # 高</t>
  </si>
  <si>
    <t xml:space="preserve">    - xform/ai([48?])/$1/    # 皆</t>
  </si>
  <si>
    <t xml:space="preserve">    - xform/in([48?])/it$1/    # 巾</t>
  </si>
  <si>
    <t xml:space="preserve">    - xform/it([48?])/iang$1/    # 巾</t>
  </si>
  <si>
    <t xml:space="preserve">    - xform/iang([48?])/iak$1/    # 姜</t>
  </si>
  <si>
    <t xml:space="preserve">    - xform/iak([48?])/am$1/    # 姜</t>
  </si>
  <si>
    <t xml:space="preserve">    - xform/am([48?])/ap$1/    # 甘</t>
  </si>
  <si>
    <t xml:space="preserve">    - xform/ap([48?])/ua$1/    # 甘</t>
  </si>
  <si>
    <t xml:space="preserve">    - xform/ua([48?])/uah$1/    # 瓜</t>
  </si>
  <si>
    <t xml:space="preserve">    - xform/uah([48?])/ang$1/    # 瓜</t>
  </si>
  <si>
    <t xml:space="preserve">    - xform/ang([48?])/ak$1/    # 江</t>
  </si>
  <si>
    <t xml:space="preserve">    - xform/ak([48?])/iam$1/    # 江</t>
  </si>
  <si>
    <t xml:space="preserve">    - xform/iam([48?])/iap$1/    # 兼</t>
  </si>
  <si>
    <t xml:space="preserve">    - xform/iap([48?])/au$1/    # 兼</t>
  </si>
  <si>
    <t xml:space="preserve">    - xform/au([48?])/auh$1/    # 交</t>
  </si>
  <si>
    <t xml:space="preserve">    - xform/auh([48?])/ia$1/    # 交</t>
  </si>
  <si>
    <t xml:space="preserve">    - xform/ia([48?])/iah$1/    # 迦</t>
  </si>
  <si>
    <t xml:space="preserve">    - xform/iah([48?])/ue$1/    # 迦</t>
  </si>
  <si>
    <t xml:space="preserve">    - xform/ue([48?])/ueh$1/    # 檜</t>
  </si>
  <si>
    <t xml:space="preserve">    - xform/ueh([48?])/ann$1/    # 檜</t>
  </si>
  <si>
    <t xml:space="preserve">    - xform/ann([48?])/annh$1/    # 監</t>
  </si>
  <si>
    <t xml:space="preserve">    - xform/annh([48?])/u$1/    # 監</t>
  </si>
  <si>
    <t xml:space="preserve">    - xform/u([48?])/uh$1/    # 艍</t>
  </si>
  <si>
    <t xml:space="preserve">    - xform/uh([48?])/a$1/    # 艍</t>
  </si>
  <si>
    <t xml:space="preserve">    - xform/a([48?])/ah$1/    # 膠</t>
  </si>
  <si>
    <t xml:space="preserve">    - xform/ah([48?])/i$1/    # 膠</t>
  </si>
  <si>
    <t xml:space="preserve">    - xform/i([48?])/ih$1/    # 居</t>
  </si>
  <si>
    <t xml:space="preserve">    - xform/ih([48?])/iu$1/    # 居</t>
  </si>
  <si>
    <t xml:space="preserve">    - xform/iu([48?])/$1/    # 丩</t>
  </si>
  <si>
    <t xml:space="preserve">    - xform/enn([48?])/ennh$1/    # 更</t>
  </si>
  <si>
    <t xml:space="preserve">    - xform/ennh([48?])/uinn$1/    # 更</t>
  </si>
  <si>
    <t xml:space="preserve">    - xform/uinn([48?])/$1/    # 褌</t>
  </si>
  <si>
    <t xml:space="preserve">    - xform/io([48?])/ioh$1/    # 茄</t>
  </si>
  <si>
    <t xml:space="preserve">    - xform/ioh([48?])/inn$1/    # 茄</t>
  </si>
  <si>
    <t xml:space="preserve">    - xform/inn([48?])/$1/    # 梔</t>
  </si>
  <si>
    <t xml:space="preserve">    - xform/ionn([48?])/$1/    # 薑</t>
  </si>
  <si>
    <t xml:space="preserve">    - xform/iann([48?])/iannh$1/    # 驚</t>
  </si>
  <si>
    <t xml:space="preserve">    - xform/iannh([48?])/uann$1/    # 驚</t>
  </si>
  <si>
    <t xml:space="preserve">    - xform/uann([48?])/$1/    # 官</t>
  </si>
  <si>
    <t xml:space="preserve">    - xform/ng([48?])/ngh$1/    # 鋼</t>
  </si>
  <si>
    <t xml:space="preserve">    - xform/ngh([48?])/$1/    # 鋼</t>
  </si>
  <si>
    <t xml:space="preserve">    - xform/eh([48?])/ainn$1/    # 伽</t>
  </si>
  <si>
    <t xml:space="preserve">    - xform/ainn([48?])/$1/    # 閒</t>
  </si>
  <si>
    <t xml:space="preserve">    - xform/onn([48?])/$1/    # 姑</t>
  </si>
  <si>
    <t xml:space="preserve">    - xform/m([48?])/mh$1/    # 姆</t>
  </si>
  <si>
    <t xml:space="preserve">    - xform/mh([48?])/uang$1/    # 姆</t>
  </si>
  <si>
    <t xml:space="preserve">    - xform/uang([48?])/$1/    # 光</t>
  </si>
  <si>
    <t xml:space="preserve">    - xform/uainn([48?])/uainnh$1/    # 閂</t>
  </si>
  <si>
    <t xml:space="preserve">    - xform/uainnh([48?])/$1/    # 閂</t>
  </si>
  <si>
    <t xml:space="preserve">    - xform/iaunn([48?])/$1/    # 嘄</t>
  </si>
  <si>
    <t xml:space="preserve">    - xform/om([48?])/op$1/    # 箴</t>
  </si>
  <si>
    <t xml:space="preserve">    - xform/op([48?])/$1/    # 箴</t>
  </si>
  <si>
    <t xml:space="preserve">    - xform/onnh([48?])/iunn$1/    # 扛</t>
  </si>
  <si>
    <t xml:space="preserve">    - xform/iunn([48?])/iunnh$1/    # 牛</t>
  </si>
  <si>
    <t xml:space="preserve">    - xform/iunnh([48?])/er$1/    # 牛</t>
  </si>
  <si>
    <t xml:space="preserve">    - xform/er([48?])/ir$1/    # </t>
  </si>
  <si>
    <t xml:space="preserve">    - xform/ir([48?])/$1/    #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</si>
</sst>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43">
    <font>
      <sz val="12"/>
      <color theme="1"/>
      <name val="新細明體"/>
      <family val="2"/>
      <charset val="136"/>
      <scheme val="minor"/>
    </font>
    <font>
      <sz val="14"/>
      <color theme="0"/>
      <name val="Noto Sans TC Black"/>
      <family val="2"/>
      <charset val="136"/>
    </font>
    <font>
      <sz val="9"/>
      <name val="新細明體"/>
      <family val="2"/>
      <charset val="136"/>
      <scheme val="minor"/>
    </font>
    <font>
      <sz val="16"/>
      <color theme="1"/>
      <name val="Charis SIL"/>
    </font>
    <font>
      <sz val="16"/>
      <color rgb="FFFF0000"/>
      <name val="Charis SIL"/>
    </font>
    <font>
      <sz val="24"/>
      <color theme="1"/>
      <name val="字咍源流明體 台羅方音 B"/>
      <family val="1"/>
      <charset val="136"/>
    </font>
    <font>
      <sz val="24"/>
      <color rgb="FFFF0000"/>
      <name val="字咍源流明體 台羅方音 B"/>
      <family val="1"/>
      <charset val="136"/>
    </font>
    <font>
      <sz val="16"/>
      <color theme="1"/>
      <name val="Noto Sans TC Medium"/>
      <family val="2"/>
      <charset val="136"/>
    </font>
    <font>
      <sz val="10"/>
      <color rgb="FF000000"/>
      <name val="Linux Libertine G"/>
      <family val="2"/>
    </font>
    <font>
      <sz val="18"/>
      <color theme="1"/>
      <name val="Calibri"/>
      <family val="2"/>
    </font>
    <font>
      <sz val="24"/>
      <color theme="2" tint="-0.249977111117893"/>
      <name val="字咍源流明體 台羅方音 B"/>
      <family val="1"/>
      <charset val="136"/>
    </font>
    <font>
      <sz val="16"/>
      <color theme="2" tint="-0.249977111117893"/>
      <name val="Noto Sans TC Medium"/>
      <family val="2"/>
      <charset val="136"/>
    </font>
    <font>
      <sz val="16"/>
      <color theme="2" tint="-0.249977111117893"/>
      <name val="Charis SIL"/>
    </font>
    <font>
      <sz val="24"/>
      <color rgb="FFFFC000"/>
      <name val="字咍源流明體 台羅方音 B"/>
      <family val="1"/>
      <charset val="136"/>
    </font>
    <font>
      <sz val="16"/>
      <color rgb="FFFFC000"/>
      <name val="Noto Sans TC Medium"/>
      <family val="2"/>
      <charset val="136"/>
    </font>
    <font>
      <sz val="16"/>
      <color rgb="FFFFC000"/>
      <name val="Charis SIL"/>
    </font>
    <font>
      <sz val="24"/>
      <color theme="2" tint="-9.9978637043366805E-2"/>
      <name val="字咍源流明體 台羅方音 B"/>
      <family val="1"/>
      <charset val="136"/>
    </font>
    <font>
      <sz val="16"/>
      <color theme="2" tint="-9.9978637043366805E-2"/>
      <name val="Noto Sans TC Medium"/>
      <family val="2"/>
      <charset val="136"/>
    </font>
    <font>
      <sz val="16"/>
      <color theme="2" tint="-9.9978637043366805E-2"/>
      <name val="Charis SIL"/>
    </font>
    <font>
      <sz val="24"/>
      <color theme="1"/>
      <name val="字咍源流明體 台羅方音 B"/>
      <family val="3"/>
      <charset val="136"/>
    </font>
    <font>
      <sz val="24"/>
      <color theme="1"/>
      <name val="細明體"/>
      <family val="2"/>
      <charset val="136"/>
    </font>
    <font>
      <sz val="12"/>
      <color theme="1"/>
      <name val="Charis SIL"/>
    </font>
    <font>
      <sz val="14"/>
      <color theme="1"/>
      <name val="Charis SIL"/>
    </font>
    <font>
      <b/>
      <sz val="16"/>
      <color theme="4"/>
      <name val="Noto Sans TC"/>
      <family val="2"/>
      <charset val="136"/>
    </font>
    <font>
      <sz val="12"/>
      <color theme="2"/>
      <name val="Charis SIL"/>
    </font>
    <font>
      <sz val="12"/>
      <color rgb="FFFF0000"/>
      <name val="Charis SIL"/>
    </font>
    <font>
      <sz val="16"/>
      <color theme="1"/>
      <name val="Noto Sans TC"/>
      <family val="2"/>
      <charset val="136"/>
    </font>
    <font>
      <sz val="16"/>
      <color theme="1"/>
      <name val="字咍源流明體 台羅方音 B"/>
      <family val="1"/>
      <charset val="136"/>
    </font>
    <font>
      <sz val="16"/>
      <color rgb="FFFF0000"/>
      <name val="字咍源流明體 台羅方音 B"/>
      <family val="1"/>
      <charset val="136"/>
    </font>
    <font>
      <strike/>
      <sz val="18"/>
      <color theme="1"/>
      <name val="新細明體"/>
      <family val="1"/>
      <charset val="136"/>
    </font>
    <font>
      <strike/>
      <sz val="24"/>
      <color theme="1"/>
      <name val="新細明體"/>
      <family val="1"/>
      <charset val="136"/>
    </font>
    <font>
      <strike/>
      <sz val="16"/>
      <color theme="2" tint="-0.249977111117893"/>
      <name val="新細明體"/>
      <family val="1"/>
      <charset val="136"/>
    </font>
    <font>
      <strike/>
      <sz val="16"/>
      <color theme="1"/>
      <name val="新細明體"/>
      <family val="1"/>
    </font>
    <font>
      <sz val="16"/>
      <color theme="1"/>
      <name val="Arial"/>
      <family val="2"/>
      <charset val="254"/>
    </font>
    <font>
      <strike/>
      <sz val="16"/>
      <color theme="1"/>
      <name val="Charis SIL"/>
    </font>
    <font>
      <sz val="16"/>
      <color theme="1"/>
      <name val="Charis SIL"/>
      <family val="2"/>
      <charset val="254"/>
    </font>
    <font>
      <sz val="16"/>
      <color theme="2"/>
      <name val="Noto Sans TC Medium"/>
      <family val="2"/>
      <charset val="136"/>
    </font>
    <font>
      <sz val="16"/>
      <color theme="2"/>
      <name val="Charis SIL"/>
    </font>
    <font>
      <sz val="16"/>
      <color theme="1"/>
      <name val="Microsoft JhengHei"/>
      <family val="2"/>
    </font>
    <font>
      <sz val="12"/>
      <color theme="1"/>
      <name val="Noto Sans TC"/>
      <family val="2"/>
      <charset val="136"/>
    </font>
    <font>
      <sz val="16"/>
      <color theme="2" tint="-9.9978637043366805E-2"/>
      <name val="Noto Sans TC Medium"/>
      <family val="2"/>
    </font>
    <font>
      <sz val="12"/>
      <color theme="1"/>
      <name val="細明體"/>
      <family val="3"/>
      <charset val="136"/>
    </font>
    <font>
      <sz val="12"/>
      <color theme="1"/>
      <name val="新細明體"/>
      <family val="1"/>
      <charset val="136"/>
    </font>
  </fonts>
  <fills count="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8" fillId="0" borderId="0"/>
  </cellStyleXfs>
  <cellXfs count="10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2"/>
    </xf>
    <xf numFmtId="0" fontId="3" fillId="3" borderId="1" xfId="0" applyFont="1" applyFill="1" applyBorder="1" applyAlignment="1">
      <alignment horizontal="left" vertical="center" indent="2"/>
    </xf>
    <xf numFmtId="0" fontId="4" fillId="3" borderId="1" xfId="0" applyFont="1" applyFill="1" applyBorder="1" applyAlignment="1">
      <alignment horizontal="left" vertical="center" indent="2"/>
    </xf>
    <xf numFmtId="0" fontId="3" fillId="4" borderId="1" xfId="0" applyFont="1" applyFill="1" applyBorder="1" applyAlignment="1">
      <alignment horizontal="left" vertical="center" indent="2"/>
    </xf>
    <xf numFmtId="0" fontId="9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indent="1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left" vertical="center" inden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6" fontId="12" fillId="0" borderId="1" xfId="0" applyNumberFormat="1" applyFont="1" applyBorder="1" applyAlignment="1">
      <alignment horizontal="left" vertical="center" indent="1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6" fontId="18" fillId="0" borderId="1" xfId="0" applyNumberFormat="1" applyFont="1" applyBorder="1" applyAlignment="1">
      <alignment horizontal="left" vertical="center" indent="1"/>
    </xf>
    <xf numFmtId="0" fontId="1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1" xfId="0" applyFont="1" applyFill="1" applyBorder="1" applyAlignment="1">
      <alignment horizontal="centerContinuous" vertical="center"/>
    </xf>
    <xf numFmtId="0" fontId="1" fillId="2" borderId="1" xfId="0" applyFont="1" applyFill="1" applyBorder="1" applyAlignment="1">
      <alignment horizontal="righ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Continuous" vertical="center"/>
    </xf>
    <xf numFmtId="0" fontId="1" fillId="5" borderId="1" xfId="0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 indent="2"/>
    </xf>
    <xf numFmtId="0" fontId="4" fillId="5" borderId="1" xfId="0" applyFont="1" applyFill="1" applyBorder="1" applyAlignment="1">
      <alignment horizontal="left" vertical="center" indent="2"/>
    </xf>
    <xf numFmtId="0" fontId="21" fillId="0" borderId="0" xfId="0" applyFont="1">
      <alignment vertical="center"/>
    </xf>
    <xf numFmtId="0" fontId="3" fillId="0" borderId="2" xfId="0" applyFont="1" applyBorder="1" applyAlignment="1">
      <alignment horizontal="left" vertical="center" indent="2"/>
    </xf>
    <xf numFmtId="0" fontId="3" fillId="3" borderId="2" xfId="0" applyFont="1" applyFill="1" applyBorder="1" applyAlignment="1">
      <alignment horizontal="left" vertical="center" indent="2"/>
    </xf>
    <xf numFmtId="0" fontId="4" fillId="3" borderId="2" xfId="0" applyFont="1" applyFill="1" applyBorder="1" applyAlignment="1">
      <alignment horizontal="left" vertical="center" indent="2"/>
    </xf>
    <xf numFmtId="0" fontId="3" fillId="4" borderId="2" xfId="0" applyFont="1" applyFill="1" applyBorder="1" applyAlignment="1">
      <alignment horizontal="left" vertical="center" indent="2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21" fillId="6" borderId="0" xfId="0" applyFont="1" applyFill="1">
      <alignment vertical="center"/>
    </xf>
    <xf numFmtId="0" fontId="24" fillId="6" borderId="0" xfId="0" applyFont="1" applyFill="1">
      <alignment vertical="center"/>
    </xf>
    <xf numFmtId="0" fontId="25" fillId="3" borderId="0" xfId="0" applyFont="1" applyFill="1" applyAlignment="1">
      <alignment horizontal="center" vertical="center"/>
    </xf>
    <xf numFmtId="0" fontId="21" fillId="0" borderId="7" xfId="0" applyFont="1" applyBorder="1">
      <alignment vertical="center"/>
    </xf>
    <xf numFmtId="0" fontId="9" fillId="7" borderId="1" xfId="0" applyFont="1" applyFill="1" applyBorder="1">
      <alignment vertical="center"/>
    </xf>
    <xf numFmtId="0" fontId="5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76" fontId="3" fillId="7" borderId="1" xfId="0" applyNumberFormat="1" applyFont="1" applyFill="1" applyBorder="1" applyAlignment="1">
      <alignment horizontal="left" vertical="center" indent="1"/>
    </xf>
    <xf numFmtId="0" fontId="11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9" fillId="7" borderId="5" xfId="0" applyFont="1" applyFill="1" applyBorder="1">
      <alignment vertical="center"/>
    </xf>
    <xf numFmtId="0" fontId="5" fillId="7" borderId="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 indent="2"/>
    </xf>
    <xf numFmtId="0" fontId="27" fillId="3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9" fillId="7" borderId="3" xfId="0" applyFont="1" applyFill="1" applyBorder="1">
      <alignment vertical="center"/>
    </xf>
    <xf numFmtId="0" fontId="5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176" fontId="3" fillId="7" borderId="3" xfId="0" applyNumberFormat="1" applyFont="1" applyFill="1" applyBorder="1" applyAlignment="1">
      <alignment horizontal="left" vertical="center" indent="1"/>
    </xf>
    <xf numFmtId="0" fontId="23" fillId="6" borderId="8" xfId="0" applyFont="1" applyFill="1" applyBorder="1" applyAlignment="1">
      <alignment horizontal="center" vertical="center"/>
    </xf>
    <xf numFmtId="0" fontId="29" fillId="7" borderId="1" xfId="0" applyFont="1" applyFill="1" applyBorder="1">
      <alignment vertical="center"/>
    </xf>
    <xf numFmtId="0" fontId="30" fillId="8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176" fontId="32" fillId="7" borderId="1" xfId="0" applyNumberFormat="1" applyFont="1" applyFill="1" applyBorder="1" applyAlignment="1">
      <alignment horizontal="left" vertical="center" indent="1"/>
    </xf>
    <xf numFmtId="0" fontId="3" fillId="7" borderId="3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4" fillId="7" borderId="1" xfId="0" applyFont="1" applyFill="1" applyBorder="1" applyAlignment="1">
      <alignment horizontal="center" vertical="center"/>
    </xf>
    <xf numFmtId="176" fontId="34" fillId="7" borderId="1" xfId="0" applyNumberFormat="1" applyFont="1" applyFill="1" applyBorder="1" applyAlignment="1">
      <alignment horizontal="left" vertical="center" indent="1"/>
    </xf>
    <xf numFmtId="0" fontId="35" fillId="7" borderId="1" xfId="0" applyFont="1" applyFill="1" applyBorder="1" applyAlignment="1">
      <alignment horizontal="center" vertical="center"/>
    </xf>
    <xf numFmtId="0" fontId="36" fillId="7" borderId="5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176" fontId="37" fillId="7" borderId="1" xfId="0" applyNumberFormat="1" applyFont="1" applyFill="1" applyBorder="1" applyAlignment="1">
      <alignment horizontal="left" vertical="center" indent="1"/>
    </xf>
    <xf numFmtId="0" fontId="23" fillId="6" borderId="9" xfId="0" applyFont="1" applyFill="1" applyBorder="1" applyAlignment="1">
      <alignment horizontal="center" vertical="center"/>
    </xf>
    <xf numFmtId="0" fontId="26" fillId="0" borderId="6" xfId="0" applyFont="1" applyBorder="1" applyAlignment="1">
      <alignment horizontal="left" vertical="center" indent="2"/>
    </xf>
    <xf numFmtId="0" fontId="39" fillId="0" borderId="0" xfId="0" applyFont="1">
      <alignment vertical="center"/>
    </xf>
    <xf numFmtId="0" fontId="25" fillId="6" borderId="0" xfId="0" applyFont="1" applyFill="1">
      <alignment vertical="center"/>
    </xf>
    <xf numFmtId="0" fontId="40" fillId="7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left" vertical="center" indent="1"/>
    </xf>
    <xf numFmtId="0" fontId="33" fillId="7" borderId="1" xfId="0" applyFont="1" applyFill="1" applyBorder="1" applyAlignment="1">
      <alignment horizontal="center" vertical="center"/>
    </xf>
    <xf numFmtId="0" fontId="17" fillId="7" borderId="5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39" fillId="6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2" fillId="0" borderId="0" xfId="0" applyFont="1">
      <alignment vertical="center"/>
    </xf>
  </cellXfs>
  <cellStyles count="2">
    <cellStyle name="一般" xfId="0" builtinId="0"/>
    <cellStyle name="一般 2" xfId="1" xr:uid="{E57FFF29-A59B-46E2-A496-66E529F383CC}"/>
  </cellStyles>
  <dxfs count="71">
    <dxf>
      <fill>
        <patternFill>
          <bgColor theme="2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ill>
        <patternFill>
          <bgColor theme="2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rgb="FFBFBFBF"/>
        </bottom>
      </border>
    </dxf>
    <dxf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left style="thin">
          <color theme="0" tint="-0.2499465926084170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theme="0" tint="-0.24994659260841701"/>
        </top>
      </border>
    </dxf>
    <dxf>
      <border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D53CAA-1AC5-435B-8EFA-F8A8BD117A7E}" name="聲母表" displayName="聲母表" ref="A1:M23" totalsRowShown="0" headerRowDxfId="53" headerRowBorderDxfId="52" tableBorderDxfId="51" totalsRowBorderDxfId="50">
  <autoFilter ref="A1:M23" xr:uid="{D4D53CAA-1AC5-435B-8EFA-F8A8BD117A7E}"/>
  <sortState xmlns:xlrd2="http://schemas.microsoft.com/office/spreadsheetml/2017/richdata2" ref="A2:M23">
    <sortCondition ref="B2:B23"/>
  </sortState>
  <tableColumns count="13">
    <tableColumn id="1" xr3:uid="{C83BAA32-BD80-4A6A-B041-EFB4E5BF0EAD}" name="序號" dataDxfId="49"/>
    <tableColumn id="13" xr3:uid="{F49FED34-8A68-43B1-A51D-B6550AE47953}" name="音序" dataDxfId="48"/>
    <tableColumn id="2" xr3:uid="{A6E193EA-549C-4029-8823-9DFE17442FF1}" name="漢字例" dataDxfId="47"/>
    <tableColumn id="3" xr3:uid="{6A134241-ADBE-4BD1-A5C6-D00613EF82BB}" name="十五音"/>
    <tableColumn id="14" xr3:uid="{E372684C-80C8-4FBB-8980-C9CF51A93857}" name="新十五音"/>
    <tableColumn id="5" xr3:uid="{D62696E3-AB0E-4D6E-B91E-A6119DD3697B}" name="國際音標" dataDxfId="46"/>
    <tableColumn id="4" xr3:uid="{9014A3FB-03BF-4D2A-833F-6D18B2FC48DE}" name="台羅拼音"/>
    <tableColumn id="7" xr3:uid="{DE46D56A-2F6F-460E-97EB-6221DBF36190}" name="台語音標" dataDxfId="45"/>
    <tableColumn id="8" xr3:uid="{6416C7B5-02F3-4A4B-A59B-F5CCC29DA4BC}" name="白話字" dataDxfId="44"/>
    <tableColumn id="9" xr3:uid="{499810EC-AD1D-46F1-B997-07B17DA95245}" name="閩拼方案" dataDxfId="43"/>
    <tableColumn id="10" xr3:uid="{5D3D9CE2-D240-4ADB-A8EC-5DF1AD126A55}" name="注音二式" dataDxfId="42"/>
    <tableColumn id="11" xr3:uid="{E1D819DB-0A80-42E2-A97A-E02BCFDCB063}" name="方音符號" dataDxfId="41"/>
    <tableColumn id="12" xr3:uid="{F009D45F-2383-4AB9-BA72-A06F1F14EE9E}" name="台語注音" dataDxfId="4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E007DD-5182-4B78-80DA-A6AB6CA14806}" name="韻母表" displayName="韻母表" ref="A1:M101" totalsRowShown="0" headerRowDxfId="70" dataDxfId="68" headerRowBorderDxfId="69" tableBorderDxfId="67">
  <autoFilter ref="A1:M101" xr:uid="{23E007DD-5182-4B78-80DA-A6AB6CA14806}"/>
  <tableColumns count="13">
    <tableColumn id="1" xr3:uid="{89688CC6-39FE-4435-8344-AAA347FCBED4}" name="序號" dataDxfId="66"/>
    <tableColumn id="5" xr3:uid="{8A21DB38-57E0-482B-95FC-B597347A8BDE}" name="韻序" dataDxfId="65">
      <calculatedColumnFormula xml:space="preserve"> IF(MOD(韻母表[[#This Row],[序號]],2)=0, 韻母表[[#This Row],[序號]]/2, ROUNDUP(韻母表[[#This Row],[序號]]/2,0))</calculatedColumnFormula>
    </tableColumn>
    <tableColumn id="2" xr3:uid="{C94EAE18-8E51-4E6B-AD98-90C9372F5188}" name="漢字例" dataDxfId="64"/>
    <tableColumn id="3" xr3:uid="{2C1D54ED-CBE3-4710-8C55-0AC6BB332524}" name="十五音" dataDxfId="63"/>
    <tableColumn id="6" xr3:uid="{9CAF41C9-1F52-4C5E-8A5F-0F0DECF6DB84}" name="國際音標" dataDxfId="62"/>
    <tableColumn id="7" xr3:uid="{6F37C033-2A03-4BC2-AB1F-B6A6D6E849EF}" name="國際音標2" dataDxfId="61"/>
    <tableColumn id="4" xr3:uid="{F38AD89D-9FC9-4519-A8D2-EEB6952EEAC1}" name="台羅拼音" dataDxfId="60"/>
    <tableColumn id="8" xr3:uid="{E2316195-DFB7-4D73-80AE-5AF5CB638098}" name="台語音標" dataDxfId="59"/>
    <tableColumn id="9" xr3:uid="{0A03E710-B799-4430-BEA2-5ABB2CD0E1A1}" name="白話字" dataDxfId="58"/>
    <tableColumn id="10" xr3:uid="{CA8E7716-EF33-499C-AAB0-A73DA24D6D6C}" name="閩拼方案" dataDxfId="57"/>
    <tableColumn id="11" xr3:uid="{44C917DF-FD45-429A-B606-AA4AA4A2D8B8}" name="注音二式" dataDxfId="56"/>
    <tableColumn id="12" xr3:uid="{A817EC74-78DE-4E34-8B25-4BAD35257767}" name="方音符號" dataDxfId="55"/>
    <tableColumn id="13" xr3:uid="{156C12E1-9EC9-4906-AFF2-E587C73D5F0D}" name="台語注音" dataDxfId="5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5995B0-5C2F-4E9A-9739-9EF19DAF1BE1}" name="韻母表_4" displayName="韻母表_4" ref="A1:M104" totalsRowShown="0" headerRowDxfId="39" dataDxfId="37" headerRowBorderDxfId="38" tableBorderDxfId="36">
  <autoFilter ref="A1:M104" xr:uid="{23E007DD-5182-4B78-80DA-A6AB6CA14806}"/>
  <tableColumns count="13">
    <tableColumn id="1" xr3:uid="{F8E86299-D90F-4592-ABDC-A0D652A239EA}" name="序號" dataDxfId="35"/>
    <tableColumn id="5" xr3:uid="{24C83CBE-F51A-4055-8C74-B669A9FEC2BB}" name="韻序" dataDxfId="34">
      <calculatedColumnFormula xml:space="preserve"> IF(MOD(韻母表_4[[#This Row],[序號]],2)=0, 韻母表_4[[#This Row],[序號]]/2, ROUNDUP(韻母表_4[[#This Row],[序號]]/2,0))</calculatedColumnFormula>
    </tableColumn>
    <tableColumn id="2" xr3:uid="{0C6809DB-3017-45B3-875B-B288340415E9}" name="漢字例" dataDxfId="33"/>
    <tableColumn id="3" xr3:uid="{EC7EADF7-9219-4A1D-BADE-5B70D687F5BE}" name="十五音" dataDxfId="32"/>
    <tableColumn id="6" xr3:uid="{D42B0375-1395-4AA5-9592-400D314FF4A6}" name="國際音標" dataDxfId="31"/>
    <tableColumn id="7" xr3:uid="{4FF66326-E3D3-4547-AACD-6FB02A224286}" name="國際音標2" dataDxfId="30"/>
    <tableColumn id="4" xr3:uid="{14118607-EB7E-45B6-BA80-82DA602FEA15}" name="台羅拼音" dataDxfId="29"/>
    <tableColumn id="8" xr3:uid="{B9308C5F-5158-4627-97E6-3777D062785C}" name="台語音標" dataDxfId="28"/>
    <tableColumn id="9" xr3:uid="{4D40D46C-12FE-42D7-893F-D328F6CC3B39}" name="白話字" dataDxfId="27"/>
    <tableColumn id="10" xr3:uid="{E55C9A5F-E95C-4F9C-95C2-8A79906E6908}" name="閩拼方案" dataDxfId="26"/>
    <tableColumn id="11" xr3:uid="{2FF03B77-E51C-4F7F-AC68-ACCC6F92D98A}" name="注音二式" dataDxfId="25"/>
    <tableColumn id="12" xr3:uid="{E71F16DA-D83F-43D8-B782-448D0B3850FD}" name="方音符號" dataDxfId="24"/>
    <tableColumn id="13" xr3:uid="{AF2B7E9E-8412-4DD8-AF9D-37FEF1CA2005}" name="台語注音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79636-E4F8-462B-8E84-13B25D63554E}">
  <dimension ref="A1:Z103"/>
  <sheetViews>
    <sheetView zoomScaleNormal="100" workbookViewId="0">
      <pane xSplit="4" ySplit="3" topLeftCell="E80" activePane="bottomRight" state="frozen"/>
      <selection pane="topRight" activeCell="E1" sqref="E1"/>
      <selection pane="bottomLeft" activeCell="A4" sqref="A4"/>
      <selection pane="bottomRight" activeCell="Z1" sqref="A1:Z3"/>
    </sheetView>
  </sheetViews>
  <sheetFormatPr defaultRowHeight="16.5"/>
  <cols>
    <col min="1" max="1" width="5.5" customWidth="1"/>
    <col min="3" max="3" width="12.875" style="1" customWidth="1"/>
    <col min="4" max="4" width="9.625" style="2" customWidth="1"/>
    <col min="5" max="26" width="11" customWidth="1"/>
  </cols>
  <sheetData>
    <row r="1" spans="1:26" ht="44.25">
      <c r="A1" s="104" t="s">
        <v>17</v>
      </c>
      <c r="B1" s="104"/>
      <c r="C1" s="104"/>
      <c r="D1" s="104"/>
      <c r="E1" s="4" t="s">
        <v>18</v>
      </c>
      <c r="F1" s="4" t="s">
        <v>19</v>
      </c>
      <c r="G1" s="4" t="s">
        <v>20</v>
      </c>
      <c r="H1" s="5" t="s">
        <v>21</v>
      </c>
      <c r="I1" s="6" t="s">
        <v>22</v>
      </c>
      <c r="J1" s="4" t="s">
        <v>23</v>
      </c>
      <c r="K1" s="4" t="s">
        <v>24</v>
      </c>
      <c r="L1" s="5" t="s">
        <v>25</v>
      </c>
      <c r="M1" s="6" t="s">
        <v>26</v>
      </c>
      <c r="N1" s="4" t="s">
        <v>27</v>
      </c>
      <c r="O1" s="4" t="s">
        <v>28</v>
      </c>
      <c r="P1" s="5" t="s">
        <v>29</v>
      </c>
      <c r="Q1" s="6" t="s">
        <v>30</v>
      </c>
      <c r="R1" s="4" t="s">
        <v>31</v>
      </c>
      <c r="S1" s="7" t="s">
        <v>32</v>
      </c>
      <c r="T1" s="4" t="s">
        <v>33</v>
      </c>
      <c r="U1" s="7" t="s">
        <v>34</v>
      </c>
      <c r="V1" s="4" t="s">
        <v>35</v>
      </c>
      <c r="W1" s="7" t="s">
        <v>36</v>
      </c>
      <c r="X1" s="4" t="s">
        <v>37</v>
      </c>
      <c r="Y1" s="5" t="s">
        <v>38</v>
      </c>
      <c r="Z1" s="5" t="s">
        <v>39</v>
      </c>
    </row>
    <row r="2" spans="1:26" ht="29.25">
      <c r="A2" s="104" t="s">
        <v>0</v>
      </c>
      <c r="B2" s="104"/>
      <c r="C2" s="104"/>
      <c r="D2" s="104"/>
      <c r="E2" s="8" t="s">
        <v>1</v>
      </c>
      <c r="F2" s="8" t="s">
        <v>2</v>
      </c>
      <c r="G2" s="8" t="s">
        <v>3</v>
      </c>
      <c r="H2" s="9" t="s">
        <v>4</v>
      </c>
      <c r="I2" s="10" t="s">
        <v>4</v>
      </c>
      <c r="J2" s="8" t="s">
        <v>5</v>
      </c>
      <c r="K2" s="8" t="s">
        <v>6</v>
      </c>
      <c r="L2" s="9" t="s">
        <v>7</v>
      </c>
      <c r="M2" s="10" t="s">
        <v>7</v>
      </c>
      <c r="N2" s="8" t="s">
        <v>8</v>
      </c>
      <c r="O2" s="8" t="s">
        <v>9</v>
      </c>
      <c r="P2" s="9" t="s">
        <v>10</v>
      </c>
      <c r="Q2" s="10" t="s">
        <v>10</v>
      </c>
      <c r="R2" s="8" t="s">
        <v>11</v>
      </c>
      <c r="S2" s="11" t="s">
        <v>12</v>
      </c>
      <c r="T2" s="8" t="s">
        <v>12</v>
      </c>
      <c r="U2" s="11" t="s">
        <v>13</v>
      </c>
      <c r="V2" s="8" t="s">
        <v>13</v>
      </c>
      <c r="W2" s="11" t="s">
        <v>14</v>
      </c>
      <c r="X2" s="8" t="s">
        <v>14</v>
      </c>
      <c r="Y2" s="9" t="s">
        <v>15</v>
      </c>
      <c r="Z2" s="9" t="s">
        <v>16</v>
      </c>
    </row>
    <row r="3" spans="1:26" ht="29.25">
      <c r="A3" s="104" t="s">
        <v>40</v>
      </c>
      <c r="B3" s="104"/>
      <c r="C3" s="104"/>
      <c r="D3" s="104"/>
      <c r="E3" s="12"/>
      <c r="F3" s="12" t="s">
        <v>41</v>
      </c>
      <c r="G3" s="12" t="s">
        <v>42</v>
      </c>
      <c r="H3" s="13" t="s">
        <v>43</v>
      </c>
      <c r="I3" s="14" t="s">
        <v>44</v>
      </c>
      <c r="J3" s="12" t="s">
        <v>45</v>
      </c>
      <c r="K3" s="12" t="s">
        <v>46</v>
      </c>
      <c r="L3" s="13" t="s">
        <v>47</v>
      </c>
      <c r="M3" s="14" t="s">
        <v>48</v>
      </c>
      <c r="N3" s="12" t="s">
        <v>49</v>
      </c>
      <c r="O3" s="12" t="s">
        <v>50</v>
      </c>
      <c r="P3" s="13" t="s">
        <v>51</v>
      </c>
      <c r="Q3" s="14" t="s">
        <v>52</v>
      </c>
      <c r="R3" s="12" t="s">
        <v>53</v>
      </c>
      <c r="S3" s="15" t="s">
        <v>54</v>
      </c>
      <c r="T3" s="12" t="s">
        <v>55</v>
      </c>
      <c r="U3" s="15" t="s">
        <v>56</v>
      </c>
      <c r="V3" s="12" t="s">
        <v>57</v>
      </c>
      <c r="W3" s="15" t="s">
        <v>58</v>
      </c>
      <c r="X3" s="12" t="s">
        <v>59</v>
      </c>
      <c r="Y3" s="13" t="s">
        <v>60</v>
      </c>
      <c r="Z3" s="13" t="s">
        <v>61</v>
      </c>
    </row>
    <row r="4" spans="1:26" ht="44.25">
      <c r="A4" s="16">
        <v>1</v>
      </c>
      <c r="B4" s="4" t="s">
        <v>240</v>
      </c>
      <c r="C4" s="17" t="s">
        <v>62</v>
      </c>
      <c r="D4" s="18" t="s">
        <v>162</v>
      </c>
      <c r="E4" s="31" t="str">
        <f t="shared" ref="E4:T19" si="0">IF($D4="", "", _xlfn.CONCAT(E$3, $D4))</f>
        <v>un</v>
      </c>
      <c r="F4" s="31" t="str">
        <f t="shared" si="0"/>
        <v>pun</v>
      </c>
      <c r="G4" s="31" t="str">
        <f t="shared" si="0"/>
        <v>phun</v>
      </c>
      <c r="H4" s="31" t="str">
        <f t="shared" si="0"/>
        <v>bun</v>
      </c>
      <c r="I4" s="31" t="str">
        <f t="shared" si="0"/>
        <v>mun</v>
      </c>
      <c r="J4" s="31" t="str">
        <f t="shared" si="0"/>
        <v>tun</v>
      </c>
      <c r="K4" s="31" t="str">
        <f t="shared" si="0"/>
        <v>thun</v>
      </c>
      <c r="L4" s="31" t="str">
        <f t="shared" si="0"/>
        <v>lun</v>
      </c>
      <c r="M4" s="31" t="str">
        <f t="shared" si="0"/>
        <v>nun</v>
      </c>
      <c r="N4" s="31" t="str">
        <f t="shared" si="0"/>
        <v>kun</v>
      </c>
      <c r="O4" s="31" t="str">
        <f t="shared" si="0"/>
        <v>khun</v>
      </c>
      <c r="P4" s="31" t="str">
        <f t="shared" si="0"/>
        <v>gun</v>
      </c>
      <c r="Q4" s="31" t="str">
        <f t="shared" si="0"/>
        <v>ngun</v>
      </c>
      <c r="R4" s="31" t="str">
        <f t="shared" si="0"/>
        <v>hun</v>
      </c>
      <c r="S4" s="31" t="str">
        <f t="shared" si="0"/>
        <v>tsun</v>
      </c>
      <c r="T4" s="31" t="str">
        <f t="shared" si="0"/>
        <v>tsiun</v>
      </c>
      <c r="U4" s="31" t="str">
        <f t="shared" ref="U4:Z19" si="1">IF($D4="", "", _xlfn.CONCAT(U$3, $D4))</f>
        <v>tshun</v>
      </c>
      <c r="V4" s="31" t="str">
        <f t="shared" si="1"/>
        <v>tshiun</v>
      </c>
      <c r="W4" s="31" t="str">
        <f t="shared" si="1"/>
        <v>sun</v>
      </c>
      <c r="X4" s="31" t="str">
        <f t="shared" si="1"/>
        <v>siun</v>
      </c>
      <c r="Y4" s="31" t="str">
        <f t="shared" si="1"/>
        <v>jun</v>
      </c>
      <c r="Z4" s="31" t="str">
        <f t="shared" si="1"/>
        <v>jiun</v>
      </c>
    </row>
    <row r="5" spans="1:26" ht="44.25">
      <c r="A5" s="16">
        <v>2</v>
      </c>
      <c r="B5" s="4" t="s">
        <v>242</v>
      </c>
      <c r="C5" s="17" t="s">
        <v>63</v>
      </c>
      <c r="D5" s="18" t="s">
        <v>163</v>
      </c>
      <c r="E5" s="31" t="str">
        <f t="shared" si="0"/>
        <v>ut</v>
      </c>
      <c r="F5" s="31" t="str">
        <f t="shared" si="0"/>
        <v>put</v>
      </c>
      <c r="G5" s="31" t="str">
        <f t="shared" si="0"/>
        <v>phut</v>
      </c>
      <c r="H5" s="31" t="str">
        <f t="shared" si="0"/>
        <v>but</v>
      </c>
      <c r="I5" s="31" t="str">
        <f t="shared" si="0"/>
        <v>mut</v>
      </c>
      <c r="J5" s="31" t="str">
        <f t="shared" si="0"/>
        <v>tut</v>
      </c>
      <c r="K5" s="31" t="str">
        <f t="shared" si="0"/>
        <v>thut</v>
      </c>
      <c r="L5" s="31" t="str">
        <f t="shared" si="0"/>
        <v>lut</v>
      </c>
      <c r="M5" s="31" t="str">
        <f t="shared" si="0"/>
        <v>nut</v>
      </c>
      <c r="N5" s="31" t="str">
        <f t="shared" si="0"/>
        <v>kut</v>
      </c>
      <c r="O5" s="31" t="str">
        <f t="shared" si="0"/>
        <v>khut</v>
      </c>
      <c r="P5" s="31" t="str">
        <f t="shared" si="0"/>
        <v>gut</v>
      </c>
      <c r="Q5" s="31" t="str">
        <f t="shared" si="0"/>
        <v>ngut</v>
      </c>
      <c r="R5" s="31" t="str">
        <f t="shared" si="0"/>
        <v>hut</v>
      </c>
      <c r="S5" s="31" t="str">
        <f t="shared" si="0"/>
        <v>tsut</v>
      </c>
      <c r="T5" s="31" t="str">
        <f t="shared" si="0"/>
        <v>tsiut</v>
      </c>
      <c r="U5" s="31" t="str">
        <f t="shared" si="1"/>
        <v>tshut</v>
      </c>
      <c r="V5" s="31" t="str">
        <f t="shared" si="1"/>
        <v>tshiut</v>
      </c>
      <c r="W5" s="31" t="str">
        <f t="shared" si="1"/>
        <v>sut</v>
      </c>
      <c r="X5" s="31" t="str">
        <f t="shared" si="1"/>
        <v>siut</v>
      </c>
      <c r="Y5" s="31" t="str">
        <f t="shared" si="1"/>
        <v>jut</v>
      </c>
      <c r="Z5" s="31" t="str">
        <f t="shared" si="1"/>
        <v>jiut</v>
      </c>
    </row>
    <row r="6" spans="1:26" ht="44.25">
      <c r="A6" s="16">
        <v>3</v>
      </c>
      <c r="B6" s="4" t="s">
        <v>241</v>
      </c>
      <c r="C6" s="17" t="s">
        <v>64</v>
      </c>
      <c r="D6" s="18" t="s">
        <v>164</v>
      </c>
      <c r="E6" s="31" t="str">
        <f t="shared" si="0"/>
        <v>ian</v>
      </c>
      <c r="F6" s="31" t="str">
        <f t="shared" si="0"/>
        <v>pian</v>
      </c>
      <c r="G6" s="31" t="str">
        <f t="shared" si="0"/>
        <v>phian</v>
      </c>
      <c r="H6" s="31" t="str">
        <f t="shared" si="0"/>
        <v>bian</v>
      </c>
      <c r="I6" s="31" t="str">
        <f t="shared" si="0"/>
        <v>mian</v>
      </c>
      <c r="J6" s="31" t="str">
        <f t="shared" si="0"/>
        <v>tian</v>
      </c>
      <c r="K6" s="31" t="str">
        <f t="shared" si="0"/>
        <v>thian</v>
      </c>
      <c r="L6" s="31" t="str">
        <f t="shared" si="0"/>
        <v>lian</v>
      </c>
      <c r="M6" s="31" t="str">
        <f t="shared" si="0"/>
        <v>nian</v>
      </c>
      <c r="N6" s="31" t="str">
        <f t="shared" si="0"/>
        <v>kian</v>
      </c>
      <c r="O6" s="31" t="str">
        <f t="shared" si="0"/>
        <v>khian</v>
      </c>
      <c r="P6" s="31" t="str">
        <f t="shared" si="0"/>
        <v>gian</v>
      </c>
      <c r="Q6" s="31" t="str">
        <f t="shared" si="0"/>
        <v>ngian</v>
      </c>
      <c r="R6" s="31" t="str">
        <f t="shared" si="0"/>
        <v>hian</v>
      </c>
      <c r="S6" s="31" t="str">
        <f t="shared" si="0"/>
        <v>tsian</v>
      </c>
      <c r="T6" s="31" t="str">
        <f t="shared" si="0"/>
        <v>tsiian</v>
      </c>
      <c r="U6" s="31" t="str">
        <f t="shared" si="1"/>
        <v>tshian</v>
      </c>
      <c r="V6" s="31" t="str">
        <f t="shared" si="1"/>
        <v>tshiian</v>
      </c>
      <c r="W6" s="31" t="str">
        <f t="shared" si="1"/>
        <v>sian</v>
      </c>
      <c r="X6" s="31" t="str">
        <f t="shared" si="1"/>
        <v>siian</v>
      </c>
      <c r="Y6" s="31" t="str">
        <f t="shared" si="1"/>
        <v>jian</v>
      </c>
      <c r="Z6" s="31" t="str">
        <f t="shared" si="1"/>
        <v>jiian</v>
      </c>
    </row>
    <row r="7" spans="1:26" ht="44.25">
      <c r="A7" s="16">
        <v>4</v>
      </c>
      <c r="B7" s="4" t="s">
        <v>243</v>
      </c>
      <c r="C7" s="17" t="s">
        <v>65</v>
      </c>
      <c r="D7" s="18" t="s">
        <v>165</v>
      </c>
      <c r="E7" s="31" t="str">
        <f t="shared" si="0"/>
        <v>iat</v>
      </c>
      <c r="F7" s="31" t="str">
        <f t="shared" si="0"/>
        <v>piat</v>
      </c>
      <c r="G7" s="31" t="str">
        <f t="shared" si="0"/>
        <v>phiat</v>
      </c>
      <c r="H7" s="31" t="str">
        <f t="shared" si="0"/>
        <v>biat</v>
      </c>
      <c r="I7" s="31" t="str">
        <f t="shared" si="0"/>
        <v>miat</v>
      </c>
      <c r="J7" s="31" t="str">
        <f t="shared" si="0"/>
        <v>tiat</v>
      </c>
      <c r="K7" s="31" t="str">
        <f t="shared" si="0"/>
        <v>thiat</v>
      </c>
      <c r="L7" s="31" t="str">
        <f t="shared" si="0"/>
        <v>liat</v>
      </c>
      <c r="M7" s="31" t="str">
        <f t="shared" si="0"/>
        <v>niat</v>
      </c>
      <c r="N7" s="31" t="str">
        <f t="shared" si="0"/>
        <v>kiat</v>
      </c>
      <c r="O7" s="31" t="str">
        <f t="shared" si="0"/>
        <v>khiat</v>
      </c>
      <c r="P7" s="31" t="str">
        <f t="shared" si="0"/>
        <v>giat</v>
      </c>
      <c r="Q7" s="31" t="str">
        <f t="shared" si="0"/>
        <v>ngiat</v>
      </c>
      <c r="R7" s="31" t="str">
        <f t="shared" si="0"/>
        <v>hiat</v>
      </c>
      <c r="S7" s="31" t="str">
        <f t="shared" si="0"/>
        <v>tsiat</v>
      </c>
      <c r="T7" s="31" t="str">
        <f t="shared" si="0"/>
        <v>tsiiat</v>
      </c>
      <c r="U7" s="31" t="str">
        <f t="shared" si="1"/>
        <v>tshiat</v>
      </c>
      <c r="V7" s="31" t="str">
        <f t="shared" si="1"/>
        <v>tshiiat</v>
      </c>
      <c r="W7" s="31" t="str">
        <f t="shared" si="1"/>
        <v>siat</v>
      </c>
      <c r="X7" s="31" t="str">
        <f t="shared" si="1"/>
        <v>siiat</v>
      </c>
      <c r="Y7" s="31" t="str">
        <f t="shared" si="1"/>
        <v>jiat</v>
      </c>
      <c r="Z7" s="31" t="str">
        <f t="shared" si="1"/>
        <v>jiiat</v>
      </c>
    </row>
    <row r="8" spans="1:26" ht="44.25">
      <c r="A8" s="16">
        <v>5</v>
      </c>
      <c r="B8" s="4" t="s">
        <v>244</v>
      </c>
      <c r="C8" s="17" t="s">
        <v>66</v>
      </c>
      <c r="D8" s="18" t="s">
        <v>166</v>
      </c>
      <c r="E8" s="31" t="str">
        <f t="shared" si="0"/>
        <v>im</v>
      </c>
      <c r="F8" s="31" t="str">
        <f t="shared" si="0"/>
        <v>pim</v>
      </c>
      <c r="G8" s="31" t="str">
        <f t="shared" si="0"/>
        <v>phim</v>
      </c>
      <c r="H8" s="31" t="str">
        <f t="shared" si="0"/>
        <v>bim</v>
      </c>
      <c r="I8" s="31" t="str">
        <f t="shared" si="0"/>
        <v>mim</v>
      </c>
      <c r="J8" s="31" t="str">
        <f t="shared" si="0"/>
        <v>tim</v>
      </c>
      <c r="K8" s="31" t="str">
        <f t="shared" si="0"/>
        <v>thim</v>
      </c>
      <c r="L8" s="31" t="str">
        <f t="shared" si="0"/>
        <v>lim</v>
      </c>
      <c r="M8" s="31" t="str">
        <f t="shared" si="0"/>
        <v>nim</v>
      </c>
      <c r="N8" s="31" t="str">
        <f t="shared" si="0"/>
        <v>kim</v>
      </c>
      <c r="O8" s="31" t="str">
        <f t="shared" si="0"/>
        <v>khim</v>
      </c>
      <c r="P8" s="31" t="str">
        <f t="shared" si="0"/>
        <v>gim</v>
      </c>
      <c r="Q8" s="31" t="str">
        <f t="shared" si="0"/>
        <v>ngim</v>
      </c>
      <c r="R8" s="31" t="str">
        <f t="shared" si="0"/>
        <v>him</v>
      </c>
      <c r="S8" s="31" t="str">
        <f t="shared" si="0"/>
        <v>tsim</v>
      </c>
      <c r="T8" s="31" t="str">
        <f t="shared" si="0"/>
        <v>tsiim</v>
      </c>
      <c r="U8" s="31" t="str">
        <f t="shared" si="1"/>
        <v>tshim</v>
      </c>
      <c r="V8" s="31" t="str">
        <f t="shared" si="1"/>
        <v>tshiim</v>
      </c>
      <c r="W8" s="31" t="str">
        <f t="shared" si="1"/>
        <v>sim</v>
      </c>
      <c r="X8" s="31" t="str">
        <f t="shared" si="1"/>
        <v>siim</v>
      </c>
      <c r="Y8" s="31" t="str">
        <f t="shared" si="1"/>
        <v>jim</v>
      </c>
      <c r="Z8" s="31" t="str">
        <f t="shared" si="1"/>
        <v>jiim</v>
      </c>
    </row>
    <row r="9" spans="1:26" ht="44.25">
      <c r="A9" s="16">
        <v>6</v>
      </c>
      <c r="B9" s="4" t="s">
        <v>247</v>
      </c>
      <c r="C9" s="17" t="s">
        <v>67</v>
      </c>
      <c r="D9" s="18" t="s">
        <v>167</v>
      </c>
      <c r="E9" s="31" t="str">
        <f t="shared" si="0"/>
        <v>ip</v>
      </c>
      <c r="F9" s="31" t="str">
        <f t="shared" si="0"/>
        <v>pip</v>
      </c>
      <c r="G9" s="31" t="str">
        <f t="shared" si="0"/>
        <v>phip</v>
      </c>
      <c r="H9" s="31" t="str">
        <f t="shared" si="0"/>
        <v>bip</v>
      </c>
      <c r="I9" s="31" t="str">
        <f t="shared" si="0"/>
        <v>mip</v>
      </c>
      <c r="J9" s="31" t="str">
        <f t="shared" si="0"/>
        <v>tip</v>
      </c>
      <c r="K9" s="31" t="str">
        <f t="shared" si="0"/>
        <v>thip</v>
      </c>
      <c r="L9" s="31" t="str">
        <f t="shared" si="0"/>
        <v>lip</v>
      </c>
      <c r="M9" s="31" t="str">
        <f t="shared" si="0"/>
        <v>nip</v>
      </c>
      <c r="N9" s="31" t="str">
        <f t="shared" si="0"/>
        <v>kip</v>
      </c>
      <c r="O9" s="31" t="str">
        <f t="shared" si="0"/>
        <v>khip</v>
      </c>
      <c r="P9" s="31" t="str">
        <f t="shared" si="0"/>
        <v>gip</v>
      </c>
      <c r="Q9" s="31" t="str">
        <f t="shared" si="0"/>
        <v>ngip</v>
      </c>
      <c r="R9" s="31" t="str">
        <f t="shared" si="0"/>
        <v>hip</v>
      </c>
      <c r="S9" s="31" t="str">
        <f t="shared" si="0"/>
        <v>tsip</v>
      </c>
      <c r="T9" s="31" t="str">
        <f t="shared" si="0"/>
        <v>tsiip</v>
      </c>
      <c r="U9" s="31" t="str">
        <f t="shared" si="1"/>
        <v>tship</v>
      </c>
      <c r="V9" s="31" t="str">
        <f t="shared" si="1"/>
        <v>tshiip</v>
      </c>
      <c r="W9" s="31" t="str">
        <f t="shared" si="1"/>
        <v>sip</v>
      </c>
      <c r="X9" s="31" t="str">
        <f t="shared" si="1"/>
        <v>siip</v>
      </c>
      <c r="Y9" s="31" t="str">
        <f t="shared" si="1"/>
        <v>jip</v>
      </c>
      <c r="Z9" s="31" t="str">
        <f t="shared" si="1"/>
        <v>jiip</v>
      </c>
    </row>
    <row r="10" spans="1:26" ht="44.25">
      <c r="A10" s="16">
        <v>7</v>
      </c>
      <c r="B10" s="4" t="s">
        <v>248</v>
      </c>
      <c r="C10" s="17" t="s">
        <v>68</v>
      </c>
      <c r="D10" s="18" t="s">
        <v>168</v>
      </c>
      <c r="E10" s="31" t="str">
        <f t="shared" si="0"/>
        <v>ui</v>
      </c>
      <c r="F10" s="31" t="str">
        <f t="shared" si="0"/>
        <v>pui</v>
      </c>
      <c r="G10" s="31" t="str">
        <f t="shared" si="0"/>
        <v>phui</v>
      </c>
      <c r="H10" s="31" t="str">
        <f t="shared" si="0"/>
        <v>bui</v>
      </c>
      <c r="I10" s="31" t="str">
        <f t="shared" si="0"/>
        <v>mui</v>
      </c>
      <c r="J10" s="31" t="str">
        <f t="shared" si="0"/>
        <v>tui</v>
      </c>
      <c r="K10" s="31" t="str">
        <f t="shared" si="0"/>
        <v>thui</v>
      </c>
      <c r="L10" s="31" t="str">
        <f t="shared" si="0"/>
        <v>lui</v>
      </c>
      <c r="M10" s="31" t="str">
        <f t="shared" si="0"/>
        <v>nui</v>
      </c>
      <c r="N10" s="31" t="str">
        <f t="shared" si="0"/>
        <v>kui</v>
      </c>
      <c r="O10" s="31" t="str">
        <f t="shared" si="0"/>
        <v>khui</v>
      </c>
      <c r="P10" s="31" t="str">
        <f t="shared" si="0"/>
        <v>gui</v>
      </c>
      <c r="Q10" s="31" t="str">
        <f t="shared" si="0"/>
        <v>ngui</v>
      </c>
      <c r="R10" s="31" t="str">
        <f t="shared" si="0"/>
        <v>hui</v>
      </c>
      <c r="S10" s="31" t="str">
        <f t="shared" si="0"/>
        <v>tsui</v>
      </c>
      <c r="T10" s="31" t="str">
        <f t="shared" si="0"/>
        <v>tsiui</v>
      </c>
      <c r="U10" s="31" t="str">
        <f t="shared" si="1"/>
        <v>tshui</v>
      </c>
      <c r="V10" s="31" t="str">
        <f t="shared" si="1"/>
        <v>tshiui</v>
      </c>
      <c r="W10" s="31" t="str">
        <f t="shared" si="1"/>
        <v>sui</v>
      </c>
      <c r="X10" s="31" t="str">
        <f t="shared" si="1"/>
        <v>siui</v>
      </c>
      <c r="Y10" s="31" t="str">
        <f t="shared" si="1"/>
        <v>jui</v>
      </c>
      <c r="Z10" s="31" t="str">
        <f t="shared" si="1"/>
        <v>jiui</v>
      </c>
    </row>
    <row r="11" spans="1:26" ht="44.25">
      <c r="A11" s="16">
        <v>8</v>
      </c>
      <c r="B11" s="4"/>
      <c r="C11" s="23" t="s">
        <v>69</v>
      </c>
      <c r="D11" s="24"/>
      <c r="E11" s="31" t="str">
        <f t="shared" si="0"/>
        <v/>
      </c>
      <c r="F11" s="31" t="str">
        <f t="shared" si="0"/>
        <v/>
      </c>
      <c r="G11" s="31" t="str">
        <f t="shared" si="0"/>
        <v/>
      </c>
      <c r="H11" s="31" t="str">
        <f t="shared" si="0"/>
        <v/>
      </c>
      <c r="I11" s="31" t="str">
        <f t="shared" si="0"/>
        <v/>
      </c>
      <c r="J11" s="31" t="str">
        <f t="shared" si="0"/>
        <v/>
      </c>
      <c r="K11" s="31" t="str">
        <f t="shared" si="0"/>
        <v/>
      </c>
      <c r="L11" s="31" t="str">
        <f t="shared" si="0"/>
        <v/>
      </c>
      <c r="M11" s="31" t="str">
        <f t="shared" si="0"/>
        <v/>
      </c>
      <c r="N11" s="31" t="str">
        <f t="shared" si="0"/>
        <v/>
      </c>
      <c r="O11" s="31" t="str">
        <f t="shared" si="0"/>
        <v/>
      </c>
      <c r="P11" s="31" t="str">
        <f t="shared" si="0"/>
        <v/>
      </c>
      <c r="Q11" s="31" t="str">
        <f t="shared" si="0"/>
        <v/>
      </c>
      <c r="R11" s="31" t="str">
        <f t="shared" si="0"/>
        <v/>
      </c>
      <c r="S11" s="31" t="str">
        <f t="shared" si="0"/>
        <v/>
      </c>
      <c r="T11" s="31" t="str">
        <f t="shared" si="0"/>
        <v/>
      </c>
      <c r="U11" s="31" t="str">
        <f t="shared" si="1"/>
        <v/>
      </c>
      <c r="V11" s="31" t="str">
        <f t="shared" si="1"/>
        <v/>
      </c>
      <c r="W11" s="31" t="str">
        <f t="shared" si="1"/>
        <v/>
      </c>
      <c r="X11" s="31" t="str">
        <f t="shared" si="1"/>
        <v/>
      </c>
      <c r="Y11" s="31" t="str">
        <f t="shared" si="1"/>
        <v/>
      </c>
      <c r="Z11" s="31" t="str">
        <f t="shared" si="1"/>
        <v/>
      </c>
    </row>
    <row r="12" spans="1:26" ht="44.25">
      <c r="A12" s="16">
        <v>9</v>
      </c>
      <c r="B12" s="19" t="s">
        <v>249</v>
      </c>
      <c r="C12" s="20" t="s">
        <v>70</v>
      </c>
      <c r="D12" s="21" t="s">
        <v>169</v>
      </c>
      <c r="E12" s="31" t="str">
        <f t="shared" si="0"/>
        <v>ee</v>
      </c>
      <c r="F12" s="31" t="str">
        <f t="shared" si="0"/>
        <v>pee</v>
      </c>
      <c r="G12" s="31" t="str">
        <f t="shared" si="0"/>
        <v>phee</v>
      </c>
      <c r="H12" s="31" t="str">
        <f t="shared" si="0"/>
        <v>bee</v>
      </c>
      <c r="I12" s="31" t="str">
        <f t="shared" si="0"/>
        <v>mee</v>
      </c>
      <c r="J12" s="31" t="str">
        <f t="shared" si="0"/>
        <v>tee</v>
      </c>
      <c r="K12" s="31" t="str">
        <f t="shared" si="0"/>
        <v>thee</v>
      </c>
      <c r="L12" s="31" t="str">
        <f t="shared" si="0"/>
        <v>lee</v>
      </c>
      <c r="M12" s="31" t="str">
        <f t="shared" si="0"/>
        <v>nee</v>
      </c>
      <c r="N12" s="31" t="str">
        <f t="shared" si="0"/>
        <v>kee</v>
      </c>
      <c r="O12" s="31" t="str">
        <f t="shared" si="0"/>
        <v>khee</v>
      </c>
      <c r="P12" s="31" t="str">
        <f t="shared" si="0"/>
        <v>gee</v>
      </c>
      <c r="Q12" s="31" t="str">
        <f t="shared" si="0"/>
        <v>ngee</v>
      </c>
      <c r="R12" s="31" t="str">
        <f t="shared" si="0"/>
        <v>hee</v>
      </c>
      <c r="S12" s="31" t="str">
        <f t="shared" si="0"/>
        <v>tsee</v>
      </c>
      <c r="T12" s="31" t="str">
        <f t="shared" si="0"/>
        <v>tsiee</v>
      </c>
      <c r="U12" s="31" t="str">
        <f t="shared" si="1"/>
        <v>tshee</v>
      </c>
      <c r="V12" s="31" t="str">
        <f t="shared" si="1"/>
        <v>tshiee</v>
      </c>
      <c r="W12" s="31" t="str">
        <f t="shared" si="1"/>
        <v>see</v>
      </c>
      <c r="X12" s="31" t="str">
        <f t="shared" si="1"/>
        <v>siee</v>
      </c>
      <c r="Y12" s="31" t="str">
        <f t="shared" si="1"/>
        <v>jee</v>
      </c>
      <c r="Z12" s="31" t="str">
        <f t="shared" si="1"/>
        <v>jiee</v>
      </c>
    </row>
    <row r="13" spans="1:26" ht="44.25">
      <c r="A13" s="16">
        <v>10</v>
      </c>
      <c r="B13" s="19" t="s">
        <v>250</v>
      </c>
      <c r="C13" s="20" t="s">
        <v>71</v>
      </c>
      <c r="D13" s="21" t="s">
        <v>170</v>
      </c>
      <c r="E13" s="31" t="str">
        <f t="shared" si="0"/>
        <v>eeh</v>
      </c>
      <c r="F13" s="31" t="str">
        <f t="shared" si="0"/>
        <v>peeh</v>
      </c>
      <c r="G13" s="31" t="str">
        <f t="shared" si="0"/>
        <v>pheeh</v>
      </c>
      <c r="H13" s="31" t="str">
        <f t="shared" si="0"/>
        <v>beeh</v>
      </c>
      <c r="I13" s="31" t="str">
        <f t="shared" si="0"/>
        <v>meeh</v>
      </c>
      <c r="J13" s="31" t="str">
        <f t="shared" si="0"/>
        <v>teeh</v>
      </c>
      <c r="K13" s="31" t="str">
        <f t="shared" si="0"/>
        <v>theeh</v>
      </c>
      <c r="L13" s="31" t="str">
        <f t="shared" si="0"/>
        <v>leeh</v>
      </c>
      <c r="M13" s="31" t="str">
        <f t="shared" si="0"/>
        <v>neeh</v>
      </c>
      <c r="N13" s="31" t="str">
        <f t="shared" si="0"/>
        <v>keeh</v>
      </c>
      <c r="O13" s="31" t="str">
        <f t="shared" si="0"/>
        <v>kheeh</v>
      </c>
      <c r="P13" s="31" t="str">
        <f t="shared" si="0"/>
        <v>geeh</v>
      </c>
      <c r="Q13" s="31" t="str">
        <f t="shared" si="0"/>
        <v>ngeeh</v>
      </c>
      <c r="R13" s="31" t="str">
        <f t="shared" si="0"/>
        <v>heeh</v>
      </c>
      <c r="S13" s="31" t="str">
        <f t="shared" si="0"/>
        <v>tseeh</v>
      </c>
      <c r="T13" s="31" t="str">
        <f t="shared" si="0"/>
        <v>tsieeh</v>
      </c>
      <c r="U13" s="31" t="str">
        <f t="shared" si="1"/>
        <v>tsheeh</v>
      </c>
      <c r="V13" s="31" t="str">
        <f t="shared" si="1"/>
        <v>tshieeh</v>
      </c>
      <c r="W13" s="31" t="str">
        <f t="shared" si="1"/>
        <v>seeh</v>
      </c>
      <c r="X13" s="31" t="str">
        <f t="shared" si="1"/>
        <v>sieeh</v>
      </c>
      <c r="Y13" s="31" t="str">
        <f t="shared" si="1"/>
        <v>jeeh</v>
      </c>
      <c r="Z13" s="31" t="str">
        <f t="shared" si="1"/>
        <v>jieeh</v>
      </c>
    </row>
    <row r="14" spans="1:26" ht="44.25">
      <c r="A14" s="16">
        <v>11</v>
      </c>
      <c r="B14" s="4" t="s">
        <v>251</v>
      </c>
      <c r="C14" s="17" t="s">
        <v>72</v>
      </c>
      <c r="D14" s="18" t="s">
        <v>171</v>
      </c>
      <c r="E14" s="31" t="str">
        <f t="shared" si="0"/>
        <v>an</v>
      </c>
      <c r="F14" s="31" t="str">
        <f t="shared" si="0"/>
        <v>pan</v>
      </c>
      <c r="G14" s="31" t="str">
        <f t="shared" si="0"/>
        <v>phan</v>
      </c>
      <c r="H14" s="31" t="str">
        <f t="shared" si="0"/>
        <v>ban</v>
      </c>
      <c r="I14" s="31" t="str">
        <f t="shared" si="0"/>
        <v>man</v>
      </c>
      <c r="J14" s="31" t="str">
        <f t="shared" si="0"/>
        <v>tan</v>
      </c>
      <c r="K14" s="31" t="str">
        <f t="shared" si="0"/>
        <v>than</v>
      </c>
      <c r="L14" s="31" t="str">
        <f t="shared" si="0"/>
        <v>lan</v>
      </c>
      <c r="M14" s="31" t="str">
        <f t="shared" si="0"/>
        <v>nan</v>
      </c>
      <c r="N14" s="31" t="str">
        <f t="shared" si="0"/>
        <v>kan</v>
      </c>
      <c r="O14" s="31" t="str">
        <f t="shared" si="0"/>
        <v>khan</v>
      </c>
      <c r="P14" s="31" t="str">
        <f t="shared" si="0"/>
        <v>gan</v>
      </c>
      <c r="Q14" s="31" t="str">
        <f t="shared" si="0"/>
        <v>ngan</v>
      </c>
      <c r="R14" s="31" t="str">
        <f t="shared" si="0"/>
        <v>han</v>
      </c>
      <c r="S14" s="31" t="str">
        <f t="shared" si="0"/>
        <v>tsan</v>
      </c>
      <c r="T14" s="31" t="str">
        <f t="shared" si="0"/>
        <v>tsian</v>
      </c>
      <c r="U14" s="31" t="str">
        <f t="shared" si="1"/>
        <v>tshan</v>
      </c>
      <c r="V14" s="31" t="str">
        <f t="shared" si="1"/>
        <v>tshian</v>
      </c>
      <c r="W14" s="31" t="str">
        <f t="shared" si="1"/>
        <v>san</v>
      </c>
      <c r="X14" s="31" t="str">
        <f t="shared" si="1"/>
        <v>sian</v>
      </c>
      <c r="Y14" s="31" t="str">
        <f t="shared" si="1"/>
        <v>jan</v>
      </c>
      <c r="Z14" s="31" t="str">
        <f t="shared" si="1"/>
        <v>jian</v>
      </c>
    </row>
    <row r="15" spans="1:26" ht="44.25">
      <c r="A15" s="16">
        <v>12</v>
      </c>
      <c r="B15" s="4" t="s">
        <v>245</v>
      </c>
      <c r="C15" s="17" t="s">
        <v>73</v>
      </c>
      <c r="D15" s="18" t="s">
        <v>172</v>
      </c>
      <c r="E15" s="31" t="str">
        <f t="shared" si="0"/>
        <v>at</v>
      </c>
      <c r="F15" s="31" t="str">
        <f t="shared" si="0"/>
        <v>pat</v>
      </c>
      <c r="G15" s="31" t="str">
        <f t="shared" si="0"/>
        <v>phat</v>
      </c>
      <c r="H15" s="31" t="str">
        <f t="shared" si="0"/>
        <v>bat</v>
      </c>
      <c r="I15" s="31" t="str">
        <f t="shared" si="0"/>
        <v>mat</v>
      </c>
      <c r="J15" s="31" t="str">
        <f t="shared" si="0"/>
        <v>tat</v>
      </c>
      <c r="K15" s="31" t="str">
        <f t="shared" si="0"/>
        <v>that</v>
      </c>
      <c r="L15" s="31" t="str">
        <f t="shared" si="0"/>
        <v>lat</v>
      </c>
      <c r="M15" s="31" t="str">
        <f t="shared" si="0"/>
        <v>nat</v>
      </c>
      <c r="N15" s="31" t="str">
        <f t="shared" si="0"/>
        <v>kat</v>
      </c>
      <c r="O15" s="31" t="str">
        <f t="shared" si="0"/>
        <v>khat</v>
      </c>
      <c r="P15" s="31" t="str">
        <f t="shared" si="0"/>
        <v>gat</v>
      </c>
      <c r="Q15" s="31" t="str">
        <f t="shared" si="0"/>
        <v>ngat</v>
      </c>
      <c r="R15" s="31" t="str">
        <f t="shared" si="0"/>
        <v>hat</v>
      </c>
      <c r="S15" s="31" t="str">
        <f t="shared" si="0"/>
        <v>tsat</v>
      </c>
      <c r="T15" s="31" t="str">
        <f t="shared" si="0"/>
        <v>tsiat</v>
      </c>
      <c r="U15" s="31" t="str">
        <f t="shared" si="1"/>
        <v>tshat</v>
      </c>
      <c r="V15" s="31" t="str">
        <f t="shared" si="1"/>
        <v>tshiat</v>
      </c>
      <c r="W15" s="31" t="str">
        <f t="shared" si="1"/>
        <v>sat</v>
      </c>
      <c r="X15" s="31" t="str">
        <f t="shared" si="1"/>
        <v>siat</v>
      </c>
      <c r="Y15" s="31" t="str">
        <f t="shared" si="1"/>
        <v>jat</v>
      </c>
      <c r="Z15" s="31" t="str">
        <f t="shared" si="1"/>
        <v>jiat</v>
      </c>
    </row>
    <row r="16" spans="1:26" ht="44.25">
      <c r="A16" s="16">
        <v>13</v>
      </c>
      <c r="B16" s="4" t="s">
        <v>255</v>
      </c>
      <c r="C16" s="17" t="s">
        <v>74</v>
      </c>
      <c r="D16" s="18" t="s">
        <v>173</v>
      </c>
      <c r="E16" s="31" t="str">
        <f t="shared" si="0"/>
        <v>ong</v>
      </c>
      <c r="F16" s="31" t="str">
        <f t="shared" si="0"/>
        <v>pong</v>
      </c>
      <c r="G16" s="31" t="str">
        <f t="shared" si="0"/>
        <v>phong</v>
      </c>
      <c r="H16" s="31" t="str">
        <f t="shared" si="0"/>
        <v>bong</v>
      </c>
      <c r="I16" s="31" t="str">
        <f t="shared" si="0"/>
        <v>mong</v>
      </c>
      <c r="J16" s="31" t="str">
        <f t="shared" si="0"/>
        <v>tong</v>
      </c>
      <c r="K16" s="31" t="str">
        <f t="shared" si="0"/>
        <v>thong</v>
      </c>
      <c r="L16" s="31" t="str">
        <f t="shared" si="0"/>
        <v>long</v>
      </c>
      <c r="M16" s="31" t="str">
        <f t="shared" si="0"/>
        <v>nong</v>
      </c>
      <c r="N16" s="31" t="str">
        <f t="shared" si="0"/>
        <v>kong</v>
      </c>
      <c r="O16" s="31" t="str">
        <f t="shared" si="0"/>
        <v>khong</v>
      </c>
      <c r="P16" s="31" t="str">
        <f t="shared" si="0"/>
        <v>gong</v>
      </c>
      <c r="Q16" s="31" t="str">
        <f t="shared" si="0"/>
        <v>ngong</v>
      </c>
      <c r="R16" s="31" t="str">
        <f t="shared" si="0"/>
        <v>hong</v>
      </c>
      <c r="S16" s="31" t="str">
        <f t="shared" si="0"/>
        <v>tsong</v>
      </c>
      <c r="T16" s="31" t="str">
        <f t="shared" si="0"/>
        <v>tsiong</v>
      </c>
      <c r="U16" s="31" t="str">
        <f t="shared" si="1"/>
        <v>tshong</v>
      </c>
      <c r="V16" s="31" t="str">
        <f t="shared" si="1"/>
        <v>tshiong</v>
      </c>
      <c r="W16" s="31" t="str">
        <f t="shared" si="1"/>
        <v>song</v>
      </c>
      <c r="X16" s="31" t="str">
        <f t="shared" si="1"/>
        <v>siong</v>
      </c>
      <c r="Y16" s="31" t="str">
        <f t="shared" si="1"/>
        <v>jong</v>
      </c>
      <c r="Z16" s="31" t="str">
        <f t="shared" si="1"/>
        <v>jiong</v>
      </c>
    </row>
    <row r="17" spans="1:26" ht="44.25">
      <c r="A17" s="16">
        <v>14</v>
      </c>
      <c r="B17" s="4" t="s">
        <v>256</v>
      </c>
      <c r="C17" s="17" t="s">
        <v>75</v>
      </c>
      <c r="D17" s="18" t="s">
        <v>174</v>
      </c>
      <c r="E17" s="31" t="str">
        <f t="shared" si="0"/>
        <v>ok</v>
      </c>
      <c r="F17" s="31" t="str">
        <f t="shared" si="0"/>
        <v>pok</v>
      </c>
      <c r="G17" s="31" t="str">
        <f t="shared" si="0"/>
        <v>phok</v>
      </c>
      <c r="H17" s="31" t="str">
        <f t="shared" si="0"/>
        <v>bok</v>
      </c>
      <c r="I17" s="31" t="str">
        <f t="shared" si="0"/>
        <v>mok</v>
      </c>
      <c r="J17" s="31" t="str">
        <f t="shared" si="0"/>
        <v>tok</v>
      </c>
      <c r="K17" s="31" t="str">
        <f t="shared" si="0"/>
        <v>thok</v>
      </c>
      <c r="L17" s="31" t="str">
        <f t="shared" si="0"/>
        <v>lok</v>
      </c>
      <c r="M17" s="31" t="str">
        <f t="shared" si="0"/>
        <v>nok</v>
      </c>
      <c r="N17" s="31" t="str">
        <f t="shared" si="0"/>
        <v>kok</v>
      </c>
      <c r="O17" s="31" t="str">
        <f t="shared" si="0"/>
        <v>khok</v>
      </c>
      <c r="P17" s="31" t="str">
        <f t="shared" si="0"/>
        <v>gok</v>
      </c>
      <c r="Q17" s="31" t="str">
        <f t="shared" si="0"/>
        <v>ngok</v>
      </c>
      <c r="R17" s="31" t="str">
        <f t="shared" si="0"/>
        <v>hok</v>
      </c>
      <c r="S17" s="31" t="str">
        <f t="shared" si="0"/>
        <v>tsok</v>
      </c>
      <c r="T17" s="31" t="str">
        <f t="shared" si="0"/>
        <v>tsiok</v>
      </c>
      <c r="U17" s="31" t="str">
        <f t="shared" si="1"/>
        <v>tshok</v>
      </c>
      <c r="V17" s="31" t="str">
        <f t="shared" si="1"/>
        <v>tshiok</v>
      </c>
      <c r="W17" s="31" t="str">
        <f t="shared" si="1"/>
        <v>sok</v>
      </c>
      <c r="X17" s="31" t="str">
        <f t="shared" si="1"/>
        <v>siok</v>
      </c>
      <c r="Y17" s="31" t="str">
        <f t="shared" si="1"/>
        <v>jok</v>
      </c>
      <c r="Z17" s="31" t="str">
        <f t="shared" si="1"/>
        <v>jiok</v>
      </c>
    </row>
    <row r="18" spans="1:26" ht="44.25">
      <c r="A18" s="16">
        <v>15</v>
      </c>
      <c r="B18" s="4" t="s">
        <v>257</v>
      </c>
      <c r="C18" s="17" t="s">
        <v>76</v>
      </c>
      <c r="D18" s="18" t="s">
        <v>175</v>
      </c>
      <c r="E18" s="31" t="str">
        <f t="shared" si="0"/>
        <v>uai</v>
      </c>
      <c r="F18" s="31" t="str">
        <f t="shared" si="0"/>
        <v>puai</v>
      </c>
      <c r="G18" s="31" t="str">
        <f t="shared" si="0"/>
        <v>phuai</v>
      </c>
      <c r="H18" s="31" t="str">
        <f t="shared" si="0"/>
        <v>buai</v>
      </c>
      <c r="I18" s="31" t="str">
        <f t="shared" si="0"/>
        <v>muai</v>
      </c>
      <c r="J18" s="31" t="str">
        <f t="shared" si="0"/>
        <v>tuai</v>
      </c>
      <c r="K18" s="31" t="str">
        <f t="shared" si="0"/>
        <v>thuai</v>
      </c>
      <c r="L18" s="31" t="str">
        <f t="shared" si="0"/>
        <v>luai</v>
      </c>
      <c r="M18" s="31" t="str">
        <f t="shared" si="0"/>
        <v>nuai</v>
      </c>
      <c r="N18" s="31" t="str">
        <f t="shared" si="0"/>
        <v>kuai</v>
      </c>
      <c r="O18" s="31" t="str">
        <f t="shared" si="0"/>
        <v>khuai</v>
      </c>
      <c r="P18" s="31" t="str">
        <f t="shared" si="0"/>
        <v>guai</v>
      </c>
      <c r="Q18" s="31" t="str">
        <f t="shared" si="0"/>
        <v>nguai</v>
      </c>
      <c r="R18" s="31" t="str">
        <f t="shared" si="0"/>
        <v>huai</v>
      </c>
      <c r="S18" s="31" t="str">
        <f t="shared" si="0"/>
        <v>tsuai</v>
      </c>
      <c r="T18" s="31" t="str">
        <f t="shared" si="0"/>
        <v>tsiuai</v>
      </c>
      <c r="U18" s="31" t="str">
        <f t="shared" si="1"/>
        <v>tshuai</v>
      </c>
      <c r="V18" s="31" t="str">
        <f t="shared" si="1"/>
        <v>tshiuai</v>
      </c>
      <c r="W18" s="31" t="str">
        <f t="shared" si="1"/>
        <v>suai</v>
      </c>
      <c r="X18" s="31" t="str">
        <f t="shared" si="1"/>
        <v>siuai</v>
      </c>
      <c r="Y18" s="31" t="str">
        <f t="shared" si="1"/>
        <v>juai</v>
      </c>
      <c r="Z18" s="31" t="str">
        <f t="shared" si="1"/>
        <v>jiuai</v>
      </c>
    </row>
    <row r="19" spans="1:26" ht="44.25">
      <c r="A19" s="16">
        <v>16</v>
      </c>
      <c r="B19" s="22" t="s">
        <v>258</v>
      </c>
      <c r="C19" s="23" t="s">
        <v>77</v>
      </c>
      <c r="D19" s="24" t="s">
        <v>176</v>
      </c>
      <c r="E19" s="31" t="str">
        <f t="shared" si="0"/>
        <v>uaih</v>
      </c>
      <c r="F19" s="31" t="str">
        <f t="shared" si="0"/>
        <v>puaih</v>
      </c>
      <c r="G19" s="31" t="str">
        <f t="shared" si="0"/>
        <v>phuaih</v>
      </c>
      <c r="H19" s="31" t="str">
        <f t="shared" si="0"/>
        <v>buaih</v>
      </c>
      <c r="I19" s="31" t="str">
        <f t="shared" si="0"/>
        <v>muaih</v>
      </c>
      <c r="J19" s="31" t="str">
        <f t="shared" si="0"/>
        <v>tuaih</v>
      </c>
      <c r="K19" s="31" t="str">
        <f t="shared" si="0"/>
        <v>thuaih</v>
      </c>
      <c r="L19" s="31" t="str">
        <f t="shared" si="0"/>
        <v>luaih</v>
      </c>
      <c r="M19" s="31" t="str">
        <f t="shared" si="0"/>
        <v>nuaih</v>
      </c>
      <c r="N19" s="31" t="str">
        <f t="shared" si="0"/>
        <v>kuaih</v>
      </c>
      <c r="O19" s="31" t="str">
        <f t="shared" si="0"/>
        <v>khuaih</v>
      </c>
      <c r="P19" s="31" t="str">
        <f t="shared" si="0"/>
        <v>guaih</v>
      </c>
      <c r="Q19" s="31" t="str">
        <f t="shared" si="0"/>
        <v>nguaih</v>
      </c>
      <c r="R19" s="31" t="str">
        <f t="shared" si="0"/>
        <v>huaih</v>
      </c>
      <c r="S19" s="31" t="str">
        <f t="shared" si="0"/>
        <v>tsuaih</v>
      </c>
      <c r="T19" s="31" t="str">
        <f t="shared" ref="E19:T35" si="2">IF($D19="", "", _xlfn.CONCAT(T$3, $D19))</f>
        <v>tsiuaih</v>
      </c>
      <c r="U19" s="31" t="str">
        <f t="shared" si="1"/>
        <v>tshuaih</v>
      </c>
      <c r="V19" s="31" t="str">
        <f t="shared" si="1"/>
        <v>tshiuaih</v>
      </c>
      <c r="W19" s="31" t="str">
        <f t="shared" si="1"/>
        <v>suaih</v>
      </c>
      <c r="X19" s="31" t="str">
        <f t="shared" si="1"/>
        <v>siuaih</v>
      </c>
      <c r="Y19" s="31" t="str">
        <f t="shared" si="1"/>
        <v>juaih</v>
      </c>
      <c r="Z19" s="31" t="str">
        <f t="shared" si="1"/>
        <v>jiuaih</v>
      </c>
    </row>
    <row r="20" spans="1:26" ht="44.25">
      <c r="A20" s="16">
        <v>17</v>
      </c>
      <c r="B20" s="4" t="s">
        <v>259</v>
      </c>
      <c r="C20" s="17" t="s">
        <v>78</v>
      </c>
      <c r="D20" s="18" t="s">
        <v>177</v>
      </c>
      <c r="E20" s="31" t="str">
        <f t="shared" si="2"/>
        <v>ing</v>
      </c>
      <c r="F20" s="31" t="str">
        <f t="shared" si="2"/>
        <v>ping</v>
      </c>
      <c r="G20" s="31" t="str">
        <f t="shared" si="2"/>
        <v>phing</v>
      </c>
      <c r="H20" s="31" t="str">
        <f t="shared" si="2"/>
        <v>bing</v>
      </c>
      <c r="I20" s="31" t="str">
        <f t="shared" si="2"/>
        <v>ming</v>
      </c>
      <c r="J20" s="31" t="str">
        <f t="shared" si="2"/>
        <v>ting</v>
      </c>
      <c r="K20" s="31" t="str">
        <f t="shared" si="2"/>
        <v>thing</v>
      </c>
      <c r="L20" s="31" t="str">
        <f t="shared" si="2"/>
        <v>ling</v>
      </c>
      <c r="M20" s="31" t="str">
        <f t="shared" si="2"/>
        <v>ning</v>
      </c>
      <c r="N20" s="31" t="str">
        <f t="shared" si="2"/>
        <v>king</v>
      </c>
      <c r="O20" s="31" t="str">
        <f t="shared" si="2"/>
        <v>khing</v>
      </c>
      <c r="P20" s="31" t="str">
        <f t="shared" si="2"/>
        <v>ging</v>
      </c>
      <c r="Q20" s="31" t="str">
        <f t="shared" si="2"/>
        <v>nging</v>
      </c>
      <c r="R20" s="31" t="str">
        <f t="shared" si="2"/>
        <v>hing</v>
      </c>
      <c r="S20" s="31" t="str">
        <f t="shared" si="2"/>
        <v>tsing</v>
      </c>
      <c r="T20" s="31" t="str">
        <f t="shared" si="2"/>
        <v>tsiing</v>
      </c>
      <c r="U20" s="31" t="str">
        <f t="shared" ref="U20:Z62" si="3">IF($D20="", "", _xlfn.CONCAT(U$3, $D20))</f>
        <v>tshing</v>
      </c>
      <c r="V20" s="31" t="str">
        <f t="shared" si="3"/>
        <v>tshiing</v>
      </c>
      <c r="W20" s="31" t="str">
        <f t="shared" si="3"/>
        <v>sing</v>
      </c>
      <c r="X20" s="31" t="str">
        <f t="shared" si="3"/>
        <v>siing</v>
      </c>
      <c r="Y20" s="31" t="str">
        <f t="shared" si="3"/>
        <v>jing</v>
      </c>
      <c r="Z20" s="31" t="str">
        <f t="shared" si="3"/>
        <v>jiing</v>
      </c>
    </row>
    <row r="21" spans="1:26" ht="44.25">
      <c r="A21" s="16">
        <v>18</v>
      </c>
      <c r="B21" s="4" t="s">
        <v>35</v>
      </c>
      <c r="C21" s="17" t="s">
        <v>79</v>
      </c>
      <c r="D21" s="18" t="s">
        <v>178</v>
      </c>
      <c r="E21" s="31" t="str">
        <f t="shared" si="2"/>
        <v>ik</v>
      </c>
      <c r="F21" s="31" t="str">
        <f t="shared" si="2"/>
        <v>pik</v>
      </c>
      <c r="G21" s="31" t="str">
        <f t="shared" si="2"/>
        <v>phik</v>
      </c>
      <c r="H21" s="31" t="str">
        <f t="shared" si="2"/>
        <v>bik</v>
      </c>
      <c r="I21" s="31" t="str">
        <f t="shared" si="2"/>
        <v>mik</v>
      </c>
      <c r="J21" s="31" t="str">
        <f t="shared" si="2"/>
        <v>tik</v>
      </c>
      <c r="K21" s="31" t="str">
        <f t="shared" si="2"/>
        <v>thik</v>
      </c>
      <c r="L21" s="31" t="str">
        <f t="shared" si="2"/>
        <v>lik</v>
      </c>
      <c r="M21" s="31" t="str">
        <f t="shared" si="2"/>
        <v>nik</v>
      </c>
      <c r="N21" s="31" t="str">
        <f t="shared" si="2"/>
        <v>kik</v>
      </c>
      <c r="O21" s="31" t="str">
        <f t="shared" si="2"/>
        <v>khik</v>
      </c>
      <c r="P21" s="31" t="str">
        <f t="shared" si="2"/>
        <v>gik</v>
      </c>
      <c r="Q21" s="31" t="str">
        <f t="shared" si="2"/>
        <v>ngik</v>
      </c>
      <c r="R21" s="31" t="str">
        <f t="shared" si="2"/>
        <v>hik</v>
      </c>
      <c r="S21" s="31" t="str">
        <f t="shared" si="2"/>
        <v>tsik</v>
      </c>
      <c r="T21" s="31" t="str">
        <f t="shared" si="2"/>
        <v>tsiik</v>
      </c>
      <c r="U21" s="31" t="str">
        <f t="shared" si="3"/>
        <v>tshik</v>
      </c>
      <c r="V21" s="31" t="str">
        <f t="shared" si="3"/>
        <v>tshiik</v>
      </c>
      <c r="W21" s="31" t="str">
        <f t="shared" si="3"/>
        <v>sik</v>
      </c>
      <c r="X21" s="31" t="str">
        <f t="shared" si="3"/>
        <v>siik</v>
      </c>
      <c r="Y21" s="31" t="str">
        <f t="shared" si="3"/>
        <v>jik</v>
      </c>
      <c r="Z21" s="31" t="str">
        <f t="shared" si="3"/>
        <v>jiik</v>
      </c>
    </row>
    <row r="22" spans="1:26" ht="44.25">
      <c r="A22" s="16">
        <v>19</v>
      </c>
      <c r="B22" s="4" t="s">
        <v>260</v>
      </c>
      <c r="C22" s="17" t="s">
        <v>80</v>
      </c>
      <c r="D22" s="18" t="s">
        <v>179</v>
      </c>
      <c r="E22" s="31" t="str">
        <f t="shared" si="2"/>
        <v>uan</v>
      </c>
      <c r="F22" s="31" t="str">
        <f t="shared" si="2"/>
        <v>puan</v>
      </c>
      <c r="G22" s="31" t="str">
        <f t="shared" si="2"/>
        <v>phuan</v>
      </c>
      <c r="H22" s="31" t="str">
        <f t="shared" si="2"/>
        <v>buan</v>
      </c>
      <c r="I22" s="31" t="str">
        <f t="shared" si="2"/>
        <v>muan</v>
      </c>
      <c r="J22" s="31" t="str">
        <f t="shared" si="2"/>
        <v>tuan</v>
      </c>
      <c r="K22" s="31" t="str">
        <f t="shared" si="2"/>
        <v>thuan</v>
      </c>
      <c r="L22" s="31" t="str">
        <f t="shared" si="2"/>
        <v>luan</v>
      </c>
      <c r="M22" s="31" t="str">
        <f t="shared" si="2"/>
        <v>nuan</v>
      </c>
      <c r="N22" s="31" t="str">
        <f t="shared" si="2"/>
        <v>kuan</v>
      </c>
      <c r="O22" s="31" t="str">
        <f t="shared" si="2"/>
        <v>khuan</v>
      </c>
      <c r="P22" s="31" t="str">
        <f t="shared" si="2"/>
        <v>guan</v>
      </c>
      <c r="Q22" s="31" t="str">
        <f t="shared" si="2"/>
        <v>nguan</v>
      </c>
      <c r="R22" s="31" t="str">
        <f t="shared" si="2"/>
        <v>huan</v>
      </c>
      <c r="S22" s="31" t="str">
        <f t="shared" si="2"/>
        <v>tsuan</v>
      </c>
      <c r="T22" s="31" t="str">
        <f t="shared" si="2"/>
        <v>tsiuan</v>
      </c>
      <c r="U22" s="31" t="str">
        <f t="shared" si="3"/>
        <v>tshuan</v>
      </c>
      <c r="V22" s="31" t="str">
        <f t="shared" si="3"/>
        <v>tshiuan</v>
      </c>
      <c r="W22" s="31" t="str">
        <f t="shared" si="3"/>
        <v>suan</v>
      </c>
      <c r="X22" s="31" t="str">
        <f t="shared" si="3"/>
        <v>siuan</v>
      </c>
      <c r="Y22" s="31" t="str">
        <f t="shared" si="3"/>
        <v>juan</v>
      </c>
      <c r="Z22" s="31" t="str">
        <f t="shared" si="3"/>
        <v>jiuan</v>
      </c>
    </row>
    <row r="23" spans="1:26" ht="44.25">
      <c r="A23" s="16">
        <v>20</v>
      </c>
      <c r="B23" s="4" t="s">
        <v>261</v>
      </c>
      <c r="C23" s="17" t="s">
        <v>81</v>
      </c>
      <c r="D23" s="18" t="s">
        <v>180</v>
      </c>
      <c r="E23" s="31" t="str">
        <f t="shared" si="2"/>
        <v>uat</v>
      </c>
      <c r="F23" s="31" t="str">
        <f t="shared" si="2"/>
        <v>puat</v>
      </c>
      <c r="G23" s="31" t="str">
        <f t="shared" si="2"/>
        <v>phuat</v>
      </c>
      <c r="H23" s="31" t="str">
        <f t="shared" si="2"/>
        <v>buat</v>
      </c>
      <c r="I23" s="31" t="str">
        <f t="shared" si="2"/>
        <v>muat</v>
      </c>
      <c r="J23" s="31" t="str">
        <f t="shared" si="2"/>
        <v>tuat</v>
      </c>
      <c r="K23" s="31" t="str">
        <f t="shared" si="2"/>
        <v>thuat</v>
      </c>
      <c r="L23" s="31" t="str">
        <f t="shared" si="2"/>
        <v>luat</v>
      </c>
      <c r="M23" s="31" t="str">
        <f t="shared" si="2"/>
        <v>nuat</v>
      </c>
      <c r="N23" s="31" t="str">
        <f t="shared" si="2"/>
        <v>kuat</v>
      </c>
      <c r="O23" s="31" t="str">
        <f t="shared" si="2"/>
        <v>khuat</v>
      </c>
      <c r="P23" s="31" t="str">
        <f t="shared" si="2"/>
        <v>guat</v>
      </c>
      <c r="Q23" s="31" t="str">
        <f t="shared" si="2"/>
        <v>nguat</v>
      </c>
      <c r="R23" s="31" t="str">
        <f t="shared" si="2"/>
        <v>huat</v>
      </c>
      <c r="S23" s="31" t="str">
        <f t="shared" si="2"/>
        <v>tsuat</v>
      </c>
      <c r="T23" s="31" t="str">
        <f t="shared" si="2"/>
        <v>tsiuat</v>
      </c>
      <c r="U23" s="31" t="str">
        <f t="shared" si="3"/>
        <v>tshuat</v>
      </c>
      <c r="V23" s="31" t="str">
        <f t="shared" si="3"/>
        <v>tshiuat</v>
      </c>
      <c r="W23" s="31" t="str">
        <f t="shared" si="3"/>
        <v>suat</v>
      </c>
      <c r="X23" s="31" t="str">
        <f t="shared" si="3"/>
        <v>siuat</v>
      </c>
      <c r="Y23" s="31" t="str">
        <f t="shared" si="3"/>
        <v>juat</v>
      </c>
      <c r="Z23" s="31" t="str">
        <f t="shared" si="3"/>
        <v>jiuat</v>
      </c>
    </row>
    <row r="24" spans="1:26" ht="44.25">
      <c r="A24" s="16">
        <v>21</v>
      </c>
      <c r="B24" s="4" t="s">
        <v>262</v>
      </c>
      <c r="C24" s="17" t="s">
        <v>82</v>
      </c>
      <c r="D24" s="18" t="s">
        <v>181</v>
      </c>
      <c r="E24" s="31" t="str">
        <f t="shared" si="2"/>
        <v>oo</v>
      </c>
      <c r="F24" s="31" t="str">
        <f t="shared" si="2"/>
        <v>poo</v>
      </c>
      <c r="G24" s="31" t="str">
        <f t="shared" si="2"/>
        <v>phoo</v>
      </c>
      <c r="H24" s="31" t="str">
        <f t="shared" si="2"/>
        <v>boo</v>
      </c>
      <c r="I24" s="31" t="str">
        <f t="shared" si="2"/>
        <v>moo</v>
      </c>
      <c r="J24" s="31" t="str">
        <f t="shared" si="2"/>
        <v>too</v>
      </c>
      <c r="K24" s="31" t="str">
        <f t="shared" si="2"/>
        <v>thoo</v>
      </c>
      <c r="L24" s="31" t="str">
        <f t="shared" si="2"/>
        <v>loo</v>
      </c>
      <c r="M24" s="31" t="str">
        <f t="shared" si="2"/>
        <v>noo</v>
      </c>
      <c r="N24" s="31" t="str">
        <f t="shared" si="2"/>
        <v>koo</v>
      </c>
      <c r="O24" s="31" t="str">
        <f t="shared" si="2"/>
        <v>khoo</v>
      </c>
      <c r="P24" s="31" t="str">
        <f t="shared" si="2"/>
        <v>goo</v>
      </c>
      <c r="Q24" s="31" t="str">
        <f t="shared" si="2"/>
        <v>ngoo</v>
      </c>
      <c r="R24" s="31" t="str">
        <f t="shared" si="2"/>
        <v>hoo</v>
      </c>
      <c r="S24" s="31" t="str">
        <f t="shared" si="2"/>
        <v>tsoo</v>
      </c>
      <c r="T24" s="31" t="str">
        <f t="shared" si="2"/>
        <v>tsioo</v>
      </c>
      <c r="U24" s="31" t="str">
        <f t="shared" si="3"/>
        <v>tshoo</v>
      </c>
      <c r="V24" s="31" t="str">
        <f t="shared" si="3"/>
        <v>tshioo</v>
      </c>
      <c r="W24" s="31" t="str">
        <f t="shared" si="3"/>
        <v>soo</v>
      </c>
      <c r="X24" s="31" t="str">
        <f t="shared" si="3"/>
        <v>sioo</v>
      </c>
      <c r="Y24" s="31" t="str">
        <f t="shared" si="3"/>
        <v>joo</v>
      </c>
      <c r="Z24" s="31" t="str">
        <f t="shared" si="3"/>
        <v>jioo</v>
      </c>
    </row>
    <row r="25" spans="1:26" ht="44.25">
      <c r="A25" s="16">
        <v>22</v>
      </c>
      <c r="B25" s="4" t="s">
        <v>252</v>
      </c>
      <c r="C25" s="17" t="s">
        <v>83</v>
      </c>
      <c r="D25" s="18" t="s">
        <v>254</v>
      </c>
      <c r="E25" s="31" t="str">
        <f t="shared" si="2"/>
        <v>ooh</v>
      </c>
      <c r="F25" s="31" t="str">
        <f t="shared" si="2"/>
        <v>pooh</v>
      </c>
      <c r="G25" s="31" t="str">
        <f t="shared" si="2"/>
        <v>phooh</v>
      </c>
      <c r="H25" s="31" t="str">
        <f t="shared" si="2"/>
        <v>booh</v>
      </c>
      <c r="I25" s="31" t="str">
        <f t="shared" si="2"/>
        <v>mooh</v>
      </c>
      <c r="J25" s="31" t="str">
        <f t="shared" si="2"/>
        <v>tooh</v>
      </c>
      <c r="K25" s="31" t="str">
        <f t="shared" si="2"/>
        <v>thooh</v>
      </c>
      <c r="L25" s="31" t="str">
        <f t="shared" si="2"/>
        <v>looh</v>
      </c>
      <c r="M25" s="31" t="str">
        <f t="shared" si="2"/>
        <v>nooh</v>
      </c>
      <c r="N25" s="31" t="str">
        <f t="shared" si="2"/>
        <v>kooh</v>
      </c>
      <c r="O25" s="31" t="str">
        <f t="shared" si="2"/>
        <v>khooh</v>
      </c>
      <c r="P25" s="31" t="str">
        <f t="shared" si="2"/>
        <v>gooh</v>
      </c>
      <c r="Q25" s="31" t="str">
        <f t="shared" si="2"/>
        <v>ngooh</v>
      </c>
      <c r="R25" s="31" t="str">
        <f t="shared" si="2"/>
        <v>hooh</v>
      </c>
      <c r="S25" s="31" t="str">
        <f t="shared" si="2"/>
        <v>tsooh</v>
      </c>
      <c r="T25" s="31" t="str">
        <f t="shared" si="2"/>
        <v>tsiooh</v>
      </c>
      <c r="U25" s="31" t="str">
        <f t="shared" si="3"/>
        <v>tshooh</v>
      </c>
      <c r="V25" s="31" t="str">
        <f t="shared" si="3"/>
        <v>tshiooh</v>
      </c>
      <c r="W25" s="31" t="str">
        <f t="shared" si="3"/>
        <v>sooh</v>
      </c>
      <c r="X25" s="31" t="str">
        <f t="shared" si="3"/>
        <v>siooh</v>
      </c>
      <c r="Y25" s="31" t="str">
        <f t="shared" si="3"/>
        <v>jooh</v>
      </c>
      <c r="Z25" s="31" t="str">
        <f t="shared" si="3"/>
        <v>jiooh</v>
      </c>
    </row>
    <row r="26" spans="1:26" ht="44.25">
      <c r="A26" s="16">
        <v>23</v>
      </c>
      <c r="B26" s="4" t="s">
        <v>263</v>
      </c>
      <c r="C26" s="17" t="s">
        <v>84</v>
      </c>
      <c r="D26" s="18" t="s">
        <v>182</v>
      </c>
      <c r="E26" s="31" t="str">
        <f t="shared" si="2"/>
        <v>iau</v>
      </c>
      <c r="F26" s="31" t="str">
        <f t="shared" si="2"/>
        <v>piau</v>
      </c>
      <c r="G26" s="31" t="str">
        <f t="shared" si="2"/>
        <v>phiau</v>
      </c>
      <c r="H26" s="31" t="str">
        <f t="shared" si="2"/>
        <v>biau</v>
      </c>
      <c r="I26" s="31" t="str">
        <f t="shared" si="2"/>
        <v>miau</v>
      </c>
      <c r="J26" s="31" t="str">
        <f t="shared" si="2"/>
        <v>tiau</v>
      </c>
      <c r="K26" s="31" t="str">
        <f t="shared" si="2"/>
        <v>thiau</v>
      </c>
      <c r="L26" s="31" t="str">
        <f t="shared" si="2"/>
        <v>liau</v>
      </c>
      <c r="M26" s="31" t="str">
        <f t="shared" si="2"/>
        <v>niau</v>
      </c>
      <c r="N26" s="31" t="str">
        <f t="shared" si="2"/>
        <v>kiau</v>
      </c>
      <c r="O26" s="31" t="str">
        <f t="shared" si="2"/>
        <v>khiau</v>
      </c>
      <c r="P26" s="31" t="str">
        <f t="shared" si="2"/>
        <v>giau</v>
      </c>
      <c r="Q26" s="31" t="str">
        <f t="shared" si="2"/>
        <v>ngiau</v>
      </c>
      <c r="R26" s="31" t="str">
        <f t="shared" si="2"/>
        <v>hiau</v>
      </c>
      <c r="S26" s="31" t="str">
        <f t="shared" si="2"/>
        <v>tsiau</v>
      </c>
      <c r="T26" s="31" t="str">
        <f t="shared" si="2"/>
        <v>tsiiau</v>
      </c>
      <c r="U26" s="31" t="str">
        <f t="shared" si="3"/>
        <v>tshiau</v>
      </c>
      <c r="V26" s="31" t="str">
        <f t="shared" si="3"/>
        <v>tshiiau</v>
      </c>
      <c r="W26" s="31" t="str">
        <f t="shared" si="3"/>
        <v>siau</v>
      </c>
      <c r="X26" s="31" t="str">
        <f t="shared" si="3"/>
        <v>siiau</v>
      </c>
      <c r="Y26" s="31" t="str">
        <f t="shared" si="3"/>
        <v>jiau</v>
      </c>
      <c r="Z26" s="31" t="str">
        <f t="shared" si="3"/>
        <v>jiiau</v>
      </c>
    </row>
    <row r="27" spans="1:26" ht="44.25">
      <c r="A27" s="16">
        <v>24</v>
      </c>
      <c r="B27" s="25" t="s">
        <v>264</v>
      </c>
      <c r="C27" s="26" t="s">
        <v>85</v>
      </c>
      <c r="D27" s="27" t="s">
        <v>183</v>
      </c>
      <c r="E27" s="31" t="str">
        <f t="shared" si="2"/>
        <v>iauh</v>
      </c>
      <c r="F27" s="31" t="str">
        <f t="shared" si="2"/>
        <v>piauh</v>
      </c>
      <c r="G27" s="31" t="str">
        <f t="shared" si="2"/>
        <v>phiauh</v>
      </c>
      <c r="H27" s="31" t="str">
        <f t="shared" si="2"/>
        <v>biauh</v>
      </c>
      <c r="I27" s="31" t="str">
        <f t="shared" si="2"/>
        <v>miauh</v>
      </c>
      <c r="J27" s="31" t="str">
        <f t="shared" si="2"/>
        <v>tiauh</v>
      </c>
      <c r="K27" s="31" t="str">
        <f t="shared" si="2"/>
        <v>thiauh</v>
      </c>
      <c r="L27" s="31" t="str">
        <f t="shared" si="2"/>
        <v>liauh</v>
      </c>
      <c r="M27" s="31" t="str">
        <f t="shared" si="2"/>
        <v>niauh</v>
      </c>
      <c r="N27" s="31" t="str">
        <f t="shared" si="2"/>
        <v>kiauh</v>
      </c>
      <c r="O27" s="31" t="str">
        <f t="shared" si="2"/>
        <v>khiauh</v>
      </c>
      <c r="P27" s="31" t="str">
        <f t="shared" si="2"/>
        <v>giauh</v>
      </c>
      <c r="Q27" s="31" t="str">
        <f t="shared" si="2"/>
        <v>ngiauh</v>
      </c>
      <c r="R27" s="31" t="str">
        <f t="shared" si="2"/>
        <v>hiauh</v>
      </c>
      <c r="S27" s="31" t="str">
        <f t="shared" si="2"/>
        <v>tsiauh</v>
      </c>
      <c r="T27" s="31" t="str">
        <f t="shared" si="2"/>
        <v>tsiiauh</v>
      </c>
      <c r="U27" s="31" t="str">
        <f t="shared" si="3"/>
        <v>tshiauh</v>
      </c>
      <c r="V27" s="31" t="str">
        <f t="shared" si="3"/>
        <v>tshiiauh</v>
      </c>
      <c r="W27" s="31" t="str">
        <f t="shared" si="3"/>
        <v>siauh</v>
      </c>
      <c r="X27" s="31" t="str">
        <f t="shared" si="3"/>
        <v>siiauh</v>
      </c>
      <c r="Y27" s="31" t="str">
        <f t="shared" si="3"/>
        <v>jiauh</v>
      </c>
      <c r="Z27" s="31" t="str">
        <f t="shared" si="3"/>
        <v>jiiauh</v>
      </c>
    </row>
    <row r="28" spans="1:26" ht="44.25">
      <c r="A28" s="16">
        <v>25</v>
      </c>
      <c r="B28" s="19" t="s">
        <v>265</v>
      </c>
      <c r="C28" s="20" t="s">
        <v>86</v>
      </c>
      <c r="D28" s="21" t="s">
        <v>184</v>
      </c>
      <c r="E28" s="31" t="str">
        <f t="shared" si="2"/>
        <v>e</v>
      </c>
      <c r="F28" s="31" t="str">
        <f t="shared" si="2"/>
        <v>pe</v>
      </c>
      <c r="G28" s="31" t="str">
        <f t="shared" si="2"/>
        <v>phe</v>
      </c>
      <c r="H28" s="31" t="str">
        <f t="shared" si="2"/>
        <v>be</v>
      </c>
      <c r="I28" s="31" t="str">
        <f t="shared" si="2"/>
        <v>me</v>
      </c>
      <c r="J28" s="31" t="str">
        <f t="shared" si="2"/>
        <v>te</v>
      </c>
      <c r="K28" s="31" t="str">
        <f t="shared" si="2"/>
        <v>the</v>
      </c>
      <c r="L28" s="31" t="str">
        <f t="shared" si="2"/>
        <v>le</v>
      </c>
      <c r="M28" s="31" t="str">
        <f t="shared" si="2"/>
        <v>ne</v>
      </c>
      <c r="N28" s="31" t="str">
        <f t="shared" si="2"/>
        <v>ke</v>
      </c>
      <c r="O28" s="31" t="str">
        <f t="shared" si="2"/>
        <v>khe</v>
      </c>
      <c r="P28" s="31" t="str">
        <f t="shared" si="2"/>
        <v>ge</v>
      </c>
      <c r="Q28" s="31" t="str">
        <f t="shared" si="2"/>
        <v>nge</v>
      </c>
      <c r="R28" s="31" t="str">
        <f t="shared" si="2"/>
        <v>he</v>
      </c>
      <c r="S28" s="31" t="str">
        <f t="shared" si="2"/>
        <v>tse</v>
      </c>
      <c r="T28" s="31" t="str">
        <f t="shared" si="2"/>
        <v>tsie</v>
      </c>
      <c r="U28" s="31" t="str">
        <f t="shared" si="3"/>
        <v>tshe</v>
      </c>
      <c r="V28" s="31" t="str">
        <f t="shared" si="3"/>
        <v>tshie</v>
      </c>
      <c r="W28" s="31" t="str">
        <f t="shared" si="3"/>
        <v>se</v>
      </c>
      <c r="X28" s="31" t="str">
        <f t="shared" si="3"/>
        <v>sie</v>
      </c>
      <c r="Y28" s="31" t="str">
        <f t="shared" si="3"/>
        <v>je</v>
      </c>
      <c r="Z28" s="31" t="str">
        <f t="shared" si="3"/>
        <v>jie</v>
      </c>
    </row>
    <row r="29" spans="1:26" ht="44.25">
      <c r="A29" s="16">
        <v>26</v>
      </c>
      <c r="B29" s="25"/>
      <c r="C29" s="26" t="s">
        <v>87</v>
      </c>
      <c r="D29" s="27"/>
      <c r="E29" s="31" t="str">
        <f t="shared" si="2"/>
        <v/>
      </c>
      <c r="F29" s="31" t="str">
        <f t="shared" si="2"/>
        <v/>
      </c>
      <c r="G29" s="31" t="str">
        <f t="shared" si="2"/>
        <v/>
      </c>
      <c r="H29" s="31" t="str">
        <f t="shared" si="2"/>
        <v/>
      </c>
      <c r="I29" s="31" t="str">
        <f t="shared" si="2"/>
        <v/>
      </c>
      <c r="J29" s="31" t="str">
        <f t="shared" si="2"/>
        <v/>
      </c>
      <c r="K29" s="31" t="str">
        <f t="shared" si="2"/>
        <v/>
      </c>
      <c r="L29" s="31" t="str">
        <f t="shared" si="2"/>
        <v/>
      </c>
      <c r="M29" s="31" t="str">
        <f t="shared" si="2"/>
        <v/>
      </c>
      <c r="N29" s="31" t="str">
        <f t="shared" si="2"/>
        <v/>
      </c>
      <c r="O29" s="31" t="str">
        <f t="shared" si="2"/>
        <v/>
      </c>
      <c r="P29" s="31" t="str">
        <f t="shared" si="2"/>
        <v/>
      </c>
      <c r="Q29" s="31" t="str">
        <f t="shared" si="2"/>
        <v/>
      </c>
      <c r="R29" s="31" t="str">
        <f t="shared" si="2"/>
        <v/>
      </c>
      <c r="S29" s="31" t="str">
        <f t="shared" si="2"/>
        <v/>
      </c>
      <c r="T29" s="31" t="str">
        <f t="shared" si="2"/>
        <v/>
      </c>
      <c r="U29" s="31" t="str">
        <f t="shared" si="3"/>
        <v/>
      </c>
      <c r="V29" s="31" t="str">
        <f t="shared" si="3"/>
        <v/>
      </c>
      <c r="W29" s="31" t="str">
        <f t="shared" si="3"/>
        <v/>
      </c>
      <c r="X29" s="31" t="str">
        <f t="shared" si="3"/>
        <v/>
      </c>
      <c r="Y29" s="31" t="str">
        <f t="shared" si="3"/>
        <v/>
      </c>
      <c r="Z29" s="31" t="str">
        <f t="shared" si="3"/>
        <v/>
      </c>
    </row>
    <row r="30" spans="1:26" ht="44.25">
      <c r="A30" s="16">
        <v>27</v>
      </c>
      <c r="B30" s="4" t="s">
        <v>266</v>
      </c>
      <c r="C30" s="17" t="s">
        <v>88</v>
      </c>
      <c r="D30" s="18" t="s">
        <v>185</v>
      </c>
      <c r="E30" s="31" t="str">
        <f t="shared" si="2"/>
        <v>iong</v>
      </c>
      <c r="F30" s="31" t="str">
        <f t="shared" si="2"/>
        <v>piong</v>
      </c>
      <c r="G30" s="31" t="str">
        <f t="shared" si="2"/>
        <v>phiong</v>
      </c>
      <c r="H30" s="31" t="str">
        <f t="shared" si="2"/>
        <v>biong</v>
      </c>
      <c r="I30" s="31" t="str">
        <f t="shared" si="2"/>
        <v>miong</v>
      </c>
      <c r="J30" s="31" t="str">
        <f t="shared" si="2"/>
        <v>tiong</v>
      </c>
      <c r="K30" s="31" t="str">
        <f t="shared" si="2"/>
        <v>thiong</v>
      </c>
      <c r="L30" s="31" t="str">
        <f t="shared" si="2"/>
        <v>liong</v>
      </c>
      <c r="M30" s="31" t="str">
        <f t="shared" si="2"/>
        <v>niong</v>
      </c>
      <c r="N30" s="31" t="str">
        <f t="shared" si="2"/>
        <v>kiong</v>
      </c>
      <c r="O30" s="31" t="str">
        <f t="shared" si="2"/>
        <v>khiong</v>
      </c>
      <c r="P30" s="31" t="str">
        <f t="shared" si="2"/>
        <v>giong</v>
      </c>
      <c r="Q30" s="31" t="str">
        <f t="shared" si="2"/>
        <v>ngiong</v>
      </c>
      <c r="R30" s="31" t="str">
        <f t="shared" si="2"/>
        <v>hiong</v>
      </c>
      <c r="S30" s="31" t="str">
        <f t="shared" si="2"/>
        <v>tsiong</v>
      </c>
      <c r="T30" s="31" t="str">
        <f t="shared" si="2"/>
        <v>tsiiong</v>
      </c>
      <c r="U30" s="31" t="str">
        <f t="shared" si="3"/>
        <v>tshiong</v>
      </c>
      <c r="V30" s="31" t="str">
        <f t="shared" si="3"/>
        <v>tshiiong</v>
      </c>
      <c r="W30" s="31" t="str">
        <f t="shared" si="3"/>
        <v>siong</v>
      </c>
      <c r="X30" s="31" t="str">
        <f t="shared" si="3"/>
        <v>siiong</v>
      </c>
      <c r="Y30" s="31" t="str">
        <f t="shared" si="3"/>
        <v>jiong</v>
      </c>
      <c r="Z30" s="31" t="str">
        <f t="shared" si="3"/>
        <v>jiiong</v>
      </c>
    </row>
    <row r="31" spans="1:26" ht="44.25">
      <c r="A31" s="16">
        <v>28</v>
      </c>
      <c r="B31" s="4" t="s">
        <v>267</v>
      </c>
      <c r="C31" s="17" t="s">
        <v>89</v>
      </c>
      <c r="D31" s="18" t="s">
        <v>186</v>
      </c>
      <c r="E31" s="31" t="str">
        <f t="shared" si="2"/>
        <v>iok</v>
      </c>
      <c r="F31" s="31" t="str">
        <f t="shared" si="2"/>
        <v>piok</v>
      </c>
      <c r="G31" s="31" t="str">
        <f t="shared" si="2"/>
        <v>phiok</v>
      </c>
      <c r="H31" s="31" t="str">
        <f t="shared" si="2"/>
        <v>biok</v>
      </c>
      <c r="I31" s="31" t="str">
        <f t="shared" si="2"/>
        <v>miok</v>
      </c>
      <c r="J31" s="31" t="str">
        <f t="shared" si="2"/>
        <v>tiok</v>
      </c>
      <c r="K31" s="31" t="str">
        <f t="shared" si="2"/>
        <v>thiok</v>
      </c>
      <c r="L31" s="31" t="str">
        <f t="shared" si="2"/>
        <v>liok</v>
      </c>
      <c r="M31" s="31" t="str">
        <f t="shared" si="2"/>
        <v>niok</v>
      </c>
      <c r="N31" s="31" t="str">
        <f t="shared" si="2"/>
        <v>kiok</v>
      </c>
      <c r="O31" s="31" t="str">
        <f t="shared" si="2"/>
        <v>khiok</v>
      </c>
      <c r="P31" s="31" t="str">
        <f t="shared" si="2"/>
        <v>giok</v>
      </c>
      <c r="Q31" s="31" t="str">
        <f t="shared" si="2"/>
        <v>ngiok</v>
      </c>
      <c r="R31" s="31" t="str">
        <f t="shared" si="2"/>
        <v>hiok</v>
      </c>
      <c r="S31" s="31" t="str">
        <f t="shared" si="2"/>
        <v>tsiok</v>
      </c>
      <c r="T31" s="31" t="str">
        <f t="shared" si="2"/>
        <v>tsiiok</v>
      </c>
      <c r="U31" s="31" t="str">
        <f t="shared" si="3"/>
        <v>tshiok</v>
      </c>
      <c r="V31" s="31" t="str">
        <f t="shared" si="3"/>
        <v>tshiiok</v>
      </c>
      <c r="W31" s="31" t="str">
        <f t="shared" si="3"/>
        <v>siok</v>
      </c>
      <c r="X31" s="31" t="str">
        <f t="shared" si="3"/>
        <v>siiok</v>
      </c>
      <c r="Y31" s="31" t="str">
        <f t="shared" si="3"/>
        <v>jiok</v>
      </c>
      <c r="Z31" s="31" t="str">
        <f t="shared" si="3"/>
        <v>jiiok</v>
      </c>
    </row>
    <row r="32" spans="1:26" ht="44.25">
      <c r="A32" s="16">
        <v>29</v>
      </c>
      <c r="B32" s="4" t="s">
        <v>268</v>
      </c>
      <c r="C32" s="17" t="s">
        <v>90</v>
      </c>
      <c r="D32" s="18" t="s">
        <v>187</v>
      </c>
      <c r="E32" s="31" t="str">
        <f t="shared" si="2"/>
        <v>o</v>
      </c>
      <c r="F32" s="31" t="str">
        <f t="shared" si="2"/>
        <v>po</v>
      </c>
      <c r="G32" s="31" t="str">
        <f t="shared" si="2"/>
        <v>pho</v>
      </c>
      <c r="H32" s="31" t="str">
        <f t="shared" si="2"/>
        <v>bo</v>
      </c>
      <c r="I32" s="31" t="str">
        <f t="shared" si="2"/>
        <v>mo</v>
      </c>
      <c r="J32" s="31" t="str">
        <f t="shared" si="2"/>
        <v>to</v>
      </c>
      <c r="K32" s="31" t="str">
        <f t="shared" si="2"/>
        <v>tho</v>
      </c>
      <c r="L32" s="31" t="str">
        <f t="shared" si="2"/>
        <v>lo</v>
      </c>
      <c r="M32" s="31" t="str">
        <f t="shared" si="2"/>
        <v>no</v>
      </c>
      <c r="N32" s="31" t="str">
        <f t="shared" si="2"/>
        <v>ko</v>
      </c>
      <c r="O32" s="31" t="str">
        <f t="shared" si="2"/>
        <v>kho</v>
      </c>
      <c r="P32" s="31" t="str">
        <f t="shared" si="2"/>
        <v>go</v>
      </c>
      <c r="Q32" s="31" t="str">
        <f t="shared" si="2"/>
        <v>ngo</v>
      </c>
      <c r="R32" s="31" t="str">
        <f t="shared" si="2"/>
        <v>ho</v>
      </c>
      <c r="S32" s="31" t="str">
        <f t="shared" si="2"/>
        <v>tso</v>
      </c>
      <c r="T32" s="31" t="str">
        <f t="shared" si="2"/>
        <v>tsio</v>
      </c>
      <c r="U32" s="31" t="str">
        <f t="shared" si="3"/>
        <v>tsho</v>
      </c>
      <c r="V32" s="31" t="str">
        <f t="shared" si="3"/>
        <v>tshio</v>
      </c>
      <c r="W32" s="31" t="str">
        <f t="shared" si="3"/>
        <v>so</v>
      </c>
      <c r="X32" s="31" t="str">
        <f t="shared" si="3"/>
        <v>sio</v>
      </c>
      <c r="Y32" s="31" t="str">
        <f t="shared" si="3"/>
        <v>jo</v>
      </c>
      <c r="Z32" s="31" t="str">
        <f t="shared" si="3"/>
        <v>jio</v>
      </c>
    </row>
    <row r="33" spans="1:26" ht="44.25">
      <c r="A33" s="16">
        <v>30</v>
      </c>
      <c r="B33" s="4" t="s">
        <v>269</v>
      </c>
      <c r="C33" s="17" t="s">
        <v>91</v>
      </c>
      <c r="D33" s="18" t="s">
        <v>188</v>
      </c>
      <c r="E33" s="31" t="str">
        <f t="shared" si="2"/>
        <v>oh</v>
      </c>
      <c r="F33" s="31" t="str">
        <f t="shared" si="2"/>
        <v>poh</v>
      </c>
      <c r="G33" s="31" t="str">
        <f t="shared" si="2"/>
        <v>phoh</v>
      </c>
      <c r="H33" s="31" t="str">
        <f t="shared" si="2"/>
        <v>boh</v>
      </c>
      <c r="I33" s="31" t="str">
        <f t="shared" si="2"/>
        <v>moh</v>
      </c>
      <c r="J33" s="31" t="str">
        <f t="shared" si="2"/>
        <v>toh</v>
      </c>
      <c r="K33" s="31" t="str">
        <f t="shared" si="2"/>
        <v>thoh</v>
      </c>
      <c r="L33" s="31" t="str">
        <f t="shared" si="2"/>
        <v>loh</v>
      </c>
      <c r="M33" s="31" t="str">
        <f t="shared" si="2"/>
        <v>noh</v>
      </c>
      <c r="N33" s="31" t="str">
        <f t="shared" si="2"/>
        <v>koh</v>
      </c>
      <c r="O33" s="31" t="str">
        <f t="shared" si="2"/>
        <v>khoh</v>
      </c>
      <c r="P33" s="31" t="str">
        <f t="shared" si="2"/>
        <v>goh</v>
      </c>
      <c r="Q33" s="31" t="str">
        <f t="shared" si="2"/>
        <v>ngoh</v>
      </c>
      <c r="R33" s="31" t="str">
        <f t="shared" si="2"/>
        <v>hoh</v>
      </c>
      <c r="S33" s="31" t="str">
        <f t="shared" si="2"/>
        <v>tsoh</v>
      </c>
      <c r="T33" s="31" t="str">
        <f t="shared" si="2"/>
        <v>tsioh</v>
      </c>
      <c r="U33" s="31" t="str">
        <f t="shared" si="3"/>
        <v>tshoh</v>
      </c>
      <c r="V33" s="31" t="str">
        <f t="shared" si="3"/>
        <v>tshioh</v>
      </c>
      <c r="W33" s="31" t="str">
        <f t="shared" si="3"/>
        <v>soh</v>
      </c>
      <c r="X33" s="31" t="str">
        <f t="shared" si="3"/>
        <v>sioh</v>
      </c>
      <c r="Y33" s="31" t="str">
        <f t="shared" si="3"/>
        <v>joh</v>
      </c>
      <c r="Z33" s="31" t="str">
        <f t="shared" si="3"/>
        <v>jioh</v>
      </c>
    </row>
    <row r="34" spans="1:26" ht="44.25">
      <c r="A34" s="16">
        <v>31</v>
      </c>
      <c r="B34" s="4" t="s">
        <v>270</v>
      </c>
      <c r="C34" s="17" t="s">
        <v>92</v>
      </c>
      <c r="D34" s="18" t="s">
        <v>189</v>
      </c>
      <c r="E34" s="31" t="str">
        <f t="shared" si="2"/>
        <v>ai</v>
      </c>
      <c r="F34" s="31" t="str">
        <f t="shared" si="2"/>
        <v>pai</v>
      </c>
      <c r="G34" s="31" t="str">
        <f t="shared" si="2"/>
        <v>phai</v>
      </c>
      <c r="H34" s="31" t="str">
        <f t="shared" si="2"/>
        <v>bai</v>
      </c>
      <c r="I34" s="31" t="str">
        <f t="shared" si="2"/>
        <v>mai</v>
      </c>
      <c r="J34" s="31" t="str">
        <f t="shared" si="2"/>
        <v>tai</v>
      </c>
      <c r="K34" s="31" t="str">
        <f t="shared" si="2"/>
        <v>thai</v>
      </c>
      <c r="L34" s="31" t="str">
        <f t="shared" si="2"/>
        <v>lai</v>
      </c>
      <c r="M34" s="31" t="str">
        <f t="shared" si="2"/>
        <v>nai</v>
      </c>
      <c r="N34" s="31" t="str">
        <f t="shared" si="2"/>
        <v>kai</v>
      </c>
      <c r="O34" s="31" t="str">
        <f t="shared" si="2"/>
        <v>khai</v>
      </c>
      <c r="P34" s="31" t="str">
        <f t="shared" si="2"/>
        <v>gai</v>
      </c>
      <c r="Q34" s="31" t="str">
        <f t="shared" si="2"/>
        <v>ngai</v>
      </c>
      <c r="R34" s="31" t="str">
        <f t="shared" si="2"/>
        <v>hai</v>
      </c>
      <c r="S34" s="31" t="str">
        <f t="shared" si="2"/>
        <v>tsai</v>
      </c>
      <c r="T34" s="31" t="str">
        <f t="shared" si="2"/>
        <v>tsiai</v>
      </c>
      <c r="U34" s="31" t="str">
        <f t="shared" si="3"/>
        <v>tshai</v>
      </c>
      <c r="V34" s="31" t="str">
        <f t="shared" si="3"/>
        <v>tshiai</v>
      </c>
      <c r="W34" s="31" t="str">
        <f t="shared" si="3"/>
        <v>sai</v>
      </c>
      <c r="X34" s="31" t="str">
        <f t="shared" si="3"/>
        <v>siai</v>
      </c>
      <c r="Y34" s="31" t="str">
        <f t="shared" si="3"/>
        <v>jai</v>
      </c>
      <c r="Z34" s="31" t="str">
        <f t="shared" si="3"/>
        <v>jiai</v>
      </c>
    </row>
    <row r="35" spans="1:26" ht="44.25">
      <c r="A35" s="16">
        <v>32</v>
      </c>
      <c r="B35" s="25"/>
      <c r="C35" s="26" t="s">
        <v>93</v>
      </c>
      <c r="D35" s="27"/>
      <c r="E35" s="31" t="str">
        <f t="shared" si="2"/>
        <v/>
      </c>
      <c r="F35" s="31" t="str">
        <f t="shared" si="2"/>
        <v/>
      </c>
      <c r="G35" s="31" t="str">
        <f t="shared" si="2"/>
        <v/>
      </c>
      <c r="H35" s="31" t="str">
        <f t="shared" si="2"/>
        <v/>
      </c>
      <c r="I35" s="31" t="str">
        <f t="shared" si="2"/>
        <v/>
      </c>
      <c r="J35" s="31" t="str">
        <f t="shared" si="2"/>
        <v/>
      </c>
      <c r="K35" s="31" t="str">
        <f t="shared" si="2"/>
        <v/>
      </c>
      <c r="L35" s="31" t="str">
        <f t="shared" si="2"/>
        <v/>
      </c>
      <c r="M35" s="31" t="str">
        <f t="shared" si="2"/>
        <v/>
      </c>
      <c r="N35" s="31" t="str">
        <f t="shared" si="2"/>
        <v/>
      </c>
      <c r="O35" s="31" t="str">
        <f t="shared" si="2"/>
        <v/>
      </c>
      <c r="P35" s="31" t="str">
        <f t="shared" si="2"/>
        <v/>
      </c>
      <c r="Q35" s="31" t="str">
        <f t="shared" si="2"/>
        <v/>
      </c>
      <c r="R35" s="31" t="str">
        <f t="shared" si="2"/>
        <v/>
      </c>
      <c r="S35" s="31" t="str">
        <f t="shared" ref="E35:T51" si="4">IF($D35="", "", _xlfn.CONCAT(S$3, $D35))</f>
        <v/>
      </c>
      <c r="T35" s="31" t="str">
        <f t="shared" si="4"/>
        <v/>
      </c>
      <c r="U35" s="31" t="str">
        <f t="shared" si="3"/>
        <v/>
      </c>
      <c r="V35" s="31" t="str">
        <f t="shared" si="3"/>
        <v/>
      </c>
      <c r="W35" s="31" t="str">
        <f t="shared" si="3"/>
        <v/>
      </c>
      <c r="X35" s="31" t="str">
        <f t="shared" si="3"/>
        <v/>
      </c>
      <c r="Y35" s="31" t="str">
        <f t="shared" si="3"/>
        <v/>
      </c>
      <c r="Z35" s="31" t="str">
        <f t="shared" si="3"/>
        <v/>
      </c>
    </row>
    <row r="36" spans="1:26" ht="44.25">
      <c r="A36" s="16">
        <v>33</v>
      </c>
      <c r="B36" s="4" t="s">
        <v>271</v>
      </c>
      <c r="C36" s="17" t="s">
        <v>94</v>
      </c>
      <c r="D36" s="18" t="s">
        <v>190</v>
      </c>
      <c r="E36" s="31" t="str">
        <f t="shared" si="4"/>
        <v>in</v>
      </c>
      <c r="F36" s="31" t="str">
        <f t="shared" si="4"/>
        <v>pin</v>
      </c>
      <c r="G36" s="31" t="str">
        <f t="shared" si="4"/>
        <v>phin</v>
      </c>
      <c r="H36" s="31" t="str">
        <f t="shared" si="4"/>
        <v>bin</v>
      </c>
      <c r="I36" s="31" t="str">
        <f t="shared" si="4"/>
        <v>min</v>
      </c>
      <c r="J36" s="31" t="str">
        <f t="shared" si="4"/>
        <v>tin</v>
      </c>
      <c r="K36" s="31" t="str">
        <f t="shared" si="4"/>
        <v>thin</v>
      </c>
      <c r="L36" s="31" t="str">
        <f t="shared" si="4"/>
        <v>lin</v>
      </c>
      <c r="M36" s="31" t="str">
        <f t="shared" si="4"/>
        <v>nin</v>
      </c>
      <c r="N36" s="31" t="str">
        <f t="shared" si="4"/>
        <v>kin</v>
      </c>
      <c r="O36" s="31" t="str">
        <f t="shared" si="4"/>
        <v>khin</v>
      </c>
      <c r="P36" s="31" t="str">
        <f t="shared" si="4"/>
        <v>gin</v>
      </c>
      <c r="Q36" s="31" t="str">
        <f t="shared" si="4"/>
        <v>ngin</v>
      </c>
      <c r="R36" s="31" t="str">
        <f t="shared" si="4"/>
        <v>hin</v>
      </c>
      <c r="S36" s="31" t="str">
        <f t="shared" si="4"/>
        <v>tsin</v>
      </c>
      <c r="T36" s="31" t="str">
        <f t="shared" si="4"/>
        <v>tsiin</v>
      </c>
      <c r="U36" s="31" t="str">
        <f t="shared" si="3"/>
        <v>tshin</v>
      </c>
      <c r="V36" s="31" t="str">
        <f t="shared" si="3"/>
        <v>tshiin</v>
      </c>
      <c r="W36" s="31" t="str">
        <f t="shared" si="3"/>
        <v>sin</v>
      </c>
      <c r="X36" s="31" t="str">
        <f t="shared" si="3"/>
        <v>siin</v>
      </c>
      <c r="Y36" s="31" t="str">
        <f t="shared" si="3"/>
        <v>jin</v>
      </c>
      <c r="Z36" s="31" t="str">
        <f t="shared" si="3"/>
        <v>jiin</v>
      </c>
    </row>
    <row r="37" spans="1:26" ht="44.25">
      <c r="A37" s="16">
        <v>34</v>
      </c>
      <c r="B37" s="4" t="s">
        <v>272</v>
      </c>
      <c r="C37" s="17" t="s">
        <v>95</v>
      </c>
      <c r="D37" s="18" t="s">
        <v>191</v>
      </c>
      <c r="E37" s="31" t="str">
        <f t="shared" si="4"/>
        <v>it</v>
      </c>
      <c r="F37" s="31" t="str">
        <f t="shared" si="4"/>
        <v>pit</v>
      </c>
      <c r="G37" s="31" t="str">
        <f t="shared" si="4"/>
        <v>phit</v>
      </c>
      <c r="H37" s="31" t="str">
        <f t="shared" si="4"/>
        <v>bit</v>
      </c>
      <c r="I37" s="31" t="str">
        <f t="shared" si="4"/>
        <v>mit</v>
      </c>
      <c r="J37" s="31" t="str">
        <f t="shared" si="4"/>
        <v>tit</v>
      </c>
      <c r="K37" s="31" t="str">
        <f t="shared" si="4"/>
        <v>thit</v>
      </c>
      <c r="L37" s="31" t="str">
        <f t="shared" si="4"/>
        <v>lit</v>
      </c>
      <c r="M37" s="31" t="str">
        <f t="shared" si="4"/>
        <v>nit</v>
      </c>
      <c r="N37" s="31" t="str">
        <f t="shared" si="4"/>
        <v>kit</v>
      </c>
      <c r="O37" s="31" t="str">
        <f t="shared" si="4"/>
        <v>khit</v>
      </c>
      <c r="P37" s="31" t="str">
        <f t="shared" si="4"/>
        <v>git</v>
      </c>
      <c r="Q37" s="31" t="str">
        <f t="shared" si="4"/>
        <v>ngit</v>
      </c>
      <c r="R37" s="31" t="str">
        <f t="shared" si="4"/>
        <v>hit</v>
      </c>
      <c r="S37" s="31" t="str">
        <f t="shared" si="4"/>
        <v>tsit</v>
      </c>
      <c r="T37" s="31" t="str">
        <f t="shared" si="4"/>
        <v>tsiit</v>
      </c>
      <c r="U37" s="31" t="str">
        <f t="shared" si="3"/>
        <v>tshit</v>
      </c>
      <c r="V37" s="31" t="str">
        <f t="shared" si="3"/>
        <v>tshiit</v>
      </c>
      <c r="W37" s="31" t="str">
        <f t="shared" si="3"/>
        <v>sit</v>
      </c>
      <c r="X37" s="31" t="str">
        <f t="shared" si="3"/>
        <v>siit</v>
      </c>
      <c r="Y37" s="31" t="str">
        <f t="shared" si="3"/>
        <v>jit</v>
      </c>
      <c r="Z37" s="31" t="str">
        <f t="shared" si="3"/>
        <v>jiit</v>
      </c>
    </row>
    <row r="38" spans="1:26" ht="44.25">
      <c r="A38" s="16">
        <v>35</v>
      </c>
      <c r="B38" s="4" t="s">
        <v>274</v>
      </c>
      <c r="C38" s="17" t="s">
        <v>96</v>
      </c>
      <c r="D38" s="18" t="s">
        <v>192</v>
      </c>
      <c r="E38" s="31" t="str">
        <f t="shared" si="4"/>
        <v>iang</v>
      </c>
      <c r="F38" s="31" t="str">
        <f t="shared" si="4"/>
        <v>piang</v>
      </c>
      <c r="G38" s="31" t="str">
        <f t="shared" si="4"/>
        <v>phiang</v>
      </c>
      <c r="H38" s="31" t="str">
        <f t="shared" si="4"/>
        <v>biang</v>
      </c>
      <c r="I38" s="31" t="str">
        <f t="shared" si="4"/>
        <v>miang</v>
      </c>
      <c r="J38" s="31" t="str">
        <f t="shared" si="4"/>
        <v>tiang</v>
      </c>
      <c r="K38" s="31" t="str">
        <f t="shared" si="4"/>
        <v>thiang</v>
      </c>
      <c r="L38" s="31" t="str">
        <f t="shared" si="4"/>
        <v>liang</v>
      </c>
      <c r="M38" s="31" t="str">
        <f t="shared" si="4"/>
        <v>niang</v>
      </c>
      <c r="N38" s="31" t="str">
        <f t="shared" si="4"/>
        <v>kiang</v>
      </c>
      <c r="O38" s="31" t="str">
        <f t="shared" si="4"/>
        <v>khiang</v>
      </c>
      <c r="P38" s="31" t="str">
        <f t="shared" si="4"/>
        <v>giang</v>
      </c>
      <c r="Q38" s="31" t="str">
        <f t="shared" si="4"/>
        <v>ngiang</v>
      </c>
      <c r="R38" s="31" t="str">
        <f t="shared" si="4"/>
        <v>hiang</v>
      </c>
      <c r="S38" s="31" t="str">
        <f t="shared" si="4"/>
        <v>tsiang</v>
      </c>
      <c r="T38" s="31" t="str">
        <f t="shared" si="4"/>
        <v>tsiiang</v>
      </c>
      <c r="U38" s="31" t="str">
        <f t="shared" si="3"/>
        <v>tshiang</v>
      </c>
      <c r="V38" s="31" t="str">
        <f t="shared" si="3"/>
        <v>tshiiang</v>
      </c>
      <c r="W38" s="31" t="str">
        <f t="shared" si="3"/>
        <v>siang</v>
      </c>
      <c r="X38" s="31" t="str">
        <f t="shared" si="3"/>
        <v>siiang</v>
      </c>
      <c r="Y38" s="31" t="str">
        <f t="shared" si="3"/>
        <v>jiang</v>
      </c>
      <c r="Z38" s="31" t="str">
        <f t="shared" si="3"/>
        <v>jiiang</v>
      </c>
    </row>
    <row r="39" spans="1:26" ht="44.25">
      <c r="A39" s="16">
        <v>36</v>
      </c>
      <c r="B39" s="4" t="s">
        <v>275</v>
      </c>
      <c r="C39" s="17" t="s">
        <v>97</v>
      </c>
      <c r="D39" s="18" t="s">
        <v>193</v>
      </c>
      <c r="E39" s="31" t="str">
        <f t="shared" si="4"/>
        <v>iak</v>
      </c>
      <c r="F39" s="31" t="str">
        <f t="shared" si="4"/>
        <v>piak</v>
      </c>
      <c r="G39" s="31" t="str">
        <f t="shared" si="4"/>
        <v>phiak</v>
      </c>
      <c r="H39" s="31" t="str">
        <f t="shared" si="4"/>
        <v>biak</v>
      </c>
      <c r="I39" s="31" t="str">
        <f t="shared" si="4"/>
        <v>miak</v>
      </c>
      <c r="J39" s="31" t="str">
        <f t="shared" si="4"/>
        <v>tiak</v>
      </c>
      <c r="K39" s="31" t="str">
        <f t="shared" si="4"/>
        <v>thiak</v>
      </c>
      <c r="L39" s="31" t="str">
        <f t="shared" si="4"/>
        <v>liak</v>
      </c>
      <c r="M39" s="31" t="str">
        <f t="shared" si="4"/>
        <v>niak</v>
      </c>
      <c r="N39" s="31" t="str">
        <f t="shared" si="4"/>
        <v>kiak</v>
      </c>
      <c r="O39" s="31" t="str">
        <f t="shared" si="4"/>
        <v>khiak</v>
      </c>
      <c r="P39" s="31" t="str">
        <f t="shared" si="4"/>
        <v>giak</v>
      </c>
      <c r="Q39" s="31" t="str">
        <f t="shared" si="4"/>
        <v>ngiak</v>
      </c>
      <c r="R39" s="31" t="str">
        <f t="shared" si="4"/>
        <v>hiak</v>
      </c>
      <c r="S39" s="31" t="str">
        <f t="shared" si="4"/>
        <v>tsiak</v>
      </c>
      <c r="T39" s="31" t="str">
        <f t="shared" si="4"/>
        <v>tsiiak</v>
      </c>
      <c r="U39" s="31" t="str">
        <f t="shared" si="3"/>
        <v>tshiak</v>
      </c>
      <c r="V39" s="31" t="str">
        <f t="shared" si="3"/>
        <v>tshiiak</v>
      </c>
      <c r="W39" s="31" t="str">
        <f t="shared" si="3"/>
        <v>siak</v>
      </c>
      <c r="X39" s="31" t="str">
        <f t="shared" si="3"/>
        <v>siiak</v>
      </c>
      <c r="Y39" s="31" t="str">
        <f t="shared" si="3"/>
        <v>jiak</v>
      </c>
      <c r="Z39" s="31" t="str">
        <f t="shared" si="3"/>
        <v>jiiak</v>
      </c>
    </row>
    <row r="40" spans="1:26" ht="44.25">
      <c r="A40" s="16">
        <v>37</v>
      </c>
      <c r="B40" s="4" t="s">
        <v>276</v>
      </c>
      <c r="C40" s="17" t="s">
        <v>98</v>
      </c>
      <c r="D40" s="18" t="s">
        <v>194</v>
      </c>
      <c r="E40" s="31" t="str">
        <f t="shared" si="4"/>
        <v>am</v>
      </c>
      <c r="F40" s="31" t="str">
        <f t="shared" si="4"/>
        <v>pam</v>
      </c>
      <c r="G40" s="31" t="str">
        <f t="shared" si="4"/>
        <v>pham</v>
      </c>
      <c r="H40" s="31" t="str">
        <f t="shared" si="4"/>
        <v>bam</v>
      </c>
      <c r="I40" s="31" t="str">
        <f t="shared" si="4"/>
        <v>mam</v>
      </c>
      <c r="J40" s="31" t="str">
        <f t="shared" si="4"/>
        <v>tam</v>
      </c>
      <c r="K40" s="31" t="str">
        <f t="shared" si="4"/>
        <v>tham</v>
      </c>
      <c r="L40" s="31" t="str">
        <f t="shared" si="4"/>
        <v>lam</v>
      </c>
      <c r="M40" s="31" t="str">
        <f t="shared" si="4"/>
        <v>nam</v>
      </c>
      <c r="N40" s="31" t="str">
        <f t="shared" si="4"/>
        <v>kam</v>
      </c>
      <c r="O40" s="31" t="str">
        <f t="shared" si="4"/>
        <v>kham</v>
      </c>
      <c r="P40" s="31" t="str">
        <f t="shared" si="4"/>
        <v>gam</v>
      </c>
      <c r="Q40" s="31" t="str">
        <f t="shared" si="4"/>
        <v>ngam</v>
      </c>
      <c r="R40" s="31" t="str">
        <f t="shared" si="4"/>
        <v>ham</v>
      </c>
      <c r="S40" s="31" t="str">
        <f t="shared" si="4"/>
        <v>tsam</v>
      </c>
      <c r="T40" s="31" t="str">
        <f t="shared" si="4"/>
        <v>tsiam</v>
      </c>
      <c r="U40" s="31" t="str">
        <f t="shared" si="3"/>
        <v>tsham</v>
      </c>
      <c r="V40" s="31" t="str">
        <f t="shared" si="3"/>
        <v>tshiam</v>
      </c>
      <c r="W40" s="31" t="str">
        <f t="shared" si="3"/>
        <v>sam</v>
      </c>
      <c r="X40" s="31" t="str">
        <f t="shared" si="3"/>
        <v>siam</v>
      </c>
      <c r="Y40" s="31" t="str">
        <f t="shared" si="3"/>
        <v>jam</v>
      </c>
      <c r="Z40" s="31" t="str">
        <f t="shared" si="3"/>
        <v>jiam</v>
      </c>
    </row>
    <row r="41" spans="1:26" ht="44.25">
      <c r="A41" s="16">
        <v>38</v>
      </c>
      <c r="B41" s="4" t="s">
        <v>277</v>
      </c>
      <c r="C41" s="17" t="s">
        <v>99</v>
      </c>
      <c r="D41" s="18" t="s">
        <v>195</v>
      </c>
      <c r="E41" s="31" t="str">
        <f t="shared" si="4"/>
        <v>ap</v>
      </c>
      <c r="F41" s="31" t="str">
        <f t="shared" si="4"/>
        <v>pap</v>
      </c>
      <c r="G41" s="31" t="str">
        <f t="shared" si="4"/>
        <v>phap</v>
      </c>
      <c r="H41" s="31" t="str">
        <f t="shared" si="4"/>
        <v>bap</v>
      </c>
      <c r="I41" s="31" t="str">
        <f t="shared" si="4"/>
        <v>map</v>
      </c>
      <c r="J41" s="31" t="str">
        <f t="shared" si="4"/>
        <v>tap</v>
      </c>
      <c r="K41" s="31" t="str">
        <f t="shared" si="4"/>
        <v>thap</v>
      </c>
      <c r="L41" s="31" t="str">
        <f t="shared" si="4"/>
        <v>lap</v>
      </c>
      <c r="M41" s="31" t="str">
        <f t="shared" si="4"/>
        <v>nap</v>
      </c>
      <c r="N41" s="31" t="str">
        <f t="shared" si="4"/>
        <v>kap</v>
      </c>
      <c r="O41" s="31" t="str">
        <f t="shared" si="4"/>
        <v>khap</v>
      </c>
      <c r="P41" s="31" t="str">
        <f t="shared" si="4"/>
        <v>gap</v>
      </c>
      <c r="Q41" s="31" t="str">
        <f t="shared" si="4"/>
        <v>ngap</v>
      </c>
      <c r="R41" s="31" t="str">
        <f t="shared" si="4"/>
        <v>hap</v>
      </c>
      <c r="S41" s="31" t="str">
        <f t="shared" si="4"/>
        <v>tsap</v>
      </c>
      <c r="T41" s="31" t="str">
        <f t="shared" si="4"/>
        <v>tsiap</v>
      </c>
      <c r="U41" s="31" t="str">
        <f t="shared" si="3"/>
        <v>tshap</v>
      </c>
      <c r="V41" s="31" t="str">
        <f t="shared" si="3"/>
        <v>tshiap</v>
      </c>
      <c r="W41" s="31" t="str">
        <f t="shared" si="3"/>
        <v>sap</v>
      </c>
      <c r="X41" s="31" t="str">
        <f t="shared" si="3"/>
        <v>siap</v>
      </c>
      <c r="Y41" s="31" t="str">
        <f t="shared" si="3"/>
        <v>jap</v>
      </c>
      <c r="Z41" s="31" t="str">
        <f t="shared" si="3"/>
        <v>jiap</v>
      </c>
    </row>
    <row r="42" spans="1:26" ht="44.25">
      <c r="A42" s="16">
        <v>39</v>
      </c>
      <c r="B42" s="4" t="s">
        <v>278</v>
      </c>
      <c r="C42" s="17" t="s">
        <v>100</v>
      </c>
      <c r="D42" s="18" t="s">
        <v>196</v>
      </c>
      <c r="E42" s="31" t="str">
        <f t="shared" si="4"/>
        <v>ua</v>
      </c>
      <c r="F42" s="31" t="str">
        <f t="shared" si="4"/>
        <v>pua</v>
      </c>
      <c r="G42" s="31" t="str">
        <f t="shared" si="4"/>
        <v>phua</v>
      </c>
      <c r="H42" s="31" t="str">
        <f t="shared" si="4"/>
        <v>bua</v>
      </c>
      <c r="I42" s="31" t="str">
        <f t="shared" si="4"/>
        <v>mua</v>
      </c>
      <c r="J42" s="31" t="str">
        <f t="shared" si="4"/>
        <v>tua</v>
      </c>
      <c r="K42" s="31" t="str">
        <f t="shared" si="4"/>
        <v>thua</v>
      </c>
      <c r="L42" s="31" t="str">
        <f t="shared" si="4"/>
        <v>lua</v>
      </c>
      <c r="M42" s="31" t="str">
        <f t="shared" si="4"/>
        <v>nua</v>
      </c>
      <c r="N42" s="31" t="str">
        <f t="shared" si="4"/>
        <v>kua</v>
      </c>
      <c r="O42" s="31" t="str">
        <f t="shared" si="4"/>
        <v>khua</v>
      </c>
      <c r="P42" s="31" t="str">
        <f t="shared" si="4"/>
        <v>gua</v>
      </c>
      <c r="Q42" s="31" t="str">
        <f t="shared" si="4"/>
        <v>ngua</v>
      </c>
      <c r="R42" s="31" t="str">
        <f t="shared" si="4"/>
        <v>hua</v>
      </c>
      <c r="S42" s="31" t="str">
        <f t="shared" si="4"/>
        <v>tsua</v>
      </c>
      <c r="T42" s="31" t="str">
        <f t="shared" si="4"/>
        <v>tsiua</v>
      </c>
      <c r="U42" s="31" t="str">
        <f t="shared" si="3"/>
        <v>tshua</v>
      </c>
      <c r="V42" s="31" t="str">
        <f t="shared" si="3"/>
        <v>tshiua</v>
      </c>
      <c r="W42" s="31" t="str">
        <f t="shared" si="3"/>
        <v>sua</v>
      </c>
      <c r="X42" s="31" t="str">
        <f t="shared" si="3"/>
        <v>siua</v>
      </c>
      <c r="Y42" s="31" t="str">
        <f t="shared" si="3"/>
        <v>jua</v>
      </c>
      <c r="Z42" s="31" t="str">
        <f t="shared" si="3"/>
        <v>jiua</v>
      </c>
    </row>
    <row r="43" spans="1:26" ht="44.25">
      <c r="A43" s="16">
        <v>40</v>
      </c>
      <c r="B43" s="4" t="s">
        <v>279</v>
      </c>
      <c r="C43" s="17" t="s">
        <v>101</v>
      </c>
      <c r="D43" s="18" t="s">
        <v>197</v>
      </c>
      <c r="E43" s="31" t="str">
        <f t="shared" si="4"/>
        <v>uah</v>
      </c>
      <c r="F43" s="31" t="str">
        <f t="shared" si="4"/>
        <v>puah</v>
      </c>
      <c r="G43" s="31" t="str">
        <f t="shared" si="4"/>
        <v>phuah</v>
      </c>
      <c r="H43" s="31" t="str">
        <f t="shared" si="4"/>
        <v>buah</v>
      </c>
      <c r="I43" s="31" t="str">
        <f t="shared" si="4"/>
        <v>muah</v>
      </c>
      <c r="J43" s="31" t="str">
        <f t="shared" si="4"/>
        <v>tuah</v>
      </c>
      <c r="K43" s="31" t="str">
        <f t="shared" si="4"/>
        <v>thuah</v>
      </c>
      <c r="L43" s="31" t="str">
        <f t="shared" si="4"/>
        <v>luah</v>
      </c>
      <c r="M43" s="31" t="str">
        <f t="shared" si="4"/>
        <v>nuah</v>
      </c>
      <c r="N43" s="31" t="str">
        <f t="shared" si="4"/>
        <v>kuah</v>
      </c>
      <c r="O43" s="31" t="str">
        <f t="shared" si="4"/>
        <v>khuah</v>
      </c>
      <c r="P43" s="31" t="str">
        <f t="shared" si="4"/>
        <v>guah</v>
      </c>
      <c r="Q43" s="31" t="str">
        <f t="shared" si="4"/>
        <v>nguah</v>
      </c>
      <c r="R43" s="31" t="str">
        <f t="shared" si="4"/>
        <v>huah</v>
      </c>
      <c r="S43" s="31" t="str">
        <f t="shared" si="4"/>
        <v>tsuah</v>
      </c>
      <c r="T43" s="31" t="str">
        <f t="shared" si="4"/>
        <v>tsiuah</v>
      </c>
      <c r="U43" s="31" t="str">
        <f t="shared" si="3"/>
        <v>tshuah</v>
      </c>
      <c r="V43" s="31" t="str">
        <f t="shared" si="3"/>
        <v>tshiuah</v>
      </c>
      <c r="W43" s="31" t="str">
        <f t="shared" si="3"/>
        <v>suah</v>
      </c>
      <c r="X43" s="31" t="str">
        <f t="shared" si="3"/>
        <v>siuah</v>
      </c>
      <c r="Y43" s="31" t="str">
        <f t="shared" si="3"/>
        <v>juah</v>
      </c>
      <c r="Z43" s="31" t="str">
        <f t="shared" si="3"/>
        <v>jiuah</v>
      </c>
    </row>
    <row r="44" spans="1:26" ht="44.25">
      <c r="A44" s="16">
        <v>41</v>
      </c>
      <c r="B44" s="4" t="s">
        <v>280</v>
      </c>
      <c r="C44" s="17" t="s">
        <v>102</v>
      </c>
      <c r="D44" s="18" t="s">
        <v>198</v>
      </c>
      <c r="E44" s="31" t="str">
        <f t="shared" si="4"/>
        <v>ang</v>
      </c>
      <c r="F44" s="31" t="str">
        <f t="shared" si="4"/>
        <v>pang</v>
      </c>
      <c r="G44" s="31" t="str">
        <f t="shared" si="4"/>
        <v>phang</v>
      </c>
      <c r="H44" s="31" t="str">
        <f t="shared" si="4"/>
        <v>bang</v>
      </c>
      <c r="I44" s="31" t="str">
        <f t="shared" si="4"/>
        <v>mang</v>
      </c>
      <c r="J44" s="31" t="str">
        <f t="shared" si="4"/>
        <v>tang</v>
      </c>
      <c r="K44" s="31" t="str">
        <f t="shared" si="4"/>
        <v>thang</v>
      </c>
      <c r="L44" s="31" t="str">
        <f t="shared" si="4"/>
        <v>lang</v>
      </c>
      <c r="M44" s="31" t="str">
        <f t="shared" si="4"/>
        <v>nang</v>
      </c>
      <c r="N44" s="31" t="str">
        <f t="shared" si="4"/>
        <v>kang</v>
      </c>
      <c r="O44" s="31" t="str">
        <f t="shared" si="4"/>
        <v>khang</v>
      </c>
      <c r="P44" s="31" t="str">
        <f t="shared" si="4"/>
        <v>gang</v>
      </c>
      <c r="Q44" s="31" t="str">
        <f t="shared" si="4"/>
        <v>ngang</v>
      </c>
      <c r="R44" s="31" t="str">
        <f t="shared" si="4"/>
        <v>hang</v>
      </c>
      <c r="S44" s="31" t="str">
        <f t="shared" si="4"/>
        <v>tsang</v>
      </c>
      <c r="T44" s="31" t="str">
        <f t="shared" si="4"/>
        <v>tsiang</v>
      </c>
      <c r="U44" s="31" t="str">
        <f t="shared" si="3"/>
        <v>tshang</v>
      </c>
      <c r="V44" s="31" t="str">
        <f t="shared" si="3"/>
        <v>tshiang</v>
      </c>
      <c r="W44" s="31" t="str">
        <f t="shared" si="3"/>
        <v>sang</v>
      </c>
      <c r="X44" s="31" t="str">
        <f t="shared" si="3"/>
        <v>siang</v>
      </c>
      <c r="Y44" s="31" t="str">
        <f t="shared" si="3"/>
        <v>jang</v>
      </c>
      <c r="Z44" s="31" t="str">
        <f t="shared" si="3"/>
        <v>jiang</v>
      </c>
    </row>
    <row r="45" spans="1:26" ht="44.25">
      <c r="A45" s="16">
        <v>42</v>
      </c>
      <c r="B45" s="4" t="s">
        <v>281</v>
      </c>
      <c r="C45" s="17" t="s">
        <v>103</v>
      </c>
      <c r="D45" s="18" t="s">
        <v>199</v>
      </c>
      <c r="E45" s="31" t="str">
        <f t="shared" si="4"/>
        <v>ak</v>
      </c>
      <c r="F45" s="31" t="str">
        <f t="shared" si="4"/>
        <v>pak</v>
      </c>
      <c r="G45" s="31" t="str">
        <f t="shared" si="4"/>
        <v>phak</v>
      </c>
      <c r="H45" s="31" t="str">
        <f t="shared" si="4"/>
        <v>bak</v>
      </c>
      <c r="I45" s="31" t="str">
        <f t="shared" si="4"/>
        <v>mak</v>
      </c>
      <c r="J45" s="31" t="str">
        <f t="shared" si="4"/>
        <v>tak</v>
      </c>
      <c r="K45" s="31" t="str">
        <f t="shared" si="4"/>
        <v>thak</v>
      </c>
      <c r="L45" s="31" t="str">
        <f t="shared" si="4"/>
        <v>lak</v>
      </c>
      <c r="M45" s="31" t="str">
        <f t="shared" si="4"/>
        <v>nak</v>
      </c>
      <c r="N45" s="31" t="str">
        <f t="shared" si="4"/>
        <v>kak</v>
      </c>
      <c r="O45" s="31" t="str">
        <f t="shared" si="4"/>
        <v>khak</v>
      </c>
      <c r="P45" s="31" t="str">
        <f t="shared" si="4"/>
        <v>gak</v>
      </c>
      <c r="Q45" s="31" t="str">
        <f t="shared" si="4"/>
        <v>ngak</v>
      </c>
      <c r="R45" s="31" t="str">
        <f t="shared" si="4"/>
        <v>hak</v>
      </c>
      <c r="S45" s="31" t="str">
        <f t="shared" si="4"/>
        <v>tsak</v>
      </c>
      <c r="T45" s="31" t="str">
        <f t="shared" si="4"/>
        <v>tsiak</v>
      </c>
      <c r="U45" s="31" t="str">
        <f t="shared" si="3"/>
        <v>tshak</v>
      </c>
      <c r="V45" s="31" t="str">
        <f t="shared" si="3"/>
        <v>tshiak</v>
      </c>
      <c r="W45" s="31" t="str">
        <f t="shared" si="3"/>
        <v>sak</v>
      </c>
      <c r="X45" s="31" t="str">
        <f t="shared" si="3"/>
        <v>siak</v>
      </c>
      <c r="Y45" s="31" t="str">
        <f t="shared" si="3"/>
        <v>jak</v>
      </c>
      <c r="Z45" s="31" t="str">
        <f t="shared" si="3"/>
        <v>jiak</v>
      </c>
    </row>
    <row r="46" spans="1:26" ht="44.25">
      <c r="A46" s="16">
        <v>43</v>
      </c>
      <c r="B46" s="4" t="s">
        <v>282</v>
      </c>
      <c r="C46" s="17" t="s">
        <v>104</v>
      </c>
      <c r="D46" s="18" t="s">
        <v>200</v>
      </c>
      <c r="E46" s="31" t="str">
        <f t="shared" si="4"/>
        <v>iam</v>
      </c>
      <c r="F46" s="31" t="str">
        <f t="shared" si="4"/>
        <v>piam</v>
      </c>
      <c r="G46" s="31" t="str">
        <f t="shared" si="4"/>
        <v>phiam</v>
      </c>
      <c r="H46" s="31" t="str">
        <f t="shared" si="4"/>
        <v>biam</v>
      </c>
      <c r="I46" s="31" t="str">
        <f t="shared" si="4"/>
        <v>miam</v>
      </c>
      <c r="J46" s="31" t="str">
        <f t="shared" si="4"/>
        <v>tiam</v>
      </c>
      <c r="K46" s="31" t="str">
        <f t="shared" si="4"/>
        <v>thiam</v>
      </c>
      <c r="L46" s="31" t="str">
        <f t="shared" si="4"/>
        <v>liam</v>
      </c>
      <c r="M46" s="31" t="str">
        <f t="shared" si="4"/>
        <v>niam</v>
      </c>
      <c r="N46" s="31" t="str">
        <f t="shared" si="4"/>
        <v>kiam</v>
      </c>
      <c r="O46" s="31" t="str">
        <f t="shared" si="4"/>
        <v>khiam</v>
      </c>
      <c r="P46" s="31" t="str">
        <f t="shared" si="4"/>
        <v>giam</v>
      </c>
      <c r="Q46" s="31" t="str">
        <f t="shared" si="4"/>
        <v>ngiam</v>
      </c>
      <c r="R46" s="31" t="str">
        <f t="shared" si="4"/>
        <v>hiam</v>
      </c>
      <c r="S46" s="31" t="str">
        <f t="shared" si="4"/>
        <v>tsiam</v>
      </c>
      <c r="T46" s="31" t="str">
        <f t="shared" si="4"/>
        <v>tsiiam</v>
      </c>
      <c r="U46" s="31" t="str">
        <f t="shared" si="3"/>
        <v>tshiam</v>
      </c>
      <c r="V46" s="31" t="str">
        <f t="shared" si="3"/>
        <v>tshiiam</v>
      </c>
      <c r="W46" s="31" t="str">
        <f t="shared" si="3"/>
        <v>siam</v>
      </c>
      <c r="X46" s="31" t="str">
        <f t="shared" si="3"/>
        <v>siiam</v>
      </c>
      <c r="Y46" s="31" t="str">
        <f t="shared" si="3"/>
        <v>jiam</v>
      </c>
      <c r="Z46" s="31" t="str">
        <f t="shared" si="3"/>
        <v>jiiam</v>
      </c>
    </row>
    <row r="47" spans="1:26" ht="44.25">
      <c r="A47" s="16">
        <v>44</v>
      </c>
      <c r="B47" s="4" t="s">
        <v>283</v>
      </c>
      <c r="C47" s="17" t="s">
        <v>105</v>
      </c>
      <c r="D47" s="18" t="s">
        <v>201</v>
      </c>
      <c r="E47" s="31" t="str">
        <f t="shared" si="4"/>
        <v>iap</v>
      </c>
      <c r="F47" s="31" t="str">
        <f t="shared" si="4"/>
        <v>piap</v>
      </c>
      <c r="G47" s="31" t="str">
        <f t="shared" si="4"/>
        <v>phiap</v>
      </c>
      <c r="H47" s="31" t="str">
        <f t="shared" si="4"/>
        <v>biap</v>
      </c>
      <c r="I47" s="31" t="str">
        <f t="shared" si="4"/>
        <v>miap</v>
      </c>
      <c r="J47" s="31" t="str">
        <f t="shared" si="4"/>
        <v>tiap</v>
      </c>
      <c r="K47" s="31" t="str">
        <f t="shared" si="4"/>
        <v>thiap</v>
      </c>
      <c r="L47" s="31" t="str">
        <f t="shared" si="4"/>
        <v>liap</v>
      </c>
      <c r="M47" s="31" t="str">
        <f t="shared" si="4"/>
        <v>niap</v>
      </c>
      <c r="N47" s="31" t="str">
        <f t="shared" si="4"/>
        <v>kiap</v>
      </c>
      <c r="O47" s="31" t="str">
        <f t="shared" si="4"/>
        <v>khiap</v>
      </c>
      <c r="P47" s="31" t="str">
        <f t="shared" si="4"/>
        <v>giap</v>
      </c>
      <c r="Q47" s="31" t="str">
        <f t="shared" si="4"/>
        <v>ngiap</v>
      </c>
      <c r="R47" s="31" t="str">
        <f t="shared" si="4"/>
        <v>hiap</v>
      </c>
      <c r="S47" s="31" t="str">
        <f t="shared" si="4"/>
        <v>tsiap</v>
      </c>
      <c r="T47" s="31" t="str">
        <f t="shared" si="4"/>
        <v>tsiiap</v>
      </c>
      <c r="U47" s="31" t="str">
        <f t="shared" si="3"/>
        <v>tshiap</v>
      </c>
      <c r="V47" s="31" t="str">
        <f t="shared" si="3"/>
        <v>tshiiap</v>
      </c>
      <c r="W47" s="31" t="str">
        <f t="shared" si="3"/>
        <v>siap</v>
      </c>
      <c r="X47" s="31" t="str">
        <f t="shared" si="3"/>
        <v>siiap</v>
      </c>
      <c r="Y47" s="31" t="str">
        <f t="shared" si="3"/>
        <v>jiap</v>
      </c>
      <c r="Z47" s="31" t="str">
        <f t="shared" si="3"/>
        <v>jiiap</v>
      </c>
    </row>
    <row r="48" spans="1:26" ht="44.25">
      <c r="A48" s="16">
        <v>45</v>
      </c>
      <c r="B48" s="4" t="s">
        <v>284</v>
      </c>
      <c r="C48" s="17" t="s">
        <v>106</v>
      </c>
      <c r="D48" s="18" t="s">
        <v>202</v>
      </c>
      <c r="E48" s="31" t="str">
        <f t="shared" si="4"/>
        <v>au</v>
      </c>
      <c r="F48" s="31" t="str">
        <f t="shared" si="4"/>
        <v>pau</v>
      </c>
      <c r="G48" s="31" t="str">
        <f t="shared" si="4"/>
        <v>phau</v>
      </c>
      <c r="H48" s="31" t="str">
        <f t="shared" si="4"/>
        <v>bau</v>
      </c>
      <c r="I48" s="31" t="str">
        <f t="shared" si="4"/>
        <v>mau</v>
      </c>
      <c r="J48" s="31" t="str">
        <f t="shared" si="4"/>
        <v>tau</v>
      </c>
      <c r="K48" s="31" t="str">
        <f t="shared" si="4"/>
        <v>thau</v>
      </c>
      <c r="L48" s="31" t="str">
        <f t="shared" si="4"/>
        <v>lau</v>
      </c>
      <c r="M48" s="31" t="str">
        <f t="shared" si="4"/>
        <v>nau</v>
      </c>
      <c r="N48" s="31" t="str">
        <f t="shared" si="4"/>
        <v>kau</v>
      </c>
      <c r="O48" s="31" t="str">
        <f t="shared" si="4"/>
        <v>khau</v>
      </c>
      <c r="P48" s="31" t="str">
        <f t="shared" si="4"/>
        <v>gau</v>
      </c>
      <c r="Q48" s="31" t="str">
        <f t="shared" si="4"/>
        <v>ngau</v>
      </c>
      <c r="R48" s="31" t="str">
        <f t="shared" si="4"/>
        <v>hau</v>
      </c>
      <c r="S48" s="31" t="str">
        <f t="shared" si="4"/>
        <v>tsau</v>
      </c>
      <c r="T48" s="31" t="str">
        <f t="shared" si="4"/>
        <v>tsiau</v>
      </c>
      <c r="U48" s="31" t="str">
        <f t="shared" si="3"/>
        <v>tshau</v>
      </c>
      <c r="V48" s="31" t="str">
        <f t="shared" si="3"/>
        <v>tshiau</v>
      </c>
      <c r="W48" s="31" t="str">
        <f t="shared" si="3"/>
        <v>sau</v>
      </c>
      <c r="X48" s="31" t="str">
        <f t="shared" si="3"/>
        <v>siau</v>
      </c>
      <c r="Y48" s="31" t="str">
        <f t="shared" si="3"/>
        <v>jau</v>
      </c>
      <c r="Z48" s="31" t="str">
        <f t="shared" si="3"/>
        <v>jiau</v>
      </c>
    </row>
    <row r="49" spans="1:26" ht="44.25">
      <c r="A49" s="16">
        <v>46</v>
      </c>
      <c r="B49" s="4" t="s">
        <v>285</v>
      </c>
      <c r="C49" s="17" t="s">
        <v>107</v>
      </c>
      <c r="D49" s="18" t="s">
        <v>203</v>
      </c>
      <c r="E49" s="31" t="str">
        <f t="shared" si="4"/>
        <v>auh</v>
      </c>
      <c r="F49" s="31" t="str">
        <f t="shared" si="4"/>
        <v>pauh</v>
      </c>
      <c r="G49" s="31" t="str">
        <f t="shared" si="4"/>
        <v>phauh</v>
      </c>
      <c r="H49" s="31" t="str">
        <f t="shared" si="4"/>
        <v>bauh</v>
      </c>
      <c r="I49" s="31" t="str">
        <f t="shared" si="4"/>
        <v>mauh</v>
      </c>
      <c r="J49" s="31" t="str">
        <f t="shared" si="4"/>
        <v>tauh</v>
      </c>
      <c r="K49" s="31" t="str">
        <f t="shared" si="4"/>
        <v>thauh</v>
      </c>
      <c r="L49" s="31" t="str">
        <f t="shared" si="4"/>
        <v>lauh</v>
      </c>
      <c r="M49" s="31" t="str">
        <f t="shared" si="4"/>
        <v>nauh</v>
      </c>
      <c r="N49" s="31" t="str">
        <f t="shared" si="4"/>
        <v>kauh</v>
      </c>
      <c r="O49" s="31" t="str">
        <f t="shared" si="4"/>
        <v>khauh</v>
      </c>
      <c r="P49" s="31" t="str">
        <f t="shared" si="4"/>
        <v>gauh</v>
      </c>
      <c r="Q49" s="31" t="str">
        <f t="shared" si="4"/>
        <v>ngauh</v>
      </c>
      <c r="R49" s="31" t="str">
        <f t="shared" si="4"/>
        <v>hauh</v>
      </c>
      <c r="S49" s="31" t="str">
        <f t="shared" si="4"/>
        <v>tsauh</v>
      </c>
      <c r="T49" s="31" t="str">
        <f t="shared" si="4"/>
        <v>tsiauh</v>
      </c>
      <c r="U49" s="31" t="str">
        <f t="shared" si="3"/>
        <v>tshauh</v>
      </c>
      <c r="V49" s="31" t="str">
        <f t="shared" si="3"/>
        <v>tshiauh</v>
      </c>
      <c r="W49" s="31" t="str">
        <f t="shared" si="3"/>
        <v>sauh</v>
      </c>
      <c r="X49" s="31" t="str">
        <f t="shared" si="3"/>
        <v>siauh</v>
      </c>
      <c r="Y49" s="31" t="str">
        <f t="shared" si="3"/>
        <v>jauh</v>
      </c>
      <c r="Z49" s="31" t="str">
        <f t="shared" si="3"/>
        <v>jiauh</v>
      </c>
    </row>
    <row r="50" spans="1:26" ht="44.25">
      <c r="A50" s="16">
        <v>47</v>
      </c>
      <c r="B50" s="4" t="s">
        <v>286</v>
      </c>
      <c r="C50" s="17" t="s">
        <v>108</v>
      </c>
      <c r="D50" s="18" t="s">
        <v>204</v>
      </c>
      <c r="E50" s="31" t="str">
        <f t="shared" si="4"/>
        <v>ia</v>
      </c>
      <c r="F50" s="31" t="str">
        <f t="shared" si="4"/>
        <v>pia</v>
      </c>
      <c r="G50" s="31" t="str">
        <f t="shared" si="4"/>
        <v>phia</v>
      </c>
      <c r="H50" s="31" t="str">
        <f t="shared" si="4"/>
        <v>bia</v>
      </c>
      <c r="I50" s="31" t="str">
        <f t="shared" si="4"/>
        <v>mia</v>
      </c>
      <c r="J50" s="31" t="str">
        <f t="shared" si="4"/>
        <v>tia</v>
      </c>
      <c r="K50" s="31" t="str">
        <f t="shared" si="4"/>
        <v>thia</v>
      </c>
      <c r="L50" s="31" t="str">
        <f t="shared" si="4"/>
        <v>lia</v>
      </c>
      <c r="M50" s="31" t="str">
        <f t="shared" si="4"/>
        <v>nia</v>
      </c>
      <c r="N50" s="31" t="str">
        <f t="shared" si="4"/>
        <v>kia</v>
      </c>
      <c r="O50" s="31" t="str">
        <f t="shared" si="4"/>
        <v>khia</v>
      </c>
      <c r="P50" s="31" t="str">
        <f t="shared" si="4"/>
        <v>gia</v>
      </c>
      <c r="Q50" s="31" t="str">
        <f t="shared" si="4"/>
        <v>ngia</v>
      </c>
      <c r="R50" s="31" t="str">
        <f t="shared" si="4"/>
        <v>hia</v>
      </c>
      <c r="S50" s="31" t="str">
        <f t="shared" si="4"/>
        <v>tsia</v>
      </c>
      <c r="T50" s="31" t="str">
        <f t="shared" si="4"/>
        <v>tsiia</v>
      </c>
      <c r="U50" s="31" t="str">
        <f t="shared" si="3"/>
        <v>tshia</v>
      </c>
      <c r="V50" s="31" t="str">
        <f t="shared" si="3"/>
        <v>tshiia</v>
      </c>
      <c r="W50" s="31" t="str">
        <f t="shared" si="3"/>
        <v>sia</v>
      </c>
      <c r="X50" s="31" t="str">
        <f t="shared" si="3"/>
        <v>siia</v>
      </c>
      <c r="Y50" s="31" t="str">
        <f t="shared" si="3"/>
        <v>jia</v>
      </c>
      <c r="Z50" s="31" t="str">
        <f t="shared" si="3"/>
        <v>jiia</v>
      </c>
    </row>
    <row r="51" spans="1:26" ht="44.25">
      <c r="A51" s="16">
        <v>48</v>
      </c>
      <c r="B51" s="4" t="s">
        <v>287</v>
      </c>
      <c r="C51" s="17" t="s">
        <v>109</v>
      </c>
      <c r="D51" s="18" t="s">
        <v>205</v>
      </c>
      <c r="E51" s="31" t="str">
        <f t="shared" si="4"/>
        <v>iah</v>
      </c>
      <c r="F51" s="31" t="str">
        <f t="shared" si="4"/>
        <v>piah</v>
      </c>
      <c r="G51" s="31" t="str">
        <f t="shared" si="4"/>
        <v>phiah</v>
      </c>
      <c r="H51" s="31" t="str">
        <f t="shared" si="4"/>
        <v>biah</v>
      </c>
      <c r="I51" s="31" t="str">
        <f t="shared" si="4"/>
        <v>miah</v>
      </c>
      <c r="J51" s="31" t="str">
        <f t="shared" si="4"/>
        <v>tiah</v>
      </c>
      <c r="K51" s="31" t="str">
        <f t="shared" si="4"/>
        <v>thiah</v>
      </c>
      <c r="L51" s="31" t="str">
        <f t="shared" si="4"/>
        <v>liah</v>
      </c>
      <c r="M51" s="31" t="str">
        <f t="shared" si="4"/>
        <v>niah</v>
      </c>
      <c r="N51" s="31" t="str">
        <f t="shared" si="4"/>
        <v>kiah</v>
      </c>
      <c r="O51" s="31" t="str">
        <f t="shared" si="4"/>
        <v>khiah</v>
      </c>
      <c r="P51" s="31" t="str">
        <f t="shared" si="4"/>
        <v>giah</v>
      </c>
      <c r="Q51" s="31" t="str">
        <f t="shared" si="4"/>
        <v>ngiah</v>
      </c>
      <c r="R51" s="31" t="str">
        <f t="shared" ref="E51:T67" si="5">IF($D51="", "", _xlfn.CONCAT(R$3, $D51))</f>
        <v>hiah</v>
      </c>
      <c r="S51" s="31" t="str">
        <f t="shared" si="5"/>
        <v>tsiah</v>
      </c>
      <c r="T51" s="31" t="str">
        <f t="shared" si="5"/>
        <v>tsiiah</v>
      </c>
      <c r="U51" s="31" t="str">
        <f t="shared" si="3"/>
        <v>tshiah</v>
      </c>
      <c r="V51" s="31" t="str">
        <f t="shared" si="3"/>
        <v>tshiiah</v>
      </c>
      <c r="W51" s="31" t="str">
        <f t="shared" si="3"/>
        <v>siah</v>
      </c>
      <c r="X51" s="31" t="str">
        <f t="shared" si="3"/>
        <v>siiah</v>
      </c>
      <c r="Y51" s="31" t="str">
        <f t="shared" si="3"/>
        <v>jiah</v>
      </c>
      <c r="Z51" s="31" t="str">
        <f t="shared" si="3"/>
        <v>jiiah</v>
      </c>
    </row>
    <row r="52" spans="1:26" ht="44.25">
      <c r="A52" s="16">
        <v>49</v>
      </c>
      <c r="B52" s="4" t="s">
        <v>288</v>
      </c>
      <c r="C52" s="17" t="s">
        <v>110</v>
      </c>
      <c r="D52" s="18" t="s">
        <v>206</v>
      </c>
      <c r="E52" s="31" t="str">
        <f t="shared" si="5"/>
        <v>ue</v>
      </c>
      <c r="F52" s="31" t="str">
        <f t="shared" si="5"/>
        <v>pue</v>
      </c>
      <c r="G52" s="31" t="str">
        <f t="shared" si="5"/>
        <v>phue</v>
      </c>
      <c r="H52" s="31" t="str">
        <f t="shared" si="5"/>
        <v>bue</v>
      </c>
      <c r="I52" s="31" t="str">
        <f t="shared" si="5"/>
        <v>mue</v>
      </c>
      <c r="J52" s="31" t="str">
        <f t="shared" si="5"/>
        <v>tue</v>
      </c>
      <c r="K52" s="31" t="str">
        <f t="shared" si="5"/>
        <v>thue</v>
      </c>
      <c r="L52" s="31" t="str">
        <f t="shared" si="5"/>
        <v>lue</v>
      </c>
      <c r="M52" s="31" t="str">
        <f t="shared" si="5"/>
        <v>nue</v>
      </c>
      <c r="N52" s="31" t="str">
        <f t="shared" si="5"/>
        <v>kue</v>
      </c>
      <c r="O52" s="31" t="str">
        <f t="shared" si="5"/>
        <v>khue</v>
      </c>
      <c r="P52" s="31" t="str">
        <f t="shared" si="5"/>
        <v>gue</v>
      </c>
      <c r="Q52" s="31" t="str">
        <f t="shared" si="5"/>
        <v>ngue</v>
      </c>
      <c r="R52" s="31" t="str">
        <f t="shared" si="5"/>
        <v>hue</v>
      </c>
      <c r="S52" s="31" t="str">
        <f t="shared" si="5"/>
        <v>tsue</v>
      </c>
      <c r="T52" s="31" t="str">
        <f t="shared" si="5"/>
        <v>tsiue</v>
      </c>
      <c r="U52" s="31" t="str">
        <f t="shared" si="3"/>
        <v>tshue</v>
      </c>
      <c r="V52" s="31" t="str">
        <f t="shared" si="3"/>
        <v>tshiue</v>
      </c>
      <c r="W52" s="31" t="str">
        <f t="shared" si="3"/>
        <v>sue</v>
      </c>
      <c r="X52" s="31" t="str">
        <f t="shared" si="3"/>
        <v>siue</v>
      </c>
      <c r="Y52" s="31" t="str">
        <f t="shared" si="3"/>
        <v>jue</v>
      </c>
      <c r="Z52" s="31" t="str">
        <f t="shared" si="3"/>
        <v>jiue</v>
      </c>
    </row>
    <row r="53" spans="1:26" ht="44.25">
      <c r="A53" s="16">
        <v>50</v>
      </c>
      <c r="B53" s="4" t="s">
        <v>289</v>
      </c>
      <c r="C53" s="17" t="s">
        <v>111</v>
      </c>
      <c r="D53" s="18" t="s">
        <v>207</v>
      </c>
      <c r="E53" s="31" t="str">
        <f t="shared" si="5"/>
        <v>ueh</v>
      </c>
      <c r="F53" s="31" t="str">
        <f t="shared" si="5"/>
        <v>pueh</v>
      </c>
      <c r="G53" s="31" t="str">
        <f t="shared" si="5"/>
        <v>phueh</v>
      </c>
      <c r="H53" s="31" t="str">
        <f t="shared" si="5"/>
        <v>bueh</v>
      </c>
      <c r="I53" s="31" t="str">
        <f t="shared" si="5"/>
        <v>mueh</v>
      </c>
      <c r="J53" s="31" t="str">
        <f t="shared" si="5"/>
        <v>tueh</v>
      </c>
      <c r="K53" s="31" t="str">
        <f t="shared" si="5"/>
        <v>thueh</v>
      </c>
      <c r="L53" s="31" t="str">
        <f t="shared" si="5"/>
        <v>lueh</v>
      </c>
      <c r="M53" s="31" t="str">
        <f t="shared" si="5"/>
        <v>nueh</v>
      </c>
      <c r="N53" s="31" t="str">
        <f t="shared" si="5"/>
        <v>kueh</v>
      </c>
      <c r="O53" s="31" t="str">
        <f t="shared" si="5"/>
        <v>khueh</v>
      </c>
      <c r="P53" s="31" t="str">
        <f t="shared" si="5"/>
        <v>gueh</v>
      </c>
      <c r="Q53" s="31" t="str">
        <f t="shared" si="5"/>
        <v>ngueh</v>
      </c>
      <c r="R53" s="31" t="str">
        <f t="shared" si="5"/>
        <v>hueh</v>
      </c>
      <c r="S53" s="31" t="str">
        <f t="shared" si="5"/>
        <v>tsueh</v>
      </c>
      <c r="T53" s="31" t="str">
        <f t="shared" si="5"/>
        <v>tsiueh</v>
      </c>
      <c r="U53" s="31" t="str">
        <f t="shared" si="3"/>
        <v>tshueh</v>
      </c>
      <c r="V53" s="31" t="str">
        <f t="shared" si="3"/>
        <v>tshiueh</v>
      </c>
      <c r="W53" s="31" t="str">
        <f t="shared" si="3"/>
        <v>sueh</v>
      </c>
      <c r="X53" s="31" t="str">
        <f t="shared" si="3"/>
        <v>siueh</v>
      </c>
      <c r="Y53" s="31" t="str">
        <f t="shared" si="3"/>
        <v>jueh</v>
      </c>
      <c r="Z53" s="31" t="str">
        <f t="shared" si="3"/>
        <v>jiueh</v>
      </c>
    </row>
    <row r="54" spans="1:26" ht="44.25">
      <c r="A54" s="16">
        <v>51</v>
      </c>
      <c r="B54" s="4" t="s">
        <v>290</v>
      </c>
      <c r="C54" s="17" t="s">
        <v>112</v>
      </c>
      <c r="D54" s="18" t="s">
        <v>208</v>
      </c>
      <c r="E54" s="31" t="str">
        <f t="shared" si="5"/>
        <v>ann</v>
      </c>
      <c r="F54" s="31" t="str">
        <f t="shared" si="5"/>
        <v>pann</v>
      </c>
      <c r="G54" s="31" t="str">
        <f t="shared" si="5"/>
        <v>phann</v>
      </c>
      <c r="H54" s="31" t="str">
        <f t="shared" si="5"/>
        <v>bann</v>
      </c>
      <c r="I54" s="31" t="str">
        <f t="shared" si="5"/>
        <v>mann</v>
      </c>
      <c r="J54" s="31" t="str">
        <f t="shared" si="5"/>
        <v>tann</v>
      </c>
      <c r="K54" s="31" t="str">
        <f t="shared" si="5"/>
        <v>thann</v>
      </c>
      <c r="L54" s="31" t="str">
        <f t="shared" si="5"/>
        <v>lann</v>
      </c>
      <c r="M54" s="31" t="str">
        <f t="shared" si="5"/>
        <v>nann</v>
      </c>
      <c r="N54" s="31" t="str">
        <f t="shared" si="5"/>
        <v>kann</v>
      </c>
      <c r="O54" s="31" t="str">
        <f t="shared" si="5"/>
        <v>khann</v>
      </c>
      <c r="P54" s="31" t="str">
        <f t="shared" si="5"/>
        <v>gann</v>
      </c>
      <c r="Q54" s="31" t="str">
        <f t="shared" si="5"/>
        <v>ngann</v>
      </c>
      <c r="R54" s="31" t="str">
        <f t="shared" si="5"/>
        <v>hann</v>
      </c>
      <c r="S54" s="31" t="str">
        <f t="shared" si="5"/>
        <v>tsann</v>
      </c>
      <c r="T54" s="31" t="str">
        <f t="shared" si="5"/>
        <v>tsiann</v>
      </c>
      <c r="U54" s="31" t="str">
        <f t="shared" si="3"/>
        <v>tshann</v>
      </c>
      <c r="V54" s="31" t="str">
        <f t="shared" si="3"/>
        <v>tshiann</v>
      </c>
      <c r="W54" s="31" t="str">
        <f t="shared" si="3"/>
        <v>sann</v>
      </c>
      <c r="X54" s="31" t="str">
        <f t="shared" si="3"/>
        <v>siann</v>
      </c>
      <c r="Y54" s="31" t="str">
        <f t="shared" si="3"/>
        <v>jann</v>
      </c>
      <c r="Z54" s="31" t="str">
        <f t="shared" si="3"/>
        <v>jiann</v>
      </c>
    </row>
    <row r="55" spans="1:26" ht="44.25">
      <c r="A55" s="16">
        <v>52</v>
      </c>
      <c r="B55" s="28" t="s">
        <v>291</v>
      </c>
      <c r="C55" s="17" t="s">
        <v>113</v>
      </c>
      <c r="D55" s="18" t="s">
        <v>209</v>
      </c>
      <c r="E55" s="31" t="str">
        <f t="shared" si="5"/>
        <v>annh</v>
      </c>
      <c r="F55" s="31" t="str">
        <f t="shared" si="5"/>
        <v>pannh</v>
      </c>
      <c r="G55" s="31" t="str">
        <f t="shared" si="5"/>
        <v>phannh</v>
      </c>
      <c r="H55" s="31" t="str">
        <f t="shared" si="5"/>
        <v>bannh</v>
      </c>
      <c r="I55" s="31" t="str">
        <f t="shared" si="5"/>
        <v>mannh</v>
      </c>
      <c r="J55" s="31" t="str">
        <f t="shared" si="5"/>
        <v>tannh</v>
      </c>
      <c r="K55" s="31" t="str">
        <f t="shared" si="5"/>
        <v>thannh</v>
      </c>
      <c r="L55" s="31" t="str">
        <f t="shared" si="5"/>
        <v>lannh</v>
      </c>
      <c r="M55" s="31" t="str">
        <f t="shared" si="5"/>
        <v>nannh</v>
      </c>
      <c r="N55" s="31" t="str">
        <f t="shared" si="5"/>
        <v>kannh</v>
      </c>
      <c r="O55" s="31" t="str">
        <f t="shared" si="5"/>
        <v>khannh</v>
      </c>
      <c r="P55" s="31" t="str">
        <f t="shared" si="5"/>
        <v>gannh</v>
      </c>
      <c r="Q55" s="31" t="str">
        <f t="shared" si="5"/>
        <v>ngannh</v>
      </c>
      <c r="R55" s="31" t="str">
        <f t="shared" si="5"/>
        <v>hannh</v>
      </c>
      <c r="S55" s="31" t="str">
        <f t="shared" si="5"/>
        <v>tsannh</v>
      </c>
      <c r="T55" s="31" t="str">
        <f t="shared" si="5"/>
        <v>tsiannh</v>
      </c>
      <c r="U55" s="31" t="str">
        <f t="shared" si="3"/>
        <v>tshannh</v>
      </c>
      <c r="V55" s="31" t="str">
        <f t="shared" si="3"/>
        <v>tshiannh</v>
      </c>
      <c r="W55" s="31" t="str">
        <f t="shared" si="3"/>
        <v>sannh</v>
      </c>
      <c r="X55" s="31" t="str">
        <f t="shared" si="3"/>
        <v>siannh</v>
      </c>
      <c r="Y55" s="31" t="str">
        <f t="shared" si="3"/>
        <v>jannh</v>
      </c>
      <c r="Z55" s="31" t="str">
        <f t="shared" si="3"/>
        <v>jiannh</v>
      </c>
    </row>
    <row r="56" spans="1:26" ht="44.25">
      <c r="A56" s="16">
        <v>53</v>
      </c>
      <c r="B56" s="4" t="s">
        <v>292</v>
      </c>
      <c r="C56" s="17" t="s">
        <v>114</v>
      </c>
      <c r="D56" s="18" t="s">
        <v>210</v>
      </c>
      <c r="E56" s="31" t="str">
        <f t="shared" si="5"/>
        <v>u</v>
      </c>
      <c r="F56" s="31" t="str">
        <f t="shared" si="5"/>
        <v>pu</v>
      </c>
      <c r="G56" s="31" t="str">
        <f t="shared" si="5"/>
        <v>phu</v>
      </c>
      <c r="H56" s="31" t="str">
        <f t="shared" si="5"/>
        <v>bu</v>
      </c>
      <c r="I56" s="31" t="str">
        <f t="shared" si="5"/>
        <v>mu</v>
      </c>
      <c r="J56" s="31" t="str">
        <f t="shared" si="5"/>
        <v>tu</v>
      </c>
      <c r="K56" s="31" t="str">
        <f t="shared" si="5"/>
        <v>thu</v>
      </c>
      <c r="L56" s="31" t="str">
        <f t="shared" si="5"/>
        <v>lu</v>
      </c>
      <c r="M56" s="31" t="str">
        <f t="shared" si="5"/>
        <v>nu</v>
      </c>
      <c r="N56" s="31" t="str">
        <f t="shared" si="5"/>
        <v>ku</v>
      </c>
      <c r="O56" s="31" t="str">
        <f t="shared" si="5"/>
        <v>khu</v>
      </c>
      <c r="P56" s="31" t="str">
        <f t="shared" si="5"/>
        <v>gu</v>
      </c>
      <c r="Q56" s="31" t="str">
        <f t="shared" si="5"/>
        <v>ngu</v>
      </c>
      <c r="R56" s="31" t="str">
        <f t="shared" si="5"/>
        <v>hu</v>
      </c>
      <c r="S56" s="31" t="str">
        <f t="shared" si="5"/>
        <v>tsu</v>
      </c>
      <c r="T56" s="31" t="str">
        <f t="shared" si="5"/>
        <v>tsiu</v>
      </c>
      <c r="U56" s="31" t="str">
        <f t="shared" si="3"/>
        <v>tshu</v>
      </c>
      <c r="V56" s="31" t="str">
        <f t="shared" si="3"/>
        <v>tshiu</v>
      </c>
      <c r="W56" s="31" t="str">
        <f t="shared" si="3"/>
        <v>su</v>
      </c>
      <c r="X56" s="31" t="str">
        <f t="shared" si="3"/>
        <v>siu</v>
      </c>
      <c r="Y56" s="31" t="str">
        <f t="shared" si="3"/>
        <v>ju</v>
      </c>
      <c r="Z56" s="31" t="str">
        <f t="shared" si="3"/>
        <v>jiu</v>
      </c>
    </row>
    <row r="57" spans="1:26" ht="44.25">
      <c r="A57" s="16">
        <v>54</v>
      </c>
      <c r="B57" s="4" t="s">
        <v>293</v>
      </c>
      <c r="C57" s="17" t="s">
        <v>115</v>
      </c>
      <c r="D57" s="18" t="s">
        <v>211</v>
      </c>
      <c r="E57" s="31" t="str">
        <f t="shared" si="5"/>
        <v>uh</v>
      </c>
      <c r="F57" s="31" t="str">
        <f t="shared" si="5"/>
        <v>puh</v>
      </c>
      <c r="G57" s="31" t="str">
        <f t="shared" si="5"/>
        <v>phuh</v>
      </c>
      <c r="H57" s="31" t="str">
        <f t="shared" si="5"/>
        <v>buh</v>
      </c>
      <c r="I57" s="31" t="str">
        <f t="shared" si="5"/>
        <v>muh</v>
      </c>
      <c r="J57" s="31" t="str">
        <f t="shared" si="5"/>
        <v>tuh</v>
      </c>
      <c r="K57" s="31" t="str">
        <f t="shared" si="5"/>
        <v>thuh</v>
      </c>
      <c r="L57" s="31" t="str">
        <f t="shared" si="5"/>
        <v>luh</v>
      </c>
      <c r="M57" s="31" t="str">
        <f t="shared" si="5"/>
        <v>nuh</v>
      </c>
      <c r="N57" s="31" t="str">
        <f t="shared" si="5"/>
        <v>kuh</v>
      </c>
      <c r="O57" s="31" t="str">
        <f t="shared" si="5"/>
        <v>khuh</v>
      </c>
      <c r="P57" s="31" t="str">
        <f t="shared" si="5"/>
        <v>guh</v>
      </c>
      <c r="Q57" s="31" t="str">
        <f t="shared" si="5"/>
        <v>nguh</v>
      </c>
      <c r="R57" s="31" t="str">
        <f t="shared" si="5"/>
        <v>huh</v>
      </c>
      <c r="S57" s="31" t="str">
        <f t="shared" si="5"/>
        <v>tsuh</v>
      </c>
      <c r="T57" s="31" t="str">
        <f t="shared" si="5"/>
        <v>tsiuh</v>
      </c>
      <c r="U57" s="31" t="str">
        <f t="shared" si="3"/>
        <v>tshuh</v>
      </c>
      <c r="V57" s="31" t="str">
        <f t="shared" si="3"/>
        <v>tshiuh</v>
      </c>
      <c r="W57" s="31" t="str">
        <f t="shared" si="3"/>
        <v>suh</v>
      </c>
      <c r="X57" s="31" t="str">
        <f t="shared" si="3"/>
        <v>siuh</v>
      </c>
      <c r="Y57" s="31" t="str">
        <f t="shared" si="3"/>
        <v>juh</v>
      </c>
      <c r="Z57" s="31" t="str">
        <f t="shared" si="3"/>
        <v>jiuh</v>
      </c>
    </row>
    <row r="58" spans="1:26" ht="44.25">
      <c r="A58" s="16">
        <v>55</v>
      </c>
      <c r="B58" s="4" t="s">
        <v>294</v>
      </c>
      <c r="C58" s="17" t="s">
        <v>116</v>
      </c>
      <c r="D58" s="18" t="s">
        <v>212</v>
      </c>
      <c r="E58" s="31" t="str">
        <f t="shared" si="5"/>
        <v>a</v>
      </c>
      <c r="F58" s="31" t="str">
        <f t="shared" si="5"/>
        <v>pa</v>
      </c>
      <c r="G58" s="31" t="str">
        <f t="shared" si="5"/>
        <v>pha</v>
      </c>
      <c r="H58" s="31" t="str">
        <f t="shared" si="5"/>
        <v>ba</v>
      </c>
      <c r="I58" s="31" t="str">
        <f t="shared" si="5"/>
        <v>ma</v>
      </c>
      <c r="J58" s="31" t="str">
        <f t="shared" si="5"/>
        <v>ta</v>
      </c>
      <c r="K58" s="31" t="str">
        <f t="shared" si="5"/>
        <v>tha</v>
      </c>
      <c r="L58" s="31" t="str">
        <f t="shared" si="5"/>
        <v>la</v>
      </c>
      <c r="M58" s="31" t="str">
        <f t="shared" si="5"/>
        <v>na</v>
      </c>
      <c r="N58" s="31" t="str">
        <f t="shared" si="5"/>
        <v>ka</v>
      </c>
      <c r="O58" s="31" t="str">
        <f t="shared" si="5"/>
        <v>kha</v>
      </c>
      <c r="P58" s="31" t="str">
        <f t="shared" si="5"/>
        <v>ga</v>
      </c>
      <c r="Q58" s="31" t="str">
        <f t="shared" si="5"/>
        <v>nga</v>
      </c>
      <c r="R58" s="31" t="str">
        <f t="shared" si="5"/>
        <v>ha</v>
      </c>
      <c r="S58" s="31" t="str">
        <f t="shared" si="5"/>
        <v>tsa</v>
      </c>
      <c r="T58" s="31" t="str">
        <f t="shared" si="5"/>
        <v>tsia</v>
      </c>
      <c r="U58" s="31" t="str">
        <f t="shared" si="3"/>
        <v>tsha</v>
      </c>
      <c r="V58" s="31" t="str">
        <f t="shared" si="3"/>
        <v>tshia</v>
      </c>
      <c r="W58" s="31" t="str">
        <f t="shared" si="3"/>
        <v>sa</v>
      </c>
      <c r="X58" s="31" t="str">
        <f t="shared" si="3"/>
        <v>sia</v>
      </c>
      <c r="Y58" s="31" t="str">
        <f t="shared" si="3"/>
        <v>ja</v>
      </c>
      <c r="Z58" s="31" t="str">
        <f t="shared" si="3"/>
        <v>jia</v>
      </c>
    </row>
    <row r="59" spans="1:26" ht="44.25">
      <c r="A59" s="16">
        <v>56</v>
      </c>
      <c r="B59" s="4" t="s">
        <v>295</v>
      </c>
      <c r="C59" s="17" t="s">
        <v>117</v>
      </c>
      <c r="D59" s="18" t="s">
        <v>213</v>
      </c>
      <c r="E59" s="31" t="str">
        <f t="shared" si="5"/>
        <v>ah</v>
      </c>
      <c r="F59" s="31" t="str">
        <f t="shared" si="5"/>
        <v>pah</v>
      </c>
      <c r="G59" s="31" t="str">
        <f t="shared" si="5"/>
        <v>phah</v>
      </c>
      <c r="H59" s="31" t="str">
        <f t="shared" si="5"/>
        <v>bah</v>
      </c>
      <c r="I59" s="31" t="str">
        <f t="shared" si="5"/>
        <v>mah</v>
      </c>
      <c r="J59" s="31" t="str">
        <f t="shared" si="5"/>
        <v>tah</v>
      </c>
      <c r="K59" s="31" t="str">
        <f t="shared" si="5"/>
        <v>thah</v>
      </c>
      <c r="L59" s="31" t="str">
        <f t="shared" si="5"/>
        <v>lah</v>
      </c>
      <c r="M59" s="31" t="str">
        <f t="shared" si="5"/>
        <v>nah</v>
      </c>
      <c r="N59" s="31" t="str">
        <f t="shared" si="5"/>
        <v>kah</v>
      </c>
      <c r="O59" s="31" t="str">
        <f t="shared" si="5"/>
        <v>khah</v>
      </c>
      <c r="P59" s="31" t="str">
        <f t="shared" si="5"/>
        <v>gah</v>
      </c>
      <c r="Q59" s="31" t="str">
        <f t="shared" si="5"/>
        <v>ngah</v>
      </c>
      <c r="R59" s="31" t="str">
        <f t="shared" si="5"/>
        <v>hah</v>
      </c>
      <c r="S59" s="31" t="str">
        <f t="shared" si="5"/>
        <v>tsah</v>
      </c>
      <c r="T59" s="31" t="str">
        <f t="shared" si="5"/>
        <v>tsiah</v>
      </c>
      <c r="U59" s="31" t="str">
        <f t="shared" si="3"/>
        <v>tshah</v>
      </c>
      <c r="V59" s="31" t="str">
        <f t="shared" si="3"/>
        <v>tshiah</v>
      </c>
      <c r="W59" s="31" t="str">
        <f t="shared" si="3"/>
        <v>sah</v>
      </c>
      <c r="X59" s="31" t="str">
        <f t="shared" si="3"/>
        <v>siah</v>
      </c>
      <c r="Y59" s="31" t="str">
        <f t="shared" si="3"/>
        <v>jah</v>
      </c>
      <c r="Z59" s="31" t="str">
        <f t="shared" si="3"/>
        <v>jiah</v>
      </c>
    </row>
    <row r="60" spans="1:26" ht="44.25">
      <c r="A60" s="16">
        <v>57</v>
      </c>
      <c r="B60" s="4" t="s">
        <v>246</v>
      </c>
      <c r="C60" s="17" t="s">
        <v>118</v>
      </c>
      <c r="D60" s="18" t="s">
        <v>214</v>
      </c>
      <c r="E60" s="31" t="str">
        <f t="shared" si="5"/>
        <v>i</v>
      </c>
      <c r="F60" s="31" t="str">
        <f t="shared" si="5"/>
        <v>pi</v>
      </c>
      <c r="G60" s="31" t="str">
        <f t="shared" si="5"/>
        <v>phi</v>
      </c>
      <c r="H60" s="31" t="str">
        <f t="shared" si="5"/>
        <v>bi</v>
      </c>
      <c r="I60" s="31" t="str">
        <f t="shared" si="5"/>
        <v>mi</v>
      </c>
      <c r="J60" s="31" t="str">
        <f t="shared" si="5"/>
        <v>ti</v>
      </c>
      <c r="K60" s="31" t="str">
        <f t="shared" si="5"/>
        <v>thi</v>
      </c>
      <c r="L60" s="31" t="str">
        <f t="shared" si="5"/>
        <v>li</v>
      </c>
      <c r="M60" s="31" t="str">
        <f t="shared" si="5"/>
        <v>ni</v>
      </c>
      <c r="N60" s="31" t="str">
        <f t="shared" si="5"/>
        <v>ki</v>
      </c>
      <c r="O60" s="31" t="str">
        <f t="shared" si="5"/>
        <v>khi</v>
      </c>
      <c r="P60" s="31" t="str">
        <f t="shared" si="5"/>
        <v>gi</v>
      </c>
      <c r="Q60" s="31" t="str">
        <f t="shared" si="5"/>
        <v>ngi</v>
      </c>
      <c r="R60" s="31" t="str">
        <f t="shared" si="5"/>
        <v>hi</v>
      </c>
      <c r="S60" s="31" t="str">
        <f t="shared" si="5"/>
        <v>tsi</v>
      </c>
      <c r="T60" s="31" t="str">
        <f t="shared" si="5"/>
        <v>tsii</v>
      </c>
      <c r="U60" s="31" t="str">
        <f t="shared" si="3"/>
        <v>tshi</v>
      </c>
      <c r="V60" s="31" t="str">
        <f t="shared" si="3"/>
        <v>tshii</v>
      </c>
      <c r="W60" s="31" t="str">
        <f t="shared" si="3"/>
        <v>si</v>
      </c>
      <c r="X60" s="31" t="str">
        <f t="shared" si="3"/>
        <v>sii</v>
      </c>
      <c r="Y60" s="31" t="str">
        <f t="shared" si="3"/>
        <v>ji</v>
      </c>
      <c r="Z60" s="31" t="str">
        <f t="shared" si="3"/>
        <v>jii</v>
      </c>
    </row>
    <row r="61" spans="1:26" ht="44.25">
      <c r="A61" s="16">
        <v>58</v>
      </c>
      <c r="B61" s="4" t="s">
        <v>296</v>
      </c>
      <c r="C61" s="17" t="s">
        <v>119</v>
      </c>
      <c r="D61" s="18" t="s">
        <v>215</v>
      </c>
      <c r="E61" s="31" t="str">
        <f t="shared" si="5"/>
        <v>ih</v>
      </c>
      <c r="F61" s="31" t="str">
        <f t="shared" si="5"/>
        <v>pih</v>
      </c>
      <c r="G61" s="31" t="str">
        <f t="shared" si="5"/>
        <v>phih</v>
      </c>
      <c r="H61" s="31" t="str">
        <f t="shared" si="5"/>
        <v>bih</v>
      </c>
      <c r="I61" s="31" t="str">
        <f t="shared" si="5"/>
        <v>mih</v>
      </c>
      <c r="J61" s="31" t="str">
        <f t="shared" si="5"/>
        <v>tih</v>
      </c>
      <c r="K61" s="31" t="str">
        <f t="shared" si="5"/>
        <v>thih</v>
      </c>
      <c r="L61" s="31" t="str">
        <f t="shared" si="5"/>
        <v>lih</v>
      </c>
      <c r="M61" s="31" t="str">
        <f t="shared" si="5"/>
        <v>nih</v>
      </c>
      <c r="N61" s="31" t="str">
        <f t="shared" si="5"/>
        <v>kih</v>
      </c>
      <c r="O61" s="31" t="str">
        <f t="shared" si="5"/>
        <v>khih</v>
      </c>
      <c r="P61" s="31" t="str">
        <f t="shared" si="5"/>
        <v>gih</v>
      </c>
      <c r="Q61" s="31" t="str">
        <f t="shared" si="5"/>
        <v>ngih</v>
      </c>
      <c r="R61" s="31" t="str">
        <f t="shared" si="5"/>
        <v>hih</v>
      </c>
      <c r="S61" s="31" t="str">
        <f t="shared" si="5"/>
        <v>tsih</v>
      </c>
      <c r="T61" s="31" t="str">
        <f t="shared" si="5"/>
        <v>tsiih</v>
      </c>
      <c r="U61" s="31" t="str">
        <f t="shared" si="3"/>
        <v>tshih</v>
      </c>
      <c r="V61" s="31" t="str">
        <f t="shared" si="3"/>
        <v>tshiih</v>
      </c>
      <c r="W61" s="31" t="str">
        <f t="shared" si="3"/>
        <v>sih</v>
      </c>
      <c r="X61" s="31" t="str">
        <f t="shared" si="3"/>
        <v>siih</v>
      </c>
      <c r="Y61" s="31" t="str">
        <f t="shared" si="3"/>
        <v>jih</v>
      </c>
      <c r="Z61" s="31" t="str">
        <f t="shared" si="3"/>
        <v>jiih</v>
      </c>
    </row>
    <row r="62" spans="1:26" ht="44.25">
      <c r="A62" s="16">
        <v>59</v>
      </c>
      <c r="B62" s="4" t="s">
        <v>297</v>
      </c>
      <c r="C62" s="17" t="s">
        <v>120</v>
      </c>
      <c r="D62" s="18" t="s">
        <v>216</v>
      </c>
      <c r="E62" s="31" t="str">
        <f t="shared" si="5"/>
        <v>iu</v>
      </c>
      <c r="F62" s="31" t="str">
        <f t="shared" si="5"/>
        <v>piu</v>
      </c>
      <c r="G62" s="31" t="str">
        <f t="shared" si="5"/>
        <v>phiu</v>
      </c>
      <c r="H62" s="31" t="str">
        <f t="shared" si="5"/>
        <v>biu</v>
      </c>
      <c r="I62" s="31" t="str">
        <f t="shared" si="5"/>
        <v>miu</v>
      </c>
      <c r="J62" s="31" t="str">
        <f t="shared" si="5"/>
        <v>tiu</v>
      </c>
      <c r="K62" s="31" t="str">
        <f t="shared" si="5"/>
        <v>thiu</v>
      </c>
      <c r="L62" s="31" t="str">
        <f t="shared" si="5"/>
        <v>liu</v>
      </c>
      <c r="M62" s="31" t="str">
        <f t="shared" si="5"/>
        <v>niu</v>
      </c>
      <c r="N62" s="31" t="str">
        <f t="shared" si="5"/>
        <v>kiu</v>
      </c>
      <c r="O62" s="31" t="str">
        <f t="shared" si="5"/>
        <v>khiu</v>
      </c>
      <c r="P62" s="31" t="str">
        <f t="shared" si="5"/>
        <v>giu</v>
      </c>
      <c r="Q62" s="31" t="str">
        <f t="shared" si="5"/>
        <v>ngiu</v>
      </c>
      <c r="R62" s="31" t="str">
        <f t="shared" si="5"/>
        <v>hiu</v>
      </c>
      <c r="S62" s="31" t="str">
        <f t="shared" si="5"/>
        <v>tsiu</v>
      </c>
      <c r="T62" s="31" t="str">
        <f t="shared" si="5"/>
        <v>tsiiu</v>
      </c>
      <c r="U62" s="31" t="str">
        <f t="shared" si="3"/>
        <v>tshiu</v>
      </c>
      <c r="V62" s="31" t="str">
        <f t="shared" si="3"/>
        <v>tshiiu</v>
      </c>
      <c r="W62" s="31" t="str">
        <f t="shared" si="3"/>
        <v>siu</v>
      </c>
      <c r="X62" s="31" t="str">
        <f t="shared" ref="U62:Z103" si="6">IF($D62="", "", _xlfn.CONCAT(X$3, $D62))</f>
        <v>siiu</v>
      </c>
      <c r="Y62" s="31" t="str">
        <f t="shared" si="6"/>
        <v>jiu</v>
      </c>
      <c r="Z62" s="31" t="str">
        <f t="shared" si="6"/>
        <v>jiiu</v>
      </c>
    </row>
    <row r="63" spans="1:26" ht="44.25">
      <c r="A63" s="16">
        <v>60</v>
      </c>
      <c r="B63" s="25"/>
      <c r="C63" s="26" t="s">
        <v>121</v>
      </c>
      <c r="D63" s="27"/>
      <c r="E63" s="31" t="str">
        <f t="shared" si="5"/>
        <v/>
      </c>
      <c r="F63" s="31" t="str">
        <f t="shared" si="5"/>
        <v/>
      </c>
      <c r="G63" s="31" t="str">
        <f t="shared" si="5"/>
        <v/>
      </c>
      <c r="H63" s="31" t="str">
        <f t="shared" si="5"/>
        <v/>
      </c>
      <c r="I63" s="31" t="str">
        <f t="shared" si="5"/>
        <v/>
      </c>
      <c r="J63" s="31" t="str">
        <f t="shared" si="5"/>
        <v/>
      </c>
      <c r="K63" s="31" t="str">
        <f t="shared" si="5"/>
        <v/>
      </c>
      <c r="L63" s="31" t="str">
        <f t="shared" si="5"/>
        <v/>
      </c>
      <c r="M63" s="31" t="str">
        <f t="shared" si="5"/>
        <v/>
      </c>
      <c r="N63" s="31" t="str">
        <f t="shared" si="5"/>
        <v/>
      </c>
      <c r="O63" s="31" t="str">
        <f t="shared" si="5"/>
        <v/>
      </c>
      <c r="P63" s="31" t="str">
        <f t="shared" si="5"/>
        <v/>
      </c>
      <c r="Q63" s="31" t="str">
        <f t="shared" si="5"/>
        <v/>
      </c>
      <c r="R63" s="31" t="str">
        <f t="shared" si="5"/>
        <v/>
      </c>
      <c r="S63" s="31" t="str">
        <f t="shared" si="5"/>
        <v/>
      </c>
      <c r="T63" s="31" t="str">
        <f t="shared" si="5"/>
        <v/>
      </c>
      <c r="U63" s="31" t="str">
        <f t="shared" si="6"/>
        <v/>
      </c>
      <c r="V63" s="31" t="str">
        <f t="shared" si="6"/>
        <v/>
      </c>
      <c r="W63" s="31" t="str">
        <f t="shared" si="6"/>
        <v/>
      </c>
      <c r="X63" s="31" t="str">
        <f t="shared" si="6"/>
        <v/>
      </c>
      <c r="Y63" s="31" t="str">
        <f t="shared" si="6"/>
        <v/>
      </c>
      <c r="Z63" s="31" t="str">
        <f t="shared" si="6"/>
        <v/>
      </c>
    </row>
    <row r="64" spans="1:26" ht="44.25">
      <c r="A64" s="16">
        <v>61</v>
      </c>
      <c r="B64" s="4" t="s">
        <v>298</v>
      </c>
      <c r="C64" s="17" t="s">
        <v>122</v>
      </c>
      <c r="D64" s="18" t="s">
        <v>217</v>
      </c>
      <c r="E64" s="31" t="str">
        <f t="shared" si="5"/>
        <v>enn</v>
      </c>
      <c r="F64" s="31" t="str">
        <f t="shared" si="5"/>
        <v>penn</v>
      </c>
      <c r="G64" s="31" t="str">
        <f t="shared" si="5"/>
        <v>phenn</v>
      </c>
      <c r="H64" s="31" t="str">
        <f t="shared" si="5"/>
        <v>benn</v>
      </c>
      <c r="I64" s="31" t="str">
        <f t="shared" si="5"/>
        <v>menn</v>
      </c>
      <c r="J64" s="31" t="str">
        <f t="shared" si="5"/>
        <v>tenn</v>
      </c>
      <c r="K64" s="31" t="str">
        <f t="shared" si="5"/>
        <v>thenn</v>
      </c>
      <c r="L64" s="31" t="str">
        <f t="shared" si="5"/>
        <v>lenn</v>
      </c>
      <c r="M64" s="31" t="str">
        <f t="shared" si="5"/>
        <v>nenn</v>
      </c>
      <c r="N64" s="31" t="str">
        <f t="shared" si="5"/>
        <v>kenn</v>
      </c>
      <c r="O64" s="31" t="str">
        <f t="shared" si="5"/>
        <v>khenn</v>
      </c>
      <c r="P64" s="31" t="str">
        <f t="shared" si="5"/>
        <v>genn</v>
      </c>
      <c r="Q64" s="31" t="str">
        <f t="shared" si="5"/>
        <v>ngenn</v>
      </c>
      <c r="R64" s="31" t="str">
        <f t="shared" si="5"/>
        <v>henn</v>
      </c>
      <c r="S64" s="31" t="str">
        <f t="shared" si="5"/>
        <v>tsenn</v>
      </c>
      <c r="T64" s="31" t="str">
        <f t="shared" si="5"/>
        <v>tsienn</v>
      </c>
      <c r="U64" s="31" t="str">
        <f t="shared" si="6"/>
        <v>tshenn</v>
      </c>
      <c r="V64" s="31" t="str">
        <f t="shared" si="6"/>
        <v>tshienn</v>
      </c>
      <c r="W64" s="31" t="str">
        <f t="shared" si="6"/>
        <v>senn</v>
      </c>
      <c r="X64" s="31" t="str">
        <f t="shared" si="6"/>
        <v>sienn</v>
      </c>
      <c r="Y64" s="31" t="str">
        <f t="shared" si="6"/>
        <v>jenn</v>
      </c>
      <c r="Z64" s="31" t="str">
        <f t="shared" si="6"/>
        <v>jienn</v>
      </c>
    </row>
    <row r="65" spans="1:26" ht="44.25">
      <c r="A65" s="16">
        <v>62</v>
      </c>
      <c r="B65" s="4" t="s">
        <v>299</v>
      </c>
      <c r="C65" s="17" t="s">
        <v>123</v>
      </c>
      <c r="D65" s="18" t="s">
        <v>218</v>
      </c>
      <c r="E65" s="31" t="str">
        <f t="shared" si="5"/>
        <v>ennh</v>
      </c>
      <c r="F65" s="31" t="str">
        <f t="shared" si="5"/>
        <v>pennh</v>
      </c>
      <c r="G65" s="31" t="str">
        <f t="shared" si="5"/>
        <v>phennh</v>
      </c>
      <c r="H65" s="31" t="str">
        <f t="shared" si="5"/>
        <v>bennh</v>
      </c>
      <c r="I65" s="31" t="str">
        <f t="shared" si="5"/>
        <v>mennh</v>
      </c>
      <c r="J65" s="31" t="str">
        <f t="shared" si="5"/>
        <v>tennh</v>
      </c>
      <c r="K65" s="31" t="str">
        <f t="shared" si="5"/>
        <v>thennh</v>
      </c>
      <c r="L65" s="31" t="str">
        <f t="shared" si="5"/>
        <v>lennh</v>
      </c>
      <c r="M65" s="31" t="str">
        <f t="shared" si="5"/>
        <v>nennh</v>
      </c>
      <c r="N65" s="31" t="str">
        <f t="shared" si="5"/>
        <v>kennh</v>
      </c>
      <c r="O65" s="31" t="str">
        <f t="shared" si="5"/>
        <v>khennh</v>
      </c>
      <c r="P65" s="31" t="str">
        <f t="shared" si="5"/>
        <v>gennh</v>
      </c>
      <c r="Q65" s="31" t="str">
        <f t="shared" si="5"/>
        <v>ngennh</v>
      </c>
      <c r="R65" s="31" t="str">
        <f t="shared" si="5"/>
        <v>hennh</v>
      </c>
      <c r="S65" s="31" t="str">
        <f t="shared" si="5"/>
        <v>tsennh</v>
      </c>
      <c r="T65" s="31" t="str">
        <f t="shared" si="5"/>
        <v>tsiennh</v>
      </c>
      <c r="U65" s="31" t="str">
        <f t="shared" si="6"/>
        <v>tshennh</v>
      </c>
      <c r="V65" s="31" t="str">
        <f t="shared" si="6"/>
        <v>tshiennh</v>
      </c>
      <c r="W65" s="31" t="str">
        <f t="shared" si="6"/>
        <v>sennh</v>
      </c>
      <c r="X65" s="31" t="str">
        <f t="shared" si="6"/>
        <v>siennh</v>
      </c>
      <c r="Y65" s="31" t="str">
        <f t="shared" si="6"/>
        <v>jennh</v>
      </c>
      <c r="Z65" s="31" t="str">
        <f t="shared" si="6"/>
        <v>jiennh</v>
      </c>
    </row>
    <row r="66" spans="1:26" ht="44.25">
      <c r="A66" s="16">
        <v>63</v>
      </c>
      <c r="B66" s="25"/>
      <c r="C66" s="26" t="s">
        <v>124</v>
      </c>
      <c r="D66" s="27" t="s">
        <v>219</v>
      </c>
      <c r="E66" s="31" t="str">
        <f t="shared" si="5"/>
        <v>uinn</v>
      </c>
      <c r="F66" s="31" t="str">
        <f t="shared" si="5"/>
        <v>puinn</v>
      </c>
      <c r="G66" s="31" t="str">
        <f t="shared" si="5"/>
        <v>phuinn</v>
      </c>
      <c r="H66" s="31" t="str">
        <f t="shared" si="5"/>
        <v>buinn</v>
      </c>
      <c r="I66" s="31" t="str">
        <f t="shared" si="5"/>
        <v>muinn</v>
      </c>
      <c r="J66" s="31" t="str">
        <f t="shared" si="5"/>
        <v>tuinn</v>
      </c>
      <c r="K66" s="31" t="str">
        <f t="shared" si="5"/>
        <v>thuinn</v>
      </c>
      <c r="L66" s="31" t="str">
        <f t="shared" si="5"/>
        <v>luinn</v>
      </c>
      <c r="M66" s="31" t="str">
        <f t="shared" si="5"/>
        <v>nuinn</v>
      </c>
      <c r="N66" s="31" t="str">
        <f t="shared" si="5"/>
        <v>kuinn</v>
      </c>
      <c r="O66" s="31" t="str">
        <f t="shared" si="5"/>
        <v>khuinn</v>
      </c>
      <c r="P66" s="31" t="str">
        <f t="shared" si="5"/>
        <v>guinn</v>
      </c>
      <c r="Q66" s="31" t="str">
        <f t="shared" si="5"/>
        <v>nguinn</v>
      </c>
      <c r="R66" s="31" t="str">
        <f t="shared" si="5"/>
        <v>huinn</v>
      </c>
      <c r="S66" s="31" t="str">
        <f t="shared" si="5"/>
        <v>tsuinn</v>
      </c>
      <c r="T66" s="31" t="str">
        <f t="shared" si="5"/>
        <v>tsiuinn</v>
      </c>
      <c r="U66" s="31" t="str">
        <f t="shared" si="6"/>
        <v>tshuinn</v>
      </c>
      <c r="V66" s="31" t="str">
        <f t="shared" si="6"/>
        <v>tshiuinn</v>
      </c>
      <c r="W66" s="31" t="str">
        <f t="shared" si="6"/>
        <v>suinn</v>
      </c>
      <c r="X66" s="31" t="str">
        <f t="shared" si="6"/>
        <v>siuinn</v>
      </c>
      <c r="Y66" s="31" t="str">
        <f t="shared" si="6"/>
        <v>juinn</v>
      </c>
      <c r="Z66" s="31" t="str">
        <f t="shared" si="6"/>
        <v>jiuinn</v>
      </c>
    </row>
    <row r="67" spans="1:26" ht="44.25">
      <c r="A67" s="16">
        <v>64</v>
      </c>
      <c r="B67" s="25"/>
      <c r="C67" s="26" t="s">
        <v>125</v>
      </c>
      <c r="D67" s="27"/>
      <c r="E67" s="31" t="str">
        <f t="shared" si="5"/>
        <v/>
      </c>
      <c r="F67" s="31" t="str">
        <f t="shared" si="5"/>
        <v/>
      </c>
      <c r="G67" s="31" t="str">
        <f t="shared" si="5"/>
        <v/>
      </c>
      <c r="H67" s="31" t="str">
        <f t="shared" si="5"/>
        <v/>
      </c>
      <c r="I67" s="31" t="str">
        <f t="shared" si="5"/>
        <v/>
      </c>
      <c r="J67" s="31" t="str">
        <f t="shared" si="5"/>
        <v/>
      </c>
      <c r="K67" s="31" t="str">
        <f t="shared" si="5"/>
        <v/>
      </c>
      <c r="L67" s="31" t="str">
        <f t="shared" si="5"/>
        <v/>
      </c>
      <c r="M67" s="31" t="str">
        <f t="shared" si="5"/>
        <v/>
      </c>
      <c r="N67" s="31" t="str">
        <f t="shared" si="5"/>
        <v/>
      </c>
      <c r="O67" s="31" t="str">
        <f t="shared" si="5"/>
        <v/>
      </c>
      <c r="P67" s="31" t="str">
        <f t="shared" si="5"/>
        <v/>
      </c>
      <c r="Q67" s="31" t="str">
        <f t="shared" ref="E67:T83" si="7">IF($D67="", "", _xlfn.CONCAT(Q$3, $D67))</f>
        <v/>
      </c>
      <c r="R67" s="31" t="str">
        <f t="shared" si="7"/>
        <v/>
      </c>
      <c r="S67" s="31" t="str">
        <f t="shared" si="7"/>
        <v/>
      </c>
      <c r="T67" s="31" t="str">
        <f t="shared" si="7"/>
        <v/>
      </c>
      <c r="U67" s="31" t="str">
        <f t="shared" si="6"/>
        <v/>
      </c>
      <c r="V67" s="31" t="str">
        <f t="shared" si="6"/>
        <v/>
      </c>
      <c r="W67" s="31" t="str">
        <f t="shared" si="6"/>
        <v/>
      </c>
      <c r="X67" s="31" t="str">
        <f t="shared" si="6"/>
        <v/>
      </c>
      <c r="Y67" s="31" t="str">
        <f t="shared" si="6"/>
        <v/>
      </c>
      <c r="Z67" s="31" t="str">
        <f t="shared" si="6"/>
        <v/>
      </c>
    </row>
    <row r="68" spans="1:26" ht="44.25">
      <c r="A68" s="16">
        <v>65</v>
      </c>
      <c r="B68" s="4" t="s">
        <v>300</v>
      </c>
      <c r="C68" s="17" t="s">
        <v>126</v>
      </c>
      <c r="D68" s="18" t="s">
        <v>220</v>
      </c>
      <c r="E68" s="31" t="str">
        <f t="shared" si="7"/>
        <v>io</v>
      </c>
      <c r="F68" s="31" t="str">
        <f t="shared" si="7"/>
        <v>pio</v>
      </c>
      <c r="G68" s="31" t="str">
        <f t="shared" si="7"/>
        <v>phio</v>
      </c>
      <c r="H68" s="31" t="str">
        <f t="shared" si="7"/>
        <v>bio</v>
      </c>
      <c r="I68" s="31" t="str">
        <f t="shared" si="7"/>
        <v>mio</v>
      </c>
      <c r="J68" s="31" t="str">
        <f t="shared" si="7"/>
        <v>tio</v>
      </c>
      <c r="K68" s="31" t="str">
        <f t="shared" si="7"/>
        <v>thio</v>
      </c>
      <c r="L68" s="31" t="str">
        <f t="shared" si="7"/>
        <v>lio</v>
      </c>
      <c r="M68" s="31" t="str">
        <f t="shared" si="7"/>
        <v>nio</v>
      </c>
      <c r="N68" s="31" t="str">
        <f t="shared" si="7"/>
        <v>kio</v>
      </c>
      <c r="O68" s="31" t="str">
        <f t="shared" si="7"/>
        <v>khio</v>
      </c>
      <c r="P68" s="31" t="str">
        <f t="shared" si="7"/>
        <v>gio</v>
      </c>
      <c r="Q68" s="31" t="str">
        <f t="shared" si="7"/>
        <v>ngio</v>
      </c>
      <c r="R68" s="31" t="str">
        <f t="shared" si="7"/>
        <v>hio</v>
      </c>
      <c r="S68" s="31" t="str">
        <f t="shared" si="7"/>
        <v>tsio</v>
      </c>
      <c r="T68" s="31" t="str">
        <f t="shared" si="7"/>
        <v>tsiio</v>
      </c>
      <c r="U68" s="31" t="str">
        <f t="shared" si="6"/>
        <v>tshio</v>
      </c>
      <c r="V68" s="31" t="str">
        <f t="shared" si="6"/>
        <v>tshiio</v>
      </c>
      <c r="W68" s="31" t="str">
        <f t="shared" si="6"/>
        <v>sio</v>
      </c>
      <c r="X68" s="31" t="str">
        <f t="shared" si="6"/>
        <v>siio</v>
      </c>
      <c r="Y68" s="31" t="str">
        <f t="shared" si="6"/>
        <v>jio</v>
      </c>
      <c r="Z68" s="31" t="str">
        <f t="shared" si="6"/>
        <v>jiio</v>
      </c>
    </row>
    <row r="69" spans="1:26" ht="44.25">
      <c r="A69" s="16">
        <v>66</v>
      </c>
      <c r="B69" s="4" t="s">
        <v>301</v>
      </c>
      <c r="C69" s="17" t="s">
        <v>127</v>
      </c>
      <c r="D69" s="18" t="s">
        <v>221</v>
      </c>
      <c r="E69" s="31" t="str">
        <f t="shared" si="7"/>
        <v>ioh</v>
      </c>
      <c r="F69" s="31" t="str">
        <f t="shared" si="7"/>
        <v>pioh</v>
      </c>
      <c r="G69" s="31" t="str">
        <f t="shared" si="7"/>
        <v>phioh</v>
      </c>
      <c r="H69" s="31" t="str">
        <f t="shared" si="7"/>
        <v>bioh</v>
      </c>
      <c r="I69" s="31" t="str">
        <f t="shared" si="7"/>
        <v>mioh</v>
      </c>
      <c r="J69" s="31" t="str">
        <f t="shared" si="7"/>
        <v>tioh</v>
      </c>
      <c r="K69" s="31" t="str">
        <f t="shared" si="7"/>
        <v>thioh</v>
      </c>
      <c r="L69" s="31" t="str">
        <f t="shared" si="7"/>
        <v>lioh</v>
      </c>
      <c r="M69" s="31" t="str">
        <f t="shared" si="7"/>
        <v>nioh</v>
      </c>
      <c r="N69" s="31" t="str">
        <f t="shared" si="7"/>
        <v>kioh</v>
      </c>
      <c r="O69" s="31" t="str">
        <f t="shared" si="7"/>
        <v>khioh</v>
      </c>
      <c r="P69" s="31" t="str">
        <f t="shared" si="7"/>
        <v>gioh</v>
      </c>
      <c r="Q69" s="31" t="str">
        <f t="shared" si="7"/>
        <v>ngioh</v>
      </c>
      <c r="R69" s="31" t="str">
        <f t="shared" si="7"/>
        <v>hioh</v>
      </c>
      <c r="S69" s="31" t="str">
        <f t="shared" si="7"/>
        <v>tsioh</v>
      </c>
      <c r="T69" s="31" t="str">
        <f t="shared" si="7"/>
        <v>tsiioh</v>
      </c>
      <c r="U69" s="31" t="str">
        <f t="shared" si="6"/>
        <v>tshioh</v>
      </c>
      <c r="V69" s="31" t="str">
        <f t="shared" si="6"/>
        <v>tshiioh</v>
      </c>
      <c r="W69" s="31" t="str">
        <f t="shared" si="6"/>
        <v>sioh</v>
      </c>
      <c r="X69" s="31" t="str">
        <f t="shared" si="6"/>
        <v>siioh</v>
      </c>
      <c r="Y69" s="31" t="str">
        <f t="shared" si="6"/>
        <v>jioh</v>
      </c>
      <c r="Z69" s="31" t="str">
        <f t="shared" si="6"/>
        <v>jiioh</v>
      </c>
    </row>
    <row r="70" spans="1:26" ht="44.25">
      <c r="A70" s="16">
        <v>67</v>
      </c>
      <c r="B70" s="4" t="s">
        <v>302</v>
      </c>
      <c r="C70" s="17" t="s">
        <v>128</v>
      </c>
      <c r="D70" s="18" t="s">
        <v>222</v>
      </c>
      <c r="E70" s="31" t="str">
        <f t="shared" si="7"/>
        <v>inn</v>
      </c>
      <c r="F70" s="31" t="str">
        <f t="shared" si="7"/>
        <v>pinn</v>
      </c>
      <c r="G70" s="31" t="str">
        <f t="shared" si="7"/>
        <v>phinn</v>
      </c>
      <c r="H70" s="31" t="str">
        <f t="shared" si="7"/>
        <v>binn</v>
      </c>
      <c r="I70" s="31" t="str">
        <f t="shared" si="7"/>
        <v>minn</v>
      </c>
      <c r="J70" s="31" t="str">
        <f t="shared" si="7"/>
        <v>tinn</v>
      </c>
      <c r="K70" s="31" t="str">
        <f t="shared" si="7"/>
        <v>thinn</v>
      </c>
      <c r="L70" s="31" t="str">
        <f t="shared" si="7"/>
        <v>linn</v>
      </c>
      <c r="M70" s="31" t="str">
        <f t="shared" si="7"/>
        <v>ninn</v>
      </c>
      <c r="N70" s="31" t="str">
        <f t="shared" si="7"/>
        <v>kinn</v>
      </c>
      <c r="O70" s="31" t="str">
        <f t="shared" si="7"/>
        <v>khinn</v>
      </c>
      <c r="P70" s="31" t="str">
        <f t="shared" si="7"/>
        <v>ginn</v>
      </c>
      <c r="Q70" s="31" t="str">
        <f t="shared" si="7"/>
        <v>nginn</v>
      </c>
      <c r="R70" s="31" t="str">
        <f t="shared" si="7"/>
        <v>hinn</v>
      </c>
      <c r="S70" s="31" t="str">
        <f t="shared" si="7"/>
        <v>tsinn</v>
      </c>
      <c r="T70" s="31" t="str">
        <f t="shared" si="7"/>
        <v>tsiinn</v>
      </c>
      <c r="U70" s="31" t="str">
        <f t="shared" si="6"/>
        <v>tshinn</v>
      </c>
      <c r="V70" s="31" t="str">
        <f t="shared" si="6"/>
        <v>tshiinn</v>
      </c>
      <c r="W70" s="31" t="str">
        <f t="shared" si="6"/>
        <v>sinn</v>
      </c>
      <c r="X70" s="31" t="str">
        <f t="shared" si="6"/>
        <v>siinn</v>
      </c>
      <c r="Y70" s="31" t="str">
        <f t="shared" si="6"/>
        <v>jinn</v>
      </c>
      <c r="Z70" s="31" t="str">
        <f t="shared" si="6"/>
        <v>jiinn</v>
      </c>
    </row>
    <row r="71" spans="1:26" ht="44.25">
      <c r="A71" s="16">
        <v>68</v>
      </c>
      <c r="B71" s="25"/>
      <c r="C71" s="26" t="s">
        <v>129</v>
      </c>
      <c r="D71" s="27" t="s">
        <v>223</v>
      </c>
      <c r="E71" s="31" t="str">
        <f t="shared" si="7"/>
        <v>innh</v>
      </c>
      <c r="F71" s="31" t="str">
        <f t="shared" si="7"/>
        <v>pinnh</v>
      </c>
      <c r="G71" s="31" t="str">
        <f t="shared" si="7"/>
        <v>phinnh</v>
      </c>
      <c r="H71" s="31" t="str">
        <f t="shared" si="7"/>
        <v>binnh</v>
      </c>
      <c r="I71" s="31" t="str">
        <f t="shared" si="7"/>
        <v>minnh</v>
      </c>
      <c r="J71" s="31" t="str">
        <f t="shared" si="7"/>
        <v>tinnh</v>
      </c>
      <c r="K71" s="31" t="str">
        <f t="shared" si="7"/>
        <v>thinnh</v>
      </c>
      <c r="L71" s="31" t="str">
        <f t="shared" si="7"/>
        <v>linnh</v>
      </c>
      <c r="M71" s="31" t="str">
        <f t="shared" si="7"/>
        <v>ninnh</v>
      </c>
      <c r="N71" s="31" t="str">
        <f t="shared" si="7"/>
        <v>kinnh</v>
      </c>
      <c r="O71" s="31" t="str">
        <f t="shared" si="7"/>
        <v>khinnh</v>
      </c>
      <c r="P71" s="31" t="str">
        <f t="shared" si="7"/>
        <v>ginnh</v>
      </c>
      <c r="Q71" s="31" t="str">
        <f t="shared" si="7"/>
        <v>nginnh</v>
      </c>
      <c r="R71" s="31" t="str">
        <f t="shared" si="7"/>
        <v>hinnh</v>
      </c>
      <c r="S71" s="31" t="str">
        <f t="shared" si="7"/>
        <v>tsinnh</v>
      </c>
      <c r="T71" s="31" t="str">
        <f t="shared" si="7"/>
        <v>tsiinnh</v>
      </c>
      <c r="U71" s="31" t="str">
        <f t="shared" si="6"/>
        <v>tshinnh</v>
      </c>
      <c r="V71" s="31" t="str">
        <f t="shared" si="6"/>
        <v>tshiinnh</v>
      </c>
      <c r="W71" s="31" t="str">
        <f t="shared" si="6"/>
        <v>sinnh</v>
      </c>
      <c r="X71" s="31" t="str">
        <f t="shared" si="6"/>
        <v>siinnh</v>
      </c>
      <c r="Y71" s="31" t="str">
        <f t="shared" si="6"/>
        <v>jinnh</v>
      </c>
      <c r="Z71" s="31" t="str">
        <f t="shared" si="6"/>
        <v>jiinnh</v>
      </c>
    </row>
    <row r="72" spans="1:26" ht="44.25">
      <c r="A72" s="16">
        <v>69</v>
      </c>
      <c r="B72" s="29" t="s">
        <v>303</v>
      </c>
      <c r="C72" s="26" t="s">
        <v>130</v>
      </c>
      <c r="D72" s="27" t="s">
        <v>224</v>
      </c>
      <c r="E72" s="31" t="str">
        <f t="shared" si="7"/>
        <v>ionn</v>
      </c>
      <c r="F72" s="31" t="str">
        <f t="shared" si="7"/>
        <v>pionn</v>
      </c>
      <c r="G72" s="31" t="str">
        <f t="shared" si="7"/>
        <v>phionn</v>
      </c>
      <c r="H72" s="31" t="str">
        <f t="shared" si="7"/>
        <v>bionn</v>
      </c>
      <c r="I72" s="31" t="str">
        <f t="shared" si="7"/>
        <v>mionn</v>
      </c>
      <c r="J72" s="31" t="str">
        <f t="shared" si="7"/>
        <v>tionn</v>
      </c>
      <c r="K72" s="31" t="str">
        <f t="shared" si="7"/>
        <v>thionn</v>
      </c>
      <c r="L72" s="31" t="str">
        <f t="shared" si="7"/>
        <v>lionn</v>
      </c>
      <c r="M72" s="31" t="str">
        <f t="shared" si="7"/>
        <v>nionn</v>
      </c>
      <c r="N72" s="31" t="str">
        <f t="shared" si="7"/>
        <v>kionn</v>
      </c>
      <c r="O72" s="31" t="str">
        <f t="shared" si="7"/>
        <v>khionn</v>
      </c>
      <c r="P72" s="31" t="str">
        <f t="shared" si="7"/>
        <v>gionn</v>
      </c>
      <c r="Q72" s="31" t="str">
        <f t="shared" si="7"/>
        <v>ngionn</v>
      </c>
      <c r="R72" s="31" t="str">
        <f t="shared" si="7"/>
        <v>hionn</v>
      </c>
      <c r="S72" s="31" t="str">
        <f t="shared" si="7"/>
        <v>tsionn</v>
      </c>
      <c r="T72" s="31" t="str">
        <f t="shared" si="7"/>
        <v>tsiionn</v>
      </c>
      <c r="U72" s="31" t="str">
        <f t="shared" si="6"/>
        <v>tshionn</v>
      </c>
      <c r="V72" s="31" t="str">
        <f t="shared" si="6"/>
        <v>tshiionn</v>
      </c>
      <c r="W72" s="31" t="str">
        <f t="shared" si="6"/>
        <v>sionn</v>
      </c>
      <c r="X72" s="31" t="str">
        <f t="shared" si="6"/>
        <v>siionn</v>
      </c>
      <c r="Y72" s="31" t="str">
        <f t="shared" si="6"/>
        <v>jionn</v>
      </c>
      <c r="Z72" s="31" t="str">
        <f t="shared" si="6"/>
        <v>jiionn</v>
      </c>
    </row>
    <row r="73" spans="1:26" ht="44.25">
      <c r="A73" s="16">
        <v>70</v>
      </c>
      <c r="B73" s="25"/>
      <c r="C73" s="26" t="s">
        <v>131</v>
      </c>
      <c r="D73" s="27"/>
      <c r="E73" s="31" t="str">
        <f t="shared" si="7"/>
        <v/>
      </c>
      <c r="F73" s="31" t="str">
        <f t="shared" si="7"/>
        <v/>
      </c>
      <c r="G73" s="31" t="str">
        <f t="shared" si="7"/>
        <v/>
      </c>
      <c r="H73" s="31" t="str">
        <f t="shared" si="7"/>
        <v/>
      </c>
      <c r="I73" s="31" t="str">
        <f t="shared" si="7"/>
        <v/>
      </c>
      <c r="J73" s="31" t="str">
        <f t="shared" si="7"/>
        <v/>
      </c>
      <c r="K73" s="31" t="str">
        <f t="shared" si="7"/>
        <v/>
      </c>
      <c r="L73" s="31" t="str">
        <f t="shared" si="7"/>
        <v/>
      </c>
      <c r="M73" s="31" t="str">
        <f t="shared" si="7"/>
        <v/>
      </c>
      <c r="N73" s="31" t="str">
        <f t="shared" si="7"/>
        <v/>
      </c>
      <c r="O73" s="31" t="str">
        <f t="shared" si="7"/>
        <v/>
      </c>
      <c r="P73" s="31" t="str">
        <f t="shared" si="7"/>
        <v/>
      </c>
      <c r="Q73" s="31" t="str">
        <f t="shared" si="7"/>
        <v/>
      </c>
      <c r="R73" s="31" t="str">
        <f t="shared" si="7"/>
        <v/>
      </c>
      <c r="S73" s="31" t="str">
        <f t="shared" si="7"/>
        <v/>
      </c>
      <c r="T73" s="31" t="str">
        <f t="shared" si="7"/>
        <v/>
      </c>
      <c r="U73" s="31" t="str">
        <f t="shared" si="6"/>
        <v/>
      </c>
      <c r="V73" s="31" t="str">
        <f t="shared" si="6"/>
        <v/>
      </c>
      <c r="W73" s="31" t="str">
        <f t="shared" si="6"/>
        <v/>
      </c>
      <c r="X73" s="31" t="str">
        <f t="shared" si="6"/>
        <v/>
      </c>
      <c r="Y73" s="31" t="str">
        <f t="shared" si="6"/>
        <v/>
      </c>
      <c r="Z73" s="31" t="str">
        <f t="shared" si="6"/>
        <v/>
      </c>
    </row>
    <row r="74" spans="1:26" ht="44.25">
      <c r="A74" s="16">
        <v>71</v>
      </c>
      <c r="B74" s="4" t="s">
        <v>304</v>
      </c>
      <c r="C74" s="17" t="s">
        <v>132</v>
      </c>
      <c r="D74" s="18" t="s">
        <v>306</v>
      </c>
      <c r="E74" s="31" t="str">
        <f t="shared" si="7"/>
        <v>iann</v>
      </c>
      <c r="F74" s="31" t="str">
        <f t="shared" si="7"/>
        <v>piann</v>
      </c>
      <c r="G74" s="31" t="str">
        <f t="shared" si="7"/>
        <v>phiann</v>
      </c>
      <c r="H74" s="31" t="str">
        <f t="shared" si="7"/>
        <v>biann</v>
      </c>
      <c r="I74" s="31" t="str">
        <f t="shared" si="7"/>
        <v>miann</v>
      </c>
      <c r="J74" s="31" t="str">
        <f t="shared" si="7"/>
        <v>tiann</v>
      </c>
      <c r="K74" s="31" t="str">
        <f t="shared" si="7"/>
        <v>thiann</v>
      </c>
      <c r="L74" s="31" t="str">
        <f t="shared" si="7"/>
        <v>liann</v>
      </c>
      <c r="M74" s="31" t="str">
        <f t="shared" si="7"/>
        <v>niann</v>
      </c>
      <c r="N74" s="31" t="str">
        <f t="shared" si="7"/>
        <v>kiann</v>
      </c>
      <c r="O74" s="31" t="str">
        <f t="shared" si="7"/>
        <v>khiann</v>
      </c>
      <c r="P74" s="31" t="str">
        <f t="shared" si="7"/>
        <v>giann</v>
      </c>
      <c r="Q74" s="31" t="str">
        <f t="shared" si="7"/>
        <v>ngiann</v>
      </c>
      <c r="R74" s="31" t="str">
        <f t="shared" si="7"/>
        <v>hiann</v>
      </c>
      <c r="S74" s="31" t="str">
        <f t="shared" si="7"/>
        <v>tsiann</v>
      </c>
      <c r="T74" s="31" t="str">
        <f t="shared" si="7"/>
        <v>tsiiann</v>
      </c>
      <c r="U74" s="31" t="str">
        <f t="shared" si="6"/>
        <v>tshiann</v>
      </c>
      <c r="V74" s="31" t="str">
        <f t="shared" si="6"/>
        <v>tshiiann</v>
      </c>
      <c r="W74" s="31" t="str">
        <f t="shared" si="6"/>
        <v>siann</v>
      </c>
      <c r="X74" s="31" t="str">
        <f t="shared" si="6"/>
        <v>siiann</v>
      </c>
      <c r="Y74" s="31" t="str">
        <f t="shared" si="6"/>
        <v>jiann</v>
      </c>
      <c r="Z74" s="31" t="str">
        <f t="shared" si="6"/>
        <v>jiiann</v>
      </c>
    </row>
    <row r="75" spans="1:26" ht="44.25">
      <c r="A75" s="16">
        <v>72</v>
      </c>
      <c r="B75" s="25"/>
      <c r="C75" s="26" t="s">
        <v>133</v>
      </c>
      <c r="D75" s="27" t="s">
        <v>225</v>
      </c>
      <c r="E75" s="31" t="str">
        <f t="shared" si="7"/>
        <v>iannh</v>
      </c>
      <c r="F75" s="31" t="str">
        <f t="shared" si="7"/>
        <v>piannh</v>
      </c>
      <c r="G75" s="31" t="str">
        <f t="shared" si="7"/>
        <v>phiannh</v>
      </c>
      <c r="H75" s="31" t="str">
        <f t="shared" si="7"/>
        <v>biannh</v>
      </c>
      <c r="I75" s="31" t="str">
        <f t="shared" si="7"/>
        <v>miannh</v>
      </c>
      <c r="J75" s="31" t="str">
        <f t="shared" si="7"/>
        <v>tiannh</v>
      </c>
      <c r="K75" s="31" t="str">
        <f t="shared" si="7"/>
        <v>thiannh</v>
      </c>
      <c r="L75" s="31" t="str">
        <f t="shared" si="7"/>
        <v>liannh</v>
      </c>
      <c r="M75" s="31" t="str">
        <f t="shared" si="7"/>
        <v>niannh</v>
      </c>
      <c r="N75" s="31" t="str">
        <f t="shared" si="7"/>
        <v>kiannh</v>
      </c>
      <c r="O75" s="31" t="str">
        <f t="shared" si="7"/>
        <v>khiannh</v>
      </c>
      <c r="P75" s="31" t="str">
        <f t="shared" si="7"/>
        <v>giannh</v>
      </c>
      <c r="Q75" s="31" t="str">
        <f t="shared" si="7"/>
        <v>ngiannh</v>
      </c>
      <c r="R75" s="31" t="str">
        <f t="shared" si="7"/>
        <v>hiannh</v>
      </c>
      <c r="S75" s="31" t="str">
        <f t="shared" si="7"/>
        <v>tsiannh</v>
      </c>
      <c r="T75" s="31" t="str">
        <f t="shared" si="7"/>
        <v>tsiiannh</v>
      </c>
      <c r="U75" s="31" t="str">
        <f t="shared" si="6"/>
        <v>tshiannh</v>
      </c>
      <c r="V75" s="31" t="str">
        <f t="shared" si="6"/>
        <v>tshiiannh</v>
      </c>
      <c r="W75" s="31" t="str">
        <f t="shared" si="6"/>
        <v>siannh</v>
      </c>
      <c r="X75" s="31" t="str">
        <f t="shared" si="6"/>
        <v>siiannh</v>
      </c>
      <c r="Y75" s="31" t="str">
        <f t="shared" si="6"/>
        <v>jiannh</v>
      </c>
      <c r="Z75" s="31" t="str">
        <f t="shared" si="6"/>
        <v>jiiannh</v>
      </c>
    </row>
    <row r="76" spans="1:26" ht="44.25">
      <c r="A76" s="16">
        <v>73</v>
      </c>
      <c r="B76" s="4" t="s">
        <v>307</v>
      </c>
      <c r="C76" s="17" t="s">
        <v>134</v>
      </c>
      <c r="D76" s="18" t="s">
        <v>226</v>
      </c>
      <c r="E76" s="31" t="str">
        <f t="shared" si="7"/>
        <v>uann</v>
      </c>
      <c r="F76" s="31" t="str">
        <f t="shared" si="7"/>
        <v>puann</v>
      </c>
      <c r="G76" s="31" t="str">
        <f t="shared" si="7"/>
        <v>phuann</v>
      </c>
      <c r="H76" s="31" t="str">
        <f t="shared" si="7"/>
        <v>buann</v>
      </c>
      <c r="I76" s="31" t="str">
        <f t="shared" si="7"/>
        <v>muann</v>
      </c>
      <c r="J76" s="31" t="str">
        <f t="shared" si="7"/>
        <v>tuann</v>
      </c>
      <c r="K76" s="31" t="str">
        <f t="shared" si="7"/>
        <v>thuann</v>
      </c>
      <c r="L76" s="31" t="str">
        <f t="shared" si="7"/>
        <v>luann</v>
      </c>
      <c r="M76" s="31" t="str">
        <f t="shared" si="7"/>
        <v>nuann</v>
      </c>
      <c r="N76" s="31" t="str">
        <f t="shared" si="7"/>
        <v>kuann</v>
      </c>
      <c r="O76" s="31" t="str">
        <f t="shared" si="7"/>
        <v>khuann</v>
      </c>
      <c r="P76" s="31" t="str">
        <f t="shared" si="7"/>
        <v>guann</v>
      </c>
      <c r="Q76" s="31" t="str">
        <f t="shared" si="7"/>
        <v>nguann</v>
      </c>
      <c r="R76" s="31" t="str">
        <f t="shared" si="7"/>
        <v>huann</v>
      </c>
      <c r="S76" s="31" t="str">
        <f t="shared" si="7"/>
        <v>tsuann</v>
      </c>
      <c r="T76" s="31" t="str">
        <f t="shared" si="7"/>
        <v>tsiuann</v>
      </c>
      <c r="U76" s="31" t="str">
        <f t="shared" si="6"/>
        <v>tshuann</v>
      </c>
      <c r="V76" s="31" t="str">
        <f t="shared" si="6"/>
        <v>tshiuann</v>
      </c>
      <c r="W76" s="31" t="str">
        <f t="shared" si="6"/>
        <v>suann</v>
      </c>
      <c r="X76" s="31" t="str">
        <f t="shared" si="6"/>
        <v>siuann</v>
      </c>
      <c r="Y76" s="31" t="str">
        <f t="shared" si="6"/>
        <v>juann</v>
      </c>
      <c r="Z76" s="31" t="str">
        <f t="shared" si="6"/>
        <v>jiuann</v>
      </c>
    </row>
    <row r="77" spans="1:26" ht="44.25">
      <c r="A77" s="16">
        <v>74</v>
      </c>
      <c r="B77" s="25"/>
      <c r="C77" s="26" t="s">
        <v>135</v>
      </c>
      <c r="D77" s="27"/>
      <c r="E77" s="31" t="str">
        <f t="shared" si="7"/>
        <v/>
      </c>
      <c r="F77" s="31" t="str">
        <f t="shared" si="7"/>
        <v/>
      </c>
      <c r="G77" s="31" t="str">
        <f t="shared" si="7"/>
        <v/>
      </c>
      <c r="H77" s="31" t="str">
        <f t="shared" si="7"/>
        <v/>
      </c>
      <c r="I77" s="31" t="str">
        <f t="shared" si="7"/>
        <v/>
      </c>
      <c r="J77" s="31" t="str">
        <f t="shared" si="7"/>
        <v/>
      </c>
      <c r="K77" s="31" t="str">
        <f t="shared" si="7"/>
        <v/>
      </c>
      <c r="L77" s="31" t="str">
        <f t="shared" si="7"/>
        <v/>
      </c>
      <c r="M77" s="31" t="str">
        <f t="shared" si="7"/>
        <v/>
      </c>
      <c r="N77" s="31" t="str">
        <f t="shared" si="7"/>
        <v/>
      </c>
      <c r="O77" s="31" t="str">
        <f t="shared" si="7"/>
        <v/>
      </c>
      <c r="P77" s="31" t="str">
        <f t="shared" si="7"/>
        <v/>
      </c>
      <c r="Q77" s="31" t="str">
        <f t="shared" si="7"/>
        <v/>
      </c>
      <c r="R77" s="31" t="str">
        <f t="shared" si="7"/>
        <v/>
      </c>
      <c r="S77" s="31" t="str">
        <f t="shared" si="7"/>
        <v/>
      </c>
      <c r="T77" s="31" t="str">
        <f t="shared" si="7"/>
        <v/>
      </c>
      <c r="U77" s="31" t="str">
        <f t="shared" si="6"/>
        <v/>
      </c>
      <c r="V77" s="31" t="str">
        <f t="shared" si="6"/>
        <v/>
      </c>
      <c r="W77" s="31" t="str">
        <f t="shared" si="6"/>
        <v/>
      </c>
      <c r="X77" s="31" t="str">
        <f t="shared" si="6"/>
        <v/>
      </c>
      <c r="Y77" s="31" t="str">
        <f t="shared" si="6"/>
        <v/>
      </c>
      <c r="Z77" s="31" t="str">
        <f t="shared" si="6"/>
        <v/>
      </c>
    </row>
    <row r="78" spans="1:26" ht="44.25">
      <c r="A78" s="16">
        <v>75</v>
      </c>
      <c r="B78" s="4" t="s">
        <v>273</v>
      </c>
      <c r="C78" s="17" t="s">
        <v>136</v>
      </c>
      <c r="D78" s="18" t="s">
        <v>52</v>
      </c>
      <c r="E78" s="31" t="str">
        <f t="shared" si="7"/>
        <v>ng</v>
      </c>
      <c r="F78" s="31" t="str">
        <f t="shared" si="7"/>
        <v>png</v>
      </c>
      <c r="G78" s="31" t="str">
        <f t="shared" si="7"/>
        <v>phng</v>
      </c>
      <c r="H78" s="31" t="str">
        <f t="shared" si="7"/>
        <v>bng</v>
      </c>
      <c r="I78" s="31" t="str">
        <f t="shared" si="7"/>
        <v>mng</v>
      </c>
      <c r="J78" s="31" t="str">
        <f t="shared" si="7"/>
        <v>tng</v>
      </c>
      <c r="K78" s="31" t="str">
        <f t="shared" si="7"/>
        <v>thng</v>
      </c>
      <c r="L78" s="31" t="str">
        <f t="shared" si="7"/>
        <v>lng</v>
      </c>
      <c r="M78" s="31" t="str">
        <f t="shared" si="7"/>
        <v>nng</v>
      </c>
      <c r="N78" s="31" t="str">
        <f t="shared" si="7"/>
        <v>kng</v>
      </c>
      <c r="O78" s="31" t="str">
        <f t="shared" si="7"/>
        <v>khng</v>
      </c>
      <c r="P78" s="31" t="str">
        <f t="shared" si="7"/>
        <v>gng</v>
      </c>
      <c r="Q78" s="31" t="str">
        <f t="shared" si="7"/>
        <v>ngng</v>
      </c>
      <c r="R78" s="31" t="str">
        <f t="shared" si="7"/>
        <v>hng</v>
      </c>
      <c r="S78" s="31" t="str">
        <f t="shared" si="7"/>
        <v>tsng</v>
      </c>
      <c r="T78" s="31" t="str">
        <f t="shared" si="7"/>
        <v>tsing</v>
      </c>
      <c r="U78" s="31" t="str">
        <f t="shared" si="6"/>
        <v>tshng</v>
      </c>
      <c r="V78" s="31" t="str">
        <f t="shared" si="6"/>
        <v>tshing</v>
      </c>
      <c r="W78" s="31" t="str">
        <f t="shared" si="6"/>
        <v>sng</v>
      </c>
      <c r="X78" s="31" t="str">
        <f t="shared" si="6"/>
        <v>sing</v>
      </c>
      <c r="Y78" s="31" t="str">
        <f t="shared" si="6"/>
        <v>jng</v>
      </c>
      <c r="Z78" s="31" t="str">
        <f t="shared" si="6"/>
        <v>jing</v>
      </c>
    </row>
    <row r="79" spans="1:26" ht="44.25">
      <c r="A79" s="16">
        <v>76</v>
      </c>
      <c r="B79" s="25"/>
      <c r="C79" s="26" t="s">
        <v>137</v>
      </c>
      <c r="D79" s="27"/>
      <c r="E79" s="31" t="str">
        <f t="shared" si="7"/>
        <v/>
      </c>
      <c r="F79" s="31" t="str">
        <f t="shared" si="7"/>
        <v/>
      </c>
      <c r="G79" s="31" t="str">
        <f t="shared" si="7"/>
        <v/>
      </c>
      <c r="H79" s="31" t="str">
        <f t="shared" si="7"/>
        <v/>
      </c>
      <c r="I79" s="31" t="str">
        <f t="shared" si="7"/>
        <v/>
      </c>
      <c r="J79" s="31" t="str">
        <f t="shared" si="7"/>
        <v/>
      </c>
      <c r="K79" s="31" t="str">
        <f t="shared" si="7"/>
        <v/>
      </c>
      <c r="L79" s="31" t="str">
        <f t="shared" si="7"/>
        <v/>
      </c>
      <c r="M79" s="31" t="str">
        <f t="shared" si="7"/>
        <v/>
      </c>
      <c r="N79" s="31" t="str">
        <f t="shared" si="7"/>
        <v/>
      </c>
      <c r="O79" s="31" t="str">
        <f t="shared" si="7"/>
        <v/>
      </c>
      <c r="P79" s="31" t="str">
        <f t="shared" si="7"/>
        <v/>
      </c>
      <c r="Q79" s="31" t="str">
        <f t="shared" si="7"/>
        <v/>
      </c>
      <c r="R79" s="31" t="str">
        <f t="shared" si="7"/>
        <v/>
      </c>
      <c r="S79" s="31" t="str">
        <f t="shared" si="7"/>
        <v/>
      </c>
      <c r="T79" s="31" t="str">
        <f t="shared" si="7"/>
        <v/>
      </c>
      <c r="U79" s="31" t="str">
        <f t="shared" si="6"/>
        <v/>
      </c>
      <c r="V79" s="31" t="str">
        <f t="shared" si="6"/>
        <v/>
      </c>
      <c r="W79" s="31" t="str">
        <f t="shared" si="6"/>
        <v/>
      </c>
      <c r="X79" s="31" t="str">
        <f t="shared" si="6"/>
        <v/>
      </c>
      <c r="Y79" s="31" t="str">
        <f t="shared" si="6"/>
        <v/>
      </c>
      <c r="Z79" s="31" t="str">
        <f t="shared" si="6"/>
        <v/>
      </c>
    </row>
    <row r="80" spans="1:26" ht="44.25">
      <c r="A80" s="16">
        <v>77</v>
      </c>
      <c r="B80" s="4" t="s">
        <v>308</v>
      </c>
      <c r="C80" s="17" t="s">
        <v>138</v>
      </c>
      <c r="D80" s="18" t="s">
        <v>184</v>
      </c>
      <c r="E80" s="31" t="str">
        <f t="shared" si="7"/>
        <v>e</v>
      </c>
      <c r="F80" s="31" t="str">
        <f t="shared" si="7"/>
        <v>pe</v>
      </c>
      <c r="G80" s="31" t="str">
        <f t="shared" si="7"/>
        <v>phe</v>
      </c>
      <c r="H80" s="31" t="str">
        <f t="shared" si="7"/>
        <v>be</v>
      </c>
      <c r="I80" s="31" t="str">
        <f t="shared" si="7"/>
        <v>me</v>
      </c>
      <c r="J80" s="31" t="str">
        <f t="shared" si="7"/>
        <v>te</v>
      </c>
      <c r="K80" s="31" t="str">
        <f t="shared" si="7"/>
        <v>the</v>
      </c>
      <c r="L80" s="31" t="str">
        <f t="shared" si="7"/>
        <v>le</v>
      </c>
      <c r="M80" s="31" t="str">
        <f t="shared" si="7"/>
        <v>ne</v>
      </c>
      <c r="N80" s="31" t="str">
        <f t="shared" si="7"/>
        <v>ke</v>
      </c>
      <c r="O80" s="31" t="str">
        <f t="shared" si="7"/>
        <v>khe</v>
      </c>
      <c r="P80" s="31" t="str">
        <f t="shared" si="7"/>
        <v>ge</v>
      </c>
      <c r="Q80" s="31" t="str">
        <f t="shared" si="7"/>
        <v>nge</v>
      </c>
      <c r="R80" s="31" t="str">
        <f t="shared" si="7"/>
        <v>he</v>
      </c>
      <c r="S80" s="31" t="str">
        <f t="shared" si="7"/>
        <v>tse</v>
      </c>
      <c r="T80" s="31" t="str">
        <f t="shared" si="7"/>
        <v>tsie</v>
      </c>
      <c r="U80" s="31" t="str">
        <f t="shared" si="6"/>
        <v>tshe</v>
      </c>
      <c r="V80" s="31" t="str">
        <f t="shared" si="6"/>
        <v>tshie</v>
      </c>
      <c r="W80" s="31" t="str">
        <f t="shared" si="6"/>
        <v>se</v>
      </c>
      <c r="X80" s="31" t="str">
        <f t="shared" si="6"/>
        <v>sie</v>
      </c>
      <c r="Y80" s="31" t="str">
        <f t="shared" si="6"/>
        <v>je</v>
      </c>
      <c r="Z80" s="31" t="str">
        <f t="shared" si="6"/>
        <v>jie</v>
      </c>
    </row>
    <row r="81" spans="1:26" ht="44.25">
      <c r="A81" s="16">
        <v>78</v>
      </c>
      <c r="B81" s="4" t="s">
        <v>309</v>
      </c>
      <c r="C81" s="17" t="s">
        <v>139</v>
      </c>
      <c r="D81" s="18" t="s">
        <v>227</v>
      </c>
      <c r="E81" s="31" t="str">
        <f t="shared" si="7"/>
        <v>eh</v>
      </c>
      <c r="F81" s="31" t="str">
        <f t="shared" si="7"/>
        <v>peh</v>
      </c>
      <c r="G81" s="31" t="str">
        <f t="shared" si="7"/>
        <v>pheh</v>
      </c>
      <c r="H81" s="31" t="str">
        <f t="shared" si="7"/>
        <v>beh</v>
      </c>
      <c r="I81" s="31" t="str">
        <f t="shared" si="7"/>
        <v>meh</v>
      </c>
      <c r="J81" s="31" t="str">
        <f t="shared" si="7"/>
        <v>teh</v>
      </c>
      <c r="K81" s="31" t="str">
        <f t="shared" si="7"/>
        <v>theh</v>
      </c>
      <c r="L81" s="31" t="str">
        <f t="shared" si="7"/>
        <v>leh</v>
      </c>
      <c r="M81" s="31" t="str">
        <f t="shared" si="7"/>
        <v>neh</v>
      </c>
      <c r="N81" s="31" t="str">
        <f t="shared" si="7"/>
        <v>keh</v>
      </c>
      <c r="O81" s="31" t="str">
        <f t="shared" si="7"/>
        <v>kheh</v>
      </c>
      <c r="P81" s="31" t="str">
        <f t="shared" si="7"/>
        <v>geh</v>
      </c>
      <c r="Q81" s="31" t="str">
        <f t="shared" si="7"/>
        <v>ngeh</v>
      </c>
      <c r="R81" s="31" t="str">
        <f t="shared" si="7"/>
        <v>heh</v>
      </c>
      <c r="S81" s="31" t="str">
        <f t="shared" si="7"/>
        <v>tseh</v>
      </c>
      <c r="T81" s="31" t="str">
        <f t="shared" si="7"/>
        <v>tsieh</v>
      </c>
      <c r="U81" s="31" t="str">
        <f t="shared" si="6"/>
        <v>tsheh</v>
      </c>
      <c r="V81" s="31" t="str">
        <f t="shared" si="6"/>
        <v>tshieh</v>
      </c>
      <c r="W81" s="31" t="str">
        <f t="shared" si="6"/>
        <v>seh</v>
      </c>
      <c r="X81" s="31" t="str">
        <f t="shared" si="6"/>
        <v>sieh</v>
      </c>
      <c r="Y81" s="31" t="str">
        <f t="shared" si="6"/>
        <v>jeh</v>
      </c>
      <c r="Z81" s="31" t="str">
        <f t="shared" si="6"/>
        <v>jieh</v>
      </c>
    </row>
    <row r="82" spans="1:26" ht="44.25">
      <c r="A82" s="16">
        <v>79</v>
      </c>
      <c r="B82" s="4" t="s">
        <v>310</v>
      </c>
      <c r="C82" s="17" t="s">
        <v>140</v>
      </c>
      <c r="D82" s="18" t="s">
        <v>228</v>
      </c>
      <c r="E82" s="31" t="str">
        <f t="shared" si="7"/>
        <v>ainn</v>
      </c>
      <c r="F82" s="31" t="str">
        <f t="shared" si="7"/>
        <v>painn</v>
      </c>
      <c r="G82" s="31" t="str">
        <f t="shared" si="7"/>
        <v>phainn</v>
      </c>
      <c r="H82" s="31" t="str">
        <f t="shared" si="7"/>
        <v>bainn</v>
      </c>
      <c r="I82" s="31" t="str">
        <f t="shared" si="7"/>
        <v>mainn</v>
      </c>
      <c r="J82" s="31" t="str">
        <f t="shared" si="7"/>
        <v>tainn</v>
      </c>
      <c r="K82" s="31" t="str">
        <f t="shared" si="7"/>
        <v>thainn</v>
      </c>
      <c r="L82" s="31" t="str">
        <f t="shared" si="7"/>
        <v>lainn</v>
      </c>
      <c r="M82" s="31" t="str">
        <f t="shared" si="7"/>
        <v>nainn</v>
      </c>
      <c r="N82" s="31" t="str">
        <f t="shared" si="7"/>
        <v>kainn</v>
      </c>
      <c r="O82" s="31" t="str">
        <f t="shared" si="7"/>
        <v>khainn</v>
      </c>
      <c r="P82" s="31" t="str">
        <f t="shared" si="7"/>
        <v>gainn</v>
      </c>
      <c r="Q82" s="31" t="str">
        <f t="shared" si="7"/>
        <v>ngainn</v>
      </c>
      <c r="R82" s="31" t="str">
        <f t="shared" si="7"/>
        <v>hainn</v>
      </c>
      <c r="S82" s="31" t="str">
        <f t="shared" si="7"/>
        <v>tsainn</v>
      </c>
      <c r="T82" s="31" t="str">
        <f t="shared" si="7"/>
        <v>tsiainn</v>
      </c>
      <c r="U82" s="31" t="str">
        <f t="shared" si="6"/>
        <v>tshainn</v>
      </c>
      <c r="V82" s="31" t="str">
        <f t="shared" si="6"/>
        <v>tshiainn</v>
      </c>
      <c r="W82" s="31" t="str">
        <f t="shared" si="6"/>
        <v>sainn</v>
      </c>
      <c r="X82" s="31" t="str">
        <f t="shared" si="6"/>
        <v>siainn</v>
      </c>
      <c r="Y82" s="31" t="str">
        <f t="shared" si="6"/>
        <v>jainn</v>
      </c>
      <c r="Z82" s="31" t="str">
        <f t="shared" si="6"/>
        <v>jiainn</v>
      </c>
    </row>
    <row r="83" spans="1:26" ht="44.25">
      <c r="A83" s="16">
        <v>80</v>
      </c>
      <c r="B83" s="25"/>
      <c r="C83" s="26" t="s">
        <v>141</v>
      </c>
      <c r="D83" s="27"/>
      <c r="E83" s="31" t="str">
        <f t="shared" si="7"/>
        <v/>
      </c>
      <c r="F83" s="31" t="str">
        <f t="shared" si="7"/>
        <v/>
      </c>
      <c r="G83" s="31" t="str">
        <f t="shared" si="7"/>
        <v/>
      </c>
      <c r="H83" s="31" t="str">
        <f t="shared" si="7"/>
        <v/>
      </c>
      <c r="I83" s="31" t="str">
        <f t="shared" si="7"/>
        <v/>
      </c>
      <c r="J83" s="31" t="str">
        <f t="shared" si="7"/>
        <v/>
      </c>
      <c r="K83" s="31" t="str">
        <f t="shared" si="7"/>
        <v/>
      </c>
      <c r="L83" s="31" t="str">
        <f t="shared" si="7"/>
        <v/>
      </c>
      <c r="M83" s="31" t="str">
        <f t="shared" si="7"/>
        <v/>
      </c>
      <c r="N83" s="31" t="str">
        <f t="shared" si="7"/>
        <v/>
      </c>
      <c r="O83" s="31" t="str">
        <f t="shared" si="7"/>
        <v/>
      </c>
      <c r="P83" s="31" t="str">
        <f t="shared" ref="E83:T99" si="8">IF($D83="", "", _xlfn.CONCAT(P$3, $D83))</f>
        <v/>
      </c>
      <c r="Q83" s="31" t="str">
        <f t="shared" si="8"/>
        <v/>
      </c>
      <c r="R83" s="31" t="str">
        <f t="shared" si="8"/>
        <v/>
      </c>
      <c r="S83" s="31" t="str">
        <f t="shared" si="8"/>
        <v/>
      </c>
      <c r="T83" s="31" t="str">
        <f t="shared" si="8"/>
        <v/>
      </c>
      <c r="U83" s="31" t="str">
        <f t="shared" si="6"/>
        <v/>
      </c>
      <c r="V83" s="31" t="str">
        <f t="shared" si="6"/>
        <v/>
      </c>
      <c r="W83" s="31" t="str">
        <f t="shared" si="6"/>
        <v/>
      </c>
      <c r="X83" s="31" t="str">
        <f t="shared" si="6"/>
        <v/>
      </c>
      <c r="Y83" s="31" t="str">
        <f t="shared" si="6"/>
        <v/>
      </c>
      <c r="Z83" s="31" t="str">
        <f t="shared" si="6"/>
        <v/>
      </c>
    </row>
    <row r="84" spans="1:26" ht="44.25">
      <c r="A84" s="16">
        <v>81</v>
      </c>
      <c r="B84" s="25"/>
      <c r="C84" s="26" t="s">
        <v>142</v>
      </c>
      <c r="D84" s="27" t="s">
        <v>229</v>
      </c>
      <c r="E84" s="31" t="str">
        <f t="shared" si="8"/>
        <v>onn</v>
      </c>
      <c r="F84" s="31" t="str">
        <f t="shared" si="8"/>
        <v>ponn</v>
      </c>
      <c r="G84" s="31" t="str">
        <f t="shared" si="8"/>
        <v>phonn</v>
      </c>
      <c r="H84" s="31" t="str">
        <f t="shared" si="8"/>
        <v>bonn</v>
      </c>
      <c r="I84" s="31" t="str">
        <f t="shared" si="8"/>
        <v>monn</v>
      </c>
      <c r="J84" s="31" t="str">
        <f t="shared" si="8"/>
        <v>tonn</v>
      </c>
      <c r="K84" s="31" t="str">
        <f t="shared" si="8"/>
        <v>thonn</v>
      </c>
      <c r="L84" s="31" t="str">
        <f t="shared" si="8"/>
        <v>lonn</v>
      </c>
      <c r="M84" s="31" t="str">
        <f t="shared" si="8"/>
        <v>nonn</v>
      </c>
      <c r="N84" s="31" t="str">
        <f t="shared" si="8"/>
        <v>konn</v>
      </c>
      <c r="O84" s="31" t="str">
        <f t="shared" si="8"/>
        <v>khonn</v>
      </c>
      <c r="P84" s="31" t="str">
        <f t="shared" si="8"/>
        <v>gonn</v>
      </c>
      <c r="Q84" s="31" t="str">
        <f t="shared" si="8"/>
        <v>ngonn</v>
      </c>
      <c r="R84" s="31" t="str">
        <f t="shared" si="8"/>
        <v>honn</v>
      </c>
      <c r="S84" s="31" t="str">
        <f t="shared" si="8"/>
        <v>tsonn</v>
      </c>
      <c r="T84" s="31" t="str">
        <f t="shared" si="8"/>
        <v>tsionn</v>
      </c>
      <c r="U84" s="31" t="str">
        <f t="shared" si="6"/>
        <v>tshonn</v>
      </c>
      <c r="V84" s="31" t="str">
        <f t="shared" si="6"/>
        <v>tshionn</v>
      </c>
      <c r="W84" s="31" t="str">
        <f t="shared" si="6"/>
        <v>sonn</v>
      </c>
      <c r="X84" s="31" t="str">
        <f t="shared" si="6"/>
        <v>sionn</v>
      </c>
      <c r="Y84" s="31" t="str">
        <f t="shared" si="6"/>
        <v>jonn</v>
      </c>
      <c r="Z84" s="31" t="str">
        <f t="shared" si="6"/>
        <v>jionn</v>
      </c>
    </row>
    <row r="85" spans="1:26" ht="44.25">
      <c r="A85" s="16">
        <v>82</v>
      </c>
      <c r="B85" s="25"/>
      <c r="C85" s="26" t="s">
        <v>143</v>
      </c>
      <c r="D85" s="27"/>
      <c r="E85" s="31" t="str">
        <f t="shared" si="8"/>
        <v/>
      </c>
      <c r="F85" s="31" t="str">
        <f t="shared" si="8"/>
        <v/>
      </c>
      <c r="G85" s="31" t="str">
        <f t="shared" si="8"/>
        <v/>
      </c>
      <c r="H85" s="31" t="str">
        <f t="shared" si="8"/>
        <v/>
      </c>
      <c r="I85" s="31" t="str">
        <f t="shared" si="8"/>
        <v/>
      </c>
      <c r="J85" s="31" t="str">
        <f t="shared" si="8"/>
        <v/>
      </c>
      <c r="K85" s="31" t="str">
        <f t="shared" si="8"/>
        <v/>
      </c>
      <c r="L85" s="31" t="str">
        <f t="shared" si="8"/>
        <v/>
      </c>
      <c r="M85" s="31" t="str">
        <f t="shared" si="8"/>
        <v/>
      </c>
      <c r="N85" s="31" t="str">
        <f t="shared" si="8"/>
        <v/>
      </c>
      <c r="O85" s="31" t="str">
        <f t="shared" si="8"/>
        <v/>
      </c>
      <c r="P85" s="31" t="str">
        <f t="shared" si="8"/>
        <v/>
      </c>
      <c r="Q85" s="31" t="str">
        <f t="shared" si="8"/>
        <v/>
      </c>
      <c r="R85" s="31" t="str">
        <f t="shared" si="8"/>
        <v/>
      </c>
      <c r="S85" s="31" t="str">
        <f t="shared" si="8"/>
        <v/>
      </c>
      <c r="T85" s="31" t="str">
        <f t="shared" si="8"/>
        <v/>
      </c>
      <c r="U85" s="31" t="str">
        <f t="shared" si="6"/>
        <v/>
      </c>
      <c r="V85" s="31" t="str">
        <f t="shared" si="6"/>
        <v/>
      </c>
      <c r="W85" s="31" t="str">
        <f t="shared" si="6"/>
        <v/>
      </c>
      <c r="X85" s="31" t="str">
        <f t="shared" si="6"/>
        <v/>
      </c>
      <c r="Y85" s="31" t="str">
        <f t="shared" si="6"/>
        <v/>
      </c>
      <c r="Z85" s="31" t="str">
        <f t="shared" si="6"/>
        <v/>
      </c>
    </row>
    <row r="86" spans="1:26" ht="44.25">
      <c r="A86" s="16">
        <v>83</v>
      </c>
      <c r="B86" s="4" t="s">
        <v>311</v>
      </c>
      <c r="C86" s="17" t="s">
        <v>144</v>
      </c>
      <c r="D86" s="18" t="s">
        <v>44</v>
      </c>
      <c r="E86" s="31" t="str">
        <f t="shared" si="8"/>
        <v>m</v>
      </c>
      <c r="F86" s="31" t="str">
        <f t="shared" si="8"/>
        <v>pm</v>
      </c>
      <c r="G86" s="31" t="str">
        <f t="shared" si="8"/>
        <v>phm</v>
      </c>
      <c r="H86" s="31" t="str">
        <f t="shared" si="8"/>
        <v>bm</v>
      </c>
      <c r="I86" s="31" t="str">
        <f t="shared" si="8"/>
        <v>mm</v>
      </c>
      <c r="J86" s="31" t="str">
        <f t="shared" si="8"/>
        <v>tm</v>
      </c>
      <c r="K86" s="31" t="str">
        <f t="shared" si="8"/>
        <v>thm</v>
      </c>
      <c r="L86" s="31" t="str">
        <f t="shared" si="8"/>
        <v>lm</v>
      </c>
      <c r="M86" s="31" t="str">
        <f t="shared" si="8"/>
        <v>nm</v>
      </c>
      <c r="N86" s="31" t="str">
        <f t="shared" si="8"/>
        <v>km</v>
      </c>
      <c r="O86" s="31" t="str">
        <f t="shared" si="8"/>
        <v>khm</v>
      </c>
      <c r="P86" s="31" t="str">
        <f t="shared" si="8"/>
        <v>gm</v>
      </c>
      <c r="Q86" s="31" t="str">
        <f t="shared" si="8"/>
        <v>ngm</v>
      </c>
      <c r="R86" s="31" t="str">
        <f t="shared" si="8"/>
        <v>hm</v>
      </c>
      <c r="S86" s="31" t="str">
        <f t="shared" si="8"/>
        <v>tsm</v>
      </c>
      <c r="T86" s="31" t="str">
        <f t="shared" si="8"/>
        <v>tsim</v>
      </c>
      <c r="U86" s="31" t="str">
        <f t="shared" si="6"/>
        <v>tshm</v>
      </c>
      <c r="V86" s="31" t="str">
        <f t="shared" si="6"/>
        <v>tshim</v>
      </c>
      <c r="W86" s="31" t="str">
        <f t="shared" si="6"/>
        <v>sm</v>
      </c>
      <c r="X86" s="31" t="str">
        <f t="shared" si="6"/>
        <v>sim</v>
      </c>
      <c r="Y86" s="31" t="str">
        <f t="shared" si="6"/>
        <v>jm</v>
      </c>
      <c r="Z86" s="31" t="str">
        <f t="shared" si="6"/>
        <v>jim</v>
      </c>
    </row>
    <row r="87" spans="1:26" ht="44.25">
      <c r="A87" s="16">
        <v>84</v>
      </c>
      <c r="B87" s="25"/>
      <c r="C87" s="26" t="s">
        <v>145</v>
      </c>
      <c r="D87" s="27"/>
      <c r="E87" s="31" t="str">
        <f t="shared" si="8"/>
        <v/>
      </c>
      <c r="F87" s="31" t="str">
        <f t="shared" si="8"/>
        <v/>
      </c>
      <c r="G87" s="31" t="str">
        <f t="shared" si="8"/>
        <v/>
      </c>
      <c r="H87" s="31" t="str">
        <f t="shared" si="8"/>
        <v/>
      </c>
      <c r="I87" s="31" t="str">
        <f t="shared" si="8"/>
        <v/>
      </c>
      <c r="J87" s="31" t="str">
        <f t="shared" si="8"/>
        <v/>
      </c>
      <c r="K87" s="31" t="str">
        <f t="shared" si="8"/>
        <v/>
      </c>
      <c r="L87" s="31" t="str">
        <f t="shared" si="8"/>
        <v/>
      </c>
      <c r="M87" s="31" t="str">
        <f t="shared" si="8"/>
        <v/>
      </c>
      <c r="N87" s="31" t="str">
        <f t="shared" si="8"/>
        <v/>
      </c>
      <c r="O87" s="31" t="str">
        <f t="shared" si="8"/>
        <v/>
      </c>
      <c r="P87" s="31" t="str">
        <f t="shared" si="8"/>
        <v/>
      </c>
      <c r="Q87" s="31" t="str">
        <f t="shared" si="8"/>
        <v/>
      </c>
      <c r="R87" s="31" t="str">
        <f t="shared" si="8"/>
        <v/>
      </c>
      <c r="S87" s="31" t="str">
        <f t="shared" si="8"/>
        <v/>
      </c>
      <c r="T87" s="31" t="str">
        <f t="shared" si="8"/>
        <v/>
      </c>
      <c r="U87" s="31" t="str">
        <f t="shared" si="6"/>
        <v/>
      </c>
      <c r="V87" s="31" t="str">
        <f t="shared" si="6"/>
        <v/>
      </c>
      <c r="W87" s="31" t="str">
        <f t="shared" si="6"/>
        <v/>
      </c>
      <c r="X87" s="31" t="str">
        <f t="shared" si="6"/>
        <v/>
      </c>
      <c r="Y87" s="31" t="str">
        <f t="shared" si="6"/>
        <v/>
      </c>
      <c r="Z87" s="31" t="str">
        <f t="shared" si="6"/>
        <v/>
      </c>
    </row>
    <row r="88" spans="1:26" ht="44.25">
      <c r="A88" s="16">
        <v>85</v>
      </c>
      <c r="B88" s="4" t="s">
        <v>312</v>
      </c>
      <c r="C88" s="17" t="s">
        <v>146</v>
      </c>
      <c r="D88" s="18" t="s">
        <v>230</v>
      </c>
      <c r="E88" s="31" t="str">
        <f t="shared" si="8"/>
        <v>uang</v>
      </c>
      <c r="F88" s="31" t="str">
        <f t="shared" si="8"/>
        <v>puang</v>
      </c>
      <c r="G88" s="31" t="str">
        <f t="shared" si="8"/>
        <v>phuang</v>
      </c>
      <c r="H88" s="31" t="str">
        <f t="shared" si="8"/>
        <v>buang</v>
      </c>
      <c r="I88" s="31" t="str">
        <f t="shared" si="8"/>
        <v>muang</v>
      </c>
      <c r="J88" s="31" t="str">
        <f t="shared" si="8"/>
        <v>tuang</v>
      </c>
      <c r="K88" s="31" t="str">
        <f t="shared" si="8"/>
        <v>thuang</v>
      </c>
      <c r="L88" s="31" t="str">
        <f t="shared" si="8"/>
        <v>luang</v>
      </c>
      <c r="M88" s="31" t="str">
        <f t="shared" si="8"/>
        <v>nuang</v>
      </c>
      <c r="N88" s="31" t="str">
        <f t="shared" si="8"/>
        <v>kuang</v>
      </c>
      <c r="O88" s="31" t="str">
        <f t="shared" si="8"/>
        <v>khuang</v>
      </c>
      <c r="P88" s="31" t="str">
        <f t="shared" si="8"/>
        <v>guang</v>
      </c>
      <c r="Q88" s="31" t="str">
        <f t="shared" si="8"/>
        <v>nguang</v>
      </c>
      <c r="R88" s="31" t="str">
        <f t="shared" si="8"/>
        <v>huang</v>
      </c>
      <c r="S88" s="31" t="str">
        <f t="shared" si="8"/>
        <v>tsuang</v>
      </c>
      <c r="T88" s="31" t="str">
        <f t="shared" si="8"/>
        <v>tsiuang</v>
      </c>
      <c r="U88" s="31" t="str">
        <f t="shared" si="6"/>
        <v>tshuang</v>
      </c>
      <c r="V88" s="31" t="str">
        <f t="shared" si="6"/>
        <v>tshiuang</v>
      </c>
      <c r="W88" s="31" t="str">
        <f t="shared" si="6"/>
        <v>suang</v>
      </c>
      <c r="X88" s="31" t="str">
        <f t="shared" si="6"/>
        <v>siuang</v>
      </c>
      <c r="Y88" s="31" t="str">
        <f t="shared" si="6"/>
        <v>juang</v>
      </c>
      <c r="Z88" s="31" t="str">
        <f t="shared" si="6"/>
        <v>jiuang</v>
      </c>
    </row>
    <row r="89" spans="1:26" ht="44.25">
      <c r="A89" s="16">
        <v>86</v>
      </c>
      <c r="B89" s="25"/>
      <c r="C89" s="26" t="s">
        <v>147</v>
      </c>
      <c r="D89" s="27" t="s">
        <v>231</v>
      </c>
      <c r="E89" s="31" t="str">
        <f t="shared" si="8"/>
        <v>uak</v>
      </c>
      <c r="F89" s="31" t="str">
        <f t="shared" si="8"/>
        <v>puak</v>
      </c>
      <c r="G89" s="31" t="str">
        <f t="shared" si="8"/>
        <v>phuak</v>
      </c>
      <c r="H89" s="31" t="str">
        <f t="shared" si="8"/>
        <v>buak</v>
      </c>
      <c r="I89" s="31" t="str">
        <f t="shared" si="8"/>
        <v>muak</v>
      </c>
      <c r="J89" s="31" t="str">
        <f t="shared" si="8"/>
        <v>tuak</v>
      </c>
      <c r="K89" s="31" t="str">
        <f t="shared" si="8"/>
        <v>thuak</v>
      </c>
      <c r="L89" s="31" t="str">
        <f t="shared" si="8"/>
        <v>luak</v>
      </c>
      <c r="M89" s="31" t="str">
        <f t="shared" si="8"/>
        <v>nuak</v>
      </c>
      <c r="N89" s="31" t="str">
        <f t="shared" si="8"/>
        <v>kuak</v>
      </c>
      <c r="O89" s="31" t="str">
        <f t="shared" si="8"/>
        <v>khuak</v>
      </c>
      <c r="P89" s="31" t="str">
        <f t="shared" si="8"/>
        <v>guak</v>
      </c>
      <c r="Q89" s="31" t="str">
        <f t="shared" si="8"/>
        <v>nguak</v>
      </c>
      <c r="R89" s="31" t="str">
        <f t="shared" si="8"/>
        <v>huak</v>
      </c>
      <c r="S89" s="31" t="str">
        <f t="shared" si="8"/>
        <v>tsuak</v>
      </c>
      <c r="T89" s="31" t="str">
        <f t="shared" si="8"/>
        <v>tsiuak</v>
      </c>
      <c r="U89" s="31" t="str">
        <f t="shared" si="6"/>
        <v>tshuak</v>
      </c>
      <c r="V89" s="31" t="str">
        <f t="shared" si="6"/>
        <v>tshiuak</v>
      </c>
      <c r="W89" s="31" t="str">
        <f t="shared" si="6"/>
        <v>suak</v>
      </c>
      <c r="X89" s="31" t="str">
        <f t="shared" si="6"/>
        <v>siuak</v>
      </c>
      <c r="Y89" s="31" t="str">
        <f t="shared" si="6"/>
        <v>juak</v>
      </c>
      <c r="Z89" s="31" t="str">
        <f t="shared" si="6"/>
        <v>jiuak</v>
      </c>
    </row>
    <row r="90" spans="1:26" ht="44.25">
      <c r="A90" s="16">
        <v>87</v>
      </c>
      <c r="B90" s="25"/>
      <c r="C90" s="26" t="s">
        <v>148</v>
      </c>
      <c r="D90" s="27" t="s">
        <v>232</v>
      </c>
      <c r="E90" s="31" t="str">
        <f t="shared" si="8"/>
        <v>uainn</v>
      </c>
      <c r="F90" s="31" t="str">
        <f t="shared" si="8"/>
        <v>puainn</v>
      </c>
      <c r="G90" s="31" t="str">
        <f t="shared" si="8"/>
        <v>phuainn</v>
      </c>
      <c r="H90" s="31" t="str">
        <f t="shared" si="8"/>
        <v>buainn</v>
      </c>
      <c r="I90" s="31" t="str">
        <f t="shared" si="8"/>
        <v>muainn</v>
      </c>
      <c r="J90" s="31" t="str">
        <f t="shared" si="8"/>
        <v>tuainn</v>
      </c>
      <c r="K90" s="31" t="str">
        <f t="shared" si="8"/>
        <v>thuainn</v>
      </c>
      <c r="L90" s="31" t="str">
        <f t="shared" si="8"/>
        <v>luainn</v>
      </c>
      <c r="M90" s="31" t="str">
        <f t="shared" si="8"/>
        <v>nuainn</v>
      </c>
      <c r="N90" s="31" t="str">
        <f t="shared" si="8"/>
        <v>kuainn</v>
      </c>
      <c r="O90" s="31" t="str">
        <f t="shared" si="8"/>
        <v>khuainn</v>
      </c>
      <c r="P90" s="31" t="str">
        <f t="shared" si="8"/>
        <v>guainn</v>
      </c>
      <c r="Q90" s="31" t="str">
        <f t="shared" si="8"/>
        <v>nguainn</v>
      </c>
      <c r="R90" s="31" t="str">
        <f t="shared" si="8"/>
        <v>huainn</v>
      </c>
      <c r="S90" s="31" t="str">
        <f t="shared" si="8"/>
        <v>tsuainn</v>
      </c>
      <c r="T90" s="31" t="str">
        <f t="shared" si="8"/>
        <v>tsiuainn</v>
      </c>
      <c r="U90" s="31" t="str">
        <f t="shared" si="6"/>
        <v>tshuainn</v>
      </c>
      <c r="V90" s="31" t="str">
        <f t="shared" si="6"/>
        <v>tshiuainn</v>
      </c>
      <c r="W90" s="31" t="str">
        <f t="shared" si="6"/>
        <v>suainn</v>
      </c>
      <c r="X90" s="31" t="str">
        <f t="shared" si="6"/>
        <v>siuainn</v>
      </c>
      <c r="Y90" s="31" t="str">
        <f t="shared" si="6"/>
        <v>juainn</v>
      </c>
      <c r="Z90" s="31" t="str">
        <f t="shared" si="6"/>
        <v>jiuainn</v>
      </c>
    </row>
    <row r="91" spans="1:26" ht="44.25">
      <c r="A91" s="16">
        <v>88</v>
      </c>
      <c r="B91" s="25"/>
      <c r="C91" s="26" t="s">
        <v>149</v>
      </c>
      <c r="D91" s="27" t="s">
        <v>233</v>
      </c>
      <c r="E91" s="31" t="str">
        <f t="shared" si="8"/>
        <v>uainnh</v>
      </c>
      <c r="F91" s="31" t="str">
        <f t="shared" si="8"/>
        <v>puainnh</v>
      </c>
      <c r="G91" s="31" t="str">
        <f t="shared" si="8"/>
        <v>phuainnh</v>
      </c>
      <c r="H91" s="31" t="str">
        <f t="shared" si="8"/>
        <v>buainnh</v>
      </c>
      <c r="I91" s="31" t="str">
        <f t="shared" si="8"/>
        <v>muainnh</v>
      </c>
      <c r="J91" s="31" t="str">
        <f t="shared" si="8"/>
        <v>tuainnh</v>
      </c>
      <c r="K91" s="31" t="str">
        <f t="shared" si="8"/>
        <v>thuainnh</v>
      </c>
      <c r="L91" s="31" t="str">
        <f t="shared" si="8"/>
        <v>luainnh</v>
      </c>
      <c r="M91" s="31" t="str">
        <f t="shared" si="8"/>
        <v>nuainnh</v>
      </c>
      <c r="N91" s="31" t="str">
        <f t="shared" si="8"/>
        <v>kuainnh</v>
      </c>
      <c r="O91" s="31" t="str">
        <f t="shared" si="8"/>
        <v>khuainnh</v>
      </c>
      <c r="P91" s="31" t="str">
        <f t="shared" si="8"/>
        <v>guainnh</v>
      </c>
      <c r="Q91" s="31" t="str">
        <f t="shared" si="8"/>
        <v>nguainnh</v>
      </c>
      <c r="R91" s="31" t="str">
        <f t="shared" si="8"/>
        <v>huainnh</v>
      </c>
      <c r="S91" s="31" t="str">
        <f t="shared" si="8"/>
        <v>tsuainnh</v>
      </c>
      <c r="T91" s="31" t="str">
        <f t="shared" si="8"/>
        <v>tsiuainnh</v>
      </c>
      <c r="U91" s="31" t="str">
        <f t="shared" si="6"/>
        <v>tshuainnh</v>
      </c>
      <c r="V91" s="31" t="str">
        <f t="shared" si="6"/>
        <v>tshiuainnh</v>
      </c>
      <c r="W91" s="31" t="str">
        <f t="shared" si="6"/>
        <v>suainnh</v>
      </c>
      <c r="X91" s="31" t="str">
        <f t="shared" si="6"/>
        <v>siuainnh</v>
      </c>
      <c r="Y91" s="31" t="str">
        <f t="shared" si="6"/>
        <v>juainnh</v>
      </c>
      <c r="Z91" s="31" t="str">
        <f t="shared" si="6"/>
        <v>jiuainnh</v>
      </c>
    </row>
    <row r="92" spans="1:26" ht="44.25">
      <c r="A92" s="16">
        <v>89</v>
      </c>
      <c r="B92" s="29" t="s">
        <v>313</v>
      </c>
      <c r="C92" s="26" t="s">
        <v>150</v>
      </c>
      <c r="D92" s="27" t="s">
        <v>234</v>
      </c>
      <c r="E92" s="31" t="str">
        <f t="shared" si="8"/>
        <v>uenn</v>
      </c>
      <c r="F92" s="31" t="str">
        <f t="shared" si="8"/>
        <v>puenn</v>
      </c>
      <c r="G92" s="31" t="str">
        <f t="shared" si="8"/>
        <v>phuenn</v>
      </c>
      <c r="H92" s="31" t="str">
        <f t="shared" si="8"/>
        <v>buenn</v>
      </c>
      <c r="I92" s="31" t="str">
        <f t="shared" si="8"/>
        <v>muenn</v>
      </c>
      <c r="J92" s="31" t="str">
        <f t="shared" si="8"/>
        <v>tuenn</v>
      </c>
      <c r="K92" s="31" t="str">
        <f t="shared" si="8"/>
        <v>thuenn</v>
      </c>
      <c r="L92" s="31" t="str">
        <f t="shared" si="8"/>
        <v>luenn</v>
      </c>
      <c r="M92" s="31" t="str">
        <f t="shared" si="8"/>
        <v>nuenn</v>
      </c>
      <c r="N92" s="31" t="str">
        <f t="shared" si="8"/>
        <v>kuenn</v>
      </c>
      <c r="O92" s="31" t="str">
        <f t="shared" si="8"/>
        <v>khuenn</v>
      </c>
      <c r="P92" s="31" t="str">
        <f t="shared" si="8"/>
        <v>guenn</v>
      </c>
      <c r="Q92" s="31" t="str">
        <f t="shared" si="8"/>
        <v>nguenn</v>
      </c>
      <c r="R92" s="31" t="str">
        <f t="shared" si="8"/>
        <v>huenn</v>
      </c>
      <c r="S92" s="31" t="str">
        <f t="shared" si="8"/>
        <v>tsuenn</v>
      </c>
      <c r="T92" s="31" t="str">
        <f t="shared" si="8"/>
        <v>tsiuenn</v>
      </c>
      <c r="U92" s="31" t="str">
        <f t="shared" si="6"/>
        <v>tshuenn</v>
      </c>
      <c r="V92" s="31" t="str">
        <f t="shared" si="6"/>
        <v>tshiuenn</v>
      </c>
      <c r="W92" s="31" t="str">
        <f t="shared" si="6"/>
        <v>suenn</v>
      </c>
      <c r="X92" s="31" t="str">
        <f t="shared" si="6"/>
        <v>siuenn</v>
      </c>
      <c r="Y92" s="31" t="str">
        <f t="shared" si="6"/>
        <v>juenn</v>
      </c>
      <c r="Z92" s="31" t="str">
        <f t="shared" si="6"/>
        <v>jiuenn</v>
      </c>
    </row>
    <row r="93" spans="1:26" ht="44.25">
      <c r="A93" s="16">
        <v>90</v>
      </c>
      <c r="B93" s="29" t="s">
        <v>314</v>
      </c>
      <c r="C93" s="26" t="s">
        <v>151</v>
      </c>
      <c r="D93" s="27" t="s">
        <v>315</v>
      </c>
      <c r="E93" s="31" t="str">
        <f t="shared" si="8"/>
        <v>uennh</v>
      </c>
      <c r="F93" s="31" t="str">
        <f t="shared" si="8"/>
        <v>puennh</v>
      </c>
      <c r="G93" s="31" t="str">
        <f t="shared" si="8"/>
        <v>phuennh</v>
      </c>
      <c r="H93" s="31" t="str">
        <f t="shared" si="8"/>
        <v>buennh</v>
      </c>
      <c r="I93" s="31" t="str">
        <f t="shared" si="8"/>
        <v>muennh</v>
      </c>
      <c r="J93" s="31" t="str">
        <f t="shared" si="8"/>
        <v>tuennh</v>
      </c>
      <c r="K93" s="31" t="str">
        <f t="shared" si="8"/>
        <v>thuennh</v>
      </c>
      <c r="L93" s="31" t="str">
        <f t="shared" si="8"/>
        <v>luennh</v>
      </c>
      <c r="M93" s="31" t="str">
        <f t="shared" si="8"/>
        <v>nuennh</v>
      </c>
      <c r="N93" s="31" t="str">
        <f t="shared" si="8"/>
        <v>kuennh</v>
      </c>
      <c r="O93" s="31" t="str">
        <f t="shared" si="8"/>
        <v>khuennh</v>
      </c>
      <c r="P93" s="31" t="str">
        <f t="shared" si="8"/>
        <v>guennh</v>
      </c>
      <c r="Q93" s="31" t="str">
        <f t="shared" si="8"/>
        <v>nguennh</v>
      </c>
      <c r="R93" s="31" t="str">
        <f t="shared" si="8"/>
        <v>huennh</v>
      </c>
      <c r="S93" s="31" t="str">
        <f t="shared" si="8"/>
        <v>tsuennh</v>
      </c>
      <c r="T93" s="31" t="str">
        <f t="shared" si="8"/>
        <v>tsiuennh</v>
      </c>
      <c r="U93" s="31" t="str">
        <f t="shared" si="6"/>
        <v>tshuennh</v>
      </c>
      <c r="V93" s="31" t="str">
        <f t="shared" si="6"/>
        <v>tshiuennh</v>
      </c>
      <c r="W93" s="31" t="str">
        <f t="shared" si="6"/>
        <v>suennh</v>
      </c>
      <c r="X93" s="31" t="str">
        <f t="shared" si="6"/>
        <v>siuennh</v>
      </c>
      <c r="Y93" s="31" t="str">
        <f t="shared" si="6"/>
        <v>juennh</v>
      </c>
      <c r="Z93" s="31" t="str">
        <f t="shared" si="6"/>
        <v>jiuennh</v>
      </c>
    </row>
    <row r="94" spans="1:26" ht="44.25">
      <c r="A94" s="16">
        <v>91</v>
      </c>
      <c r="B94" s="4" t="s">
        <v>316</v>
      </c>
      <c r="C94" s="26" t="s">
        <v>152</v>
      </c>
      <c r="D94" s="27" t="s">
        <v>235</v>
      </c>
      <c r="E94" s="31" t="str">
        <f t="shared" si="8"/>
        <v>iaunn</v>
      </c>
      <c r="F94" s="31" t="str">
        <f t="shared" si="8"/>
        <v>piaunn</v>
      </c>
      <c r="G94" s="31" t="str">
        <f t="shared" si="8"/>
        <v>phiaunn</v>
      </c>
      <c r="H94" s="31" t="str">
        <f t="shared" si="8"/>
        <v>biaunn</v>
      </c>
      <c r="I94" s="31" t="str">
        <f t="shared" si="8"/>
        <v>miaunn</v>
      </c>
      <c r="J94" s="31" t="str">
        <f t="shared" si="8"/>
        <v>tiaunn</v>
      </c>
      <c r="K94" s="31" t="str">
        <f t="shared" si="8"/>
        <v>thiaunn</v>
      </c>
      <c r="L94" s="31" t="str">
        <f t="shared" si="8"/>
        <v>liaunn</v>
      </c>
      <c r="M94" s="31" t="str">
        <f t="shared" si="8"/>
        <v>niaunn</v>
      </c>
      <c r="N94" s="31" t="str">
        <f t="shared" si="8"/>
        <v>kiaunn</v>
      </c>
      <c r="O94" s="31" t="str">
        <f t="shared" si="8"/>
        <v>khiaunn</v>
      </c>
      <c r="P94" s="31" t="str">
        <f t="shared" si="8"/>
        <v>giaunn</v>
      </c>
      <c r="Q94" s="31" t="str">
        <f t="shared" si="8"/>
        <v>ngiaunn</v>
      </c>
      <c r="R94" s="31" t="str">
        <f t="shared" si="8"/>
        <v>hiaunn</v>
      </c>
      <c r="S94" s="31" t="str">
        <f t="shared" si="8"/>
        <v>tsiaunn</v>
      </c>
      <c r="T94" s="31" t="str">
        <f t="shared" si="8"/>
        <v>tsiiaunn</v>
      </c>
      <c r="U94" s="31" t="str">
        <f t="shared" si="6"/>
        <v>tshiaunn</v>
      </c>
      <c r="V94" s="31" t="str">
        <f t="shared" si="6"/>
        <v>tshiiaunn</v>
      </c>
      <c r="W94" s="31" t="str">
        <f t="shared" si="6"/>
        <v>siaunn</v>
      </c>
      <c r="X94" s="31" t="str">
        <f t="shared" si="6"/>
        <v>siiaunn</v>
      </c>
      <c r="Y94" s="31" t="str">
        <f t="shared" si="6"/>
        <v>jiaunn</v>
      </c>
      <c r="Z94" s="31" t="str">
        <f t="shared" si="6"/>
        <v>jiiaunn</v>
      </c>
    </row>
    <row r="95" spans="1:26" ht="44.25">
      <c r="A95" s="16">
        <v>92</v>
      </c>
      <c r="B95" s="4" t="s">
        <v>318</v>
      </c>
      <c r="C95" s="26" t="s">
        <v>153</v>
      </c>
      <c r="D95" s="27" t="s">
        <v>317</v>
      </c>
      <c r="E95" s="31" t="str">
        <f t="shared" si="8"/>
        <v>iaunnh</v>
      </c>
      <c r="F95" s="31" t="str">
        <f t="shared" si="8"/>
        <v>piaunnh</v>
      </c>
      <c r="G95" s="31" t="str">
        <f t="shared" si="8"/>
        <v>phiaunnh</v>
      </c>
      <c r="H95" s="31" t="str">
        <f t="shared" si="8"/>
        <v>biaunnh</v>
      </c>
      <c r="I95" s="31" t="str">
        <f t="shared" si="8"/>
        <v>miaunnh</v>
      </c>
      <c r="J95" s="31" t="str">
        <f t="shared" si="8"/>
        <v>tiaunnh</v>
      </c>
      <c r="K95" s="31" t="str">
        <f t="shared" si="8"/>
        <v>thiaunnh</v>
      </c>
      <c r="L95" s="31" t="str">
        <f t="shared" si="8"/>
        <v>liaunnh</v>
      </c>
      <c r="M95" s="31" t="str">
        <f t="shared" si="8"/>
        <v>niaunnh</v>
      </c>
      <c r="N95" s="31" t="str">
        <f t="shared" si="8"/>
        <v>kiaunnh</v>
      </c>
      <c r="O95" s="31" t="str">
        <f t="shared" si="8"/>
        <v>khiaunnh</v>
      </c>
      <c r="P95" s="31" t="str">
        <f t="shared" si="8"/>
        <v>giaunnh</v>
      </c>
      <c r="Q95" s="31" t="str">
        <f t="shared" si="8"/>
        <v>ngiaunnh</v>
      </c>
      <c r="R95" s="31" t="str">
        <f t="shared" si="8"/>
        <v>hiaunnh</v>
      </c>
      <c r="S95" s="31" t="str">
        <f t="shared" si="8"/>
        <v>tsiaunnh</v>
      </c>
      <c r="T95" s="31" t="str">
        <f t="shared" si="8"/>
        <v>tsiiaunnh</v>
      </c>
      <c r="U95" s="31" t="str">
        <f t="shared" si="6"/>
        <v>tshiaunnh</v>
      </c>
      <c r="V95" s="31" t="str">
        <f t="shared" si="6"/>
        <v>tshiiaunnh</v>
      </c>
      <c r="W95" s="31" t="str">
        <f t="shared" si="6"/>
        <v>siaunnh</v>
      </c>
      <c r="X95" s="31" t="str">
        <f t="shared" si="6"/>
        <v>siiaunnh</v>
      </c>
      <c r="Y95" s="31" t="str">
        <f t="shared" si="6"/>
        <v>jiaunnh</v>
      </c>
      <c r="Z95" s="31" t="str">
        <f t="shared" si="6"/>
        <v>jiiaunnh</v>
      </c>
    </row>
    <row r="96" spans="1:26" ht="44.25">
      <c r="A96" s="16">
        <v>93</v>
      </c>
      <c r="B96" s="4" t="s">
        <v>319</v>
      </c>
      <c r="C96" s="17" t="s">
        <v>154</v>
      </c>
      <c r="D96" s="18" t="s">
        <v>236</v>
      </c>
      <c r="E96" s="31" t="str">
        <f t="shared" si="8"/>
        <v>om</v>
      </c>
      <c r="F96" s="31" t="str">
        <f t="shared" si="8"/>
        <v>pom</v>
      </c>
      <c r="G96" s="31" t="str">
        <f t="shared" si="8"/>
        <v>phom</v>
      </c>
      <c r="H96" s="31" t="str">
        <f t="shared" si="8"/>
        <v>bom</v>
      </c>
      <c r="I96" s="31" t="str">
        <f t="shared" si="8"/>
        <v>mom</v>
      </c>
      <c r="J96" s="31" t="str">
        <f t="shared" si="8"/>
        <v>tom</v>
      </c>
      <c r="K96" s="31" t="str">
        <f t="shared" si="8"/>
        <v>thom</v>
      </c>
      <c r="L96" s="31" t="str">
        <f t="shared" si="8"/>
        <v>lom</v>
      </c>
      <c r="M96" s="31" t="str">
        <f t="shared" si="8"/>
        <v>nom</v>
      </c>
      <c r="N96" s="31" t="str">
        <f t="shared" si="8"/>
        <v>kom</v>
      </c>
      <c r="O96" s="31" t="str">
        <f t="shared" si="8"/>
        <v>khom</v>
      </c>
      <c r="P96" s="31" t="str">
        <f t="shared" si="8"/>
        <v>gom</v>
      </c>
      <c r="Q96" s="31" t="str">
        <f t="shared" si="8"/>
        <v>ngom</v>
      </c>
      <c r="R96" s="31" t="str">
        <f t="shared" si="8"/>
        <v>hom</v>
      </c>
      <c r="S96" s="31" t="str">
        <f t="shared" si="8"/>
        <v>tsom</v>
      </c>
      <c r="T96" s="31" t="str">
        <f t="shared" si="8"/>
        <v>tsiom</v>
      </c>
      <c r="U96" s="31" t="str">
        <f t="shared" si="6"/>
        <v>tshom</v>
      </c>
      <c r="V96" s="31" t="str">
        <f t="shared" si="6"/>
        <v>tshiom</v>
      </c>
      <c r="W96" s="31" t="str">
        <f t="shared" si="6"/>
        <v>som</v>
      </c>
      <c r="X96" s="31" t="str">
        <f t="shared" si="6"/>
        <v>siom</v>
      </c>
      <c r="Y96" s="31" t="str">
        <f t="shared" si="6"/>
        <v>jom</v>
      </c>
      <c r="Z96" s="31" t="str">
        <f t="shared" si="6"/>
        <v>jiom</v>
      </c>
    </row>
    <row r="97" spans="1:26" ht="44.25">
      <c r="A97" s="16">
        <v>94</v>
      </c>
      <c r="B97" s="4" t="s">
        <v>320</v>
      </c>
      <c r="C97" s="26" t="s">
        <v>155</v>
      </c>
      <c r="D97" s="27" t="s">
        <v>321</v>
      </c>
      <c r="E97" s="31" t="str">
        <f t="shared" si="8"/>
        <v>op</v>
      </c>
      <c r="F97" s="31" t="str">
        <f t="shared" si="8"/>
        <v>pop</v>
      </c>
      <c r="G97" s="31" t="str">
        <f t="shared" si="8"/>
        <v>phop</v>
      </c>
      <c r="H97" s="31" t="str">
        <f t="shared" si="8"/>
        <v>bop</v>
      </c>
      <c r="I97" s="31" t="str">
        <f t="shared" si="8"/>
        <v>mop</v>
      </c>
      <c r="J97" s="31" t="str">
        <f t="shared" si="8"/>
        <v>top</v>
      </c>
      <c r="K97" s="31" t="str">
        <f t="shared" si="8"/>
        <v>thop</v>
      </c>
      <c r="L97" s="31" t="str">
        <f t="shared" si="8"/>
        <v>lop</v>
      </c>
      <c r="M97" s="31" t="str">
        <f t="shared" si="8"/>
        <v>nop</v>
      </c>
      <c r="N97" s="31" t="str">
        <f t="shared" si="8"/>
        <v>kop</v>
      </c>
      <c r="O97" s="31" t="str">
        <f t="shared" si="8"/>
        <v>khop</v>
      </c>
      <c r="P97" s="31" t="str">
        <f t="shared" si="8"/>
        <v>gop</v>
      </c>
      <c r="Q97" s="31" t="str">
        <f t="shared" si="8"/>
        <v>ngop</v>
      </c>
      <c r="R97" s="31" t="str">
        <f t="shared" si="8"/>
        <v>hop</v>
      </c>
      <c r="S97" s="31" t="str">
        <f t="shared" si="8"/>
        <v>tsop</v>
      </c>
      <c r="T97" s="31" t="str">
        <f t="shared" si="8"/>
        <v>tsiop</v>
      </c>
      <c r="U97" s="31" t="str">
        <f t="shared" si="6"/>
        <v>tshop</v>
      </c>
      <c r="V97" s="31" t="str">
        <f t="shared" si="6"/>
        <v>tshiop</v>
      </c>
      <c r="W97" s="31" t="str">
        <f t="shared" si="6"/>
        <v>sop</v>
      </c>
      <c r="X97" s="31" t="str">
        <f t="shared" si="6"/>
        <v>siop</v>
      </c>
      <c r="Y97" s="31" t="str">
        <f t="shared" si="6"/>
        <v>jop</v>
      </c>
      <c r="Z97" s="31" t="str">
        <f t="shared" si="6"/>
        <v>jiop</v>
      </c>
    </row>
    <row r="98" spans="1:26" ht="32.25">
      <c r="A98" s="16">
        <v>95</v>
      </c>
      <c r="B98" s="30" t="s">
        <v>322</v>
      </c>
      <c r="C98" s="17" t="s">
        <v>156</v>
      </c>
      <c r="D98" s="18" t="s">
        <v>237</v>
      </c>
      <c r="E98" s="31" t="str">
        <f t="shared" si="8"/>
        <v>aunn</v>
      </c>
      <c r="F98" s="31" t="str">
        <f t="shared" si="8"/>
        <v>paunn</v>
      </c>
      <c r="G98" s="31" t="str">
        <f t="shared" si="8"/>
        <v>phaunn</v>
      </c>
      <c r="H98" s="31" t="str">
        <f t="shared" si="8"/>
        <v>baunn</v>
      </c>
      <c r="I98" s="31" t="str">
        <f t="shared" si="8"/>
        <v>maunn</v>
      </c>
      <c r="J98" s="31" t="str">
        <f t="shared" si="8"/>
        <v>taunn</v>
      </c>
      <c r="K98" s="31" t="str">
        <f t="shared" si="8"/>
        <v>thaunn</v>
      </c>
      <c r="L98" s="31" t="str">
        <f t="shared" si="8"/>
        <v>launn</v>
      </c>
      <c r="M98" s="31" t="str">
        <f t="shared" si="8"/>
        <v>naunn</v>
      </c>
      <c r="N98" s="31" t="str">
        <f t="shared" si="8"/>
        <v>kaunn</v>
      </c>
      <c r="O98" s="31" t="str">
        <f t="shared" si="8"/>
        <v>khaunn</v>
      </c>
      <c r="P98" s="31" t="str">
        <f t="shared" si="8"/>
        <v>gaunn</v>
      </c>
      <c r="Q98" s="31" t="str">
        <f t="shared" si="8"/>
        <v>ngaunn</v>
      </c>
      <c r="R98" s="31" t="str">
        <f t="shared" si="8"/>
        <v>haunn</v>
      </c>
      <c r="S98" s="31" t="str">
        <f t="shared" si="8"/>
        <v>tsaunn</v>
      </c>
      <c r="T98" s="31" t="str">
        <f t="shared" si="8"/>
        <v>tsiaunn</v>
      </c>
      <c r="U98" s="31" t="str">
        <f t="shared" si="6"/>
        <v>tshaunn</v>
      </c>
      <c r="V98" s="31" t="str">
        <f t="shared" si="6"/>
        <v>tshiaunn</v>
      </c>
      <c r="W98" s="31" t="str">
        <f t="shared" si="6"/>
        <v>saunn</v>
      </c>
      <c r="X98" s="31" t="str">
        <f t="shared" si="6"/>
        <v>siaunn</v>
      </c>
      <c r="Y98" s="31" t="str">
        <f t="shared" si="6"/>
        <v>jaunn</v>
      </c>
      <c r="Z98" s="31" t="str">
        <f t="shared" si="6"/>
        <v>jiaunn</v>
      </c>
    </row>
    <row r="99" spans="1:26" ht="44.25">
      <c r="A99" s="16">
        <v>96</v>
      </c>
      <c r="B99" s="4"/>
      <c r="C99" s="26" t="s">
        <v>157</v>
      </c>
      <c r="D99" s="27"/>
      <c r="E99" s="31" t="str">
        <f t="shared" si="8"/>
        <v/>
      </c>
      <c r="F99" s="31" t="str">
        <f t="shared" si="8"/>
        <v/>
      </c>
      <c r="G99" s="31" t="str">
        <f t="shared" si="8"/>
        <v/>
      </c>
      <c r="H99" s="31" t="str">
        <f t="shared" si="8"/>
        <v/>
      </c>
      <c r="I99" s="31" t="str">
        <f t="shared" si="8"/>
        <v/>
      </c>
      <c r="J99" s="31" t="str">
        <f t="shared" si="8"/>
        <v/>
      </c>
      <c r="K99" s="31" t="str">
        <f t="shared" si="8"/>
        <v/>
      </c>
      <c r="L99" s="31" t="str">
        <f t="shared" si="8"/>
        <v/>
      </c>
      <c r="M99" s="31" t="str">
        <f t="shared" si="8"/>
        <v/>
      </c>
      <c r="N99" s="31" t="str">
        <f t="shared" si="8"/>
        <v/>
      </c>
      <c r="O99" s="31" t="str">
        <f t="shared" ref="E99:T103" si="9">IF($D99="", "", _xlfn.CONCAT(O$3, $D99))</f>
        <v/>
      </c>
      <c r="P99" s="31" t="str">
        <f t="shared" si="9"/>
        <v/>
      </c>
      <c r="Q99" s="31" t="str">
        <f t="shared" si="9"/>
        <v/>
      </c>
      <c r="R99" s="31" t="str">
        <f t="shared" si="9"/>
        <v/>
      </c>
      <c r="S99" s="31" t="str">
        <f t="shared" si="9"/>
        <v/>
      </c>
      <c r="T99" s="31" t="str">
        <f t="shared" si="9"/>
        <v/>
      </c>
      <c r="U99" s="31" t="str">
        <f t="shared" si="6"/>
        <v/>
      </c>
      <c r="V99" s="31" t="str">
        <f t="shared" si="6"/>
        <v/>
      </c>
      <c r="W99" s="31" t="str">
        <f t="shared" si="6"/>
        <v/>
      </c>
      <c r="X99" s="31" t="str">
        <f t="shared" si="6"/>
        <v/>
      </c>
      <c r="Y99" s="31" t="str">
        <f t="shared" si="6"/>
        <v/>
      </c>
      <c r="Z99" s="31" t="str">
        <f t="shared" si="6"/>
        <v/>
      </c>
    </row>
    <row r="100" spans="1:26" ht="44.25">
      <c r="A100" s="16">
        <v>97</v>
      </c>
      <c r="B100" s="4"/>
      <c r="C100" s="26" t="s">
        <v>158</v>
      </c>
      <c r="D100" s="27" t="s">
        <v>229</v>
      </c>
      <c r="E100" s="31" t="str">
        <f t="shared" si="9"/>
        <v>onn</v>
      </c>
      <c r="F100" s="31" t="str">
        <f t="shared" si="9"/>
        <v>ponn</v>
      </c>
      <c r="G100" s="31" t="str">
        <f t="shared" si="9"/>
        <v>phonn</v>
      </c>
      <c r="H100" s="31" t="str">
        <f t="shared" si="9"/>
        <v>bonn</v>
      </c>
      <c r="I100" s="31" t="str">
        <f t="shared" si="9"/>
        <v>monn</v>
      </c>
      <c r="J100" s="31" t="str">
        <f t="shared" si="9"/>
        <v>tonn</v>
      </c>
      <c r="K100" s="31" t="str">
        <f t="shared" si="9"/>
        <v>thonn</v>
      </c>
      <c r="L100" s="31" t="str">
        <f t="shared" si="9"/>
        <v>lonn</v>
      </c>
      <c r="M100" s="31" t="str">
        <f t="shared" si="9"/>
        <v>nonn</v>
      </c>
      <c r="N100" s="31" t="str">
        <f t="shared" si="9"/>
        <v>konn</v>
      </c>
      <c r="O100" s="31" t="str">
        <f t="shared" si="9"/>
        <v>khonn</v>
      </c>
      <c r="P100" s="31" t="str">
        <f t="shared" si="9"/>
        <v>gonn</v>
      </c>
      <c r="Q100" s="31" t="str">
        <f t="shared" si="9"/>
        <v>ngonn</v>
      </c>
      <c r="R100" s="31" t="str">
        <f t="shared" si="9"/>
        <v>honn</v>
      </c>
      <c r="S100" s="31" t="str">
        <f t="shared" si="9"/>
        <v>tsonn</v>
      </c>
      <c r="T100" s="31" t="str">
        <f t="shared" si="9"/>
        <v>tsionn</v>
      </c>
      <c r="U100" s="31" t="str">
        <f t="shared" si="6"/>
        <v>tshonn</v>
      </c>
      <c r="V100" s="31" t="str">
        <f t="shared" si="6"/>
        <v>tshionn</v>
      </c>
      <c r="W100" s="31" t="str">
        <f t="shared" si="6"/>
        <v>sonn</v>
      </c>
      <c r="X100" s="31" t="str">
        <f t="shared" si="6"/>
        <v>sionn</v>
      </c>
      <c r="Y100" s="31" t="str">
        <f t="shared" si="6"/>
        <v>jonn</v>
      </c>
      <c r="Z100" s="31" t="str">
        <f t="shared" si="6"/>
        <v>jionn</v>
      </c>
    </row>
    <row r="101" spans="1:26" ht="44.25">
      <c r="A101" s="16">
        <v>98</v>
      </c>
      <c r="B101" s="4"/>
      <c r="C101" s="26" t="s">
        <v>159</v>
      </c>
      <c r="D101" s="27" t="s">
        <v>323</v>
      </c>
      <c r="E101" s="31" t="str">
        <f t="shared" si="9"/>
        <v>onnh</v>
      </c>
      <c r="F101" s="31" t="str">
        <f t="shared" si="9"/>
        <v>ponnh</v>
      </c>
      <c r="G101" s="31" t="str">
        <f t="shared" si="9"/>
        <v>phonnh</v>
      </c>
      <c r="H101" s="31" t="str">
        <f t="shared" si="9"/>
        <v>bonnh</v>
      </c>
      <c r="I101" s="31" t="str">
        <f t="shared" si="9"/>
        <v>monnh</v>
      </c>
      <c r="J101" s="31" t="str">
        <f t="shared" si="9"/>
        <v>tonnh</v>
      </c>
      <c r="K101" s="31" t="str">
        <f t="shared" si="9"/>
        <v>thonnh</v>
      </c>
      <c r="L101" s="31" t="str">
        <f t="shared" si="9"/>
        <v>lonnh</v>
      </c>
      <c r="M101" s="31" t="str">
        <f t="shared" si="9"/>
        <v>nonnh</v>
      </c>
      <c r="N101" s="31" t="str">
        <f t="shared" si="9"/>
        <v>konnh</v>
      </c>
      <c r="O101" s="31" t="str">
        <f t="shared" si="9"/>
        <v>khonnh</v>
      </c>
      <c r="P101" s="31" t="str">
        <f t="shared" si="9"/>
        <v>gonnh</v>
      </c>
      <c r="Q101" s="31" t="str">
        <f t="shared" si="9"/>
        <v>ngonnh</v>
      </c>
      <c r="R101" s="31" t="str">
        <f t="shared" si="9"/>
        <v>honnh</v>
      </c>
      <c r="S101" s="31" t="str">
        <f t="shared" si="9"/>
        <v>tsonnh</v>
      </c>
      <c r="T101" s="31" t="str">
        <f t="shared" si="9"/>
        <v>tsionnh</v>
      </c>
      <c r="U101" s="31" t="str">
        <f t="shared" si="6"/>
        <v>tshonnh</v>
      </c>
      <c r="V101" s="31" t="str">
        <f t="shared" si="6"/>
        <v>tshionnh</v>
      </c>
      <c r="W101" s="31" t="str">
        <f t="shared" si="6"/>
        <v>sonnh</v>
      </c>
      <c r="X101" s="31" t="str">
        <f t="shared" si="6"/>
        <v>sionnh</v>
      </c>
      <c r="Y101" s="31" t="str">
        <f t="shared" si="6"/>
        <v>jonnh</v>
      </c>
      <c r="Z101" s="31" t="str">
        <f t="shared" si="6"/>
        <v>jionnh</v>
      </c>
    </row>
    <row r="102" spans="1:26" ht="44.25">
      <c r="A102" s="16">
        <v>99</v>
      </c>
      <c r="B102" s="4" t="s">
        <v>303</v>
      </c>
      <c r="C102" s="17" t="s">
        <v>160</v>
      </c>
      <c r="D102" s="18" t="s">
        <v>239</v>
      </c>
      <c r="E102" s="31" t="str">
        <f t="shared" si="9"/>
        <v>iunn</v>
      </c>
      <c r="F102" s="31" t="str">
        <f t="shared" si="9"/>
        <v>piunn</v>
      </c>
      <c r="G102" s="31" t="str">
        <f t="shared" si="9"/>
        <v>phiunn</v>
      </c>
      <c r="H102" s="31" t="str">
        <f t="shared" si="9"/>
        <v>biunn</v>
      </c>
      <c r="I102" s="31" t="str">
        <f t="shared" si="9"/>
        <v>miunn</v>
      </c>
      <c r="J102" s="31" t="str">
        <f t="shared" si="9"/>
        <v>tiunn</v>
      </c>
      <c r="K102" s="31" t="str">
        <f t="shared" si="9"/>
        <v>thiunn</v>
      </c>
      <c r="L102" s="31" t="str">
        <f t="shared" si="9"/>
        <v>liunn</v>
      </c>
      <c r="M102" s="31" t="str">
        <f t="shared" si="9"/>
        <v>niunn</v>
      </c>
      <c r="N102" s="31" t="str">
        <f t="shared" si="9"/>
        <v>kiunn</v>
      </c>
      <c r="O102" s="31" t="str">
        <f t="shared" si="9"/>
        <v>khiunn</v>
      </c>
      <c r="P102" s="31" t="str">
        <f t="shared" si="9"/>
        <v>giunn</v>
      </c>
      <c r="Q102" s="31" t="str">
        <f t="shared" si="9"/>
        <v>ngiunn</v>
      </c>
      <c r="R102" s="31" t="str">
        <f t="shared" si="9"/>
        <v>hiunn</v>
      </c>
      <c r="S102" s="31" t="str">
        <f t="shared" si="9"/>
        <v>tsiunn</v>
      </c>
      <c r="T102" s="31" t="str">
        <f t="shared" si="9"/>
        <v>tsiiunn</v>
      </c>
      <c r="U102" s="31" t="str">
        <f t="shared" si="6"/>
        <v>tshiunn</v>
      </c>
      <c r="V102" s="31" t="str">
        <f t="shared" si="6"/>
        <v>tshiiunn</v>
      </c>
      <c r="W102" s="31" t="str">
        <f t="shared" si="6"/>
        <v>siunn</v>
      </c>
      <c r="X102" s="31" t="str">
        <f t="shared" si="6"/>
        <v>siiunn</v>
      </c>
      <c r="Y102" s="31" t="str">
        <f t="shared" si="6"/>
        <v>jiunn</v>
      </c>
      <c r="Z102" s="31" t="str">
        <f t="shared" si="6"/>
        <v>jiiunn</v>
      </c>
    </row>
    <row r="103" spans="1:26" ht="44.25">
      <c r="A103" s="16">
        <v>100</v>
      </c>
      <c r="B103" s="4"/>
      <c r="C103" s="26" t="s">
        <v>161</v>
      </c>
      <c r="D103" s="27"/>
      <c r="E103" s="32" t="str">
        <f t="shared" si="9"/>
        <v/>
      </c>
      <c r="F103" s="32" t="str">
        <f t="shared" si="9"/>
        <v/>
      </c>
      <c r="G103" s="32" t="str">
        <f t="shared" si="9"/>
        <v/>
      </c>
      <c r="H103" s="32" t="str">
        <f t="shared" si="9"/>
        <v/>
      </c>
      <c r="I103" s="32" t="str">
        <f t="shared" si="9"/>
        <v/>
      </c>
      <c r="J103" s="32" t="str">
        <f t="shared" si="9"/>
        <v/>
      </c>
      <c r="K103" s="32" t="str">
        <f t="shared" si="9"/>
        <v/>
      </c>
      <c r="L103" s="32" t="str">
        <f t="shared" si="9"/>
        <v/>
      </c>
      <c r="M103" s="32" t="str">
        <f t="shared" si="9"/>
        <v/>
      </c>
      <c r="N103" s="32" t="str">
        <f t="shared" si="9"/>
        <v/>
      </c>
      <c r="O103" s="32" t="str">
        <f t="shared" si="9"/>
        <v/>
      </c>
      <c r="P103" s="32" t="str">
        <f t="shared" si="9"/>
        <v/>
      </c>
      <c r="Q103" s="32" t="str">
        <f t="shared" si="9"/>
        <v/>
      </c>
      <c r="R103" s="32" t="str">
        <f t="shared" si="9"/>
        <v/>
      </c>
      <c r="S103" s="32" t="str">
        <f t="shared" si="9"/>
        <v/>
      </c>
      <c r="T103" s="32" t="str">
        <f t="shared" si="9"/>
        <v/>
      </c>
      <c r="U103" s="32" t="str">
        <f t="shared" si="6"/>
        <v/>
      </c>
      <c r="V103" s="32" t="str">
        <f t="shared" si="6"/>
        <v/>
      </c>
      <c r="W103" s="32" t="str">
        <f t="shared" si="6"/>
        <v/>
      </c>
      <c r="X103" s="32" t="str">
        <f t="shared" si="6"/>
        <v/>
      </c>
      <c r="Y103" s="32" t="str">
        <f t="shared" si="6"/>
        <v/>
      </c>
      <c r="Z103" s="32" t="str">
        <f t="shared" si="6"/>
        <v/>
      </c>
    </row>
  </sheetData>
  <mergeCells count="3">
    <mergeCell ref="A1:D1"/>
    <mergeCell ref="A2:D2"/>
    <mergeCell ref="A3:D3"/>
  </mergeCells>
  <phoneticPr fontId="2" type="noConversion"/>
  <conditionalFormatting sqref="E4:Z103">
    <cfRule type="expression" dxfId="22" priority="1">
      <formula>E4=""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6E3AE-91F3-4F94-AA97-F37806344197}">
  <dimension ref="A1:M23"/>
  <sheetViews>
    <sheetView topLeftCell="A11" workbookViewId="0">
      <selection activeCell="L23" sqref="L23"/>
    </sheetView>
  </sheetViews>
  <sheetFormatPr defaultRowHeight="16.5"/>
  <cols>
    <col min="1" max="3" width="9.875" customWidth="1"/>
    <col min="4" max="5" width="13" customWidth="1"/>
    <col min="6" max="13" width="15" customWidth="1"/>
    <col min="14" max="14" width="14.5" customWidth="1"/>
  </cols>
  <sheetData>
    <row r="1" spans="1:13" s="1" customFormat="1" ht="23.25">
      <c r="A1" s="46" t="s">
        <v>1054</v>
      </c>
      <c r="B1" s="46" t="s">
        <v>1064</v>
      </c>
      <c r="C1" s="46" t="s">
        <v>325</v>
      </c>
      <c r="D1" s="46" t="s">
        <v>0</v>
      </c>
      <c r="E1" s="47" t="s">
        <v>1065</v>
      </c>
      <c r="F1" s="47" t="s">
        <v>1057</v>
      </c>
      <c r="G1" s="47" t="s">
        <v>326</v>
      </c>
      <c r="H1" s="47" t="s">
        <v>1063</v>
      </c>
      <c r="I1" s="47" t="s">
        <v>1058</v>
      </c>
      <c r="J1" s="47" t="s">
        <v>1059</v>
      </c>
      <c r="K1" s="47" t="s">
        <v>1060</v>
      </c>
      <c r="L1" s="47" t="s">
        <v>1061</v>
      </c>
      <c r="M1" s="47" t="s">
        <v>1062</v>
      </c>
    </row>
    <row r="2" spans="1:13" ht="44.25">
      <c r="A2" s="71">
        <v>8</v>
      </c>
      <c r="B2" s="71">
        <v>1</v>
      </c>
      <c r="C2" s="5" t="s">
        <v>25</v>
      </c>
      <c r="D2" s="9" t="s">
        <v>7</v>
      </c>
      <c r="E2" s="9" t="s">
        <v>7</v>
      </c>
      <c r="F2" s="43" t="s">
        <v>47</v>
      </c>
      <c r="G2" s="43" t="s">
        <v>47</v>
      </c>
      <c r="H2" s="43" t="s">
        <v>47</v>
      </c>
      <c r="I2" s="43" t="s">
        <v>47</v>
      </c>
      <c r="J2" s="43" t="s">
        <v>47</v>
      </c>
      <c r="K2" s="43" t="s">
        <v>47</v>
      </c>
      <c r="L2" s="43" t="s">
        <v>1273</v>
      </c>
      <c r="M2" s="43" t="s">
        <v>1273</v>
      </c>
    </row>
    <row r="3" spans="1:13" ht="44.25">
      <c r="A3" s="72">
        <v>9</v>
      </c>
      <c r="B3" s="72">
        <v>1</v>
      </c>
      <c r="C3" s="6" t="s">
        <v>26</v>
      </c>
      <c r="D3" s="10" t="s">
        <v>7</v>
      </c>
      <c r="E3" s="10" t="s">
        <v>26</v>
      </c>
      <c r="F3" s="44" t="s">
        <v>48</v>
      </c>
      <c r="G3" s="44" t="s">
        <v>48</v>
      </c>
      <c r="H3" s="44" t="s">
        <v>48</v>
      </c>
      <c r="I3" s="44" t="s">
        <v>48</v>
      </c>
      <c r="J3" s="44" t="s">
        <v>1274</v>
      </c>
      <c r="K3" s="44" t="s">
        <v>48</v>
      </c>
      <c r="L3" s="44" t="s">
        <v>1275</v>
      </c>
      <c r="M3" s="44" t="s">
        <v>1275</v>
      </c>
    </row>
    <row r="4" spans="1:13" ht="44.25">
      <c r="A4" s="73">
        <v>2</v>
      </c>
      <c r="B4" s="73">
        <v>2</v>
      </c>
      <c r="C4" s="4" t="s">
        <v>19</v>
      </c>
      <c r="D4" s="8" t="s">
        <v>2</v>
      </c>
      <c r="E4" s="8" t="s">
        <v>2</v>
      </c>
      <c r="F4" s="42" t="s">
        <v>41</v>
      </c>
      <c r="G4" s="42" t="s">
        <v>41</v>
      </c>
      <c r="H4" s="42" t="s">
        <v>41</v>
      </c>
      <c r="I4" s="42" t="s">
        <v>41</v>
      </c>
      <c r="J4" s="42" t="s">
        <v>43</v>
      </c>
      <c r="K4" s="42" t="s">
        <v>43</v>
      </c>
      <c r="L4" s="42" t="s">
        <v>1276</v>
      </c>
      <c r="M4" s="42" t="s">
        <v>1276</v>
      </c>
    </row>
    <row r="5" spans="1:13" ht="44.25">
      <c r="A5" s="73">
        <v>10</v>
      </c>
      <c r="B5" s="73">
        <v>3</v>
      </c>
      <c r="C5" s="4" t="s">
        <v>27</v>
      </c>
      <c r="D5" s="8" t="s">
        <v>8</v>
      </c>
      <c r="E5" s="8" t="s">
        <v>8</v>
      </c>
      <c r="F5" s="42" t="s">
        <v>49</v>
      </c>
      <c r="G5" s="42" t="s">
        <v>49</v>
      </c>
      <c r="H5" s="42" t="s">
        <v>49</v>
      </c>
      <c r="I5" s="42" t="s">
        <v>49</v>
      </c>
      <c r="J5" s="42" t="s">
        <v>51</v>
      </c>
      <c r="K5" s="42" t="s">
        <v>51</v>
      </c>
      <c r="L5" s="42" t="s">
        <v>1277</v>
      </c>
      <c r="M5" s="42" t="s">
        <v>1277</v>
      </c>
    </row>
    <row r="6" spans="1:13" ht="44.25">
      <c r="A6" s="73">
        <v>11</v>
      </c>
      <c r="B6" s="73">
        <v>4</v>
      </c>
      <c r="C6" s="4" t="s">
        <v>28</v>
      </c>
      <c r="D6" s="8" t="s">
        <v>9</v>
      </c>
      <c r="E6" s="8" t="s">
        <v>9</v>
      </c>
      <c r="F6" s="42" t="s">
        <v>1278</v>
      </c>
      <c r="G6" s="42" t="s">
        <v>50</v>
      </c>
      <c r="H6" s="42" t="s">
        <v>50</v>
      </c>
      <c r="I6" s="42" t="s">
        <v>50</v>
      </c>
      <c r="J6" s="42" t="s">
        <v>49</v>
      </c>
      <c r="K6" s="42" t="s">
        <v>49</v>
      </c>
      <c r="L6" s="42" t="s">
        <v>1279</v>
      </c>
      <c r="M6" s="42" t="s">
        <v>1279</v>
      </c>
    </row>
    <row r="7" spans="1:13" ht="44.25">
      <c r="A7" s="73">
        <v>6</v>
      </c>
      <c r="B7" s="73">
        <v>5</v>
      </c>
      <c r="C7" s="4" t="s">
        <v>23</v>
      </c>
      <c r="D7" s="8" t="s">
        <v>5</v>
      </c>
      <c r="E7" s="8" t="s">
        <v>5</v>
      </c>
      <c r="F7" s="42" t="s">
        <v>45</v>
      </c>
      <c r="G7" s="42" t="s">
        <v>45</v>
      </c>
      <c r="H7" s="42" t="s">
        <v>45</v>
      </c>
      <c r="I7" s="42" t="s">
        <v>45</v>
      </c>
      <c r="J7" s="42" t="s">
        <v>1280</v>
      </c>
      <c r="K7" s="42" t="s">
        <v>1280</v>
      </c>
      <c r="L7" s="42" t="s">
        <v>1281</v>
      </c>
      <c r="M7" s="42" t="s">
        <v>1281</v>
      </c>
    </row>
    <row r="8" spans="1:13" ht="44.25">
      <c r="A8" s="73">
        <v>3</v>
      </c>
      <c r="B8" s="73">
        <v>6</v>
      </c>
      <c r="C8" s="4" t="s">
        <v>20</v>
      </c>
      <c r="D8" s="8" t="s">
        <v>3</v>
      </c>
      <c r="E8" s="8" t="s">
        <v>3</v>
      </c>
      <c r="F8" s="42" t="s">
        <v>1282</v>
      </c>
      <c r="G8" s="42" t="s">
        <v>42</v>
      </c>
      <c r="H8" s="42" t="s">
        <v>42</v>
      </c>
      <c r="I8" s="42" t="s">
        <v>42</v>
      </c>
      <c r="J8" s="42" t="s">
        <v>41</v>
      </c>
      <c r="K8" s="42" t="s">
        <v>41</v>
      </c>
      <c r="L8" s="42" t="s">
        <v>1283</v>
      </c>
      <c r="M8" s="42" t="s">
        <v>1283</v>
      </c>
    </row>
    <row r="9" spans="1:13" ht="44.25">
      <c r="A9" s="73">
        <v>7</v>
      </c>
      <c r="B9" s="73">
        <v>7</v>
      </c>
      <c r="C9" s="4" t="s">
        <v>24</v>
      </c>
      <c r="D9" s="8" t="s">
        <v>6</v>
      </c>
      <c r="E9" s="8" t="s">
        <v>6</v>
      </c>
      <c r="F9" s="42" t="s">
        <v>1284</v>
      </c>
      <c r="G9" s="42" t="s">
        <v>46</v>
      </c>
      <c r="H9" s="42" t="s">
        <v>46</v>
      </c>
      <c r="I9" s="42" t="s">
        <v>46</v>
      </c>
      <c r="J9" s="42" t="s">
        <v>45</v>
      </c>
      <c r="K9" s="42" t="s">
        <v>45</v>
      </c>
      <c r="L9" s="42" t="s">
        <v>1285</v>
      </c>
      <c r="M9" s="42" t="s">
        <v>1285</v>
      </c>
    </row>
    <row r="10" spans="1:13" ht="44.25">
      <c r="A10" s="74">
        <v>15</v>
      </c>
      <c r="B10" s="74">
        <v>8</v>
      </c>
      <c r="C10" s="7" t="s">
        <v>32</v>
      </c>
      <c r="D10" s="11" t="s">
        <v>12</v>
      </c>
      <c r="E10" s="11" t="s">
        <v>12</v>
      </c>
      <c r="F10" s="45" t="s">
        <v>1286</v>
      </c>
      <c r="G10" s="45" t="s">
        <v>54</v>
      </c>
      <c r="H10" s="45" t="s">
        <v>1287</v>
      </c>
      <c r="I10" s="45" t="s">
        <v>1288</v>
      </c>
      <c r="J10" s="45" t="s">
        <v>1287</v>
      </c>
      <c r="K10" s="45" t="s">
        <v>1287</v>
      </c>
      <c r="L10" s="45" t="s">
        <v>1289</v>
      </c>
      <c r="M10" s="45" t="s">
        <v>1289</v>
      </c>
    </row>
    <row r="11" spans="1:13" ht="44.25">
      <c r="A11" s="73">
        <v>16</v>
      </c>
      <c r="B11" s="73">
        <v>8</v>
      </c>
      <c r="C11" s="4" t="s">
        <v>33</v>
      </c>
      <c r="D11" s="8" t="s">
        <v>12</v>
      </c>
      <c r="E11" s="8" t="s">
        <v>12</v>
      </c>
      <c r="F11" s="42" t="s">
        <v>1290</v>
      </c>
      <c r="G11" s="42" t="s">
        <v>55</v>
      </c>
      <c r="H11" s="42" t="s">
        <v>1291</v>
      </c>
      <c r="I11" s="42" t="s">
        <v>1292</v>
      </c>
      <c r="J11" s="42" t="s">
        <v>1291</v>
      </c>
      <c r="K11" s="42" t="s">
        <v>60</v>
      </c>
      <c r="L11" s="42" t="s">
        <v>1293</v>
      </c>
      <c r="M11" s="42" t="s">
        <v>1293</v>
      </c>
    </row>
    <row r="12" spans="1:13" ht="44.25">
      <c r="A12" s="71">
        <v>21</v>
      </c>
      <c r="B12" s="71">
        <v>9</v>
      </c>
      <c r="C12" s="5" t="s">
        <v>38</v>
      </c>
      <c r="D12" s="9" t="s">
        <v>15</v>
      </c>
      <c r="E12" s="9" t="s">
        <v>15</v>
      </c>
      <c r="F12" s="43" t="s">
        <v>1294</v>
      </c>
      <c r="G12" s="43" t="s">
        <v>60</v>
      </c>
      <c r="H12" s="43" t="s">
        <v>60</v>
      </c>
      <c r="I12" s="43" t="s">
        <v>60</v>
      </c>
      <c r="J12" s="43" t="s">
        <v>1295</v>
      </c>
      <c r="K12" s="43" t="s">
        <v>1295</v>
      </c>
      <c r="L12" s="43" t="s">
        <v>1296</v>
      </c>
      <c r="M12" s="43" t="s">
        <v>1297</v>
      </c>
    </row>
    <row r="13" spans="1:13" ht="44.25">
      <c r="A13" s="71">
        <v>22</v>
      </c>
      <c r="B13" s="71">
        <v>9</v>
      </c>
      <c r="C13" s="5" t="s">
        <v>39</v>
      </c>
      <c r="D13" s="9" t="s">
        <v>16</v>
      </c>
      <c r="E13" s="9" t="s">
        <v>16</v>
      </c>
      <c r="F13" s="43" t="s">
        <v>1298</v>
      </c>
      <c r="G13" s="43" t="s">
        <v>61</v>
      </c>
      <c r="H13" s="43" t="s">
        <v>527</v>
      </c>
      <c r="I13" s="43" t="s">
        <v>527</v>
      </c>
      <c r="J13" s="43" t="s">
        <v>1299</v>
      </c>
      <c r="K13" s="43" t="s">
        <v>1300</v>
      </c>
      <c r="L13" s="43" t="s">
        <v>1301</v>
      </c>
      <c r="M13" s="43" t="s">
        <v>1297</v>
      </c>
    </row>
    <row r="14" spans="1:13" ht="44.25">
      <c r="A14" s="74">
        <v>19</v>
      </c>
      <c r="B14" s="74">
        <v>10</v>
      </c>
      <c r="C14" s="7" t="s">
        <v>36</v>
      </c>
      <c r="D14" s="11" t="s">
        <v>14</v>
      </c>
      <c r="E14" s="11" t="s">
        <v>14</v>
      </c>
      <c r="F14" s="45" t="s">
        <v>58</v>
      </c>
      <c r="G14" s="45" t="s">
        <v>58</v>
      </c>
      <c r="H14" s="45" t="s">
        <v>58</v>
      </c>
      <c r="I14" s="45" t="s">
        <v>58</v>
      </c>
      <c r="J14" s="45" t="s">
        <v>58</v>
      </c>
      <c r="K14" s="45" t="s">
        <v>58</v>
      </c>
      <c r="L14" s="45" t="s">
        <v>1302</v>
      </c>
      <c r="M14" s="45" t="s">
        <v>1302</v>
      </c>
    </row>
    <row r="15" spans="1:13" ht="44.25">
      <c r="A15" s="73">
        <v>20</v>
      </c>
      <c r="B15" s="73">
        <v>10</v>
      </c>
      <c r="C15" s="4" t="s">
        <v>37</v>
      </c>
      <c r="D15" s="8" t="s">
        <v>14</v>
      </c>
      <c r="E15" s="8" t="s">
        <v>14</v>
      </c>
      <c r="F15" s="42" t="s">
        <v>1303</v>
      </c>
      <c r="G15" s="42" t="s">
        <v>59</v>
      </c>
      <c r="H15" s="42" t="s">
        <v>59</v>
      </c>
      <c r="I15" s="42" t="s">
        <v>59</v>
      </c>
      <c r="J15" s="42" t="s">
        <v>59</v>
      </c>
      <c r="K15" s="42" t="s">
        <v>1304</v>
      </c>
      <c r="L15" s="42" t="s">
        <v>1305</v>
      </c>
      <c r="M15" s="42" t="s">
        <v>1305</v>
      </c>
    </row>
    <row r="16" spans="1:13" ht="44.25">
      <c r="A16" s="73">
        <v>1</v>
      </c>
      <c r="B16" s="73">
        <v>11</v>
      </c>
      <c r="C16" s="4" t="s">
        <v>18</v>
      </c>
      <c r="D16" s="8" t="s">
        <v>1</v>
      </c>
      <c r="E16" s="8" t="s">
        <v>1</v>
      </c>
      <c r="F16" s="42" t="s">
        <v>1079</v>
      </c>
      <c r="G16" s="42" t="s">
        <v>327</v>
      </c>
      <c r="H16" s="42" t="s">
        <v>1079</v>
      </c>
      <c r="I16" s="42" t="s">
        <v>1079</v>
      </c>
      <c r="J16" s="42" t="s">
        <v>1079</v>
      </c>
      <c r="K16" s="42" t="s">
        <v>1079</v>
      </c>
      <c r="L16" s="42" t="s">
        <v>1079</v>
      </c>
      <c r="M16" s="42" t="s">
        <v>1079</v>
      </c>
    </row>
    <row r="17" spans="1:13" ht="44.25">
      <c r="A17" s="71">
        <v>4</v>
      </c>
      <c r="B17" s="71">
        <v>12</v>
      </c>
      <c r="C17" s="5" t="s">
        <v>21</v>
      </c>
      <c r="D17" s="9" t="s">
        <v>4</v>
      </c>
      <c r="E17" s="9" t="s">
        <v>4</v>
      </c>
      <c r="F17" s="43" t="s">
        <v>43</v>
      </c>
      <c r="G17" s="43" t="s">
        <v>43</v>
      </c>
      <c r="H17" s="43" t="s">
        <v>43</v>
      </c>
      <c r="I17" s="43" t="s">
        <v>43</v>
      </c>
      <c r="J17" s="43" t="s">
        <v>1306</v>
      </c>
      <c r="K17" s="43" t="s">
        <v>1306</v>
      </c>
      <c r="L17" s="43" t="s">
        <v>1307</v>
      </c>
      <c r="M17" s="43" t="s">
        <v>1308</v>
      </c>
    </row>
    <row r="18" spans="1:13" ht="44.25">
      <c r="A18" s="72">
        <v>5</v>
      </c>
      <c r="B18" s="72">
        <v>12</v>
      </c>
      <c r="C18" s="6" t="s">
        <v>22</v>
      </c>
      <c r="D18" s="10" t="s">
        <v>4</v>
      </c>
      <c r="E18" s="10" t="s">
        <v>22</v>
      </c>
      <c r="F18" s="44" t="s">
        <v>44</v>
      </c>
      <c r="G18" s="44" t="s">
        <v>44</v>
      </c>
      <c r="H18" s="44" t="s">
        <v>44</v>
      </c>
      <c r="I18" s="44" t="s">
        <v>44</v>
      </c>
      <c r="J18" s="44" t="s">
        <v>1309</v>
      </c>
      <c r="K18" s="44" t="s">
        <v>44</v>
      </c>
      <c r="L18" s="44" t="s">
        <v>1238</v>
      </c>
      <c r="M18" s="44" t="s">
        <v>1238</v>
      </c>
    </row>
    <row r="19" spans="1:13" ht="44.25">
      <c r="A19" s="71">
        <v>12</v>
      </c>
      <c r="B19" s="71">
        <v>13</v>
      </c>
      <c r="C19" s="5" t="s">
        <v>29</v>
      </c>
      <c r="D19" s="9" t="s">
        <v>10</v>
      </c>
      <c r="E19" s="9" t="s">
        <v>10</v>
      </c>
      <c r="F19" s="43" t="s">
        <v>1310</v>
      </c>
      <c r="G19" s="43" t="s">
        <v>51</v>
      </c>
      <c r="H19" s="43" t="s">
        <v>51</v>
      </c>
      <c r="I19" s="43" t="s">
        <v>51</v>
      </c>
      <c r="J19" s="43" t="s">
        <v>1311</v>
      </c>
      <c r="K19" s="43" t="s">
        <v>1311</v>
      </c>
      <c r="L19" s="43" t="s">
        <v>1312</v>
      </c>
      <c r="M19" s="43" t="s">
        <v>1313</v>
      </c>
    </row>
    <row r="20" spans="1:13" ht="44.25">
      <c r="A20" s="72">
        <v>13</v>
      </c>
      <c r="B20" s="72">
        <v>13</v>
      </c>
      <c r="C20" s="6" t="s">
        <v>30</v>
      </c>
      <c r="D20" s="10" t="s">
        <v>10</v>
      </c>
      <c r="E20" s="10" t="s">
        <v>30</v>
      </c>
      <c r="F20" s="44" t="s">
        <v>1314</v>
      </c>
      <c r="G20" s="44" t="s">
        <v>52</v>
      </c>
      <c r="H20" s="44" t="s">
        <v>52</v>
      </c>
      <c r="I20" s="44" t="s">
        <v>52</v>
      </c>
      <c r="J20" s="44" t="s">
        <v>1315</v>
      </c>
      <c r="K20" s="44" t="s">
        <v>52</v>
      </c>
      <c r="L20" s="44" t="s">
        <v>1313</v>
      </c>
      <c r="M20" s="44" t="s">
        <v>1316</v>
      </c>
    </row>
    <row r="21" spans="1:13" ht="44.25">
      <c r="A21" s="74">
        <v>17</v>
      </c>
      <c r="B21" s="74">
        <v>14</v>
      </c>
      <c r="C21" s="7" t="s">
        <v>34</v>
      </c>
      <c r="D21" s="11" t="s">
        <v>13</v>
      </c>
      <c r="E21" s="11" t="s">
        <v>13</v>
      </c>
      <c r="F21" s="45" t="s">
        <v>1317</v>
      </c>
      <c r="G21" s="45" t="s">
        <v>56</v>
      </c>
      <c r="H21" s="45" t="s">
        <v>1318</v>
      </c>
      <c r="I21" s="45" t="s">
        <v>1319</v>
      </c>
      <c r="J21" s="45" t="s">
        <v>1318</v>
      </c>
      <c r="K21" s="45" t="s">
        <v>1318</v>
      </c>
      <c r="L21" s="45" t="s">
        <v>1320</v>
      </c>
      <c r="M21" s="45" t="s">
        <v>1320</v>
      </c>
    </row>
    <row r="22" spans="1:13" ht="44.25">
      <c r="A22" s="73">
        <v>18</v>
      </c>
      <c r="B22" s="73">
        <v>14</v>
      </c>
      <c r="C22" s="4" t="s">
        <v>35</v>
      </c>
      <c r="D22" s="8" t="s">
        <v>13</v>
      </c>
      <c r="E22" s="8" t="s">
        <v>13</v>
      </c>
      <c r="F22" s="42" t="s">
        <v>1321</v>
      </c>
      <c r="G22" s="42" t="s">
        <v>57</v>
      </c>
      <c r="H22" s="42" t="s">
        <v>1322</v>
      </c>
      <c r="I22" s="42" t="s">
        <v>1323</v>
      </c>
      <c r="J22" s="42" t="s">
        <v>1322</v>
      </c>
      <c r="K22" s="42" t="s">
        <v>1288</v>
      </c>
      <c r="L22" s="42" t="s">
        <v>1324</v>
      </c>
      <c r="M22" s="42" t="s">
        <v>1324</v>
      </c>
    </row>
    <row r="23" spans="1:13" ht="44.25">
      <c r="A23" s="75">
        <v>14</v>
      </c>
      <c r="B23" s="75">
        <v>15</v>
      </c>
      <c r="C23" s="48" t="s">
        <v>31</v>
      </c>
      <c r="D23" s="69" t="s">
        <v>11</v>
      </c>
      <c r="E23" s="69" t="s">
        <v>11</v>
      </c>
      <c r="F23" s="70" t="s">
        <v>53</v>
      </c>
      <c r="G23" s="70" t="s">
        <v>53</v>
      </c>
      <c r="H23" s="70" t="s">
        <v>53</v>
      </c>
      <c r="I23" s="70" t="s">
        <v>53</v>
      </c>
      <c r="J23" s="70" t="s">
        <v>53</v>
      </c>
      <c r="K23" s="70" t="s">
        <v>53</v>
      </c>
      <c r="L23" s="94" t="s">
        <v>1385</v>
      </c>
      <c r="M23" s="70" t="s">
        <v>1325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0C517-B462-4AFA-8187-48DB57967972}">
  <dimension ref="A1:Q101"/>
  <sheetViews>
    <sheetView workbookViewId="0">
      <pane ySplit="1" topLeftCell="A54" activePane="bottomLeft" state="frozen"/>
      <selection pane="bottomLeft" activeCell="F63" sqref="F63"/>
    </sheetView>
  </sheetViews>
  <sheetFormatPr defaultRowHeight="16.5"/>
  <cols>
    <col min="1" max="2" width="8.125" customWidth="1"/>
    <col min="3" max="3" width="10.625" customWidth="1"/>
    <col min="4" max="13" width="14.25" customWidth="1"/>
  </cols>
  <sheetData>
    <row r="1" spans="1:17" ht="25.5">
      <c r="A1" s="80" t="s">
        <v>1054</v>
      </c>
      <c r="B1" s="80" t="s">
        <v>1056</v>
      </c>
      <c r="C1" s="80" t="s">
        <v>17</v>
      </c>
      <c r="D1" s="80" t="s">
        <v>324</v>
      </c>
      <c r="E1" s="80" t="s">
        <v>1057</v>
      </c>
      <c r="F1" s="80" t="s">
        <v>1370</v>
      </c>
      <c r="G1" s="80" t="s">
        <v>40</v>
      </c>
      <c r="H1" s="93" t="s">
        <v>1063</v>
      </c>
      <c r="I1" s="93" t="s">
        <v>1058</v>
      </c>
      <c r="J1" s="93" t="s">
        <v>1059</v>
      </c>
      <c r="K1" s="93" t="s">
        <v>1060</v>
      </c>
      <c r="L1" s="93" t="s">
        <v>1061</v>
      </c>
      <c r="M1" s="93" t="s">
        <v>1062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1107</v>
      </c>
    </row>
    <row r="2" spans="1:17" ht="44.25">
      <c r="A2" s="76">
        <v>1</v>
      </c>
      <c r="B2" s="76">
        <f xml:space="preserve"> IF(MOD(韻母表[[#This Row],[序號]],2)=0, 韻母表[[#This Row],[序號]]/2, ROUNDUP(韻母表[[#This Row],[序號]]/2,0))</f>
        <v>1</v>
      </c>
      <c r="C2" s="77" t="s">
        <v>240</v>
      </c>
      <c r="D2" s="78" t="s">
        <v>1383</v>
      </c>
      <c r="E2" s="85" t="s">
        <v>162</v>
      </c>
      <c r="F2" s="85"/>
      <c r="G2" s="79" t="s">
        <v>162</v>
      </c>
      <c r="H2" s="79" t="s">
        <v>162</v>
      </c>
      <c r="I2" s="79" t="s">
        <v>162</v>
      </c>
      <c r="J2" s="79" t="s">
        <v>162</v>
      </c>
      <c r="K2" s="79" t="s">
        <v>162</v>
      </c>
      <c r="L2" s="79" t="s">
        <v>1066</v>
      </c>
      <c r="M2" s="79" t="s">
        <v>1066</v>
      </c>
    </row>
    <row r="3" spans="1:17" ht="44.25">
      <c r="A3" s="54">
        <v>2</v>
      </c>
      <c r="B3" s="54">
        <f xml:space="preserve"> IF(MOD(韻母表[[#This Row],[序號]],2)=0, 韻母表[[#This Row],[序號]]/2, ROUNDUP(韻母表[[#This Row],[序號]]/2,0))</f>
        <v>1</v>
      </c>
      <c r="C3" s="55" t="s">
        <v>242</v>
      </c>
      <c r="D3" s="56" t="s">
        <v>63</v>
      </c>
      <c r="E3" s="86" t="s">
        <v>1067</v>
      </c>
      <c r="F3" s="86"/>
      <c r="G3" s="57" t="s">
        <v>163</v>
      </c>
      <c r="H3" s="57" t="s">
        <v>163</v>
      </c>
      <c r="I3" s="57" t="s">
        <v>163</v>
      </c>
      <c r="J3" s="57" t="s">
        <v>163</v>
      </c>
      <c r="K3" s="57" t="s">
        <v>163</v>
      </c>
      <c r="L3" s="57" t="s">
        <v>1068</v>
      </c>
      <c r="M3" s="57" t="s">
        <v>1069</v>
      </c>
    </row>
    <row r="4" spans="1:17" ht="44.25">
      <c r="A4" s="54">
        <v>3</v>
      </c>
      <c r="B4" s="54">
        <f xml:space="preserve"> IF(MOD(韻母表[[#This Row],[序號]],2)=0, 韻母表[[#This Row],[序號]]/2, ROUNDUP(韻母表[[#This Row],[序號]]/2,0))</f>
        <v>2</v>
      </c>
      <c r="C4" s="55" t="s">
        <v>241</v>
      </c>
      <c r="D4" s="56" t="s">
        <v>64</v>
      </c>
      <c r="E4" s="86" t="s">
        <v>1330</v>
      </c>
      <c r="F4" s="86"/>
      <c r="G4" s="57" t="s">
        <v>164</v>
      </c>
      <c r="H4" s="57" t="s">
        <v>164</v>
      </c>
      <c r="I4" s="57" t="s">
        <v>164</v>
      </c>
      <c r="J4" s="57" t="s">
        <v>164</v>
      </c>
      <c r="K4" s="57" t="s">
        <v>164</v>
      </c>
      <c r="L4" s="57" t="s">
        <v>1070</v>
      </c>
      <c r="M4" s="57" t="s">
        <v>1070</v>
      </c>
    </row>
    <row r="5" spans="1:17" ht="44.25">
      <c r="A5" s="54">
        <v>4</v>
      </c>
      <c r="B5" s="54">
        <f xml:space="preserve"> IF(MOD(韻母表[[#This Row],[序號]],2)=0, 韻母表[[#This Row],[序號]]/2, ROUNDUP(韻母表[[#This Row],[序號]]/2,0))</f>
        <v>2</v>
      </c>
      <c r="C5" s="55" t="s">
        <v>243</v>
      </c>
      <c r="D5" s="56" t="s">
        <v>65</v>
      </c>
      <c r="E5" s="86" t="s">
        <v>1331</v>
      </c>
      <c r="F5" s="86"/>
      <c r="G5" s="57" t="s">
        <v>165</v>
      </c>
      <c r="H5" s="57" t="s">
        <v>165</v>
      </c>
      <c r="I5" s="57" t="s">
        <v>165</v>
      </c>
      <c r="J5" s="57" t="s">
        <v>165</v>
      </c>
      <c r="K5" s="57" t="s">
        <v>165</v>
      </c>
      <c r="L5" s="57" t="s">
        <v>1071</v>
      </c>
      <c r="M5" s="57" t="s">
        <v>1072</v>
      </c>
    </row>
    <row r="6" spans="1:17" ht="44.25">
      <c r="A6" s="54">
        <v>5</v>
      </c>
      <c r="B6" s="54">
        <f xml:space="preserve"> IF(MOD(韻母表[[#This Row],[序號]],2)=0, 韻母表[[#This Row],[序號]]/2, ROUNDUP(韻母表[[#This Row],[序號]]/2,0))</f>
        <v>3</v>
      </c>
      <c r="C6" s="55" t="s">
        <v>244</v>
      </c>
      <c r="D6" s="56" t="s">
        <v>66</v>
      </c>
      <c r="E6" s="86" t="s">
        <v>166</v>
      </c>
      <c r="F6" s="86"/>
      <c r="G6" s="57" t="s">
        <v>166</v>
      </c>
      <c r="H6" s="57" t="s">
        <v>166</v>
      </c>
      <c r="I6" s="57" t="s">
        <v>166</v>
      </c>
      <c r="J6" s="57" t="s">
        <v>166</v>
      </c>
      <c r="K6" s="57" t="s">
        <v>166</v>
      </c>
      <c r="L6" s="57" t="s">
        <v>1073</v>
      </c>
      <c r="M6" s="57" t="s">
        <v>1074</v>
      </c>
    </row>
    <row r="7" spans="1:17" ht="44.25">
      <c r="A7" s="54">
        <v>6</v>
      </c>
      <c r="B7" s="54">
        <f xml:space="preserve"> IF(MOD(韻母表[[#This Row],[序號]],2)=0, 韻母表[[#This Row],[序號]]/2, ROUNDUP(韻母表[[#This Row],[序號]]/2,0))</f>
        <v>3</v>
      </c>
      <c r="C7" s="55" t="s">
        <v>247</v>
      </c>
      <c r="D7" s="56" t="s">
        <v>67</v>
      </c>
      <c r="E7" s="86" t="s">
        <v>1075</v>
      </c>
      <c r="F7" s="86"/>
      <c r="G7" s="57" t="s">
        <v>167</v>
      </c>
      <c r="H7" s="57" t="s">
        <v>167</v>
      </c>
      <c r="I7" s="57" t="s">
        <v>167</v>
      </c>
      <c r="J7" s="57" t="s">
        <v>167</v>
      </c>
      <c r="K7" s="57" t="s">
        <v>167</v>
      </c>
      <c r="L7" s="57" t="s">
        <v>1076</v>
      </c>
      <c r="M7" s="57" t="s">
        <v>1077</v>
      </c>
    </row>
    <row r="8" spans="1:17" ht="44.25">
      <c r="A8" s="54">
        <v>7</v>
      </c>
      <c r="B8" s="54">
        <f xml:space="preserve"> IF(MOD(韻母表[[#This Row],[序號]],2)=0, 韻母表[[#This Row],[序號]]/2, ROUNDUP(韻母表[[#This Row],[序號]]/2,0))</f>
        <v>4</v>
      </c>
      <c r="C8" s="55" t="s">
        <v>248</v>
      </c>
      <c r="D8" s="56" t="s">
        <v>68</v>
      </c>
      <c r="E8" s="86" t="s">
        <v>168</v>
      </c>
      <c r="F8" s="86"/>
      <c r="G8" s="57" t="s">
        <v>168</v>
      </c>
      <c r="H8" s="57" t="s">
        <v>168</v>
      </c>
      <c r="I8" s="57" t="s">
        <v>168</v>
      </c>
      <c r="J8" s="57" t="s">
        <v>168</v>
      </c>
      <c r="K8" s="57" t="s">
        <v>168</v>
      </c>
      <c r="L8" s="57" t="s">
        <v>1078</v>
      </c>
      <c r="M8" s="57" t="s">
        <v>1078</v>
      </c>
    </row>
    <row r="9" spans="1:17" ht="32.25">
      <c r="A9" s="81">
        <v>8</v>
      </c>
      <c r="B9" s="81">
        <f xml:space="preserve"> IF(MOD(韻母表[[#This Row],[序號]],2)=0, 韻母表[[#This Row],[序號]]/2, ROUNDUP(韻母表[[#This Row],[序號]]/2,0))</f>
        <v>4</v>
      </c>
      <c r="C9" s="82"/>
      <c r="D9" s="83" t="s">
        <v>69</v>
      </c>
      <c r="E9" s="87" t="s">
        <v>1079</v>
      </c>
      <c r="F9" s="87"/>
      <c r="G9" s="88" t="s">
        <v>1079</v>
      </c>
      <c r="H9" s="88" t="s">
        <v>1079</v>
      </c>
      <c r="I9" s="88" t="s">
        <v>1079</v>
      </c>
      <c r="J9" s="88" t="s">
        <v>1079</v>
      </c>
      <c r="K9" s="88" t="s">
        <v>1079</v>
      </c>
      <c r="L9" s="84" t="s">
        <v>1079</v>
      </c>
      <c r="M9" s="84" t="s">
        <v>1079</v>
      </c>
    </row>
    <row r="10" spans="1:17" ht="44.25">
      <c r="A10" s="54">
        <v>9</v>
      </c>
      <c r="B10" s="54">
        <f xml:space="preserve"> IF(MOD(韻母表[[#This Row],[序號]],2)=0, 韻母表[[#This Row],[序號]]/2, ROUNDUP(韻母表[[#This Row],[序號]]/2,0))</f>
        <v>5</v>
      </c>
      <c r="C10" s="59" t="s">
        <v>249</v>
      </c>
      <c r="D10" s="60" t="s">
        <v>70</v>
      </c>
      <c r="E10" s="86" t="s">
        <v>1328</v>
      </c>
      <c r="F10" s="86" t="s">
        <v>1398</v>
      </c>
      <c r="G10" s="57" t="s">
        <v>169</v>
      </c>
      <c r="H10" s="57" t="s">
        <v>169</v>
      </c>
      <c r="I10" s="57">
        <v>0</v>
      </c>
      <c r="J10" s="57">
        <v>0</v>
      </c>
      <c r="K10" s="57">
        <v>0</v>
      </c>
      <c r="L10" s="57" t="s">
        <v>1081</v>
      </c>
      <c r="M10" s="57" t="s">
        <v>1081</v>
      </c>
    </row>
    <row r="11" spans="1:17" ht="44.25">
      <c r="A11" s="54">
        <v>10</v>
      </c>
      <c r="B11" s="54">
        <f xml:space="preserve"> IF(MOD(韻母表[[#This Row],[序號]],2)=0, 韻母表[[#This Row],[序號]]/2, ROUNDUP(韻母表[[#This Row],[序號]]/2,0))</f>
        <v>5</v>
      </c>
      <c r="C11" s="59" t="s">
        <v>250</v>
      </c>
      <c r="D11" s="60" t="s">
        <v>71</v>
      </c>
      <c r="E11" s="86" t="s">
        <v>1382</v>
      </c>
      <c r="F11" s="86" t="s">
        <v>1082</v>
      </c>
      <c r="G11" s="57" t="s">
        <v>170</v>
      </c>
      <c r="H11" s="57" t="s">
        <v>170</v>
      </c>
      <c r="I11" s="57">
        <v>0</v>
      </c>
      <c r="J11" s="57">
        <v>0</v>
      </c>
      <c r="K11" s="57">
        <v>0</v>
      </c>
      <c r="L11" s="57" t="s">
        <v>1083</v>
      </c>
      <c r="M11" s="57" t="s">
        <v>1084</v>
      </c>
    </row>
    <row r="12" spans="1:17" ht="44.25">
      <c r="A12" s="54">
        <v>11</v>
      </c>
      <c r="B12" s="54">
        <f xml:space="preserve"> IF(MOD(韻母表[[#This Row],[序號]],2)=0, 韻母表[[#This Row],[序號]]/2, ROUNDUP(韻母表[[#This Row],[序號]]/2,0))</f>
        <v>6</v>
      </c>
      <c r="C12" s="55" t="s">
        <v>251</v>
      </c>
      <c r="D12" s="56" t="s">
        <v>72</v>
      </c>
      <c r="E12" s="86" t="s">
        <v>171</v>
      </c>
      <c r="F12" s="86"/>
      <c r="G12" s="57" t="s">
        <v>171</v>
      </c>
      <c r="H12" s="57" t="s">
        <v>171</v>
      </c>
      <c r="I12" s="57" t="s">
        <v>171</v>
      </c>
      <c r="J12" s="57" t="s">
        <v>171</v>
      </c>
      <c r="K12" s="57" t="s">
        <v>171</v>
      </c>
      <c r="L12" s="57" t="s">
        <v>1085</v>
      </c>
      <c r="M12" s="57" t="s">
        <v>1085</v>
      </c>
    </row>
    <row r="13" spans="1:17" ht="44.25">
      <c r="A13" s="54">
        <v>12</v>
      </c>
      <c r="B13" s="54">
        <f xml:space="preserve"> IF(MOD(韻母表[[#This Row],[序號]],2)=0, 韻母表[[#This Row],[序號]]/2, ROUNDUP(韻母表[[#This Row],[序號]]/2,0))</f>
        <v>6</v>
      </c>
      <c r="C13" s="55" t="s">
        <v>245</v>
      </c>
      <c r="D13" s="56" t="s">
        <v>73</v>
      </c>
      <c r="E13" s="86" t="s">
        <v>1086</v>
      </c>
      <c r="F13" s="86"/>
      <c r="G13" s="57" t="s">
        <v>172</v>
      </c>
      <c r="H13" s="57" t="s">
        <v>172</v>
      </c>
      <c r="I13" s="57" t="s">
        <v>172</v>
      </c>
      <c r="J13" s="57" t="s">
        <v>172</v>
      </c>
      <c r="K13" s="57" t="s">
        <v>172</v>
      </c>
      <c r="L13" s="57" t="s">
        <v>1087</v>
      </c>
      <c r="M13" s="57" t="s">
        <v>1088</v>
      </c>
    </row>
    <row r="14" spans="1:17" ht="44.25">
      <c r="A14" s="54">
        <v>13</v>
      </c>
      <c r="B14" s="54">
        <f xml:space="preserve"> IF(MOD(韻母表[[#This Row],[序號]],2)=0, 韻母表[[#This Row],[序號]]/2, ROUNDUP(韻母表[[#This Row],[序號]]/2,0))</f>
        <v>7</v>
      </c>
      <c r="C14" s="55" t="s">
        <v>255</v>
      </c>
      <c r="D14" s="56" t="s">
        <v>74</v>
      </c>
      <c r="E14" s="86" t="s">
        <v>1332</v>
      </c>
      <c r="F14" s="86"/>
      <c r="G14" s="57" t="s">
        <v>173</v>
      </c>
      <c r="H14" s="57" t="s">
        <v>173</v>
      </c>
      <c r="I14" s="57" t="s">
        <v>173</v>
      </c>
      <c r="J14" s="57" t="s">
        <v>173</v>
      </c>
      <c r="K14" s="57" t="s">
        <v>173</v>
      </c>
      <c r="L14" s="57" t="s">
        <v>1089</v>
      </c>
      <c r="M14" s="57" t="s">
        <v>1090</v>
      </c>
    </row>
    <row r="15" spans="1:17" ht="44.25">
      <c r="A15" s="54">
        <v>14</v>
      </c>
      <c r="B15" s="54">
        <f xml:space="preserve"> IF(MOD(韻母表[[#This Row],[序號]],2)=0, 韻母表[[#This Row],[序號]]/2, ROUNDUP(韻母表[[#This Row],[序號]]/2,0))</f>
        <v>7</v>
      </c>
      <c r="C15" s="55" t="s">
        <v>256</v>
      </c>
      <c r="D15" s="56" t="s">
        <v>75</v>
      </c>
      <c r="E15" s="86" t="s">
        <v>1333</v>
      </c>
      <c r="F15" s="86"/>
      <c r="G15" s="57" t="s">
        <v>174</v>
      </c>
      <c r="H15" s="57" t="s">
        <v>174</v>
      </c>
      <c r="I15" s="57" t="s">
        <v>174</v>
      </c>
      <c r="J15" s="57" t="s">
        <v>174</v>
      </c>
      <c r="K15" s="57" t="s">
        <v>174</v>
      </c>
      <c r="L15" s="57" t="s">
        <v>1091</v>
      </c>
      <c r="M15" s="57" t="s">
        <v>1092</v>
      </c>
    </row>
    <row r="16" spans="1:17" ht="44.25">
      <c r="A16" s="54">
        <v>15</v>
      </c>
      <c r="B16" s="54">
        <f xml:space="preserve"> IF(MOD(韻母表[[#This Row],[序號]],2)=0, 韻母表[[#This Row],[序號]]/2, ROUNDUP(韻母表[[#This Row],[序號]]/2,0))</f>
        <v>8</v>
      </c>
      <c r="C16" s="55" t="s">
        <v>257</v>
      </c>
      <c r="D16" s="56" t="s">
        <v>76</v>
      </c>
      <c r="E16" s="86" t="s">
        <v>175</v>
      </c>
      <c r="F16" s="86"/>
      <c r="G16" s="57" t="s">
        <v>175</v>
      </c>
      <c r="H16" s="57" t="s">
        <v>175</v>
      </c>
      <c r="I16" s="57" t="s">
        <v>1093</v>
      </c>
      <c r="J16" s="57" t="s">
        <v>175</v>
      </c>
      <c r="K16" s="57" t="s">
        <v>175</v>
      </c>
      <c r="L16" s="57" t="s">
        <v>1094</v>
      </c>
      <c r="M16" s="57" t="s">
        <v>1094</v>
      </c>
    </row>
    <row r="17" spans="1:13" ht="44.25">
      <c r="A17" s="54">
        <v>16</v>
      </c>
      <c r="B17" s="54">
        <f xml:space="preserve"> IF(MOD(韻母表[[#This Row],[序號]],2)=0, 韻母表[[#This Row],[序號]]/2, ROUNDUP(韻母表[[#This Row],[序號]]/2,0))</f>
        <v>8</v>
      </c>
      <c r="C17" s="61" t="s">
        <v>258</v>
      </c>
      <c r="D17" s="58" t="s">
        <v>77</v>
      </c>
      <c r="E17" s="86" t="s">
        <v>1095</v>
      </c>
      <c r="F17" s="86"/>
      <c r="G17" s="57" t="s">
        <v>176</v>
      </c>
      <c r="H17" s="57" t="s">
        <v>176</v>
      </c>
      <c r="I17" s="57" t="s">
        <v>1096</v>
      </c>
      <c r="J17" s="57" t="s">
        <v>176</v>
      </c>
      <c r="K17" s="57" t="s">
        <v>176</v>
      </c>
      <c r="L17" s="57" t="s">
        <v>1097</v>
      </c>
      <c r="M17" s="57" t="s">
        <v>1098</v>
      </c>
    </row>
    <row r="18" spans="1:13" ht="44.25">
      <c r="A18" s="54">
        <v>17</v>
      </c>
      <c r="B18" s="54">
        <f xml:space="preserve"> IF(MOD(韻母表[[#This Row],[序號]],2)=0, 韻母表[[#This Row],[序號]]/2, ROUNDUP(韻母表[[#This Row],[序號]]/2,0))</f>
        <v>9</v>
      </c>
      <c r="C18" s="55" t="s">
        <v>259</v>
      </c>
      <c r="D18" s="56" t="s">
        <v>78</v>
      </c>
      <c r="E18" s="86" t="s">
        <v>1334</v>
      </c>
      <c r="F18" s="86" t="s">
        <v>1401</v>
      </c>
      <c r="G18" s="57" t="s">
        <v>1373</v>
      </c>
      <c r="H18" s="57" t="s">
        <v>1373</v>
      </c>
      <c r="I18" s="57" t="s">
        <v>1099</v>
      </c>
      <c r="J18" s="57" t="s">
        <v>1373</v>
      </c>
      <c r="K18" s="57" t="s">
        <v>1373</v>
      </c>
      <c r="L18" s="57" t="s">
        <v>1375</v>
      </c>
      <c r="M18" s="57" t="s">
        <v>1375</v>
      </c>
    </row>
    <row r="19" spans="1:13" ht="44.25">
      <c r="A19" s="54">
        <v>18</v>
      </c>
      <c r="B19" s="54">
        <f xml:space="preserve"> IF(MOD(韻母表[[#This Row],[序號]],2)=0, 韻母表[[#This Row],[序號]]/2, ROUNDUP(韻母表[[#This Row],[序號]]/2,0))</f>
        <v>9</v>
      </c>
      <c r="C19" s="55" t="s">
        <v>35</v>
      </c>
      <c r="D19" s="56" t="s">
        <v>79</v>
      </c>
      <c r="E19" s="86" t="s">
        <v>1335</v>
      </c>
      <c r="F19" s="86" t="s">
        <v>1372</v>
      </c>
      <c r="G19" s="57" t="s">
        <v>1374</v>
      </c>
      <c r="H19" s="57" t="s">
        <v>1374</v>
      </c>
      <c r="I19" s="57" t="s">
        <v>1100</v>
      </c>
      <c r="J19" s="57" t="s">
        <v>1374</v>
      </c>
      <c r="K19" s="57" t="s">
        <v>1374</v>
      </c>
      <c r="L19" s="57" t="s">
        <v>1376</v>
      </c>
      <c r="M19" s="57" t="s">
        <v>1377</v>
      </c>
    </row>
    <row r="20" spans="1:13" ht="44.25">
      <c r="A20" s="54">
        <v>19</v>
      </c>
      <c r="B20" s="54">
        <f xml:space="preserve"> IF(MOD(韻母表[[#This Row],[序號]],2)=0, 韻母表[[#This Row],[序號]]/2, ROUNDUP(韻母表[[#This Row],[序號]]/2,0))</f>
        <v>10</v>
      </c>
      <c r="C20" s="55" t="s">
        <v>260</v>
      </c>
      <c r="D20" s="56" t="s">
        <v>80</v>
      </c>
      <c r="E20" s="86" t="s">
        <v>179</v>
      </c>
      <c r="F20" s="86"/>
      <c r="G20" s="57" t="s">
        <v>179</v>
      </c>
      <c r="H20" s="57" t="s">
        <v>179</v>
      </c>
      <c r="I20" s="57" t="s">
        <v>1101</v>
      </c>
      <c r="J20" s="57" t="s">
        <v>179</v>
      </c>
      <c r="K20" s="57" t="s">
        <v>179</v>
      </c>
      <c r="L20" s="57" t="s">
        <v>1102</v>
      </c>
      <c r="M20" s="57" t="s">
        <v>1102</v>
      </c>
    </row>
    <row r="21" spans="1:13" ht="44.25">
      <c r="A21" s="54">
        <v>20</v>
      </c>
      <c r="B21" s="54">
        <f xml:space="preserve"> IF(MOD(韻母表[[#This Row],[序號]],2)=0, 韻母表[[#This Row],[序號]]/2, ROUNDUP(韻母表[[#This Row],[序號]]/2,0))</f>
        <v>10</v>
      </c>
      <c r="C21" s="55" t="s">
        <v>261</v>
      </c>
      <c r="D21" s="56" t="s">
        <v>81</v>
      </c>
      <c r="E21" s="86" t="s">
        <v>1103</v>
      </c>
      <c r="F21" s="86"/>
      <c r="G21" s="57" t="s">
        <v>180</v>
      </c>
      <c r="H21" s="57" t="s">
        <v>180</v>
      </c>
      <c r="I21" s="57" t="s">
        <v>1104</v>
      </c>
      <c r="J21" s="57" t="s">
        <v>180</v>
      </c>
      <c r="K21" s="57" t="s">
        <v>180</v>
      </c>
      <c r="L21" s="57" t="s">
        <v>1105</v>
      </c>
      <c r="M21" s="57" t="s">
        <v>1106</v>
      </c>
    </row>
    <row r="22" spans="1:13" ht="44.25">
      <c r="A22" s="54">
        <v>21</v>
      </c>
      <c r="B22" s="54">
        <f xml:space="preserve"> IF(MOD(韻母表[[#This Row],[序號]],2)=0, 韻母表[[#This Row],[序號]]/2, ROUNDUP(韻母表[[#This Row],[序號]]/2,0))</f>
        <v>11</v>
      </c>
      <c r="C22" s="55" t="s">
        <v>262</v>
      </c>
      <c r="D22" s="56" t="s">
        <v>82</v>
      </c>
      <c r="E22" s="86" t="s">
        <v>1336</v>
      </c>
      <c r="F22" s="86" t="s">
        <v>1378</v>
      </c>
      <c r="G22" s="57" t="s">
        <v>181</v>
      </c>
      <c r="H22" s="57" t="s">
        <v>181</v>
      </c>
      <c r="I22" s="57" t="s">
        <v>1108</v>
      </c>
      <c r="J22" s="57" t="s">
        <v>181</v>
      </c>
      <c r="K22" s="57" t="s">
        <v>181</v>
      </c>
      <c r="L22" s="57" t="s">
        <v>1109</v>
      </c>
      <c r="M22" s="57" t="s">
        <v>1110</v>
      </c>
    </row>
    <row r="23" spans="1:13" ht="44.25">
      <c r="A23" s="54">
        <v>22</v>
      </c>
      <c r="B23" s="54">
        <f xml:space="preserve"> IF(MOD(韻母表[[#This Row],[序號]],2)=0, 韻母表[[#This Row],[序號]]/2, ROUNDUP(韻母表[[#This Row],[序號]]/2,0))</f>
        <v>11</v>
      </c>
      <c r="C23" s="55"/>
      <c r="D23" s="56" t="s">
        <v>1384</v>
      </c>
      <c r="E23" s="86" t="str">
        <f xml:space="preserve"> _xlfn.CONCAT(E22, "h")</f>
        <v>ɔh</v>
      </c>
      <c r="F23" s="86"/>
      <c r="G23" s="57" t="str">
        <f xml:space="preserve"> _xlfn.CONCAT(G22, "h")</f>
        <v>ooh</v>
      </c>
      <c r="H23" s="57" t="str">
        <f t="shared" ref="H23:K23" si="0" xml:space="preserve"> _xlfn.CONCAT(H22, "h")</f>
        <v>ooh</v>
      </c>
      <c r="I23" s="57" t="str">
        <f t="shared" si="0"/>
        <v>o͘h</v>
      </c>
      <c r="J23" s="57" t="str">
        <f t="shared" si="0"/>
        <v>ooh</v>
      </c>
      <c r="K23" s="57" t="str">
        <f t="shared" si="0"/>
        <v>ooh</v>
      </c>
      <c r="L23" s="57" t="str">
        <f xml:space="preserve"> _xlfn.CONCAT(L22, "ㆷ")</f>
        <v>ㆦㆷ</v>
      </c>
      <c r="M23" s="57" t="str">
        <f xml:space="preserve"> _xlfn.CONCAT(M22, "ㄏ")</f>
        <v>ㄛㄏ</v>
      </c>
    </row>
    <row r="24" spans="1:13" ht="44.25">
      <c r="A24" s="54">
        <v>23</v>
      </c>
      <c r="B24" s="54">
        <f xml:space="preserve"> IF(MOD(韻母表[[#This Row],[序號]],2)=0, 韻母表[[#This Row],[序號]]/2, ROUNDUP(韻母表[[#This Row],[序號]]/2,0))</f>
        <v>12</v>
      </c>
      <c r="C24" s="55" t="s">
        <v>263</v>
      </c>
      <c r="D24" s="56" t="s">
        <v>84</v>
      </c>
      <c r="E24" s="86" t="s">
        <v>1337</v>
      </c>
      <c r="F24" s="86"/>
      <c r="G24" s="57" t="s">
        <v>182</v>
      </c>
      <c r="H24" s="57" t="s">
        <v>182</v>
      </c>
      <c r="I24" s="57" t="s">
        <v>182</v>
      </c>
      <c r="J24" s="57" t="s">
        <v>1111</v>
      </c>
      <c r="K24" s="57" t="s">
        <v>182</v>
      </c>
      <c r="L24" s="57" t="s">
        <v>1112</v>
      </c>
      <c r="M24" s="57" t="s">
        <v>1112</v>
      </c>
    </row>
    <row r="25" spans="1:13" ht="44.25">
      <c r="A25" s="54">
        <v>24</v>
      </c>
      <c r="B25" s="54">
        <f xml:space="preserve"> IF(MOD(韻母表[[#This Row],[序號]],2)=0, 韻母表[[#This Row],[序號]]/2, ROUNDUP(韻母表[[#This Row],[序號]]/2,0))</f>
        <v>12</v>
      </c>
      <c r="C25" s="62" t="s">
        <v>264</v>
      </c>
      <c r="D25" s="63" t="s">
        <v>85</v>
      </c>
      <c r="E25" s="86" t="s">
        <v>1338</v>
      </c>
      <c r="F25" s="86"/>
      <c r="G25" s="57" t="s">
        <v>183</v>
      </c>
      <c r="H25" s="57" t="s">
        <v>183</v>
      </c>
      <c r="I25" s="57" t="s">
        <v>183</v>
      </c>
      <c r="J25" s="57" t="s">
        <v>1113</v>
      </c>
      <c r="K25" s="57" t="s">
        <v>183</v>
      </c>
      <c r="L25" s="57" t="s">
        <v>1114</v>
      </c>
      <c r="M25" s="57" t="s">
        <v>1115</v>
      </c>
    </row>
    <row r="26" spans="1:13" ht="44.25">
      <c r="A26" s="54">
        <v>25</v>
      </c>
      <c r="B26" s="54">
        <f xml:space="preserve"> IF(MOD(韻母表[[#This Row],[序號]],2)=0, 韻母表[[#This Row],[序號]]/2, ROUNDUP(韻母表[[#This Row],[序號]]/2,0))</f>
        <v>13</v>
      </c>
      <c r="C26" s="59" t="s">
        <v>265</v>
      </c>
      <c r="D26" s="60" t="s">
        <v>86</v>
      </c>
      <c r="E26" s="86" t="s">
        <v>1328</v>
      </c>
      <c r="F26" s="86" t="s">
        <v>1116</v>
      </c>
      <c r="G26" s="57" t="s">
        <v>184</v>
      </c>
      <c r="H26" s="57" t="s">
        <v>1116</v>
      </c>
      <c r="I26" s="57" t="s">
        <v>184</v>
      </c>
      <c r="J26" s="57" t="s">
        <v>184</v>
      </c>
      <c r="K26" s="57" t="s">
        <v>184</v>
      </c>
      <c r="L26" s="57" t="s">
        <v>1117</v>
      </c>
      <c r="M26" s="57" t="s">
        <v>1081</v>
      </c>
    </row>
    <row r="27" spans="1:13" ht="44.25">
      <c r="A27" s="54">
        <v>26</v>
      </c>
      <c r="B27" s="54">
        <f xml:space="preserve"> IF(MOD(韻母表[[#This Row],[序號]],2)=0, 韻母表[[#This Row],[序號]]/2, ROUNDUP(韻母表[[#This Row],[序號]]/2,0))</f>
        <v>13</v>
      </c>
      <c r="C27" s="62"/>
      <c r="D27" s="63"/>
      <c r="E27" s="86" t="s">
        <v>1079</v>
      </c>
      <c r="F27" s="86"/>
      <c r="G27" s="57" t="s">
        <v>1079</v>
      </c>
      <c r="H27" s="57" t="s">
        <v>1079</v>
      </c>
      <c r="I27" s="57" t="s">
        <v>1079</v>
      </c>
      <c r="J27" s="57" t="s">
        <v>1079</v>
      </c>
      <c r="K27" s="57" t="s">
        <v>1079</v>
      </c>
      <c r="L27" s="57" t="s">
        <v>1079</v>
      </c>
      <c r="M27" s="57" t="s">
        <v>1079</v>
      </c>
    </row>
    <row r="28" spans="1:13" ht="44.25">
      <c r="A28" s="54">
        <v>27</v>
      </c>
      <c r="B28" s="54">
        <f xml:space="preserve"> IF(MOD(韻母表[[#This Row],[序號]],2)=0, 韻母表[[#This Row],[序號]]/2, ROUNDUP(韻母表[[#This Row],[序號]]/2,0))</f>
        <v>14</v>
      </c>
      <c r="C28" s="55" t="s">
        <v>266</v>
      </c>
      <c r="D28" s="56" t="s">
        <v>88</v>
      </c>
      <c r="E28" s="86" t="s">
        <v>1339</v>
      </c>
      <c r="F28" s="86"/>
      <c r="G28" s="57" t="s">
        <v>185</v>
      </c>
      <c r="H28" s="57" t="s">
        <v>185</v>
      </c>
      <c r="I28" s="57" t="s">
        <v>185</v>
      </c>
      <c r="J28" s="57" t="s">
        <v>185</v>
      </c>
      <c r="K28" s="57" t="s">
        <v>185</v>
      </c>
      <c r="L28" s="57" t="s">
        <v>1118</v>
      </c>
      <c r="M28" s="57" t="s">
        <v>1119</v>
      </c>
    </row>
    <row r="29" spans="1:13" ht="44.25">
      <c r="A29" s="54">
        <v>28</v>
      </c>
      <c r="B29" s="54">
        <f xml:space="preserve"> IF(MOD(韻母表[[#This Row],[序號]],2)=0, 韻母表[[#This Row],[序號]]/2, ROUNDUP(韻母表[[#This Row],[序號]]/2,0))</f>
        <v>14</v>
      </c>
      <c r="C29" s="55" t="s">
        <v>267</v>
      </c>
      <c r="D29" s="56" t="s">
        <v>89</v>
      </c>
      <c r="E29" s="86" t="s">
        <v>1340</v>
      </c>
      <c r="F29" s="86"/>
      <c r="G29" s="57" t="s">
        <v>186</v>
      </c>
      <c r="H29" s="57" t="s">
        <v>186</v>
      </c>
      <c r="I29" s="57" t="s">
        <v>186</v>
      </c>
      <c r="J29" s="57" t="s">
        <v>186</v>
      </c>
      <c r="K29" s="57" t="s">
        <v>1120</v>
      </c>
      <c r="L29" s="57" t="s">
        <v>1121</v>
      </c>
      <c r="M29" s="57" t="s">
        <v>1122</v>
      </c>
    </row>
    <row r="30" spans="1:13" ht="44.25">
      <c r="A30" s="54">
        <v>29</v>
      </c>
      <c r="B30" s="54">
        <f xml:space="preserve"> IF(MOD(韻母表[[#This Row],[序號]],2)=0, 韻母表[[#This Row],[序號]]/2, ROUNDUP(韻母表[[#This Row],[序號]]/2,0))</f>
        <v>15</v>
      </c>
      <c r="C30" s="55" t="s">
        <v>268</v>
      </c>
      <c r="D30" s="56" t="s">
        <v>90</v>
      </c>
      <c r="E30" s="86" t="s">
        <v>1123</v>
      </c>
      <c r="F30" s="86"/>
      <c r="G30" s="57" t="s">
        <v>187</v>
      </c>
      <c r="H30" s="57" t="s">
        <v>187</v>
      </c>
      <c r="I30" s="57" t="s">
        <v>187</v>
      </c>
      <c r="J30" s="57" t="s">
        <v>187</v>
      </c>
      <c r="K30" s="57" t="s">
        <v>1124</v>
      </c>
      <c r="L30" s="57" t="s">
        <v>1125</v>
      </c>
      <c r="M30" s="57" t="s">
        <v>1125</v>
      </c>
    </row>
    <row r="31" spans="1:13" ht="44.25">
      <c r="A31" s="54">
        <v>30</v>
      </c>
      <c r="B31" s="54">
        <f xml:space="preserve"> IF(MOD(韻母表[[#This Row],[序號]],2)=0, 韻母表[[#This Row],[序號]]/2, ROUNDUP(韻母表[[#This Row],[序號]]/2,0))</f>
        <v>15</v>
      </c>
      <c r="C31" s="55" t="s">
        <v>269</v>
      </c>
      <c r="D31" s="56" t="s">
        <v>91</v>
      </c>
      <c r="E31" s="86" t="s">
        <v>1126</v>
      </c>
      <c r="F31" s="86"/>
      <c r="G31" s="57" t="s">
        <v>188</v>
      </c>
      <c r="H31" s="57" t="s">
        <v>188</v>
      </c>
      <c r="I31" s="57" t="s">
        <v>188</v>
      </c>
      <c r="J31" s="57" t="s">
        <v>188</v>
      </c>
      <c r="K31" s="57" t="s">
        <v>1127</v>
      </c>
      <c r="L31" s="57" t="s">
        <v>1128</v>
      </c>
      <c r="M31" s="57" t="s">
        <v>1129</v>
      </c>
    </row>
    <row r="32" spans="1:13" ht="44.25">
      <c r="A32" s="54">
        <v>31</v>
      </c>
      <c r="B32" s="54">
        <f xml:space="preserve"> IF(MOD(韻母表[[#This Row],[序號]],2)=0, 韻母表[[#This Row],[序號]]/2, ROUNDUP(韻母表[[#This Row],[序號]]/2,0))</f>
        <v>16</v>
      </c>
      <c r="C32" s="55" t="s">
        <v>270</v>
      </c>
      <c r="D32" s="56" t="s">
        <v>92</v>
      </c>
      <c r="E32" s="86" t="s">
        <v>1341</v>
      </c>
      <c r="F32" s="86"/>
      <c r="G32" s="57" t="s">
        <v>189</v>
      </c>
      <c r="H32" s="57" t="s">
        <v>189</v>
      </c>
      <c r="I32" s="57" t="s">
        <v>189</v>
      </c>
      <c r="J32" s="57" t="s">
        <v>189</v>
      </c>
      <c r="K32" s="57" t="s">
        <v>189</v>
      </c>
      <c r="L32" s="57" t="s">
        <v>1130</v>
      </c>
      <c r="M32" s="57" t="s">
        <v>1130</v>
      </c>
    </row>
    <row r="33" spans="1:13" ht="44.25">
      <c r="A33" s="54">
        <v>32</v>
      </c>
      <c r="B33" s="54">
        <f xml:space="preserve"> IF(MOD(韻母表[[#This Row],[序號]],2)=0, 韻母表[[#This Row],[序號]]/2, ROUNDUP(韻母表[[#This Row],[序號]]/2,0))</f>
        <v>16</v>
      </c>
      <c r="C33" s="62"/>
      <c r="D33" s="63"/>
      <c r="E33" s="86"/>
      <c r="F33" s="86"/>
      <c r="G33" s="57"/>
      <c r="H33" s="57"/>
      <c r="I33" s="57"/>
      <c r="J33" s="57"/>
      <c r="K33" s="57"/>
      <c r="L33" s="57"/>
      <c r="M33" s="57"/>
    </row>
    <row r="34" spans="1:13" ht="44.25">
      <c r="A34" s="54">
        <v>33</v>
      </c>
      <c r="B34" s="54">
        <f xml:space="preserve"> IF(MOD(韻母表[[#This Row],[序號]],2)=0, 韻母表[[#This Row],[序號]]/2, ROUNDUP(韻母表[[#This Row],[序號]]/2,0))</f>
        <v>17</v>
      </c>
      <c r="C34" s="55" t="s">
        <v>271</v>
      </c>
      <c r="D34" s="56" t="s">
        <v>94</v>
      </c>
      <c r="E34" s="86" t="s">
        <v>190</v>
      </c>
      <c r="F34" s="86"/>
      <c r="G34" s="57" t="s">
        <v>190</v>
      </c>
      <c r="H34" s="57" t="s">
        <v>190</v>
      </c>
      <c r="I34" s="57" t="s">
        <v>190</v>
      </c>
      <c r="J34" s="57" t="s">
        <v>190</v>
      </c>
      <c r="K34" s="57" t="s">
        <v>190</v>
      </c>
      <c r="L34" s="57" t="s">
        <v>1131</v>
      </c>
      <c r="M34" s="57" t="s">
        <v>1131</v>
      </c>
    </row>
    <row r="35" spans="1:13" ht="44.25">
      <c r="A35" s="54">
        <v>34</v>
      </c>
      <c r="B35" s="54">
        <f xml:space="preserve"> IF(MOD(韻母表[[#This Row],[序號]],2)=0, 韻母表[[#This Row],[序號]]/2, ROUNDUP(韻母表[[#This Row],[序號]]/2,0))</f>
        <v>17</v>
      </c>
      <c r="C35" s="55" t="s">
        <v>272</v>
      </c>
      <c r="D35" s="56" t="s">
        <v>95</v>
      </c>
      <c r="E35" s="86" t="s">
        <v>1132</v>
      </c>
      <c r="F35" s="86"/>
      <c r="G35" s="57" t="s">
        <v>191</v>
      </c>
      <c r="H35" s="57" t="s">
        <v>191</v>
      </c>
      <c r="I35" s="57" t="s">
        <v>191</v>
      </c>
      <c r="J35" s="57" t="s">
        <v>191</v>
      </c>
      <c r="K35" s="57" t="s">
        <v>191</v>
      </c>
      <c r="L35" s="57" t="s">
        <v>1133</v>
      </c>
      <c r="M35" s="57" t="s">
        <v>1134</v>
      </c>
    </row>
    <row r="36" spans="1:13" ht="44.25">
      <c r="A36" s="54">
        <v>35</v>
      </c>
      <c r="B36" s="54">
        <f xml:space="preserve"> IF(MOD(韻母表[[#This Row],[序號]],2)=0, 韻母表[[#This Row],[序號]]/2, ROUNDUP(韻母表[[#This Row],[序號]]/2,0))</f>
        <v>18</v>
      </c>
      <c r="C36" s="55" t="s">
        <v>274</v>
      </c>
      <c r="D36" s="56" t="s">
        <v>96</v>
      </c>
      <c r="E36" s="86" t="s">
        <v>1342</v>
      </c>
      <c r="F36" s="86"/>
      <c r="G36" s="57" t="s">
        <v>192</v>
      </c>
      <c r="H36" s="57" t="s">
        <v>192</v>
      </c>
      <c r="I36" s="57" t="s">
        <v>192</v>
      </c>
      <c r="J36" s="57" t="s">
        <v>192</v>
      </c>
      <c r="K36" s="57" t="s">
        <v>192</v>
      </c>
      <c r="L36" s="57" t="s">
        <v>1135</v>
      </c>
      <c r="M36" s="57" t="s">
        <v>1135</v>
      </c>
    </row>
    <row r="37" spans="1:13" ht="44.25">
      <c r="A37" s="54">
        <v>36</v>
      </c>
      <c r="B37" s="54">
        <f xml:space="preserve"> IF(MOD(韻母表[[#This Row],[序號]],2)=0, 韻母表[[#This Row],[序號]]/2, ROUNDUP(韻母表[[#This Row],[序號]]/2,0))</f>
        <v>18</v>
      </c>
      <c r="C37" s="55" t="s">
        <v>275</v>
      </c>
      <c r="D37" s="56" t="s">
        <v>97</v>
      </c>
      <c r="E37" s="86" t="s">
        <v>1343</v>
      </c>
      <c r="F37" s="86"/>
      <c r="G37" s="57" t="s">
        <v>193</v>
      </c>
      <c r="H37" s="57" t="s">
        <v>193</v>
      </c>
      <c r="I37" s="57" t="s">
        <v>193</v>
      </c>
      <c r="J37" s="57" t="s">
        <v>193</v>
      </c>
      <c r="K37" s="57" t="s">
        <v>193</v>
      </c>
      <c r="L37" s="57" t="s">
        <v>1136</v>
      </c>
      <c r="M37" s="57" t="s">
        <v>1137</v>
      </c>
    </row>
    <row r="38" spans="1:13" ht="44.25">
      <c r="A38" s="54">
        <v>37</v>
      </c>
      <c r="B38" s="54">
        <f xml:space="preserve"> IF(MOD(韻母表[[#This Row],[序號]],2)=0, 韻母表[[#This Row],[序號]]/2, ROUNDUP(韻母表[[#This Row],[序號]]/2,0))</f>
        <v>19</v>
      </c>
      <c r="C38" s="55" t="s">
        <v>276</v>
      </c>
      <c r="D38" s="56" t="s">
        <v>98</v>
      </c>
      <c r="E38" s="86" t="s">
        <v>194</v>
      </c>
      <c r="F38" s="86"/>
      <c r="G38" s="57" t="s">
        <v>194</v>
      </c>
      <c r="H38" s="57" t="s">
        <v>194</v>
      </c>
      <c r="I38" s="57" t="s">
        <v>194</v>
      </c>
      <c r="J38" s="57" t="s">
        <v>194</v>
      </c>
      <c r="K38" s="57" t="s">
        <v>194</v>
      </c>
      <c r="L38" s="57" t="s">
        <v>1138</v>
      </c>
      <c r="M38" s="57" t="s">
        <v>1139</v>
      </c>
    </row>
    <row r="39" spans="1:13" ht="44.25">
      <c r="A39" s="54">
        <v>38</v>
      </c>
      <c r="B39" s="54">
        <f xml:space="preserve"> IF(MOD(韻母表[[#This Row],[序號]],2)=0, 韻母表[[#This Row],[序號]]/2, ROUNDUP(韻母表[[#This Row],[序號]]/2,0))</f>
        <v>19</v>
      </c>
      <c r="C39" s="55" t="s">
        <v>277</v>
      </c>
      <c r="D39" s="56" t="s">
        <v>99</v>
      </c>
      <c r="E39" s="86" t="s">
        <v>1140</v>
      </c>
      <c r="F39" s="86"/>
      <c r="G39" s="57" t="s">
        <v>195</v>
      </c>
      <c r="H39" s="57" t="s">
        <v>195</v>
      </c>
      <c r="I39" s="57" t="s">
        <v>195</v>
      </c>
      <c r="J39" s="57" t="s">
        <v>195</v>
      </c>
      <c r="K39" s="57" t="s">
        <v>195</v>
      </c>
      <c r="L39" s="57" t="s">
        <v>1141</v>
      </c>
      <c r="M39" s="57" t="s">
        <v>1142</v>
      </c>
    </row>
    <row r="40" spans="1:13" ht="44.25">
      <c r="A40" s="54">
        <v>39</v>
      </c>
      <c r="B40" s="54">
        <f xml:space="preserve"> IF(MOD(韻母表[[#This Row],[序號]],2)=0, 韻母表[[#This Row],[序號]]/2, ROUNDUP(韻母表[[#This Row],[序號]]/2,0))</f>
        <v>20</v>
      </c>
      <c r="C40" s="55" t="s">
        <v>278</v>
      </c>
      <c r="D40" s="56" t="s">
        <v>100</v>
      </c>
      <c r="E40" s="86" t="s">
        <v>196</v>
      </c>
      <c r="F40" s="86"/>
      <c r="G40" s="57" t="s">
        <v>196</v>
      </c>
      <c r="H40" s="57" t="s">
        <v>196</v>
      </c>
      <c r="I40" s="57" t="s">
        <v>1143</v>
      </c>
      <c r="J40" s="57" t="s">
        <v>196</v>
      </c>
      <c r="K40" s="57" t="s">
        <v>196</v>
      </c>
      <c r="L40" s="57" t="s">
        <v>1144</v>
      </c>
      <c r="M40" s="57" t="s">
        <v>1144</v>
      </c>
    </row>
    <row r="41" spans="1:13" ht="44.25">
      <c r="A41" s="54">
        <v>40</v>
      </c>
      <c r="B41" s="54">
        <f xml:space="preserve"> IF(MOD(韻母表[[#This Row],[序號]],2)=0, 韻母表[[#This Row],[序號]]/2, ROUNDUP(韻母表[[#This Row],[序號]]/2,0))</f>
        <v>20</v>
      </c>
      <c r="C41" s="55" t="s">
        <v>279</v>
      </c>
      <c r="D41" s="56" t="s">
        <v>101</v>
      </c>
      <c r="E41" s="86" t="s">
        <v>1145</v>
      </c>
      <c r="F41" s="86"/>
      <c r="G41" s="57" t="s">
        <v>197</v>
      </c>
      <c r="H41" s="57" t="s">
        <v>197</v>
      </c>
      <c r="I41" s="57" t="s">
        <v>1146</v>
      </c>
      <c r="J41" s="57" t="s">
        <v>197</v>
      </c>
      <c r="K41" s="57" t="s">
        <v>197</v>
      </c>
      <c r="L41" s="57" t="s">
        <v>1147</v>
      </c>
      <c r="M41" s="57" t="s">
        <v>1148</v>
      </c>
    </row>
    <row r="42" spans="1:13" ht="44.25">
      <c r="A42" s="54">
        <v>41</v>
      </c>
      <c r="B42" s="54">
        <f xml:space="preserve"> IF(MOD(韻母表[[#This Row],[序號]],2)=0, 韻母表[[#This Row],[序號]]/2, ROUNDUP(韻母表[[#This Row],[序號]]/2,0))</f>
        <v>21</v>
      </c>
      <c r="C42" s="55" t="s">
        <v>280</v>
      </c>
      <c r="D42" s="56" t="s">
        <v>102</v>
      </c>
      <c r="E42" s="86" t="s">
        <v>1344</v>
      </c>
      <c r="F42" s="86"/>
      <c r="G42" s="57" t="s">
        <v>198</v>
      </c>
      <c r="H42" s="57" t="s">
        <v>198</v>
      </c>
      <c r="I42" s="57" t="s">
        <v>198</v>
      </c>
      <c r="J42" s="57" t="s">
        <v>198</v>
      </c>
      <c r="K42" s="57" t="s">
        <v>198</v>
      </c>
      <c r="L42" s="57" t="s">
        <v>1149</v>
      </c>
      <c r="M42" s="57" t="s">
        <v>1149</v>
      </c>
    </row>
    <row r="43" spans="1:13" ht="44.25">
      <c r="A43" s="54">
        <v>42</v>
      </c>
      <c r="B43" s="54">
        <f xml:space="preserve"> IF(MOD(韻母表[[#This Row],[序號]],2)=0, 韻母表[[#This Row],[序號]]/2, ROUNDUP(韻母表[[#This Row],[序號]]/2,0))</f>
        <v>21</v>
      </c>
      <c r="C43" s="55" t="s">
        <v>281</v>
      </c>
      <c r="D43" s="56" t="s">
        <v>103</v>
      </c>
      <c r="E43" s="86" t="s">
        <v>1150</v>
      </c>
      <c r="F43" s="86"/>
      <c r="G43" s="57" t="s">
        <v>199</v>
      </c>
      <c r="H43" s="57" t="s">
        <v>199</v>
      </c>
      <c r="I43" s="57" t="s">
        <v>199</v>
      </c>
      <c r="J43" s="57" t="s">
        <v>199</v>
      </c>
      <c r="K43" s="57" t="s">
        <v>199</v>
      </c>
      <c r="L43" s="57" t="s">
        <v>1151</v>
      </c>
      <c r="M43" s="57" t="s">
        <v>1152</v>
      </c>
    </row>
    <row r="44" spans="1:13" ht="44.25">
      <c r="A44" s="54">
        <v>43</v>
      </c>
      <c r="B44" s="54">
        <f xml:space="preserve"> IF(MOD(韻母表[[#This Row],[序號]],2)=0, 韻母表[[#This Row],[序號]]/2, ROUNDUP(韻母表[[#This Row],[序號]]/2,0))</f>
        <v>22</v>
      </c>
      <c r="C44" s="55" t="s">
        <v>282</v>
      </c>
      <c r="D44" s="56" t="s">
        <v>104</v>
      </c>
      <c r="E44" s="86" t="s">
        <v>1345</v>
      </c>
      <c r="F44" s="86"/>
      <c r="G44" s="57" t="s">
        <v>200</v>
      </c>
      <c r="H44" s="57" t="s">
        <v>200</v>
      </c>
      <c r="I44" s="57" t="s">
        <v>200</v>
      </c>
      <c r="J44" s="57" t="s">
        <v>200</v>
      </c>
      <c r="K44" s="57" t="s">
        <v>200</v>
      </c>
      <c r="L44" s="57" t="s">
        <v>1153</v>
      </c>
      <c r="M44" s="57" t="s">
        <v>1154</v>
      </c>
    </row>
    <row r="45" spans="1:13" ht="44.25">
      <c r="A45" s="54">
        <v>44</v>
      </c>
      <c r="B45" s="54">
        <f xml:space="preserve"> IF(MOD(韻母表[[#This Row],[序號]],2)=0, 韻母表[[#This Row],[序號]]/2, ROUNDUP(韻母表[[#This Row],[序號]]/2,0))</f>
        <v>22</v>
      </c>
      <c r="C45" s="55" t="s">
        <v>283</v>
      </c>
      <c r="D45" s="56" t="s">
        <v>105</v>
      </c>
      <c r="E45" s="86" t="s">
        <v>1346</v>
      </c>
      <c r="F45" s="86"/>
      <c r="G45" s="57" t="s">
        <v>201</v>
      </c>
      <c r="H45" s="57" t="s">
        <v>201</v>
      </c>
      <c r="I45" s="57" t="s">
        <v>201</v>
      </c>
      <c r="J45" s="57" t="s">
        <v>201</v>
      </c>
      <c r="K45" s="57" t="s">
        <v>201</v>
      </c>
      <c r="L45" s="57" t="s">
        <v>1155</v>
      </c>
      <c r="M45" s="57" t="s">
        <v>1156</v>
      </c>
    </row>
    <row r="46" spans="1:13" ht="44.25">
      <c r="A46" s="54">
        <v>45</v>
      </c>
      <c r="B46" s="54">
        <f xml:space="preserve"> IF(MOD(韻母表[[#This Row],[序號]],2)=0, 韻母表[[#This Row],[序號]]/2, ROUNDUP(韻母表[[#This Row],[序號]]/2,0))</f>
        <v>23</v>
      </c>
      <c r="C46" s="55" t="s">
        <v>284</v>
      </c>
      <c r="D46" s="56" t="s">
        <v>106</v>
      </c>
      <c r="E46" s="86" t="s">
        <v>1347</v>
      </c>
      <c r="F46" s="86"/>
      <c r="G46" s="57" t="s">
        <v>202</v>
      </c>
      <c r="H46" s="57" t="s">
        <v>202</v>
      </c>
      <c r="I46" s="57" t="s">
        <v>202</v>
      </c>
      <c r="J46" s="57" t="s">
        <v>1157</v>
      </c>
      <c r="K46" s="57" t="s">
        <v>202</v>
      </c>
      <c r="L46" s="57" t="s">
        <v>1158</v>
      </c>
      <c r="M46" s="57" t="s">
        <v>1158</v>
      </c>
    </row>
    <row r="47" spans="1:13" ht="44.25">
      <c r="A47" s="54">
        <v>46</v>
      </c>
      <c r="B47" s="54">
        <f xml:space="preserve"> IF(MOD(韻母表[[#This Row],[序號]],2)=0, 韻母表[[#This Row],[序號]]/2, ROUNDUP(韻母表[[#This Row],[序號]]/2,0))</f>
        <v>23</v>
      </c>
      <c r="C47" s="55" t="s">
        <v>285</v>
      </c>
      <c r="D47" s="56" t="s">
        <v>107</v>
      </c>
      <c r="E47" s="86" t="s">
        <v>1159</v>
      </c>
      <c r="F47" s="86"/>
      <c r="G47" s="57" t="s">
        <v>203</v>
      </c>
      <c r="H47" s="57" t="s">
        <v>203</v>
      </c>
      <c r="I47" s="57" t="s">
        <v>203</v>
      </c>
      <c r="J47" s="57" t="s">
        <v>1160</v>
      </c>
      <c r="K47" s="57" t="s">
        <v>203</v>
      </c>
      <c r="L47" s="57" t="s">
        <v>1161</v>
      </c>
      <c r="M47" s="57" t="s">
        <v>1162</v>
      </c>
    </row>
    <row r="48" spans="1:13" ht="44.25">
      <c r="A48" s="54">
        <v>47</v>
      </c>
      <c r="B48" s="54">
        <f xml:space="preserve"> IF(MOD(韻母表[[#This Row],[序號]],2)=0, 韻母表[[#This Row],[序號]]/2, ROUNDUP(韻母表[[#This Row],[序號]]/2,0))</f>
        <v>24</v>
      </c>
      <c r="C48" s="55" t="s">
        <v>286</v>
      </c>
      <c r="D48" s="56" t="s">
        <v>108</v>
      </c>
      <c r="E48" s="86" t="s">
        <v>1348</v>
      </c>
      <c r="F48" s="86"/>
      <c r="G48" s="57" t="s">
        <v>204</v>
      </c>
      <c r="H48" s="57" t="s">
        <v>204</v>
      </c>
      <c r="I48" s="57" t="s">
        <v>204</v>
      </c>
      <c r="J48" s="57" t="s">
        <v>204</v>
      </c>
      <c r="K48" s="57" t="s">
        <v>204</v>
      </c>
      <c r="L48" s="57" t="s">
        <v>1163</v>
      </c>
      <c r="M48" s="57" t="s">
        <v>1163</v>
      </c>
    </row>
    <row r="49" spans="1:13" ht="44.25">
      <c r="A49" s="54">
        <v>48</v>
      </c>
      <c r="B49" s="54">
        <f xml:space="preserve"> IF(MOD(韻母表[[#This Row],[序號]],2)=0, 韻母表[[#This Row],[序號]]/2, ROUNDUP(韻母表[[#This Row],[序號]]/2,0))</f>
        <v>24</v>
      </c>
      <c r="C49" s="55" t="s">
        <v>287</v>
      </c>
      <c r="D49" s="56" t="s">
        <v>109</v>
      </c>
      <c r="E49" s="86" t="s">
        <v>1349</v>
      </c>
      <c r="F49" s="86"/>
      <c r="G49" s="57" t="s">
        <v>205</v>
      </c>
      <c r="H49" s="57" t="s">
        <v>205</v>
      </c>
      <c r="I49" s="57" t="s">
        <v>205</v>
      </c>
      <c r="J49" s="57" t="s">
        <v>205</v>
      </c>
      <c r="K49" s="57" t="s">
        <v>205</v>
      </c>
      <c r="L49" s="57" t="s">
        <v>1164</v>
      </c>
      <c r="M49" s="57" t="s">
        <v>1165</v>
      </c>
    </row>
    <row r="50" spans="1:13" ht="44.25">
      <c r="A50" s="54">
        <v>49</v>
      </c>
      <c r="B50" s="54">
        <f xml:space="preserve"> IF(MOD(韻母表[[#This Row],[序號]],2)=0, 韻母表[[#This Row],[序號]]/2, ROUNDUP(韻母表[[#This Row],[序號]]/2,0))</f>
        <v>25</v>
      </c>
      <c r="C50" s="55" t="s">
        <v>288</v>
      </c>
      <c r="D50" s="56" t="s">
        <v>110</v>
      </c>
      <c r="E50" s="86" t="s">
        <v>1380</v>
      </c>
      <c r="F50" s="86" t="s">
        <v>1326</v>
      </c>
      <c r="G50" s="57" t="s">
        <v>206</v>
      </c>
      <c r="H50" s="57" t="s">
        <v>206</v>
      </c>
      <c r="I50" s="57" t="s">
        <v>1166</v>
      </c>
      <c r="J50" s="57" t="s">
        <v>206</v>
      </c>
      <c r="K50" s="57" t="s">
        <v>206</v>
      </c>
      <c r="L50" s="57" t="s">
        <v>1167</v>
      </c>
      <c r="M50" s="57" t="s">
        <v>1168</v>
      </c>
    </row>
    <row r="51" spans="1:13" ht="44.25">
      <c r="A51" s="54">
        <v>50</v>
      </c>
      <c r="B51" s="54">
        <f xml:space="preserve"> IF(MOD(韻母表[[#This Row],[序號]],2)=0, 韻母表[[#This Row],[序號]]/2, ROUNDUP(韻母表[[#This Row],[序號]]/2,0))</f>
        <v>25</v>
      </c>
      <c r="C51" s="55" t="s">
        <v>289</v>
      </c>
      <c r="D51" s="56" t="s">
        <v>111</v>
      </c>
      <c r="E51" s="86" t="s">
        <v>1381</v>
      </c>
      <c r="F51" s="86" t="s">
        <v>1379</v>
      </c>
      <c r="G51" s="57" t="s">
        <v>207</v>
      </c>
      <c r="H51" s="57" t="s">
        <v>207</v>
      </c>
      <c r="I51" s="57" t="s">
        <v>1169</v>
      </c>
      <c r="J51" s="57" t="s">
        <v>207</v>
      </c>
      <c r="K51" s="57" t="s">
        <v>207</v>
      </c>
      <c r="L51" s="57" t="s">
        <v>1170</v>
      </c>
      <c r="M51" s="57" t="s">
        <v>1171</v>
      </c>
    </row>
    <row r="52" spans="1:13" ht="44.25">
      <c r="A52" s="54">
        <v>51</v>
      </c>
      <c r="B52" s="54">
        <f xml:space="preserve"> IF(MOD(韻母表[[#This Row],[序號]],2)=0, 韻母表[[#This Row],[序號]]/2, ROUNDUP(韻母表[[#This Row],[序號]]/2,0))</f>
        <v>26</v>
      </c>
      <c r="C52" s="55" t="s">
        <v>290</v>
      </c>
      <c r="D52" s="56" t="s">
        <v>112</v>
      </c>
      <c r="E52" s="86" t="s">
        <v>1172</v>
      </c>
      <c r="F52" s="86"/>
      <c r="G52" s="57" t="s">
        <v>208</v>
      </c>
      <c r="H52" s="57" t="s">
        <v>208</v>
      </c>
      <c r="I52" s="57" t="s">
        <v>1173</v>
      </c>
      <c r="J52" s="57" t="s">
        <v>335</v>
      </c>
      <c r="K52" s="57" t="s">
        <v>208</v>
      </c>
      <c r="L52" s="57" t="s">
        <v>1174</v>
      </c>
      <c r="M52" s="57" t="s">
        <v>1175</v>
      </c>
    </row>
    <row r="53" spans="1:13" ht="44.25">
      <c r="A53" s="54">
        <v>52</v>
      </c>
      <c r="B53" s="54">
        <f xml:space="preserve"> IF(MOD(韻母表[[#This Row],[序號]],2)=0, 韻母表[[#This Row],[序號]]/2, ROUNDUP(韻母表[[#This Row],[序號]]/2,0))</f>
        <v>26</v>
      </c>
      <c r="C53" s="64" t="s">
        <v>291</v>
      </c>
      <c r="D53" s="56" t="s">
        <v>113</v>
      </c>
      <c r="E53" s="86" t="s">
        <v>1176</v>
      </c>
      <c r="F53" s="86"/>
      <c r="G53" s="57" t="s">
        <v>209</v>
      </c>
      <c r="H53" s="57" t="s">
        <v>209</v>
      </c>
      <c r="I53" s="57" t="s">
        <v>1177</v>
      </c>
      <c r="J53" s="57" t="s">
        <v>349</v>
      </c>
      <c r="K53" s="57" t="s">
        <v>209</v>
      </c>
      <c r="L53" s="57" t="s">
        <v>1178</v>
      </c>
      <c r="M53" s="57" t="s">
        <v>1179</v>
      </c>
    </row>
    <row r="54" spans="1:13" ht="44.25">
      <c r="A54" s="54">
        <v>53</v>
      </c>
      <c r="B54" s="54">
        <f xml:space="preserve"> IF(MOD(韻母表[[#This Row],[序號]],2)=0, 韻母表[[#This Row],[序號]]/2, ROUNDUP(韻母表[[#This Row],[序號]]/2,0))</f>
        <v>27</v>
      </c>
      <c r="C54" s="55" t="s">
        <v>292</v>
      </c>
      <c r="D54" s="56" t="s">
        <v>114</v>
      </c>
      <c r="E54" s="86" t="s">
        <v>210</v>
      </c>
      <c r="F54" s="86"/>
      <c r="G54" s="57" t="s">
        <v>210</v>
      </c>
      <c r="H54" s="57" t="s">
        <v>210</v>
      </c>
      <c r="I54" s="57" t="s">
        <v>210</v>
      </c>
      <c r="J54" s="57" t="s">
        <v>210</v>
      </c>
      <c r="K54" s="57" t="s">
        <v>210</v>
      </c>
      <c r="L54" s="57" t="s">
        <v>1180</v>
      </c>
      <c r="M54" s="57" t="s">
        <v>1180</v>
      </c>
    </row>
    <row r="55" spans="1:13" ht="44.25">
      <c r="A55" s="54">
        <v>54</v>
      </c>
      <c r="B55" s="54">
        <f xml:space="preserve"> IF(MOD(韻母表[[#This Row],[序號]],2)=0, 韻母表[[#This Row],[序號]]/2, ROUNDUP(韻母表[[#This Row],[序號]]/2,0))</f>
        <v>27</v>
      </c>
      <c r="C55" s="55" t="s">
        <v>293</v>
      </c>
      <c r="D55" s="56" t="s">
        <v>115</v>
      </c>
      <c r="E55" s="86" t="s">
        <v>1181</v>
      </c>
      <c r="F55" s="86"/>
      <c r="G55" s="57" t="s">
        <v>211</v>
      </c>
      <c r="H55" s="57" t="s">
        <v>211</v>
      </c>
      <c r="I55" s="57" t="s">
        <v>211</v>
      </c>
      <c r="J55" s="57" t="s">
        <v>211</v>
      </c>
      <c r="K55" s="57" t="s">
        <v>211</v>
      </c>
      <c r="L55" s="57" t="s">
        <v>1182</v>
      </c>
      <c r="M55" s="57" t="s">
        <v>1183</v>
      </c>
    </row>
    <row r="56" spans="1:13" ht="44.25">
      <c r="A56" s="54">
        <v>55</v>
      </c>
      <c r="B56" s="54">
        <f xml:space="preserve"> IF(MOD(韻母表[[#This Row],[序號]],2)=0, 韻母表[[#This Row],[序號]]/2, ROUNDUP(韻母表[[#This Row],[序號]]/2,0))</f>
        <v>28</v>
      </c>
      <c r="C56" s="55" t="s">
        <v>294</v>
      </c>
      <c r="D56" s="56" t="s">
        <v>116</v>
      </c>
      <c r="E56" s="86" t="s">
        <v>212</v>
      </c>
      <c r="F56" s="86"/>
      <c r="G56" s="57" t="s">
        <v>212</v>
      </c>
      <c r="H56" s="57" t="s">
        <v>212</v>
      </c>
      <c r="I56" s="57" t="s">
        <v>212</v>
      </c>
      <c r="J56" s="57" t="s">
        <v>212</v>
      </c>
      <c r="K56" s="57" t="s">
        <v>212</v>
      </c>
      <c r="L56" s="57" t="s">
        <v>1184</v>
      </c>
      <c r="M56" s="57" t="s">
        <v>1184</v>
      </c>
    </row>
    <row r="57" spans="1:13" ht="44.25">
      <c r="A57" s="54">
        <v>56</v>
      </c>
      <c r="B57" s="54">
        <f xml:space="preserve"> IF(MOD(韻母表[[#This Row],[序號]],2)=0, 韻母表[[#This Row],[序號]]/2, ROUNDUP(韻母表[[#This Row],[序號]]/2,0))</f>
        <v>28</v>
      </c>
      <c r="C57" s="55" t="s">
        <v>295</v>
      </c>
      <c r="D57" s="56" t="s">
        <v>117</v>
      </c>
      <c r="E57" s="86" t="s">
        <v>1185</v>
      </c>
      <c r="F57" s="86"/>
      <c r="G57" s="57" t="s">
        <v>213</v>
      </c>
      <c r="H57" s="57" t="s">
        <v>213</v>
      </c>
      <c r="I57" s="57" t="s">
        <v>213</v>
      </c>
      <c r="J57" s="57" t="s">
        <v>213</v>
      </c>
      <c r="K57" s="57" t="s">
        <v>213</v>
      </c>
      <c r="L57" s="57" t="s">
        <v>1186</v>
      </c>
      <c r="M57" s="57" t="s">
        <v>1187</v>
      </c>
    </row>
    <row r="58" spans="1:13" ht="44.25">
      <c r="A58" s="54">
        <v>57</v>
      </c>
      <c r="B58" s="54">
        <f xml:space="preserve"> IF(MOD(韻母表[[#This Row],[序號]],2)=0, 韻母表[[#This Row],[序號]]/2, ROUNDUP(韻母表[[#This Row],[序號]]/2,0))</f>
        <v>29</v>
      </c>
      <c r="C58" s="55" t="s">
        <v>246</v>
      </c>
      <c r="D58" s="56" t="s">
        <v>118</v>
      </c>
      <c r="E58" s="86" t="s">
        <v>214</v>
      </c>
      <c r="F58" s="86"/>
      <c r="G58" s="57" t="s">
        <v>214</v>
      </c>
      <c r="H58" s="57" t="s">
        <v>214</v>
      </c>
      <c r="I58" s="57" t="s">
        <v>214</v>
      </c>
      <c r="J58" s="57" t="s">
        <v>214</v>
      </c>
      <c r="K58" s="57" t="s">
        <v>214</v>
      </c>
      <c r="L58" s="57" t="s">
        <v>1188</v>
      </c>
      <c r="M58" s="57" t="s">
        <v>1188</v>
      </c>
    </row>
    <row r="59" spans="1:13" ht="44.25">
      <c r="A59" s="54">
        <v>58</v>
      </c>
      <c r="B59" s="54">
        <f xml:space="preserve"> IF(MOD(韻母表[[#This Row],[序號]],2)=0, 韻母表[[#This Row],[序號]]/2, ROUNDUP(韻母表[[#This Row],[序號]]/2,0))</f>
        <v>29</v>
      </c>
      <c r="C59" s="55" t="s">
        <v>296</v>
      </c>
      <c r="D59" s="56" t="s">
        <v>119</v>
      </c>
      <c r="E59" s="86" t="s">
        <v>1189</v>
      </c>
      <c r="F59" s="86"/>
      <c r="G59" s="57" t="s">
        <v>215</v>
      </c>
      <c r="H59" s="57" t="s">
        <v>215</v>
      </c>
      <c r="I59" s="57" t="s">
        <v>215</v>
      </c>
      <c r="J59" s="57" t="s">
        <v>215</v>
      </c>
      <c r="K59" s="57" t="s">
        <v>215</v>
      </c>
      <c r="L59" s="57" t="s">
        <v>1190</v>
      </c>
      <c r="M59" s="57" t="s">
        <v>1191</v>
      </c>
    </row>
    <row r="60" spans="1:13" ht="44.25">
      <c r="A60" s="54">
        <v>59</v>
      </c>
      <c r="B60" s="54">
        <f xml:space="preserve"> IF(MOD(韻母表[[#This Row],[序號]],2)=0, 韻母表[[#This Row],[序號]]/2, ROUNDUP(韻母表[[#This Row],[序號]]/2,0))</f>
        <v>30</v>
      </c>
      <c r="C60" s="55" t="s">
        <v>297</v>
      </c>
      <c r="D60" s="56" t="s">
        <v>120</v>
      </c>
      <c r="E60" s="86" t="s">
        <v>1350</v>
      </c>
      <c r="F60" s="86"/>
      <c r="G60" s="57" t="s">
        <v>216</v>
      </c>
      <c r="H60" s="57" t="s">
        <v>216</v>
      </c>
      <c r="I60" s="57" t="s">
        <v>216</v>
      </c>
      <c r="J60" s="57" t="s">
        <v>216</v>
      </c>
      <c r="K60" s="57" t="s">
        <v>216</v>
      </c>
      <c r="L60" s="57" t="s">
        <v>1192</v>
      </c>
      <c r="M60" s="57" t="s">
        <v>1192</v>
      </c>
    </row>
    <row r="61" spans="1:13" ht="44.25">
      <c r="A61" s="54">
        <v>60</v>
      </c>
      <c r="B61" s="54">
        <f xml:space="preserve"> IF(MOD(韻母表[[#This Row],[序號]],2)=0, 韻母表[[#This Row],[序號]]/2, ROUNDUP(韻母表[[#This Row],[序號]]/2,0))</f>
        <v>30</v>
      </c>
      <c r="C61" s="62"/>
      <c r="D61" s="63"/>
      <c r="E61" s="86" t="s">
        <v>1079</v>
      </c>
      <c r="F61" s="86"/>
      <c r="G61" s="57" t="s">
        <v>1079</v>
      </c>
      <c r="H61" s="57" t="s">
        <v>1079</v>
      </c>
      <c r="I61" s="57" t="s">
        <v>1079</v>
      </c>
      <c r="J61" s="57" t="s">
        <v>1079</v>
      </c>
      <c r="K61" s="57" t="s">
        <v>1079</v>
      </c>
      <c r="L61" s="57" t="s">
        <v>1079</v>
      </c>
      <c r="M61" s="57" t="s">
        <v>1079</v>
      </c>
    </row>
    <row r="62" spans="1:13" ht="44.25">
      <c r="A62" s="54">
        <v>61</v>
      </c>
      <c r="B62" s="54">
        <f xml:space="preserve"> IF(MOD(韻母表[[#This Row],[序號]],2)=0, 韻母表[[#This Row],[序號]]/2, ROUNDUP(韻母表[[#This Row],[序號]]/2,0))</f>
        <v>31</v>
      </c>
      <c r="C62" s="55" t="s">
        <v>298</v>
      </c>
      <c r="D62" s="56" t="s">
        <v>122</v>
      </c>
      <c r="E62" s="86" t="str">
        <f xml:space="preserve"> _xlfn.CONCAT("e", _xlfn.UNICHAR(HEX2DEC(RIGHT("U+0303",4))))</f>
        <v>ẽ</v>
      </c>
      <c r="F62" s="86" t="str">
        <f xml:space="preserve"> _xlfn.CONCAT("ɛ", _xlfn.UNICHAR(HEX2DEC(RIGHT("U+0303",4))))</f>
        <v>ɛ̃</v>
      </c>
      <c r="G62" s="57" t="s">
        <v>217</v>
      </c>
      <c r="H62" s="57" t="s">
        <v>217</v>
      </c>
      <c r="I62" s="57" t="s">
        <v>1193</v>
      </c>
      <c r="J62" s="57" t="s">
        <v>489</v>
      </c>
      <c r="K62" s="57" t="s">
        <v>217</v>
      </c>
      <c r="L62" s="57" t="s">
        <v>1194</v>
      </c>
      <c r="M62" s="57" t="s">
        <v>1195</v>
      </c>
    </row>
    <row r="63" spans="1:13" ht="44.25">
      <c r="A63" s="54">
        <v>62</v>
      </c>
      <c r="B63" s="54">
        <f xml:space="preserve"> IF(MOD(韻母表[[#This Row],[序號]],2)=0, 韻母表[[#This Row],[序號]]/2, ROUNDUP(韻母表[[#This Row],[序號]]/2,0))</f>
        <v>31</v>
      </c>
      <c r="C63" s="55" t="s">
        <v>299</v>
      </c>
      <c r="D63" s="56" t="s">
        <v>123</v>
      </c>
      <c r="E63" s="86" t="str">
        <f xml:space="preserve"> _xlfn.CONCAT(E62, _xlfn.UNICHAR(HEX2DEC(RIGHT("U+0294",4))))</f>
        <v>ẽʔ</v>
      </c>
      <c r="F63" s="86" t="str">
        <f xml:space="preserve"> _xlfn.CONCAT(F62, _xlfn.UNICHAR(HEX2DEC(RIGHT("U+0294",4))))</f>
        <v>ɛ̃ʔ</v>
      </c>
      <c r="G63" s="57" t="s">
        <v>218</v>
      </c>
      <c r="H63" s="57" t="s">
        <v>218</v>
      </c>
      <c r="I63" s="57" t="s">
        <v>1196</v>
      </c>
      <c r="J63" s="57" t="s">
        <v>218</v>
      </c>
      <c r="K63" s="57" t="s">
        <v>218</v>
      </c>
      <c r="L63" s="57" t="s">
        <v>1197</v>
      </c>
      <c r="M63" s="57" t="s">
        <v>1198</v>
      </c>
    </row>
    <row r="64" spans="1:13" ht="44.25">
      <c r="A64" s="54">
        <v>63</v>
      </c>
      <c r="B64" s="54">
        <f xml:space="preserve"> IF(MOD(韻母表[[#This Row],[序號]],2)=0, 韻母表[[#This Row],[序號]]/2, ROUNDUP(韻母表[[#This Row],[序號]]/2,0))</f>
        <v>32</v>
      </c>
      <c r="C64" s="55" t="s">
        <v>1327</v>
      </c>
      <c r="D64" s="63" t="s">
        <v>124</v>
      </c>
      <c r="E64" s="86" t="s">
        <v>1199</v>
      </c>
      <c r="F64" s="86"/>
      <c r="G64" s="57" t="s">
        <v>219</v>
      </c>
      <c r="H64" s="57" t="s">
        <v>219</v>
      </c>
      <c r="I64" s="57" t="s">
        <v>1200</v>
      </c>
      <c r="J64" s="57" t="s">
        <v>1201</v>
      </c>
      <c r="K64" s="57" t="s">
        <v>219</v>
      </c>
      <c r="L64" s="57" t="s">
        <v>1202</v>
      </c>
      <c r="M64" s="57" t="s">
        <v>1203</v>
      </c>
    </row>
    <row r="65" spans="1:13" ht="44.25">
      <c r="A65" s="54">
        <v>64</v>
      </c>
      <c r="B65" s="54">
        <f xml:space="preserve"> IF(MOD(韻母表[[#This Row],[序號]],2)=0, 韻母表[[#This Row],[序號]]/2, ROUNDUP(韻母表[[#This Row],[序號]]/2,0))</f>
        <v>32</v>
      </c>
      <c r="C65" s="62"/>
      <c r="D65" s="63"/>
      <c r="E65" s="86"/>
      <c r="F65" s="86"/>
      <c r="G65" s="57"/>
      <c r="H65" s="57"/>
      <c r="I65" s="57"/>
      <c r="J65" s="57"/>
      <c r="K65" s="57"/>
      <c r="L65" s="57"/>
      <c r="M65" s="57"/>
    </row>
    <row r="66" spans="1:13" ht="44.25">
      <c r="A66" s="54">
        <v>65</v>
      </c>
      <c r="B66" s="54">
        <f xml:space="preserve"> IF(MOD(韻母表[[#This Row],[序號]],2)=0, 韻母表[[#This Row],[序號]]/2, ROUNDUP(韻母表[[#This Row],[序號]]/2,0))</f>
        <v>33</v>
      </c>
      <c r="C66" s="55" t="s">
        <v>300</v>
      </c>
      <c r="D66" s="56" t="s">
        <v>126</v>
      </c>
      <c r="E66" s="86" t="s">
        <v>1351</v>
      </c>
      <c r="F66" s="86"/>
      <c r="G66" s="57" t="s">
        <v>220</v>
      </c>
      <c r="H66" s="57" t="s">
        <v>220</v>
      </c>
      <c r="I66" s="57" t="s">
        <v>220</v>
      </c>
      <c r="J66" s="57" t="s">
        <v>220</v>
      </c>
      <c r="K66" s="57" t="s">
        <v>1204</v>
      </c>
      <c r="L66" s="57" t="s">
        <v>1205</v>
      </c>
      <c r="M66" s="57" t="s">
        <v>1205</v>
      </c>
    </row>
    <row r="67" spans="1:13" ht="44.25">
      <c r="A67" s="54">
        <v>66</v>
      </c>
      <c r="B67" s="54">
        <f xml:space="preserve"> IF(MOD(韻母表[[#This Row],[序號]],2)=0, 韻母表[[#This Row],[序號]]/2, ROUNDUP(韻母表[[#This Row],[序號]]/2,0))</f>
        <v>33</v>
      </c>
      <c r="C67" s="55" t="s">
        <v>301</v>
      </c>
      <c r="D67" s="56" t="s">
        <v>127</v>
      </c>
      <c r="E67" s="86" t="s">
        <v>1352</v>
      </c>
      <c r="F67" s="86"/>
      <c r="G67" s="57" t="s">
        <v>221</v>
      </c>
      <c r="H67" s="57" t="s">
        <v>221</v>
      </c>
      <c r="I67" s="57" t="s">
        <v>221</v>
      </c>
      <c r="J67" s="57" t="s">
        <v>221</v>
      </c>
      <c r="K67" s="57" t="s">
        <v>1206</v>
      </c>
      <c r="L67" s="57" t="s">
        <v>1207</v>
      </c>
      <c r="M67" s="57" t="s">
        <v>1208</v>
      </c>
    </row>
    <row r="68" spans="1:13" ht="44.25">
      <c r="A68" s="54">
        <v>67</v>
      </c>
      <c r="B68" s="54">
        <f xml:space="preserve"> IF(MOD(韻母表[[#This Row],[序號]],2)=0, 韻母表[[#This Row],[序號]]/2, ROUNDUP(韻母表[[#This Row],[序號]]/2,0))</f>
        <v>34</v>
      </c>
      <c r="C68" s="55" t="s">
        <v>302</v>
      </c>
      <c r="D68" s="56" t="s">
        <v>128</v>
      </c>
      <c r="E68" s="86" t="s">
        <v>1209</v>
      </c>
      <c r="F68" s="86"/>
      <c r="G68" s="57" t="s">
        <v>222</v>
      </c>
      <c r="H68" s="57" t="s">
        <v>222</v>
      </c>
      <c r="I68" s="57" t="s">
        <v>1210</v>
      </c>
      <c r="J68" s="57" t="s">
        <v>532</v>
      </c>
      <c r="K68" s="57" t="s">
        <v>222</v>
      </c>
      <c r="L68" s="57" t="s">
        <v>1211</v>
      </c>
      <c r="M68" s="57" t="s">
        <v>1212</v>
      </c>
    </row>
    <row r="69" spans="1:13" ht="44.25">
      <c r="A69" s="54">
        <v>68</v>
      </c>
      <c r="B69" s="54">
        <f xml:space="preserve"> IF(MOD(韻母表[[#This Row],[序號]],2)=0, 韻母表[[#This Row],[序號]]/2, ROUNDUP(韻母表[[#This Row],[序號]]/2,0))</f>
        <v>34</v>
      </c>
      <c r="C69" s="62"/>
      <c r="D69" s="63" t="s">
        <v>129</v>
      </c>
      <c r="E69" s="86" t="s">
        <v>1353</v>
      </c>
      <c r="F69" s="86"/>
      <c r="G69" s="57" t="s">
        <v>1079</v>
      </c>
      <c r="H69" s="57" t="s">
        <v>1079</v>
      </c>
      <c r="I69" s="57" t="s">
        <v>1079</v>
      </c>
      <c r="J69" s="57" t="s">
        <v>1079</v>
      </c>
      <c r="K69" s="57" t="s">
        <v>1079</v>
      </c>
      <c r="L69" s="57" t="s">
        <v>1079</v>
      </c>
      <c r="M69" s="57" t="s">
        <v>1079</v>
      </c>
    </row>
    <row r="70" spans="1:13" ht="44.25">
      <c r="A70" s="54">
        <v>69</v>
      </c>
      <c r="B70" s="54">
        <f xml:space="preserve"> IF(MOD(韻母表[[#This Row],[序號]],2)=0, 韻母表[[#This Row],[序號]]/2, ROUNDUP(韻母表[[#This Row],[序號]]/2,0))</f>
        <v>35</v>
      </c>
      <c r="C70" s="65" t="s">
        <v>303</v>
      </c>
      <c r="D70" s="63" t="s">
        <v>130</v>
      </c>
      <c r="E70" s="86" t="s">
        <v>1354</v>
      </c>
      <c r="F70" s="86"/>
      <c r="G70" s="57" t="s">
        <v>224</v>
      </c>
      <c r="H70" s="57" t="s">
        <v>224</v>
      </c>
      <c r="I70" s="57" t="s">
        <v>1213</v>
      </c>
      <c r="J70" s="57" t="s">
        <v>1214</v>
      </c>
      <c r="K70" s="57" t="s">
        <v>1215</v>
      </c>
      <c r="L70" s="57" t="s">
        <v>1216</v>
      </c>
      <c r="M70" s="57" t="s">
        <v>1217</v>
      </c>
    </row>
    <row r="71" spans="1:13" ht="44.25">
      <c r="A71" s="54">
        <v>70</v>
      </c>
      <c r="B71" s="54">
        <f xml:space="preserve"> IF(MOD(韻母表[[#This Row],[序號]],2)=0, 韻母表[[#This Row],[序號]]/2, ROUNDUP(韻母表[[#This Row],[序號]]/2,0))</f>
        <v>35</v>
      </c>
      <c r="C71" s="62"/>
      <c r="D71" s="63"/>
      <c r="E71" s="86" t="s">
        <v>1079</v>
      </c>
      <c r="F71" s="86"/>
      <c r="G71" s="57" t="s">
        <v>1079</v>
      </c>
      <c r="H71" s="57" t="s">
        <v>1079</v>
      </c>
      <c r="I71" s="57" t="s">
        <v>1079</v>
      </c>
      <c r="J71" s="57" t="s">
        <v>1079</v>
      </c>
      <c r="K71" s="57" t="s">
        <v>1079</v>
      </c>
      <c r="L71" s="57" t="s">
        <v>1079</v>
      </c>
      <c r="M71" s="57" t="s">
        <v>1079</v>
      </c>
    </row>
    <row r="72" spans="1:13" ht="44.25">
      <c r="A72" s="54">
        <v>71</v>
      </c>
      <c r="B72" s="54">
        <f xml:space="preserve"> IF(MOD(韻母表[[#This Row],[序號]],2)=0, 韻母表[[#This Row],[序號]]/2, ROUNDUP(韻母表[[#This Row],[序號]]/2,0))</f>
        <v>36</v>
      </c>
      <c r="C72" s="55" t="s">
        <v>304</v>
      </c>
      <c r="D72" s="56" t="s">
        <v>132</v>
      </c>
      <c r="E72" s="86" t="s">
        <v>1355</v>
      </c>
      <c r="F72" s="86"/>
      <c r="G72" s="57" t="s">
        <v>305</v>
      </c>
      <c r="H72" s="57" t="s">
        <v>305</v>
      </c>
      <c r="I72" s="57" t="s">
        <v>1218</v>
      </c>
      <c r="J72" s="57" t="s">
        <v>543</v>
      </c>
      <c r="K72" s="57" t="s">
        <v>305</v>
      </c>
      <c r="L72" s="57" t="s">
        <v>1219</v>
      </c>
      <c r="M72" s="57" t="s">
        <v>1220</v>
      </c>
    </row>
    <row r="73" spans="1:13" ht="44.25">
      <c r="A73" s="54">
        <v>72</v>
      </c>
      <c r="B73" s="54">
        <f xml:space="preserve"> IF(MOD(韻母表[[#This Row],[序號]],2)=0, 韻母表[[#This Row],[序號]]/2, ROUNDUP(韻母表[[#This Row],[序號]]/2,0))</f>
        <v>36</v>
      </c>
      <c r="C73" s="62"/>
      <c r="D73" s="56" t="s">
        <v>1386</v>
      </c>
      <c r="E73" s="86" t="str">
        <f xml:space="preserve"> _xlfn.CONCAT(E72, "h")</f>
        <v>ɪãh</v>
      </c>
      <c r="F73" s="86"/>
      <c r="G73" s="57" t="str">
        <f xml:space="preserve"> _xlfn.CONCAT(G72, "h")</f>
        <v>iannh</v>
      </c>
      <c r="H73" s="57" t="str">
        <f t="shared" ref="H73" si="1" xml:space="preserve"> _xlfn.CONCAT(H72, "h")</f>
        <v>iannh</v>
      </c>
      <c r="I73" s="57" t="str">
        <f t="shared" ref="I73" si="2" xml:space="preserve"> _xlfn.CONCAT(I72, "h")</f>
        <v>iaⁿh</v>
      </c>
      <c r="J73" s="57" t="str">
        <f t="shared" ref="J73" si="3" xml:space="preserve"> _xlfn.CONCAT(J72, "h")</f>
        <v>niah</v>
      </c>
      <c r="K73" s="57" t="str">
        <f t="shared" ref="K73" si="4" xml:space="preserve"> _xlfn.CONCAT(K72, "h")</f>
        <v>iannh</v>
      </c>
      <c r="L73" s="57" t="str">
        <f xml:space="preserve"> _xlfn.CONCAT(L72, "ㆷ")</f>
        <v>ㄧㆩㆷ</v>
      </c>
      <c r="M73" s="57" t="str">
        <f xml:space="preserve"> _xlfn.CONCAT(M72, "ㄏ")</f>
        <v>⁰ㄧㄚㄏ</v>
      </c>
    </row>
    <row r="74" spans="1:13" ht="44.25">
      <c r="A74" s="54">
        <v>73</v>
      </c>
      <c r="B74" s="54">
        <f xml:space="preserve"> IF(MOD(韻母表[[#This Row],[序號]],2)=0, 韻母表[[#This Row],[序號]]/2, ROUNDUP(韻母表[[#This Row],[序號]]/2,0))</f>
        <v>37</v>
      </c>
      <c r="C74" s="55" t="s">
        <v>307</v>
      </c>
      <c r="D74" s="56" t="s">
        <v>134</v>
      </c>
      <c r="E74" s="86" t="s">
        <v>1221</v>
      </c>
      <c r="F74" s="86"/>
      <c r="G74" s="57" t="s">
        <v>226</v>
      </c>
      <c r="H74" s="57" t="s">
        <v>226</v>
      </c>
      <c r="I74" s="57" t="s">
        <v>1222</v>
      </c>
      <c r="J74" s="57" t="s">
        <v>923</v>
      </c>
      <c r="K74" s="57" t="s">
        <v>226</v>
      </c>
      <c r="L74" s="57" t="s">
        <v>1223</v>
      </c>
      <c r="M74" s="57" t="s">
        <v>1224</v>
      </c>
    </row>
    <row r="75" spans="1:13" ht="44.25">
      <c r="A75" s="54">
        <v>74</v>
      </c>
      <c r="B75" s="54">
        <f xml:space="preserve"> IF(MOD(韻母表[[#This Row],[序號]],2)=0, 韻母表[[#This Row],[序號]]/2, ROUNDUP(韻母表[[#This Row],[序號]]/2,0))</f>
        <v>37</v>
      </c>
      <c r="C75" s="62"/>
      <c r="D75" s="63"/>
      <c r="E75" s="86" t="s">
        <v>1079</v>
      </c>
      <c r="F75" s="86"/>
      <c r="G75" s="57" t="s">
        <v>1079</v>
      </c>
      <c r="H75" s="57" t="s">
        <v>1079</v>
      </c>
      <c r="I75" s="57" t="s">
        <v>1079</v>
      </c>
      <c r="J75" s="57" t="s">
        <v>1079</v>
      </c>
      <c r="K75" s="57" t="s">
        <v>1079</v>
      </c>
      <c r="L75" s="57" t="s">
        <v>1079</v>
      </c>
      <c r="M75" s="57" t="s">
        <v>1079</v>
      </c>
    </row>
    <row r="76" spans="1:13" ht="44.25">
      <c r="A76" s="54">
        <v>75</v>
      </c>
      <c r="B76" s="54">
        <f xml:space="preserve"> IF(MOD(韻母表[[#This Row],[序號]],2)=0, 韻母表[[#This Row],[序號]]/2, ROUNDUP(韻母表[[#This Row],[序號]]/2,0))</f>
        <v>38</v>
      </c>
      <c r="C76" s="55" t="s">
        <v>273</v>
      </c>
      <c r="D76" s="56" t="s">
        <v>136</v>
      </c>
      <c r="E76" s="86" t="s">
        <v>1356</v>
      </c>
      <c r="F76" s="86"/>
      <c r="G76" s="57" t="s">
        <v>52</v>
      </c>
      <c r="H76" s="57" t="s">
        <v>52</v>
      </c>
      <c r="I76" s="57" t="s">
        <v>52</v>
      </c>
      <c r="J76" s="57" t="s">
        <v>52</v>
      </c>
      <c r="K76" s="57" t="s">
        <v>52</v>
      </c>
      <c r="L76" s="57" t="s">
        <v>1225</v>
      </c>
      <c r="M76" s="57" t="s">
        <v>1226</v>
      </c>
    </row>
    <row r="77" spans="1:13" ht="44.25">
      <c r="A77" s="54">
        <v>76</v>
      </c>
      <c r="B77" s="54">
        <f xml:space="preserve"> IF(MOD(韻母表[[#This Row],[序號]],2)=0, 韻母表[[#This Row],[序號]]/2, ROUNDUP(韻母表[[#This Row],[序號]]/2,0))</f>
        <v>38</v>
      </c>
      <c r="C77" s="62"/>
      <c r="D77" s="56" t="s">
        <v>1387</v>
      </c>
      <c r="E77" s="86" t="str">
        <f xml:space="preserve"> _xlfn.CONCAT(E76, "h")</f>
        <v>ŋ̍h</v>
      </c>
      <c r="F77" s="86"/>
      <c r="G77" s="57" t="str">
        <f xml:space="preserve"> _xlfn.CONCAT(G76, "h")</f>
        <v>ngh</v>
      </c>
      <c r="H77" s="57" t="str">
        <f t="shared" ref="H77" si="5" xml:space="preserve"> _xlfn.CONCAT(H76, "h")</f>
        <v>ngh</v>
      </c>
      <c r="I77" s="57" t="str">
        <f t="shared" ref="I77" si="6" xml:space="preserve"> _xlfn.CONCAT(I76, "h")</f>
        <v>ngh</v>
      </c>
      <c r="J77" s="57" t="str">
        <f t="shared" ref="J77" si="7" xml:space="preserve"> _xlfn.CONCAT(J76, "h")</f>
        <v>ngh</v>
      </c>
      <c r="K77" s="57" t="str">
        <f t="shared" ref="K77" si="8" xml:space="preserve"> _xlfn.CONCAT(K76, "h")</f>
        <v>ngh</v>
      </c>
      <c r="L77" s="57" t="str">
        <f xml:space="preserve"> _xlfn.CONCAT(L76, "ㆷ")</f>
        <v>ㆭㆷ</v>
      </c>
      <c r="M77" s="57" t="str">
        <f xml:space="preserve"> _xlfn.CONCAT(M76, "ㄏ")</f>
        <v>ㄥㄏ</v>
      </c>
    </row>
    <row r="78" spans="1:13" ht="44.25">
      <c r="A78" s="54">
        <v>77</v>
      </c>
      <c r="B78" s="54">
        <f xml:space="preserve"> IF(MOD(韻母表[[#This Row],[序號]],2)=0, 韻母表[[#This Row],[序號]]/2, ROUNDUP(韻母表[[#This Row],[序號]]/2,0))</f>
        <v>39</v>
      </c>
      <c r="C78" s="55" t="s">
        <v>308</v>
      </c>
      <c r="D78" s="56" t="s">
        <v>138</v>
      </c>
      <c r="E78" s="86" t="s">
        <v>1328</v>
      </c>
      <c r="F78" s="86"/>
      <c r="G78" s="57" t="s">
        <v>1079</v>
      </c>
      <c r="H78" s="57" t="s">
        <v>1079</v>
      </c>
      <c r="I78" s="57" t="s">
        <v>1079</v>
      </c>
      <c r="J78" s="57" t="s">
        <v>1079</v>
      </c>
      <c r="K78" s="57" t="s">
        <v>1079</v>
      </c>
      <c r="L78" s="57" t="s">
        <v>1079</v>
      </c>
      <c r="M78" s="57" t="s">
        <v>1079</v>
      </c>
    </row>
    <row r="79" spans="1:13" ht="44.25">
      <c r="A79" s="54">
        <v>78</v>
      </c>
      <c r="B79" s="54">
        <f xml:space="preserve"> IF(MOD(韻母表[[#This Row],[序號]],2)=0, 韻母表[[#This Row],[序號]]/2, ROUNDUP(韻母表[[#This Row],[序號]]/2,0))</f>
        <v>39</v>
      </c>
      <c r="C79" s="55" t="s">
        <v>309</v>
      </c>
      <c r="D79" s="56" t="s">
        <v>139</v>
      </c>
      <c r="E79" s="86" t="s">
        <v>1227</v>
      </c>
      <c r="F79" s="86"/>
      <c r="G79" s="57" t="s">
        <v>227</v>
      </c>
      <c r="H79" s="57" t="s">
        <v>227</v>
      </c>
      <c r="I79" s="57" t="s">
        <v>227</v>
      </c>
      <c r="J79" s="57" t="s">
        <v>227</v>
      </c>
      <c r="K79" s="57" t="s">
        <v>227</v>
      </c>
      <c r="L79" s="57" t="s">
        <v>1228</v>
      </c>
      <c r="M79" s="57" t="s">
        <v>1084</v>
      </c>
    </row>
    <row r="80" spans="1:13" ht="44.25">
      <c r="A80" s="54">
        <v>79</v>
      </c>
      <c r="B80" s="54">
        <f xml:space="preserve"> IF(MOD(韻母表[[#This Row],[序號]],2)=0, 韻母表[[#This Row],[序號]]/2, ROUNDUP(韻母表[[#This Row],[序號]]/2,0))</f>
        <v>40</v>
      </c>
      <c r="C80" s="55" t="s">
        <v>310</v>
      </c>
      <c r="D80" s="56" t="s">
        <v>140</v>
      </c>
      <c r="E80" s="86" t="s">
        <v>1357</v>
      </c>
      <c r="F80" s="86"/>
      <c r="G80" s="57" t="s">
        <v>228</v>
      </c>
      <c r="H80" s="57" t="s">
        <v>228</v>
      </c>
      <c r="I80" s="57" t="s">
        <v>1229</v>
      </c>
      <c r="J80" s="57" t="s">
        <v>364</v>
      </c>
      <c r="K80" s="57" t="s">
        <v>228</v>
      </c>
      <c r="L80" s="57" t="s">
        <v>1230</v>
      </c>
      <c r="M80" s="57" t="s">
        <v>1231</v>
      </c>
    </row>
    <row r="81" spans="1:13" ht="44.25">
      <c r="A81" s="54">
        <v>80</v>
      </c>
      <c r="B81" s="54">
        <f xml:space="preserve"> IF(MOD(韻母表[[#This Row],[序號]],2)=0, 韻母表[[#This Row],[序號]]/2, ROUNDUP(韻母表[[#This Row],[序號]]/2,0))</f>
        <v>40</v>
      </c>
      <c r="C81" s="62"/>
      <c r="D81" s="63"/>
      <c r="E81" s="86" t="s">
        <v>1079</v>
      </c>
      <c r="F81" s="86"/>
      <c r="G81" s="57" t="s">
        <v>1079</v>
      </c>
      <c r="H81" s="57" t="s">
        <v>1079</v>
      </c>
      <c r="I81" s="57" t="s">
        <v>1079</v>
      </c>
      <c r="J81" s="57" t="s">
        <v>1079</v>
      </c>
      <c r="K81" s="57" t="s">
        <v>1079</v>
      </c>
      <c r="L81" s="57" t="s">
        <v>1079</v>
      </c>
      <c r="M81" s="57" t="s">
        <v>1079</v>
      </c>
    </row>
    <row r="82" spans="1:13" ht="44.25">
      <c r="A82" s="54">
        <v>81</v>
      </c>
      <c r="B82" s="54">
        <f xml:space="preserve"> IF(MOD(韻母表[[#This Row],[序號]],2)=0, 韻母表[[#This Row],[序號]]/2, ROUNDUP(韻母表[[#This Row],[序號]]/2,0))</f>
        <v>41</v>
      </c>
      <c r="C82" s="62" t="s">
        <v>262</v>
      </c>
      <c r="D82" s="63" t="s">
        <v>142</v>
      </c>
      <c r="E82" s="86" t="str">
        <f xml:space="preserve"> _xlfn.CONCAT("ɔ", _xlfn.UNICHAR(HEX2DEC(RIGHT("U+0303",4))))</f>
        <v>ɔ̃</v>
      </c>
      <c r="F82" s="86" t="str">
        <f xml:space="preserve"> _xlfn.CONCAT("o", _xlfn.UNICHAR(HEX2DEC(RIGHT("U+0303",4))), "u")</f>
        <v>õu</v>
      </c>
      <c r="G82" s="57" t="s">
        <v>229</v>
      </c>
      <c r="H82" s="57" t="s">
        <v>229</v>
      </c>
      <c r="I82" s="57" t="s">
        <v>1232</v>
      </c>
      <c r="J82" s="57" t="s">
        <v>892</v>
      </c>
      <c r="K82" s="57" t="s">
        <v>1233</v>
      </c>
      <c r="L82" s="57" t="s">
        <v>1234</v>
      </c>
      <c r="M82" s="57" t="s">
        <v>1235</v>
      </c>
    </row>
    <row r="83" spans="1:13" ht="44.25">
      <c r="A83" s="54">
        <v>82</v>
      </c>
      <c r="B83" s="54">
        <f xml:space="preserve"> IF(MOD(韻母表[[#This Row],[序號]],2)=0, 韻母表[[#This Row],[序號]]/2, ROUNDUP(韻母表[[#This Row],[序號]]/2,0))</f>
        <v>41</v>
      </c>
      <c r="C83" s="62"/>
      <c r="D83" s="63"/>
      <c r="E83" s="86" t="s">
        <v>1079</v>
      </c>
      <c r="F83" s="86"/>
      <c r="G83" s="57" t="s">
        <v>1079</v>
      </c>
      <c r="H83" s="57" t="s">
        <v>1079</v>
      </c>
      <c r="I83" s="57" t="s">
        <v>1079</v>
      </c>
      <c r="J83" s="57" t="s">
        <v>1079</v>
      </c>
      <c r="K83" s="57" t="s">
        <v>1079</v>
      </c>
      <c r="L83" s="57" t="s">
        <v>1079</v>
      </c>
      <c r="M83" s="57" t="s">
        <v>1079</v>
      </c>
    </row>
    <row r="84" spans="1:13" ht="44.25">
      <c r="A84" s="54">
        <v>83</v>
      </c>
      <c r="B84" s="54">
        <f xml:space="preserve"> IF(MOD(韻母表[[#This Row],[序號]],2)=0, 韻母表[[#This Row],[序號]]/2, ROUNDUP(韻母表[[#This Row],[序號]]/2,0))</f>
        <v>42</v>
      </c>
      <c r="C84" s="55" t="s">
        <v>311</v>
      </c>
      <c r="D84" s="56" t="s">
        <v>144</v>
      </c>
      <c r="E84" s="86" t="s">
        <v>1236</v>
      </c>
      <c r="F84" s="86"/>
      <c r="G84" s="57" t="s">
        <v>44</v>
      </c>
      <c r="H84" s="57" t="s">
        <v>44</v>
      </c>
      <c r="I84" s="57" t="s">
        <v>44</v>
      </c>
      <c r="J84" s="57" t="s">
        <v>44</v>
      </c>
      <c r="K84" s="57" t="s">
        <v>44</v>
      </c>
      <c r="L84" s="57" t="s">
        <v>1237</v>
      </c>
      <c r="M84" s="57" t="s">
        <v>1238</v>
      </c>
    </row>
    <row r="85" spans="1:13" ht="44.25">
      <c r="A85" s="54">
        <v>84</v>
      </c>
      <c r="B85" s="54">
        <f xml:space="preserve"> IF(MOD(韻母表[[#This Row],[序號]],2)=0, 韻母表[[#This Row],[序號]]/2, ROUNDUP(韻母表[[#This Row],[序號]]/2,0))</f>
        <v>42</v>
      </c>
      <c r="C85" s="62"/>
      <c r="D85" s="56" t="s">
        <v>1388</v>
      </c>
      <c r="E85" s="86" t="str">
        <f xml:space="preserve"> _xlfn.CONCAT(E84, "h")</f>
        <v>m̩h</v>
      </c>
      <c r="F85" s="86"/>
      <c r="G85" s="57" t="str">
        <f xml:space="preserve"> _xlfn.CONCAT(G84, "h")</f>
        <v>mh</v>
      </c>
      <c r="H85" s="57" t="str">
        <f t="shared" ref="H85" si="9" xml:space="preserve"> _xlfn.CONCAT(H84, "h")</f>
        <v>mh</v>
      </c>
      <c r="I85" s="57" t="str">
        <f t="shared" ref="I85" si="10" xml:space="preserve"> _xlfn.CONCAT(I84, "h")</f>
        <v>mh</v>
      </c>
      <c r="J85" s="57" t="str">
        <f t="shared" ref="J85" si="11" xml:space="preserve"> _xlfn.CONCAT(J84, "h")</f>
        <v>mh</v>
      </c>
      <c r="K85" s="57" t="str">
        <f t="shared" ref="K85" si="12" xml:space="preserve"> _xlfn.CONCAT(K84, "h")</f>
        <v>mh</v>
      </c>
      <c r="L85" s="57" t="str">
        <f xml:space="preserve"> _xlfn.CONCAT(L84, "ㆷ")</f>
        <v>ㆬㆷ</v>
      </c>
      <c r="M85" s="57" t="str">
        <f xml:space="preserve"> _xlfn.CONCAT(M84, "ㄏ")</f>
        <v>ㄇㄏ</v>
      </c>
    </row>
    <row r="86" spans="1:13" ht="44.25">
      <c r="A86" s="54">
        <v>85</v>
      </c>
      <c r="B86" s="54">
        <f xml:space="preserve"> IF(MOD(韻母表[[#This Row],[序號]],2)=0, 韻母表[[#This Row],[序號]]/2, ROUNDUP(韻母表[[#This Row],[序號]]/2,0))</f>
        <v>43</v>
      </c>
      <c r="C86" s="55" t="s">
        <v>312</v>
      </c>
      <c r="D86" s="56" t="s">
        <v>146</v>
      </c>
      <c r="E86" s="86" t="s">
        <v>1358</v>
      </c>
      <c r="F86" s="86"/>
      <c r="G86" s="57" t="s">
        <v>230</v>
      </c>
      <c r="H86" s="57" t="s">
        <v>230</v>
      </c>
      <c r="I86" s="57" t="s">
        <v>1239</v>
      </c>
      <c r="J86" s="57" t="s">
        <v>230</v>
      </c>
      <c r="K86" s="57" t="s">
        <v>230</v>
      </c>
      <c r="L86" s="57" t="s">
        <v>1240</v>
      </c>
      <c r="M86" s="57" t="s">
        <v>1240</v>
      </c>
    </row>
    <row r="87" spans="1:13" ht="44.25">
      <c r="A87" s="54">
        <v>86</v>
      </c>
      <c r="B87" s="54">
        <f xml:space="preserve"> IF(MOD(韻母表[[#This Row],[序號]],2)=0, 韻母表[[#This Row],[序號]]/2, ROUNDUP(韻母表[[#This Row],[序號]]/2,0))</f>
        <v>43</v>
      </c>
      <c r="C87" s="62"/>
      <c r="D87" s="63" t="s">
        <v>147</v>
      </c>
      <c r="E87" s="86" t="s">
        <v>1329</v>
      </c>
      <c r="F87" s="86"/>
      <c r="G87" s="57" t="s">
        <v>1079</v>
      </c>
      <c r="H87" s="57" t="s">
        <v>1079</v>
      </c>
      <c r="I87" s="57" t="s">
        <v>1079</v>
      </c>
      <c r="J87" s="57" t="s">
        <v>1079</v>
      </c>
      <c r="K87" s="57" t="s">
        <v>1079</v>
      </c>
      <c r="L87" s="57" t="s">
        <v>1079</v>
      </c>
      <c r="M87" s="57" t="s">
        <v>1079</v>
      </c>
    </row>
    <row r="88" spans="1:13" ht="44.25">
      <c r="A88" s="54">
        <v>87</v>
      </c>
      <c r="B88" s="54">
        <f xml:space="preserve"> IF(MOD(韻母表[[#This Row],[序號]],2)=0, 韻母表[[#This Row],[序號]]/2, ROUNDUP(韻母表[[#This Row],[序號]]/2,0))</f>
        <v>44</v>
      </c>
      <c r="C88" s="62"/>
      <c r="D88" s="63" t="s">
        <v>148</v>
      </c>
      <c r="E88" s="86" t="s">
        <v>1241</v>
      </c>
      <c r="F88" s="86"/>
      <c r="G88" s="57" t="s">
        <v>232</v>
      </c>
      <c r="H88" s="57" t="s">
        <v>232</v>
      </c>
      <c r="I88" s="57" t="s">
        <v>1242</v>
      </c>
      <c r="J88" s="57" t="s">
        <v>1243</v>
      </c>
      <c r="K88" s="57" t="s">
        <v>232</v>
      </c>
      <c r="L88" s="57" t="s">
        <v>1244</v>
      </c>
      <c r="M88" s="57" t="s">
        <v>1245</v>
      </c>
    </row>
    <row r="89" spans="1:13" ht="44.25">
      <c r="A89" s="54">
        <v>88</v>
      </c>
      <c r="B89" s="54">
        <f xml:space="preserve"> IF(MOD(韻母表[[#This Row],[序號]],2)=0, 韻母表[[#This Row],[序號]]/2, ROUNDUP(韻母表[[#This Row],[序號]]/2,0))</f>
        <v>44</v>
      </c>
      <c r="C89" s="62"/>
      <c r="D89" s="63" t="s">
        <v>149</v>
      </c>
      <c r="E89" s="86" t="s">
        <v>1246</v>
      </c>
      <c r="F89" s="86"/>
      <c r="G89" s="57" t="s">
        <v>233</v>
      </c>
      <c r="H89" s="57" t="s">
        <v>1247</v>
      </c>
      <c r="I89" s="57" t="s">
        <v>1248</v>
      </c>
      <c r="J89" s="57" t="s">
        <v>233</v>
      </c>
      <c r="K89" s="57" t="s">
        <v>233</v>
      </c>
      <c r="L89" s="57" t="s">
        <v>1249</v>
      </c>
      <c r="M89" s="57" t="s">
        <v>1250</v>
      </c>
    </row>
    <row r="90" spans="1:13" ht="44.25">
      <c r="A90" s="54">
        <v>89</v>
      </c>
      <c r="B90" s="54">
        <f xml:space="preserve"> IF(MOD(韻母表[[#This Row],[序號]],2)=0, 韻母表[[#This Row],[序號]]/2, ROUNDUP(韻母表[[#This Row],[序號]]/2,0))</f>
        <v>45</v>
      </c>
      <c r="C90" s="65" t="s">
        <v>313</v>
      </c>
      <c r="D90" s="63" t="s">
        <v>150</v>
      </c>
      <c r="E90" s="86" t="s">
        <v>1365</v>
      </c>
      <c r="F90" s="86"/>
      <c r="G90" s="57" t="s">
        <v>1079</v>
      </c>
      <c r="H90" s="57" t="s">
        <v>1079</v>
      </c>
      <c r="I90" s="57" t="s">
        <v>1079</v>
      </c>
      <c r="J90" s="57" t="s">
        <v>1079</v>
      </c>
      <c r="K90" s="57" t="s">
        <v>1079</v>
      </c>
      <c r="L90" s="57" t="s">
        <v>1079</v>
      </c>
      <c r="M90" s="57" t="s">
        <v>1079</v>
      </c>
    </row>
    <row r="91" spans="1:13" ht="44.25">
      <c r="A91" s="54">
        <v>90</v>
      </c>
      <c r="B91" s="54">
        <f xml:space="preserve"> IF(MOD(韻母表[[#This Row],[序號]],2)=0, 韻母表[[#This Row],[序號]]/2, ROUNDUP(韻母表[[#This Row],[序號]]/2,0))</f>
        <v>45</v>
      </c>
      <c r="C91" s="65" t="s">
        <v>314</v>
      </c>
      <c r="D91" s="63" t="s">
        <v>151</v>
      </c>
      <c r="E91" s="86" t="s">
        <v>1364</v>
      </c>
      <c r="F91" s="86"/>
      <c r="G91" s="57" t="s">
        <v>1079</v>
      </c>
      <c r="H91" s="57" t="s">
        <v>1079</v>
      </c>
      <c r="I91" s="57" t="s">
        <v>1079</v>
      </c>
      <c r="J91" s="57" t="s">
        <v>1079</v>
      </c>
      <c r="K91" s="57" t="s">
        <v>1079</v>
      </c>
      <c r="L91" s="57" t="s">
        <v>1079</v>
      </c>
      <c r="M91" s="57" t="s">
        <v>1079</v>
      </c>
    </row>
    <row r="92" spans="1:13" ht="44.25">
      <c r="A92" s="54">
        <v>91</v>
      </c>
      <c r="B92" s="54">
        <f xml:space="preserve"> IF(MOD(韻母表[[#This Row],[序號]],2)=0, 韻母表[[#This Row],[序號]]/2, ROUNDUP(韻母表[[#This Row],[序號]]/2,0))</f>
        <v>46</v>
      </c>
      <c r="C92" s="55" t="s">
        <v>316</v>
      </c>
      <c r="D92" s="63" t="s">
        <v>152</v>
      </c>
      <c r="E92" s="86" t="s">
        <v>1359</v>
      </c>
      <c r="F92" s="86"/>
      <c r="G92" s="57" t="s">
        <v>235</v>
      </c>
      <c r="H92" s="57" t="s">
        <v>235</v>
      </c>
      <c r="I92" s="57" t="s">
        <v>1251</v>
      </c>
      <c r="J92" s="57" t="s">
        <v>1252</v>
      </c>
      <c r="K92" s="57" t="s">
        <v>235</v>
      </c>
      <c r="L92" s="57" t="s">
        <v>1253</v>
      </c>
      <c r="M92" s="57" t="s">
        <v>1254</v>
      </c>
    </row>
    <row r="93" spans="1:13" ht="44.25">
      <c r="A93" s="54">
        <v>92</v>
      </c>
      <c r="B93" s="54">
        <f xml:space="preserve"> IF(MOD(韻母表[[#This Row],[序號]],2)=0, 韻母表[[#This Row],[序號]]/2, ROUNDUP(韻母表[[#This Row],[序號]]/2,0))</f>
        <v>46</v>
      </c>
      <c r="C93" s="55" t="s">
        <v>318</v>
      </c>
      <c r="D93" s="63" t="s">
        <v>153</v>
      </c>
      <c r="E93" s="86" t="s">
        <v>1366</v>
      </c>
      <c r="F93" s="86"/>
      <c r="G93" s="57" t="s">
        <v>1079</v>
      </c>
      <c r="H93" s="57" t="s">
        <v>1079</v>
      </c>
      <c r="I93" s="57" t="s">
        <v>1079</v>
      </c>
      <c r="J93" s="57" t="s">
        <v>1079</v>
      </c>
      <c r="K93" s="57" t="s">
        <v>1079</v>
      </c>
      <c r="L93" s="57" t="s">
        <v>1079</v>
      </c>
      <c r="M93" s="57" t="s">
        <v>1079</v>
      </c>
    </row>
    <row r="94" spans="1:13" ht="44.25">
      <c r="A94" s="54">
        <v>93</v>
      </c>
      <c r="B94" s="54">
        <f xml:space="preserve"> IF(MOD(韻母表[[#This Row],[序號]],2)=0, 韻母表[[#This Row],[序號]]/2, ROUNDUP(韻母表[[#This Row],[序號]]/2,0))</f>
        <v>47</v>
      </c>
      <c r="C94" s="55" t="s">
        <v>319</v>
      </c>
      <c r="D94" s="56" t="s">
        <v>154</v>
      </c>
      <c r="E94" s="86" t="s">
        <v>1360</v>
      </c>
      <c r="F94" s="86"/>
      <c r="G94" s="57" t="s">
        <v>236</v>
      </c>
      <c r="H94" s="57" t="s">
        <v>236</v>
      </c>
      <c r="I94" s="57" t="s">
        <v>236</v>
      </c>
      <c r="J94" s="57" t="s">
        <v>236</v>
      </c>
      <c r="K94" s="57" t="s">
        <v>1255</v>
      </c>
      <c r="L94" s="57" t="s">
        <v>1256</v>
      </c>
      <c r="M94" s="57" t="s">
        <v>1257</v>
      </c>
    </row>
    <row r="95" spans="1:13" ht="44.25">
      <c r="A95" s="54">
        <v>94</v>
      </c>
      <c r="B95" s="54">
        <f xml:space="preserve"> IF(MOD(韻母表[[#This Row],[序號]],2)=0, 韻母表[[#This Row],[序號]]/2, ROUNDUP(韻母表[[#This Row],[序號]]/2,0))</f>
        <v>47</v>
      </c>
      <c r="C95" s="55" t="s">
        <v>320</v>
      </c>
      <c r="D95" s="63" t="s">
        <v>155</v>
      </c>
      <c r="E95" s="86" t="s">
        <v>1361</v>
      </c>
      <c r="F95" s="86"/>
      <c r="G95" s="57" t="s">
        <v>1258</v>
      </c>
      <c r="H95" s="57" t="s">
        <v>1258</v>
      </c>
      <c r="I95" s="57" t="s">
        <v>1258</v>
      </c>
      <c r="J95" s="57" t="s">
        <v>1258</v>
      </c>
      <c r="K95" s="57" t="s">
        <v>1259</v>
      </c>
      <c r="L95" s="57" t="s">
        <v>1260</v>
      </c>
      <c r="M95" s="57" t="s">
        <v>1261</v>
      </c>
    </row>
    <row r="96" spans="1:13" ht="32.25">
      <c r="A96" s="54">
        <v>95</v>
      </c>
      <c r="B96" s="54">
        <f xml:space="preserve"> IF(MOD(韻母表[[#This Row],[序號]],2)=0, 韻母表[[#This Row],[序號]]/2, ROUNDUP(韻母表[[#This Row],[序號]]/2,0))</f>
        <v>48</v>
      </c>
      <c r="C96" s="66" t="s">
        <v>322</v>
      </c>
      <c r="D96" s="56" t="s">
        <v>156</v>
      </c>
      <c r="E96" s="86" t="s">
        <v>1367</v>
      </c>
      <c r="F96" s="86"/>
      <c r="G96" s="57" t="s">
        <v>1079</v>
      </c>
      <c r="H96" s="57" t="s">
        <v>1079</v>
      </c>
      <c r="I96" s="57" t="s">
        <v>1079</v>
      </c>
      <c r="J96" s="57" t="s">
        <v>1079</v>
      </c>
      <c r="K96" s="57" t="s">
        <v>1079</v>
      </c>
      <c r="L96" s="57" t="s">
        <v>1079</v>
      </c>
      <c r="M96" s="57" t="s">
        <v>1079</v>
      </c>
    </row>
    <row r="97" spans="1:13" ht="44.25">
      <c r="A97" s="54">
        <v>96</v>
      </c>
      <c r="B97" s="54">
        <f xml:space="preserve"> IF(MOD(韻母表[[#This Row],[序號]],2)=0, 韻母表[[#This Row],[序號]]/2, ROUNDUP(韻母表[[#This Row],[序號]]/2,0))</f>
        <v>48</v>
      </c>
      <c r="C97" s="55"/>
      <c r="D97" s="63"/>
      <c r="E97" s="86" t="s">
        <v>1079</v>
      </c>
      <c r="F97" s="86"/>
      <c r="G97" s="57" t="s">
        <v>1079</v>
      </c>
      <c r="H97" s="57" t="s">
        <v>1079</v>
      </c>
      <c r="I97" s="57" t="s">
        <v>1079</v>
      </c>
      <c r="J97" s="57" t="s">
        <v>1079</v>
      </c>
      <c r="K97" s="57" t="s">
        <v>1079</v>
      </c>
      <c r="L97" s="57" t="s">
        <v>1079</v>
      </c>
      <c r="M97" s="57" t="s">
        <v>1079</v>
      </c>
    </row>
    <row r="98" spans="1:13" ht="44.25">
      <c r="A98" s="54">
        <v>97</v>
      </c>
      <c r="B98" s="54">
        <f xml:space="preserve"> IF(MOD(韻母表[[#This Row],[序號]],2)=0, 韻母表[[#This Row],[序號]]/2, ROUNDUP(韻母表[[#This Row],[序號]]/2,0))</f>
        <v>49</v>
      </c>
      <c r="C98" s="55"/>
      <c r="D98" s="63" t="s">
        <v>158</v>
      </c>
      <c r="E98" s="89" t="s">
        <v>1368</v>
      </c>
      <c r="F98" s="89"/>
      <c r="G98" s="57" t="s">
        <v>1079</v>
      </c>
      <c r="H98" s="57" t="s">
        <v>1079</v>
      </c>
      <c r="I98" s="57" t="s">
        <v>1079</v>
      </c>
      <c r="J98" s="57" t="s">
        <v>1079</v>
      </c>
      <c r="K98" s="57" t="s">
        <v>1079</v>
      </c>
      <c r="L98" s="57" t="s">
        <v>1079</v>
      </c>
      <c r="M98" s="57" t="s">
        <v>1079</v>
      </c>
    </row>
    <row r="99" spans="1:13" ht="44.25">
      <c r="A99" s="54">
        <v>98</v>
      </c>
      <c r="B99" s="54">
        <f xml:space="preserve"> IF(MOD(韻母表[[#This Row],[序號]],2)=0, 韻母表[[#This Row],[序號]]/2, ROUNDUP(韻母表[[#This Row],[序號]]/2,0))</f>
        <v>49</v>
      </c>
      <c r="C99" s="55"/>
      <c r="D99" s="63" t="s">
        <v>159</v>
      </c>
      <c r="E99" s="86" t="s">
        <v>1362</v>
      </c>
      <c r="F99" s="86"/>
      <c r="G99" s="57" t="s">
        <v>238</v>
      </c>
      <c r="H99" s="57" t="s">
        <v>1262</v>
      </c>
      <c r="I99" s="57" t="s">
        <v>1263</v>
      </c>
      <c r="J99" s="57" t="s">
        <v>1264</v>
      </c>
      <c r="K99" s="57" t="s">
        <v>238</v>
      </c>
      <c r="L99" s="57" t="s">
        <v>1265</v>
      </c>
      <c r="M99" s="57" t="s">
        <v>1266</v>
      </c>
    </row>
    <row r="100" spans="1:13" ht="44.25">
      <c r="A100" s="54">
        <v>99</v>
      </c>
      <c r="B100" s="54">
        <f xml:space="preserve"> IF(MOD(韻母表[[#This Row],[序號]],2)=0, 韻母表[[#This Row],[序號]]/2, ROUNDUP(韻母表[[#This Row],[序號]]/2,0))</f>
        <v>50</v>
      </c>
      <c r="C100" s="55" t="s">
        <v>303</v>
      </c>
      <c r="D100" s="56" t="s">
        <v>160</v>
      </c>
      <c r="E100" s="86" t="s">
        <v>1363</v>
      </c>
      <c r="F100" s="86"/>
      <c r="G100" s="57" t="s">
        <v>239</v>
      </c>
      <c r="H100" s="57" t="s">
        <v>239</v>
      </c>
      <c r="I100" s="57" t="s">
        <v>1267</v>
      </c>
      <c r="J100" s="57" t="s">
        <v>796</v>
      </c>
      <c r="K100" s="57" t="s">
        <v>239</v>
      </c>
      <c r="L100" s="57" t="s">
        <v>1268</v>
      </c>
      <c r="M100" s="57" t="s">
        <v>1269</v>
      </c>
    </row>
    <row r="101" spans="1:13" ht="44.25">
      <c r="A101" s="67">
        <v>100</v>
      </c>
      <c r="B101" s="67">
        <f xml:space="preserve"> IF(MOD(韻母表[[#This Row],[序號]],2)=0, 韻母表[[#This Row],[序號]]/2, ROUNDUP(韻母表[[#This Row],[序號]]/2,0))</f>
        <v>50</v>
      </c>
      <c r="C101" s="68"/>
      <c r="D101" s="90" t="s">
        <v>161</v>
      </c>
      <c r="E101" s="91" t="s">
        <v>1369</v>
      </c>
      <c r="F101" s="91"/>
      <c r="G101" s="92" t="s">
        <v>810</v>
      </c>
      <c r="H101" s="92" t="s">
        <v>810</v>
      </c>
      <c r="I101" s="92" t="s">
        <v>1270</v>
      </c>
      <c r="J101" s="92" t="s">
        <v>1264</v>
      </c>
      <c r="K101" s="92" t="s">
        <v>810</v>
      </c>
      <c r="L101" s="92" t="s">
        <v>1271</v>
      </c>
      <c r="M101" s="92" t="s">
        <v>1272</v>
      </c>
    </row>
  </sheetData>
  <phoneticPr fontId="2" type="noConversion"/>
  <conditionalFormatting sqref="A2:M101">
    <cfRule type="expression" dxfId="21" priority="1">
      <formula>MOD($B2,2)&lt;&gt;0</formula>
    </cfRule>
    <cfRule type="expression" dxfId="20" priority="2">
      <formula>MOD($A2,2)&lt;&gt;0</formula>
    </cfRule>
    <cfRule type="expression" dxfId="19" priority="3">
      <formula>MOD($A2,2)=0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75227-57C4-4844-A39D-F2B25DB9903D}">
  <dimension ref="A1:AD104"/>
  <sheetViews>
    <sheetView tabSelected="1" topLeftCell="G1" workbookViewId="0">
      <pane ySplit="1" topLeftCell="A2" activePane="bottomLeft" state="frozen"/>
      <selection pane="bottomLeft" activeCell="T2" sqref="T2:T104"/>
    </sheetView>
  </sheetViews>
  <sheetFormatPr defaultRowHeight="22.5"/>
  <cols>
    <col min="1" max="2" width="8.125" customWidth="1"/>
    <col min="3" max="3" width="10.625" customWidth="1"/>
    <col min="4" max="13" width="14.25" customWidth="1"/>
    <col min="18" max="18" width="13.25" customWidth="1"/>
    <col min="19" max="19" width="16.375" style="41" customWidth="1"/>
    <col min="20" max="20" width="34.5" style="41" bestFit="1" customWidth="1"/>
    <col min="21" max="21" width="38.75" style="41" customWidth="1"/>
    <col min="22" max="22" width="9" style="41"/>
    <col min="23" max="23" width="42.125" style="41" customWidth="1"/>
    <col min="24" max="30" width="9" style="41"/>
  </cols>
  <sheetData>
    <row r="1" spans="1:23" ht="25.5">
      <c r="A1" s="80" t="s">
        <v>1054</v>
      </c>
      <c r="B1" s="80" t="s">
        <v>1056</v>
      </c>
      <c r="C1" s="80" t="s">
        <v>17</v>
      </c>
      <c r="D1" s="80" t="s">
        <v>324</v>
      </c>
      <c r="E1" s="80" t="s">
        <v>1057</v>
      </c>
      <c r="F1" s="80" t="s">
        <v>1370</v>
      </c>
      <c r="G1" s="80" t="s">
        <v>40</v>
      </c>
      <c r="H1" s="93" t="s">
        <v>1063</v>
      </c>
      <c r="I1" s="93" t="s">
        <v>1058</v>
      </c>
      <c r="J1" s="93" t="s">
        <v>1059</v>
      </c>
      <c r="K1" s="93" t="s">
        <v>1060</v>
      </c>
      <c r="L1" s="93" t="s">
        <v>1061</v>
      </c>
      <c r="M1" s="93" t="s">
        <v>1062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1107</v>
      </c>
      <c r="R1" t="s">
        <v>1402</v>
      </c>
      <c r="S1" s="105" t="s">
        <v>1470</v>
      </c>
      <c r="T1" s="41" t="s">
        <v>1471</v>
      </c>
      <c r="U1" s="41" t="s">
        <v>1471</v>
      </c>
    </row>
    <row r="2" spans="1:23" ht="44.25">
      <c r="A2" s="76">
        <v>1</v>
      </c>
      <c r="B2" s="76">
        <f xml:space="preserve"> IF(MOD(韻母表_4[[#This Row],[序號]],2)=0, 韻母表_4[[#This Row],[序號]]/2, ROUNDUP(韻母表_4[[#This Row],[序號]]/2,0))</f>
        <v>1</v>
      </c>
      <c r="C2" s="77" t="s">
        <v>240</v>
      </c>
      <c r="D2" s="78" t="s">
        <v>1383</v>
      </c>
      <c r="E2" s="85" t="s">
        <v>162</v>
      </c>
      <c r="F2" s="85"/>
      <c r="G2" s="79" t="s">
        <v>162</v>
      </c>
      <c r="H2" s="79" t="s">
        <v>162</v>
      </c>
      <c r="I2" s="79" t="s">
        <v>162</v>
      </c>
      <c r="J2" s="79" t="s">
        <v>162</v>
      </c>
      <c r="K2" s="79" t="s">
        <v>162</v>
      </c>
      <c r="L2" s="79" t="s">
        <v>1066</v>
      </c>
      <c r="M2" s="79" t="s">
        <v>1066</v>
      </c>
      <c r="R2" t="b">
        <f>IF(韻母表_4[[#This Row],[台羅拼音]]="", FALSE, ISNUMBER(FIND(RIGHT(韻母表_4[[#This Row],[台羅拼音]],1), "ptkh")))</f>
        <v>0</v>
      </c>
      <c r="S2" s="41">
        <f>IF(OR(韻母表_4[[#This Row],[台羅拼音]]="", R2=TRUE), "", LEN(韻母表_4[[#This Row],[台羅拼音]]))</f>
        <v>2</v>
      </c>
      <c r="T2" s="41" t="str">
        <f ca="1" xml:space="preserve"> IF(OR(韻母表_4[[#This Row],[台羅拼音]]="", $R2=TRUE), "", _xlfn.CONCAT("    ", "- xform/", 韻母表_4[[#This Row],[台羅拼音]], "([48?])/", OFFSET(韻母表_4[[#This Row],[台羅拼音]],1,0), "$1", "/    # ", LEFT(韻母表_4[[#This Row],[十五音]],1)))</f>
        <v xml:space="preserve">    - xform/un([48?])/ut$1/    # 君</v>
      </c>
      <c r="U2" s="41" t="str">
        <f ca="1" xml:space="preserve"> IF(OR(韻母表_4[[#This Row],[台羅拼音]]="", R2=TRUE), "", _xlfn.CONCAT("    ", "- xform/", 韻母表_4[[#This Row],[台羅拼音]], "([48])/", OFFSET(韻母表_4[[#This Row],[台羅拼音]],1,0), "$1", "/    # ", LEFT(韻母表_4[[#This Row],[十五音]],1)))</f>
        <v xml:space="preserve">    - xform/un([48])/ut$1/    # 君</v>
      </c>
      <c r="W2" s="41" t="s">
        <v>1403</v>
      </c>
    </row>
    <row r="3" spans="1:23" ht="44.25">
      <c r="A3" s="54">
        <v>2</v>
      </c>
      <c r="B3" s="54">
        <f xml:space="preserve"> IF(MOD(韻母表_4[[#This Row],[序號]],2)=0, 韻母表_4[[#This Row],[序號]]/2, ROUNDUP(韻母表_4[[#This Row],[序號]]/2,0))</f>
        <v>1</v>
      </c>
      <c r="C3" s="55" t="s">
        <v>242</v>
      </c>
      <c r="D3" s="56" t="s">
        <v>63</v>
      </c>
      <c r="E3" s="86" t="s">
        <v>1067</v>
      </c>
      <c r="F3" s="86"/>
      <c r="G3" s="57" t="s">
        <v>163</v>
      </c>
      <c r="H3" s="57" t="s">
        <v>163</v>
      </c>
      <c r="I3" s="57" t="s">
        <v>163</v>
      </c>
      <c r="J3" s="57" t="s">
        <v>163</v>
      </c>
      <c r="K3" s="57" t="s">
        <v>163</v>
      </c>
      <c r="L3" s="57" t="s">
        <v>1068</v>
      </c>
      <c r="M3" s="57" t="s">
        <v>1069</v>
      </c>
      <c r="R3" t="b">
        <f>IF(韻母表_4[[#This Row],[台羅拼音]]="", FALSE, ISNUMBER(FIND(RIGHT(韻母表_4[[#This Row],[台羅拼音]],1), "ptkh")))</f>
        <v>1</v>
      </c>
      <c r="S3" s="41" t="str">
        <f>IF(OR(韻母表_4[[#This Row],[台羅拼音]]="", R3=TRUE), "", LEN(韻母表_4[[#This Row],[台羅拼音]]))</f>
        <v/>
      </c>
      <c r="T3" s="41" t="str">
        <f ca="1" xml:space="preserve"> IF(OR(韻母表_4[[#This Row],[台羅拼音]]="", $R3=TRUE), "", _xlfn.CONCAT("    ", "- xform/", 韻母表_4[[#This Row],[台羅拼音]], "([48?])/", OFFSET(韻母表_4[[#This Row],[台羅拼音]],1,0), "$1", "/    # ", LEFT(韻母表_4[[#This Row],[十五音]],1)))</f>
        <v/>
      </c>
      <c r="U3" s="41" t="str">
        <f ca="1" xml:space="preserve"> IF(OR(韻母表_4[[#This Row],[台羅拼音]]="", R3=TRUE), "", _xlfn.CONCAT("    ", "- xform/", 韻母表_4[[#This Row],[台羅拼音]], "([48])/", OFFSET(韻母表_4[[#This Row],[台羅拼音]],1,0), "$1", "/    # ", LEFT(韻母表_4[[#This Row],[十五音]],1)))</f>
        <v/>
      </c>
      <c r="W3" s="41" t="s">
        <v>1079</v>
      </c>
    </row>
    <row r="4" spans="1:23" ht="44.25">
      <c r="A4" s="54">
        <v>3</v>
      </c>
      <c r="B4" s="54">
        <f xml:space="preserve"> IF(MOD(韻母表_4[[#This Row],[序號]],2)=0, 韻母表_4[[#This Row],[序號]]/2, ROUNDUP(韻母表_4[[#This Row],[序號]]/2,0))</f>
        <v>2</v>
      </c>
      <c r="C4" s="55" t="s">
        <v>241</v>
      </c>
      <c r="D4" s="56" t="s">
        <v>64</v>
      </c>
      <c r="E4" s="86" t="s">
        <v>1330</v>
      </c>
      <c r="F4" s="86"/>
      <c r="G4" s="57" t="s">
        <v>164</v>
      </c>
      <c r="H4" s="57" t="s">
        <v>164</v>
      </c>
      <c r="I4" s="57" t="s">
        <v>164</v>
      </c>
      <c r="J4" s="57" t="s">
        <v>164</v>
      </c>
      <c r="K4" s="57" t="s">
        <v>164</v>
      </c>
      <c r="L4" s="57" t="s">
        <v>1070</v>
      </c>
      <c r="M4" s="57" t="s">
        <v>1070</v>
      </c>
      <c r="R4" t="b">
        <f>IF(韻母表_4[[#This Row],[台羅拼音]]="", FALSE, ISNUMBER(FIND(RIGHT(韻母表_4[[#This Row],[台羅拼音]],1), "ptkh")))</f>
        <v>0</v>
      </c>
      <c r="S4" s="41">
        <f>IF(OR(韻母表_4[[#This Row],[台羅拼音]]="", R4=TRUE), "", LEN(韻母表_4[[#This Row],[台羅拼音]]))</f>
        <v>3</v>
      </c>
      <c r="T4" s="41" t="str">
        <f ca="1" xml:space="preserve"> IF(OR(韻母表_4[[#This Row],[台羅拼音]]="", $R4=TRUE), "", _xlfn.CONCAT("    ", "- xform/", 韻母表_4[[#This Row],[台羅拼音]], "([48?])/", OFFSET(韻母表_4[[#This Row],[台羅拼音]],1,0), "$1", "/    # ", LEFT(韻母表_4[[#This Row],[十五音]],1)))</f>
        <v xml:space="preserve">    - xform/ian([48?])/iat$1/    # 堅</v>
      </c>
      <c r="U4" s="41" t="str">
        <f ca="1" xml:space="preserve"> IF(OR(韻母表_4[[#This Row],[台羅拼音]]="", R4=TRUE), "", _xlfn.CONCAT("    ", "- xform/", 韻母表_4[[#This Row],[台羅拼音]], "([48])/", OFFSET(韻母表_4[[#This Row],[台羅拼音]],1,0), "$1", "/    # ", LEFT(韻母表_4[[#This Row],[十五音]],1)))</f>
        <v xml:space="preserve">    - xform/ian([48])/iat$1/    # 堅</v>
      </c>
      <c r="W4" s="41" t="s">
        <v>1404</v>
      </c>
    </row>
    <row r="5" spans="1:23" ht="44.25">
      <c r="A5" s="54">
        <v>4</v>
      </c>
      <c r="B5" s="54">
        <f xml:space="preserve"> IF(MOD(韻母表_4[[#This Row],[序號]],2)=0, 韻母表_4[[#This Row],[序號]]/2, ROUNDUP(韻母表_4[[#This Row],[序號]]/2,0))</f>
        <v>2</v>
      </c>
      <c r="C5" s="55" t="s">
        <v>243</v>
      </c>
      <c r="D5" s="56" t="s">
        <v>65</v>
      </c>
      <c r="E5" s="86" t="s">
        <v>1331</v>
      </c>
      <c r="F5" s="86"/>
      <c r="G5" s="57" t="s">
        <v>165</v>
      </c>
      <c r="H5" s="57" t="s">
        <v>165</v>
      </c>
      <c r="I5" s="57" t="s">
        <v>165</v>
      </c>
      <c r="J5" s="57" t="s">
        <v>165</v>
      </c>
      <c r="K5" s="57" t="s">
        <v>165</v>
      </c>
      <c r="L5" s="57" t="s">
        <v>1071</v>
      </c>
      <c r="M5" s="57" t="s">
        <v>1072</v>
      </c>
      <c r="R5" t="b">
        <f>IF(韻母表_4[[#This Row],[台羅拼音]]="", FALSE, ISNUMBER(FIND(RIGHT(韻母表_4[[#This Row],[台羅拼音]],1), "ptkh")))</f>
        <v>1</v>
      </c>
      <c r="S5" s="41" t="str">
        <f>IF(OR(韻母表_4[[#This Row],[台羅拼音]]="", R5=TRUE), "", LEN(韻母表_4[[#This Row],[台羅拼音]]))</f>
        <v/>
      </c>
      <c r="T5" s="41" t="str">
        <f ca="1" xml:space="preserve"> IF(OR(韻母表_4[[#This Row],[台羅拼音]]="", $R5=TRUE), "", _xlfn.CONCAT("    ", "- xform/", 韻母表_4[[#This Row],[台羅拼音]], "([48?])/", OFFSET(韻母表_4[[#This Row],[台羅拼音]],1,0), "$1", "/    # ", LEFT(韻母表_4[[#This Row],[十五音]],1)))</f>
        <v/>
      </c>
      <c r="U5" s="41" t="str">
        <f ca="1" xml:space="preserve"> IF(OR(韻母表_4[[#This Row],[台羅拼音]]="", R5=TRUE), "", _xlfn.CONCAT("    ", "- xform/", 韻母表_4[[#This Row],[台羅拼音]], "([48])/", OFFSET(韻母表_4[[#This Row],[台羅拼音]],1,0), "$1", "/    # ", LEFT(韻母表_4[[#This Row],[十五音]],1)))</f>
        <v/>
      </c>
      <c r="W5" s="41" t="s">
        <v>1079</v>
      </c>
    </row>
    <row r="6" spans="1:23" ht="44.25">
      <c r="A6" s="54">
        <v>5</v>
      </c>
      <c r="B6" s="54">
        <f xml:space="preserve"> IF(MOD(韻母表_4[[#This Row],[序號]],2)=0, 韻母表_4[[#This Row],[序號]]/2, ROUNDUP(韻母表_4[[#This Row],[序號]]/2,0))</f>
        <v>3</v>
      </c>
      <c r="C6" s="55" t="s">
        <v>244</v>
      </c>
      <c r="D6" s="56" t="s">
        <v>66</v>
      </c>
      <c r="E6" s="86" t="s">
        <v>166</v>
      </c>
      <c r="F6" s="86"/>
      <c r="G6" s="57" t="s">
        <v>166</v>
      </c>
      <c r="H6" s="57" t="s">
        <v>166</v>
      </c>
      <c r="I6" s="57" t="s">
        <v>166</v>
      </c>
      <c r="J6" s="57" t="s">
        <v>166</v>
      </c>
      <c r="K6" s="57" t="s">
        <v>166</v>
      </c>
      <c r="L6" s="57" t="s">
        <v>1073</v>
      </c>
      <c r="M6" s="57" t="s">
        <v>1074</v>
      </c>
      <c r="R6" t="b">
        <f>IF(韻母表_4[[#This Row],[台羅拼音]]="", FALSE, ISNUMBER(FIND(RIGHT(韻母表_4[[#This Row],[台羅拼音]],1), "ptkh")))</f>
        <v>0</v>
      </c>
      <c r="S6" s="41">
        <f>IF(OR(韻母表_4[[#This Row],[台羅拼音]]="", R6=TRUE), "", LEN(韻母表_4[[#This Row],[台羅拼音]]))</f>
        <v>2</v>
      </c>
      <c r="T6" s="41" t="str">
        <f ca="1" xml:space="preserve"> IF(OR(韻母表_4[[#This Row],[台羅拼音]]="", $R6=TRUE), "", _xlfn.CONCAT("    ", "- xform/", 韻母表_4[[#This Row],[台羅拼音]], "([48?])/", OFFSET(韻母表_4[[#This Row],[台羅拼音]],1,0), "$1", "/    # ", LEFT(韻母表_4[[#This Row],[十五音]],1)))</f>
        <v xml:space="preserve">    - xform/im([48?])/ip$1/    # 金</v>
      </c>
      <c r="U6" s="41" t="str">
        <f ca="1" xml:space="preserve"> IF(OR(韻母表_4[[#This Row],[台羅拼音]]="", R6=TRUE), "", _xlfn.CONCAT("    ", "- xform/", 韻母表_4[[#This Row],[台羅拼音]], "([48])/", OFFSET(韻母表_4[[#This Row],[台羅拼音]],1,0), "$1", "/    # ", LEFT(韻母表_4[[#This Row],[十五音]],1)))</f>
        <v xml:space="preserve">    - xform/im([48])/ip$1/    # 金</v>
      </c>
      <c r="W6" s="41" t="s">
        <v>1405</v>
      </c>
    </row>
    <row r="7" spans="1:23" ht="44.25">
      <c r="A7" s="54">
        <v>6</v>
      </c>
      <c r="B7" s="54">
        <f xml:space="preserve"> IF(MOD(韻母表_4[[#This Row],[序號]],2)=0, 韻母表_4[[#This Row],[序號]]/2, ROUNDUP(韻母表_4[[#This Row],[序號]]/2,0))</f>
        <v>3</v>
      </c>
      <c r="C7" s="55" t="s">
        <v>247</v>
      </c>
      <c r="D7" s="56" t="s">
        <v>67</v>
      </c>
      <c r="E7" s="86" t="s">
        <v>1075</v>
      </c>
      <c r="F7" s="86"/>
      <c r="G7" s="57" t="s">
        <v>167</v>
      </c>
      <c r="H7" s="57" t="s">
        <v>167</v>
      </c>
      <c r="I7" s="57" t="s">
        <v>167</v>
      </c>
      <c r="J7" s="57" t="s">
        <v>167</v>
      </c>
      <c r="K7" s="57" t="s">
        <v>167</v>
      </c>
      <c r="L7" s="57" t="s">
        <v>1076</v>
      </c>
      <c r="M7" s="57" t="s">
        <v>1077</v>
      </c>
      <c r="R7" t="b">
        <f>IF(韻母表_4[[#This Row],[台羅拼音]]="", FALSE, ISNUMBER(FIND(RIGHT(韻母表_4[[#This Row],[台羅拼音]],1), "ptkh")))</f>
        <v>1</v>
      </c>
      <c r="S7" s="41" t="str">
        <f>IF(OR(韻母表_4[[#This Row],[台羅拼音]]="", R7=TRUE), "", LEN(韻母表_4[[#This Row],[台羅拼音]]))</f>
        <v/>
      </c>
      <c r="T7" s="41" t="str">
        <f ca="1" xml:space="preserve"> IF(OR(韻母表_4[[#This Row],[台羅拼音]]="", $R7=TRUE), "", _xlfn.CONCAT("    ", "- xform/", 韻母表_4[[#This Row],[台羅拼音]], "([48?])/", OFFSET(韻母表_4[[#This Row],[台羅拼音]],1,0), "$1", "/    # ", LEFT(韻母表_4[[#This Row],[十五音]],1)))</f>
        <v/>
      </c>
      <c r="U7" s="41" t="str">
        <f ca="1" xml:space="preserve"> IF(OR(韻母表_4[[#This Row],[台羅拼音]]="", R7=TRUE), "", _xlfn.CONCAT("    ", "- xform/", 韻母表_4[[#This Row],[台羅拼音]], "([48])/", OFFSET(韻母表_4[[#This Row],[台羅拼音]],1,0), "$1", "/    # ", LEFT(韻母表_4[[#This Row],[十五音]],1)))</f>
        <v/>
      </c>
      <c r="W7" s="41" t="s">
        <v>1079</v>
      </c>
    </row>
    <row r="8" spans="1:23" ht="44.25">
      <c r="A8" s="54">
        <v>7</v>
      </c>
      <c r="B8" s="54">
        <f xml:space="preserve"> IF(MOD(韻母表_4[[#This Row],[序號]],2)=0, 韻母表_4[[#This Row],[序號]]/2, ROUNDUP(韻母表_4[[#This Row],[序號]]/2,0))</f>
        <v>4</v>
      </c>
      <c r="C8" s="55" t="s">
        <v>248</v>
      </c>
      <c r="D8" s="56" t="s">
        <v>68</v>
      </c>
      <c r="E8" s="86" t="s">
        <v>168</v>
      </c>
      <c r="F8" s="86"/>
      <c r="G8" s="57" t="s">
        <v>168</v>
      </c>
      <c r="H8" s="57" t="s">
        <v>168</v>
      </c>
      <c r="I8" s="57" t="s">
        <v>168</v>
      </c>
      <c r="J8" s="57" t="s">
        <v>168</v>
      </c>
      <c r="K8" s="57" t="s">
        <v>168</v>
      </c>
      <c r="L8" s="57" t="s">
        <v>1078</v>
      </c>
      <c r="M8" s="57" t="s">
        <v>1078</v>
      </c>
      <c r="R8" t="b">
        <f>IF(韻母表_4[[#This Row],[台羅拼音]]="", FALSE, ISNUMBER(FIND(RIGHT(韻母表_4[[#This Row],[台羅拼音]],1), "ptkh")))</f>
        <v>0</v>
      </c>
      <c r="S8" s="41">
        <f>IF(OR(韻母表_4[[#This Row],[台羅拼音]]="", R8=TRUE), "", LEN(韻母表_4[[#This Row],[台羅拼音]]))</f>
        <v>2</v>
      </c>
      <c r="T8" s="41" t="str">
        <f ca="1" xml:space="preserve"> IF(OR(韻母表_4[[#This Row],[台羅拼音]]="", $R8=TRUE), "", _xlfn.CONCAT("    ", "- xform/", 韻母表_4[[#This Row],[台羅拼音]], "([48?])/", OFFSET(韻母表_4[[#This Row],[台羅拼音]],1,0), "$1", "/    # ", LEFT(韻母表_4[[#This Row],[十五音]],1)))</f>
        <v xml:space="preserve">    - xform/ui([48?])/$1/    # 規</v>
      </c>
      <c r="U8" s="41" t="str">
        <f ca="1" xml:space="preserve"> IF(OR(韻母表_4[[#This Row],[台羅拼音]]="", R8=TRUE), "", _xlfn.CONCAT("    ", "- xform/", 韻母表_4[[#This Row],[台羅拼音]], "([48])/", OFFSET(韻母表_4[[#This Row],[台羅拼音]],1,0), "$1", "/    # ", LEFT(韻母表_4[[#This Row],[十五音]],1)))</f>
        <v xml:space="preserve">    - xform/ui([48])/$1/    # 規</v>
      </c>
      <c r="W8" s="41" t="s">
        <v>1406</v>
      </c>
    </row>
    <row r="9" spans="1:23" ht="32.25">
      <c r="A9" s="81">
        <v>8</v>
      </c>
      <c r="B9" s="81">
        <f xml:space="preserve"> IF(MOD(韻母表_4[[#This Row],[序號]],2)=0, 韻母表_4[[#This Row],[序號]]/2, ROUNDUP(韻母表_4[[#This Row],[序號]]/2,0))</f>
        <v>4</v>
      </c>
      <c r="C9" s="82"/>
      <c r="D9" s="83" t="s">
        <v>69</v>
      </c>
      <c r="E9" s="87" t="s">
        <v>1079</v>
      </c>
      <c r="F9" s="87"/>
      <c r="G9" s="88" t="s">
        <v>1079</v>
      </c>
      <c r="H9" s="88" t="s">
        <v>1079</v>
      </c>
      <c r="I9" s="88" t="s">
        <v>1079</v>
      </c>
      <c r="J9" s="88" t="s">
        <v>1079</v>
      </c>
      <c r="K9" s="88" t="s">
        <v>1079</v>
      </c>
      <c r="L9" s="84" t="s">
        <v>1079</v>
      </c>
      <c r="M9" s="84" t="s">
        <v>1079</v>
      </c>
      <c r="R9" t="b">
        <f>IF(韻母表_4[[#This Row],[台羅拼音]]="", FALSE, ISNUMBER(FIND(RIGHT(韻母表_4[[#This Row],[台羅拼音]],1), "ptkh")))</f>
        <v>0</v>
      </c>
      <c r="S9" s="41" t="str">
        <f>IF(OR(韻母表_4[[#This Row],[台羅拼音]]="", R9=TRUE), "", LEN(韻母表_4[[#This Row],[台羅拼音]]))</f>
        <v/>
      </c>
      <c r="T9" s="41" t="str">
        <f ca="1" xml:space="preserve"> IF(OR(韻母表_4[[#This Row],[台羅拼音]]="", $R9=TRUE), "", _xlfn.CONCAT("    ", "- xform/", 韻母表_4[[#This Row],[台羅拼音]], "([48?])/", OFFSET(韻母表_4[[#This Row],[台羅拼音]],1,0), "$1", "/    # ", LEFT(韻母表_4[[#This Row],[十五音]],1)))</f>
        <v/>
      </c>
      <c r="U9" s="41" t="str">
        <f ca="1" xml:space="preserve"> IF(OR(韻母表_4[[#This Row],[台羅拼音]]="", R9=TRUE), "", _xlfn.CONCAT("    ", "- xform/", 韻母表_4[[#This Row],[台羅拼音]], "([48])/", OFFSET(韻母表_4[[#This Row],[台羅拼音]],1,0), "$1", "/    # ", LEFT(韻母表_4[[#This Row],[十五音]],1)))</f>
        <v/>
      </c>
      <c r="W9" s="41" t="s">
        <v>1407</v>
      </c>
    </row>
    <row r="10" spans="1:23" ht="44.25">
      <c r="A10" s="54">
        <v>9</v>
      </c>
      <c r="B10" s="54">
        <f xml:space="preserve"> IF(MOD(韻母表_4[[#This Row],[序號]],2)=0, 韻母表_4[[#This Row],[序號]]/2, ROUNDUP(韻母表_4[[#This Row],[序號]]/2,0))</f>
        <v>5</v>
      </c>
      <c r="C10" s="59" t="s">
        <v>249</v>
      </c>
      <c r="D10" s="60" t="s">
        <v>70</v>
      </c>
      <c r="E10" s="86" t="s">
        <v>1328</v>
      </c>
      <c r="F10" s="86" t="s">
        <v>1080</v>
      </c>
      <c r="G10" s="57" t="s">
        <v>169</v>
      </c>
      <c r="H10" s="57" t="s">
        <v>169</v>
      </c>
      <c r="I10" s="57">
        <v>0</v>
      </c>
      <c r="J10" s="57">
        <v>0</v>
      </c>
      <c r="K10" s="57">
        <v>0</v>
      </c>
      <c r="L10" s="57" t="s">
        <v>1081</v>
      </c>
      <c r="M10" s="57" t="s">
        <v>1081</v>
      </c>
      <c r="R10" t="b">
        <f>IF(韻母表_4[[#This Row],[台羅拼音]]="", FALSE, ISNUMBER(FIND(RIGHT(韻母表_4[[#This Row],[台羅拼音]],1), "ptkh")))</f>
        <v>0</v>
      </c>
      <c r="S10" s="41">
        <f>IF(OR(韻母表_4[[#This Row],[台羅拼音]]="", R10=TRUE), "", LEN(韻母表_4[[#This Row],[台羅拼音]]))</f>
        <v>2</v>
      </c>
      <c r="T10" s="41" t="str">
        <f ca="1" xml:space="preserve"> IF(OR(韻母表_4[[#This Row],[台羅拼音]]="", $R10=TRUE), "", _xlfn.CONCAT("    ", "- xform/", 韻母表_4[[#This Row],[台羅拼音]], "([48?])/", OFFSET(韻母表_4[[#This Row],[台羅拼音]],1,0), "$1", "/    # ", LEFT(韻母表_4[[#This Row],[十五音]],1)))</f>
        <v xml:space="preserve">    - xform/ee([48?])/eeh$1/    # 嘉</v>
      </c>
      <c r="U10" s="41" t="str">
        <f ca="1" xml:space="preserve"> IF(OR(韻母表_4[[#This Row],[台羅拼音]]="", R10=TRUE), "", _xlfn.CONCAT("    ", "- xform/", 韻母表_4[[#This Row],[台羅拼音]], "([48])/", OFFSET(韻母表_4[[#This Row],[台羅拼音]],1,0), "$1", "/    # ", LEFT(韻母表_4[[#This Row],[十五音]],1)))</f>
        <v xml:space="preserve">    - xform/ee([48])/eeh$1/    # 嘉</v>
      </c>
      <c r="W10" s="41" t="s">
        <v>1408</v>
      </c>
    </row>
    <row r="11" spans="1:23" ht="44.25">
      <c r="A11" s="54">
        <v>10</v>
      </c>
      <c r="B11" s="54">
        <f xml:space="preserve"> IF(MOD(韻母表_4[[#This Row],[序號]],2)=0, 韻母表_4[[#This Row],[序號]]/2, ROUNDUP(韻母表_4[[#This Row],[序號]]/2,0))</f>
        <v>5</v>
      </c>
      <c r="C11" s="59" t="s">
        <v>250</v>
      </c>
      <c r="D11" s="60" t="s">
        <v>71</v>
      </c>
      <c r="E11" s="86" t="s">
        <v>1382</v>
      </c>
      <c r="F11" s="86" t="s">
        <v>1082</v>
      </c>
      <c r="G11" s="57" t="s">
        <v>170</v>
      </c>
      <c r="H11" s="57" t="s">
        <v>170</v>
      </c>
      <c r="I11" s="57">
        <v>0</v>
      </c>
      <c r="J11" s="57">
        <v>0</v>
      </c>
      <c r="K11" s="57">
        <v>0</v>
      </c>
      <c r="L11" s="57" t="s">
        <v>1083</v>
      </c>
      <c r="M11" s="57" t="s">
        <v>1084</v>
      </c>
      <c r="R11" t="b">
        <f>IF(韻母表_4[[#This Row],[台羅拼音]]="", FALSE, ISNUMBER(FIND(RIGHT(韻母表_4[[#This Row],[台羅拼音]],1), "ptkh")))</f>
        <v>1</v>
      </c>
      <c r="S11" s="41" t="str">
        <f>IF(OR(韻母表_4[[#This Row],[台羅拼音]]="", R11=TRUE), "", LEN(韻母表_4[[#This Row],[台羅拼音]]))</f>
        <v/>
      </c>
      <c r="T11" s="41" t="str">
        <f ca="1" xml:space="preserve"> IF(OR(韻母表_4[[#This Row],[台羅拼音]]="", $R11=TRUE), "", _xlfn.CONCAT("    ", "- xform/", 韻母表_4[[#This Row],[台羅拼音]], "([48?])/", OFFSET(韻母表_4[[#This Row],[台羅拼音]],1,0), "$1", "/    # ", LEFT(韻母表_4[[#This Row],[十五音]],1)))</f>
        <v/>
      </c>
      <c r="U11" s="41" t="str">
        <f ca="1" xml:space="preserve"> IF(OR(韻母表_4[[#This Row],[台羅拼音]]="", R11=TRUE), "", _xlfn.CONCAT("    ", "- xform/", 韻母表_4[[#This Row],[台羅拼音]], "([48])/", OFFSET(韻母表_4[[#This Row],[台羅拼音]],1,0), "$1", "/    # ", LEFT(韻母表_4[[#This Row],[十五音]],1)))</f>
        <v/>
      </c>
      <c r="W11" s="41" t="s">
        <v>1079</v>
      </c>
    </row>
    <row r="12" spans="1:23" ht="44.25">
      <c r="A12" s="54">
        <v>11</v>
      </c>
      <c r="B12" s="54">
        <f xml:space="preserve"> IF(MOD(韻母表_4[[#This Row],[序號]],2)=0, 韻母表_4[[#This Row],[序號]]/2, ROUNDUP(韻母表_4[[#This Row],[序號]]/2,0))</f>
        <v>6</v>
      </c>
      <c r="C12" s="55" t="s">
        <v>251</v>
      </c>
      <c r="D12" s="56" t="s">
        <v>72</v>
      </c>
      <c r="E12" s="86" t="s">
        <v>171</v>
      </c>
      <c r="F12" s="86"/>
      <c r="G12" s="57" t="s">
        <v>171</v>
      </c>
      <c r="H12" s="57" t="s">
        <v>171</v>
      </c>
      <c r="I12" s="57" t="s">
        <v>171</v>
      </c>
      <c r="J12" s="57" t="s">
        <v>171</v>
      </c>
      <c r="K12" s="57" t="s">
        <v>171</v>
      </c>
      <c r="L12" s="57" t="s">
        <v>1085</v>
      </c>
      <c r="M12" s="57" t="s">
        <v>1085</v>
      </c>
      <c r="R12" t="b">
        <f>IF(韻母表_4[[#This Row],[台羅拼音]]="", FALSE, ISNUMBER(FIND(RIGHT(韻母表_4[[#This Row],[台羅拼音]],1), "ptkh")))</f>
        <v>0</v>
      </c>
      <c r="S12" s="41">
        <f>IF(OR(韻母表_4[[#This Row],[台羅拼音]]="", R12=TRUE), "", LEN(韻母表_4[[#This Row],[台羅拼音]]))</f>
        <v>2</v>
      </c>
      <c r="T12" s="41" t="str">
        <f ca="1" xml:space="preserve"> IF(OR(韻母表_4[[#This Row],[台羅拼音]]="", $R12=TRUE), "", _xlfn.CONCAT("    ", "- xform/", 韻母表_4[[#This Row],[台羅拼音]], "([48?])/", OFFSET(韻母表_4[[#This Row],[台羅拼音]],1,0), "$1", "/    # ", LEFT(韻母表_4[[#This Row],[十五音]],1)))</f>
        <v xml:space="preserve">    - xform/an([48?])/at$1/    # 干</v>
      </c>
      <c r="U12" s="41" t="str">
        <f ca="1" xml:space="preserve"> IF(OR(韻母表_4[[#This Row],[台羅拼音]]="", R12=TRUE), "", _xlfn.CONCAT("    ", "- xform/", 韻母表_4[[#This Row],[台羅拼音]], "([48])/", OFFSET(韻母表_4[[#This Row],[台羅拼音]],1,0), "$1", "/    # ", LEFT(韻母表_4[[#This Row],[十五音]],1)))</f>
        <v xml:space="preserve">    - xform/an([48])/at$1/    # 干</v>
      </c>
      <c r="W12" s="41" t="s">
        <v>1409</v>
      </c>
    </row>
    <row r="13" spans="1:23" ht="44.25">
      <c r="A13" s="54">
        <v>12</v>
      </c>
      <c r="B13" s="54">
        <f xml:space="preserve"> IF(MOD(韻母表_4[[#This Row],[序號]],2)=0, 韻母表_4[[#This Row],[序號]]/2, ROUNDUP(韻母表_4[[#This Row],[序號]]/2,0))</f>
        <v>6</v>
      </c>
      <c r="C13" s="55" t="s">
        <v>245</v>
      </c>
      <c r="D13" s="56" t="s">
        <v>73</v>
      </c>
      <c r="E13" s="86" t="s">
        <v>1086</v>
      </c>
      <c r="F13" s="86"/>
      <c r="G13" s="57" t="s">
        <v>172</v>
      </c>
      <c r="H13" s="57" t="s">
        <v>172</v>
      </c>
      <c r="I13" s="57" t="s">
        <v>172</v>
      </c>
      <c r="J13" s="57" t="s">
        <v>172</v>
      </c>
      <c r="K13" s="57" t="s">
        <v>172</v>
      </c>
      <c r="L13" s="57" t="s">
        <v>1087</v>
      </c>
      <c r="M13" s="57" t="s">
        <v>1088</v>
      </c>
      <c r="R13" t="b">
        <f>IF(韻母表_4[[#This Row],[台羅拼音]]="", FALSE, ISNUMBER(FIND(RIGHT(韻母表_4[[#This Row],[台羅拼音]],1), "ptkh")))</f>
        <v>1</v>
      </c>
      <c r="S13" s="41" t="str">
        <f>IF(OR(韻母表_4[[#This Row],[台羅拼音]]="", R13=TRUE), "", LEN(韻母表_4[[#This Row],[台羅拼音]]))</f>
        <v/>
      </c>
      <c r="T13" s="41" t="str">
        <f ca="1" xml:space="preserve"> IF(OR(韻母表_4[[#This Row],[台羅拼音]]="", $R13=TRUE), "", _xlfn.CONCAT("    ", "- xform/", 韻母表_4[[#This Row],[台羅拼音]], "([48?])/", OFFSET(韻母表_4[[#This Row],[台羅拼音]],1,0), "$1", "/    # ", LEFT(韻母表_4[[#This Row],[十五音]],1)))</f>
        <v/>
      </c>
      <c r="U13" s="41" t="str">
        <f ca="1" xml:space="preserve"> IF(OR(韻母表_4[[#This Row],[台羅拼音]]="", R13=TRUE), "", _xlfn.CONCAT("    ", "- xform/", 韻母表_4[[#This Row],[台羅拼音]], "([48])/", OFFSET(韻母表_4[[#This Row],[台羅拼音]],1,0), "$1", "/    # ", LEFT(韻母表_4[[#This Row],[十五音]],1)))</f>
        <v/>
      </c>
      <c r="W13" s="41" t="s">
        <v>1079</v>
      </c>
    </row>
    <row r="14" spans="1:23" ht="44.25">
      <c r="A14" s="54">
        <v>13</v>
      </c>
      <c r="B14" s="54">
        <f xml:space="preserve"> IF(MOD(韻母表_4[[#This Row],[序號]],2)=0, 韻母表_4[[#This Row],[序號]]/2, ROUNDUP(韻母表_4[[#This Row],[序號]]/2,0))</f>
        <v>7</v>
      </c>
      <c r="C14" s="55" t="s">
        <v>255</v>
      </c>
      <c r="D14" s="56" t="s">
        <v>74</v>
      </c>
      <c r="E14" s="86" t="s">
        <v>1332</v>
      </c>
      <c r="F14" s="86"/>
      <c r="G14" s="57" t="s">
        <v>173</v>
      </c>
      <c r="H14" s="57" t="s">
        <v>173</v>
      </c>
      <c r="I14" s="57" t="s">
        <v>173</v>
      </c>
      <c r="J14" s="57" t="s">
        <v>173</v>
      </c>
      <c r="K14" s="57" t="s">
        <v>173</v>
      </c>
      <c r="L14" s="57" t="s">
        <v>1089</v>
      </c>
      <c r="M14" s="57" t="s">
        <v>1090</v>
      </c>
      <c r="R14" t="b">
        <f>IF(韻母表_4[[#This Row],[台羅拼音]]="", FALSE, ISNUMBER(FIND(RIGHT(韻母表_4[[#This Row],[台羅拼音]],1), "ptkh")))</f>
        <v>0</v>
      </c>
      <c r="S14" s="41">
        <f>IF(OR(韻母表_4[[#This Row],[台羅拼音]]="", R14=TRUE), "", LEN(韻母表_4[[#This Row],[台羅拼音]]))</f>
        <v>3</v>
      </c>
      <c r="T14" s="41" t="str">
        <f ca="1" xml:space="preserve"> IF(OR(韻母表_4[[#This Row],[台羅拼音]]="", $R14=TRUE), "", _xlfn.CONCAT("    ", "- xform/", 韻母表_4[[#This Row],[台羅拼音]], "([48?])/", OFFSET(韻母表_4[[#This Row],[台羅拼音]],1,0), "$1", "/    # ", LEFT(韻母表_4[[#This Row],[十五音]],1)))</f>
        <v xml:space="preserve">    - xform/ong([48?])/ok$1/    # 公</v>
      </c>
      <c r="U14" s="41" t="str">
        <f ca="1" xml:space="preserve"> IF(OR(韻母表_4[[#This Row],[台羅拼音]]="", R14=TRUE), "", _xlfn.CONCAT("    ", "- xform/", 韻母表_4[[#This Row],[台羅拼音]], "([48])/", OFFSET(韻母表_4[[#This Row],[台羅拼音]],1,0), "$1", "/    # ", LEFT(韻母表_4[[#This Row],[十五音]],1)))</f>
        <v xml:space="preserve">    - xform/ong([48])/ok$1/    # 公</v>
      </c>
      <c r="W14" s="41" t="s">
        <v>1410</v>
      </c>
    </row>
    <row r="15" spans="1:23" ht="44.25">
      <c r="A15" s="54">
        <v>14</v>
      </c>
      <c r="B15" s="54">
        <f xml:space="preserve"> IF(MOD(韻母表_4[[#This Row],[序號]],2)=0, 韻母表_4[[#This Row],[序號]]/2, ROUNDUP(韻母表_4[[#This Row],[序號]]/2,0))</f>
        <v>7</v>
      </c>
      <c r="C15" s="55" t="s">
        <v>256</v>
      </c>
      <c r="D15" s="56" t="s">
        <v>75</v>
      </c>
      <c r="E15" s="86" t="s">
        <v>1333</v>
      </c>
      <c r="F15" s="86"/>
      <c r="G15" s="57" t="s">
        <v>174</v>
      </c>
      <c r="H15" s="57" t="s">
        <v>174</v>
      </c>
      <c r="I15" s="57" t="s">
        <v>174</v>
      </c>
      <c r="J15" s="57" t="s">
        <v>174</v>
      </c>
      <c r="K15" s="57" t="s">
        <v>174</v>
      </c>
      <c r="L15" s="57" t="s">
        <v>1091</v>
      </c>
      <c r="M15" s="57" t="s">
        <v>1092</v>
      </c>
      <c r="R15" t="b">
        <f>IF(韻母表_4[[#This Row],[台羅拼音]]="", FALSE, ISNUMBER(FIND(RIGHT(韻母表_4[[#This Row],[台羅拼音]],1), "ptkh")))</f>
        <v>1</v>
      </c>
      <c r="S15" s="41" t="str">
        <f>IF(OR(韻母表_4[[#This Row],[台羅拼音]]="", R15=TRUE), "", LEN(韻母表_4[[#This Row],[台羅拼音]]))</f>
        <v/>
      </c>
      <c r="T15" s="41" t="str">
        <f ca="1" xml:space="preserve"> IF(OR(韻母表_4[[#This Row],[台羅拼音]]="", $R15=TRUE), "", _xlfn.CONCAT("    ", "- xform/", 韻母表_4[[#This Row],[台羅拼音]], "([48?])/", OFFSET(韻母表_4[[#This Row],[台羅拼音]],1,0), "$1", "/    # ", LEFT(韻母表_4[[#This Row],[十五音]],1)))</f>
        <v/>
      </c>
      <c r="U15" s="41" t="str">
        <f ca="1" xml:space="preserve"> IF(OR(韻母表_4[[#This Row],[台羅拼音]]="", R15=TRUE), "", _xlfn.CONCAT("    ", "- xform/", 韻母表_4[[#This Row],[台羅拼音]], "([48])/", OFFSET(韻母表_4[[#This Row],[台羅拼音]],1,0), "$1", "/    # ", LEFT(韻母表_4[[#This Row],[十五音]],1)))</f>
        <v/>
      </c>
      <c r="W15" s="41" t="s">
        <v>1079</v>
      </c>
    </row>
    <row r="16" spans="1:23" ht="44.25">
      <c r="A16" s="54">
        <v>15</v>
      </c>
      <c r="B16" s="54">
        <f xml:space="preserve"> IF(MOD(韻母表_4[[#This Row],[序號]],2)=0, 韻母表_4[[#This Row],[序號]]/2, ROUNDUP(韻母表_4[[#This Row],[序號]]/2,0))</f>
        <v>8</v>
      </c>
      <c r="C16" s="55" t="s">
        <v>257</v>
      </c>
      <c r="D16" s="56" t="s">
        <v>76</v>
      </c>
      <c r="E16" s="86" t="s">
        <v>175</v>
      </c>
      <c r="F16" s="86"/>
      <c r="G16" s="57" t="s">
        <v>175</v>
      </c>
      <c r="H16" s="57" t="s">
        <v>175</v>
      </c>
      <c r="I16" s="57" t="s">
        <v>1093</v>
      </c>
      <c r="J16" s="57" t="s">
        <v>175</v>
      </c>
      <c r="K16" s="57" t="s">
        <v>175</v>
      </c>
      <c r="L16" s="57" t="s">
        <v>1094</v>
      </c>
      <c r="M16" s="57" t="s">
        <v>1094</v>
      </c>
      <c r="R16" t="b">
        <f>IF(韻母表_4[[#This Row],[台羅拼音]]="", FALSE, ISNUMBER(FIND(RIGHT(韻母表_4[[#This Row],[台羅拼音]],1), "ptkh")))</f>
        <v>0</v>
      </c>
      <c r="S16" s="41">
        <f>IF(OR(韻母表_4[[#This Row],[台羅拼音]]="", R16=TRUE), "", LEN(韻母表_4[[#This Row],[台羅拼音]]))</f>
        <v>3</v>
      </c>
      <c r="T16" s="41" t="str">
        <f ca="1" xml:space="preserve"> IF(OR(韻母表_4[[#This Row],[台羅拼音]]="", $R16=TRUE), "", _xlfn.CONCAT("    ", "- xform/", 韻母表_4[[#This Row],[台羅拼音]], "([48?])/", OFFSET(韻母表_4[[#This Row],[台羅拼音]],1,0), "$1", "/    # ", LEFT(韻母表_4[[#This Row],[十五音]],1)))</f>
        <v xml:space="preserve">    - xform/uai([48?])/uaih$1/    # 乖</v>
      </c>
      <c r="U16" s="41" t="str">
        <f ca="1" xml:space="preserve"> IF(OR(韻母表_4[[#This Row],[台羅拼音]]="", R16=TRUE), "", _xlfn.CONCAT("    ", "- xform/", 韻母表_4[[#This Row],[台羅拼音]], "([48])/", OFFSET(韻母表_4[[#This Row],[台羅拼音]],1,0), "$1", "/    # ", LEFT(韻母表_4[[#This Row],[十五音]],1)))</f>
        <v xml:space="preserve">    - xform/uai([48])/uaih$1/    # 乖</v>
      </c>
      <c r="W16" s="41" t="s">
        <v>1411</v>
      </c>
    </row>
    <row r="17" spans="1:23" ht="44.25">
      <c r="A17" s="54">
        <v>16</v>
      </c>
      <c r="B17" s="54">
        <f xml:space="preserve"> IF(MOD(韻母表_4[[#This Row],[序號]],2)=0, 韻母表_4[[#This Row],[序號]]/2, ROUNDUP(韻母表_4[[#This Row],[序號]]/2,0))</f>
        <v>8</v>
      </c>
      <c r="C17" s="61" t="s">
        <v>258</v>
      </c>
      <c r="D17" s="58" t="s">
        <v>77</v>
      </c>
      <c r="E17" s="86" t="s">
        <v>1095</v>
      </c>
      <c r="F17" s="86"/>
      <c r="G17" s="57" t="s">
        <v>176</v>
      </c>
      <c r="H17" s="57" t="s">
        <v>176</v>
      </c>
      <c r="I17" s="57" t="s">
        <v>1096</v>
      </c>
      <c r="J17" s="57" t="s">
        <v>176</v>
      </c>
      <c r="K17" s="57" t="s">
        <v>176</v>
      </c>
      <c r="L17" s="57" t="s">
        <v>1097</v>
      </c>
      <c r="M17" s="57" t="s">
        <v>1098</v>
      </c>
      <c r="R17" t="b">
        <f>IF(韻母表_4[[#This Row],[台羅拼音]]="", FALSE, ISNUMBER(FIND(RIGHT(韻母表_4[[#This Row],[台羅拼音]],1), "ptkh")))</f>
        <v>1</v>
      </c>
      <c r="S17" s="41" t="str">
        <f>IF(OR(韻母表_4[[#This Row],[台羅拼音]]="", R17=TRUE), "", LEN(韻母表_4[[#This Row],[台羅拼音]]))</f>
        <v/>
      </c>
      <c r="T17" s="41" t="str">
        <f ca="1" xml:space="preserve"> IF(OR(韻母表_4[[#This Row],[台羅拼音]]="", $R17=TRUE), "", _xlfn.CONCAT("    ", "- xform/", 韻母表_4[[#This Row],[台羅拼音]], "([48?])/", OFFSET(韻母表_4[[#This Row],[台羅拼音]],1,0), "$1", "/    # ", LEFT(韻母表_4[[#This Row],[十五音]],1)))</f>
        <v/>
      </c>
      <c r="U17" s="41" t="str">
        <f ca="1" xml:space="preserve"> IF(OR(韻母表_4[[#This Row],[台羅拼音]]="", R17=TRUE), "", _xlfn.CONCAT("    ", "- xform/", 韻母表_4[[#This Row],[台羅拼音]], "([48])/", OFFSET(韻母表_4[[#This Row],[台羅拼音]],1,0), "$1", "/    # ", LEFT(韻母表_4[[#This Row],[十五音]],1)))</f>
        <v/>
      </c>
      <c r="W17" s="41" t="s">
        <v>1079</v>
      </c>
    </row>
    <row r="18" spans="1:23" ht="44.25">
      <c r="A18" s="54">
        <v>17</v>
      </c>
      <c r="B18" s="54">
        <f xml:space="preserve"> IF(MOD(韻母表_4[[#This Row],[序號]],2)=0, 韻母表_4[[#This Row],[序號]]/2, ROUNDUP(韻母表_4[[#This Row],[序號]]/2,0))</f>
        <v>9</v>
      </c>
      <c r="C18" s="55" t="s">
        <v>259</v>
      </c>
      <c r="D18" s="56" t="s">
        <v>78</v>
      </c>
      <c r="E18" s="86" t="s">
        <v>1334</v>
      </c>
      <c r="F18" s="86" t="s">
        <v>1371</v>
      </c>
      <c r="G18" s="57" t="s">
        <v>1373</v>
      </c>
      <c r="H18" s="57" t="s">
        <v>1373</v>
      </c>
      <c r="I18" s="57" t="s">
        <v>1099</v>
      </c>
      <c r="J18" s="57" t="s">
        <v>1373</v>
      </c>
      <c r="K18" s="57" t="s">
        <v>1373</v>
      </c>
      <c r="L18" s="57" t="s">
        <v>1375</v>
      </c>
      <c r="M18" s="57" t="s">
        <v>1375</v>
      </c>
      <c r="R18" t="b">
        <f>IF(韻母表_4[[#This Row],[台羅拼音]]="", FALSE, ISNUMBER(FIND(RIGHT(韻母表_4[[#This Row],[台羅拼音]],1), "ptkh")))</f>
        <v>0</v>
      </c>
      <c r="S18" s="41">
        <f>IF(OR(韻母表_4[[#This Row],[台羅拼音]]="", R18=TRUE), "", LEN(韻母表_4[[#This Row],[台羅拼音]]))</f>
        <v>3</v>
      </c>
      <c r="T18" s="41" t="str">
        <f ca="1" xml:space="preserve"> IF(OR(韻母表_4[[#This Row],[台羅拼音]]="", $R18=TRUE), "", _xlfn.CONCAT("    ", "- xform/", 韻母表_4[[#This Row],[台羅拼音]], "([48?])/", OFFSET(韻母表_4[[#This Row],[台羅拼音]],1,0), "$1", "/    # ", LEFT(韻母表_4[[#This Row],[十五音]],1)))</f>
        <v xml:space="preserve">    - xform/ing([48?])/ik$1/    # 經</v>
      </c>
      <c r="U18" s="41" t="str">
        <f ca="1" xml:space="preserve"> IF(OR(韻母表_4[[#This Row],[台羅拼音]]="", R18=TRUE), "", _xlfn.CONCAT("    ", "- xform/", 韻母表_4[[#This Row],[台羅拼音]], "([48])/", OFFSET(韻母表_4[[#This Row],[台羅拼音]],1,0), "$1", "/    # ", LEFT(韻母表_4[[#This Row],[十五音]],1)))</f>
        <v xml:space="preserve">    - xform/ing([48])/ik$1/    # 經</v>
      </c>
      <c r="W18" s="41" t="s">
        <v>1412</v>
      </c>
    </row>
    <row r="19" spans="1:23" ht="44.25">
      <c r="A19" s="54">
        <v>18</v>
      </c>
      <c r="B19" s="54">
        <f xml:space="preserve"> IF(MOD(韻母表_4[[#This Row],[序號]],2)=0, 韻母表_4[[#This Row],[序號]]/2, ROUNDUP(韻母表_4[[#This Row],[序號]]/2,0))</f>
        <v>9</v>
      </c>
      <c r="C19" s="55" t="s">
        <v>35</v>
      </c>
      <c r="D19" s="56" t="s">
        <v>79</v>
      </c>
      <c r="E19" s="86" t="s">
        <v>1335</v>
      </c>
      <c r="F19" s="86" t="s">
        <v>1372</v>
      </c>
      <c r="G19" s="57" t="s">
        <v>1374</v>
      </c>
      <c r="H19" s="57" t="s">
        <v>1374</v>
      </c>
      <c r="I19" s="57" t="s">
        <v>1100</v>
      </c>
      <c r="J19" s="57" t="s">
        <v>1374</v>
      </c>
      <c r="K19" s="57" t="s">
        <v>1374</v>
      </c>
      <c r="L19" s="57" t="s">
        <v>1376</v>
      </c>
      <c r="M19" s="57" t="s">
        <v>1377</v>
      </c>
      <c r="R19" t="b">
        <f>IF(韻母表_4[[#This Row],[台羅拼音]]="", FALSE, ISNUMBER(FIND(RIGHT(韻母表_4[[#This Row],[台羅拼音]],1), "ptkh")))</f>
        <v>1</v>
      </c>
      <c r="S19" s="41" t="str">
        <f>IF(OR(韻母表_4[[#This Row],[台羅拼音]]="", R19=TRUE), "", LEN(韻母表_4[[#This Row],[台羅拼音]]))</f>
        <v/>
      </c>
      <c r="T19" s="41" t="str">
        <f ca="1" xml:space="preserve"> IF(OR(韻母表_4[[#This Row],[台羅拼音]]="", $R19=TRUE), "", _xlfn.CONCAT("    ", "- xform/", 韻母表_4[[#This Row],[台羅拼音]], "([48?])/", OFFSET(韻母表_4[[#This Row],[台羅拼音]],1,0), "$1", "/    # ", LEFT(韻母表_4[[#This Row],[十五音]],1)))</f>
        <v/>
      </c>
      <c r="U19" s="41" t="str">
        <f ca="1" xml:space="preserve"> IF(OR(韻母表_4[[#This Row],[台羅拼音]]="", R19=TRUE), "", _xlfn.CONCAT("    ", "- xform/", 韻母表_4[[#This Row],[台羅拼音]], "([48])/", OFFSET(韻母表_4[[#This Row],[台羅拼音]],1,0), "$1", "/    # ", LEFT(韻母表_4[[#This Row],[十五音]],1)))</f>
        <v/>
      </c>
      <c r="W19" s="41" t="s">
        <v>1079</v>
      </c>
    </row>
    <row r="20" spans="1:23" ht="44.25">
      <c r="A20" s="54">
        <v>19</v>
      </c>
      <c r="B20" s="54">
        <f xml:space="preserve"> IF(MOD(韻母表_4[[#This Row],[序號]],2)=0, 韻母表_4[[#This Row],[序號]]/2, ROUNDUP(韻母表_4[[#This Row],[序號]]/2,0))</f>
        <v>10</v>
      </c>
      <c r="C20" s="55" t="s">
        <v>260</v>
      </c>
      <c r="D20" s="56" t="s">
        <v>80</v>
      </c>
      <c r="E20" s="86" t="s">
        <v>179</v>
      </c>
      <c r="F20" s="86"/>
      <c r="G20" s="57" t="s">
        <v>179</v>
      </c>
      <c r="H20" s="57" t="s">
        <v>179</v>
      </c>
      <c r="I20" s="57" t="s">
        <v>1101</v>
      </c>
      <c r="J20" s="57" t="s">
        <v>179</v>
      </c>
      <c r="K20" s="57" t="s">
        <v>179</v>
      </c>
      <c r="L20" s="57" t="s">
        <v>1102</v>
      </c>
      <c r="M20" s="57" t="s">
        <v>1102</v>
      </c>
      <c r="R20" t="b">
        <f>IF(韻母表_4[[#This Row],[台羅拼音]]="", FALSE, ISNUMBER(FIND(RIGHT(韻母表_4[[#This Row],[台羅拼音]],1), "ptkh")))</f>
        <v>0</v>
      </c>
      <c r="S20" s="41">
        <f>IF(OR(韻母表_4[[#This Row],[台羅拼音]]="", R20=TRUE), "", LEN(韻母表_4[[#This Row],[台羅拼音]]))</f>
        <v>3</v>
      </c>
      <c r="T20" s="41" t="str">
        <f ca="1" xml:space="preserve"> IF(OR(韻母表_4[[#This Row],[台羅拼音]]="", $R20=TRUE), "", _xlfn.CONCAT("    ", "- xform/", 韻母表_4[[#This Row],[台羅拼音]], "([48?])/", OFFSET(韻母表_4[[#This Row],[台羅拼音]],1,0), "$1", "/    # ", LEFT(韻母表_4[[#This Row],[十五音]],1)))</f>
        <v xml:space="preserve">    - xform/uan([48?])/uat$1/    # 觀</v>
      </c>
      <c r="U20" s="41" t="str">
        <f ca="1" xml:space="preserve"> IF(OR(韻母表_4[[#This Row],[台羅拼音]]="", R20=TRUE), "", _xlfn.CONCAT("    ", "- xform/", 韻母表_4[[#This Row],[台羅拼音]], "([48])/", OFFSET(韻母表_4[[#This Row],[台羅拼音]],1,0), "$1", "/    # ", LEFT(韻母表_4[[#This Row],[十五音]],1)))</f>
        <v xml:space="preserve">    - xform/uan([48])/uat$1/    # 觀</v>
      </c>
      <c r="W20" s="41" t="s">
        <v>1413</v>
      </c>
    </row>
    <row r="21" spans="1:23" ht="44.25">
      <c r="A21" s="54">
        <v>20</v>
      </c>
      <c r="B21" s="54">
        <f xml:space="preserve"> IF(MOD(韻母表_4[[#This Row],[序號]],2)=0, 韻母表_4[[#This Row],[序號]]/2, ROUNDUP(韻母表_4[[#This Row],[序號]]/2,0))</f>
        <v>10</v>
      </c>
      <c r="C21" s="55" t="s">
        <v>261</v>
      </c>
      <c r="D21" s="56" t="s">
        <v>81</v>
      </c>
      <c r="E21" s="86" t="s">
        <v>1103</v>
      </c>
      <c r="F21" s="86"/>
      <c r="G21" s="57" t="s">
        <v>180</v>
      </c>
      <c r="H21" s="57" t="s">
        <v>180</v>
      </c>
      <c r="I21" s="57" t="s">
        <v>1104</v>
      </c>
      <c r="J21" s="57" t="s">
        <v>180</v>
      </c>
      <c r="K21" s="57" t="s">
        <v>180</v>
      </c>
      <c r="L21" s="57" t="s">
        <v>1105</v>
      </c>
      <c r="M21" s="57" t="s">
        <v>1106</v>
      </c>
      <c r="R21" t="b">
        <f>IF(韻母表_4[[#This Row],[台羅拼音]]="", FALSE, ISNUMBER(FIND(RIGHT(韻母表_4[[#This Row],[台羅拼音]],1), "ptkh")))</f>
        <v>1</v>
      </c>
      <c r="S21" s="41" t="str">
        <f>IF(OR(韻母表_4[[#This Row],[台羅拼音]]="", R21=TRUE), "", LEN(韻母表_4[[#This Row],[台羅拼音]]))</f>
        <v/>
      </c>
      <c r="T21" s="41" t="str">
        <f ca="1" xml:space="preserve"> IF(OR(韻母表_4[[#This Row],[台羅拼音]]="", $R21=TRUE), "", _xlfn.CONCAT("    ", "- xform/", 韻母表_4[[#This Row],[台羅拼音]], "([48?])/", OFFSET(韻母表_4[[#This Row],[台羅拼音]],1,0), "$1", "/    # ", LEFT(韻母表_4[[#This Row],[十五音]],1)))</f>
        <v/>
      </c>
      <c r="U21" s="41" t="str">
        <f ca="1" xml:space="preserve"> IF(OR(韻母表_4[[#This Row],[台羅拼音]]="", R21=TRUE), "", _xlfn.CONCAT("    ", "- xform/", 韻母表_4[[#This Row],[台羅拼音]], "([48])/", OFFSET(韻母表_4[[#This Row],[台羅拼音]],1,0), "$1", "/    # ", LEFT(韻母表_4[[#This Row],[十五音]],1)))</f>
        <v/>
      </c>
      <c r="W21" s="41" t="s">
        <v>1079</v>
      </c>
    </row>
    <row r="22" spans="1:23" ht="44.25">
      <c r="A22" s="54">
        <v>21</v>
      </c>
      <c r="B22" s="54">
        <f xml:space="preserve"> IF(MOD(韻母表_4[[#This Row],[序號]],2)=0, 韻母表_4[[#This Row],[序號]]/2, ROUNDUP(韻母表_4[[#This Row],[序號]]/2,0))</f>
        <v>11</v>
      </c>
      <c r="C22" s="55" t="s">
        <v>262</v>
      </c>
      <c r="D22" s="56" t="s">
        <v>82</v>
      </c>
      <c r="E22" s="86" t="s">
        <v>1336</v>
      </c>
      <c r="F22" s="86" t="s">
        <v>1378</v>
      </c>
      <c r="G22" s="57" t="s">
        <v>181</v>
      </c>
      <c r="H22" s="57" t="s">
        <v>181</v>
      </c>
      <c r="I22" s="57" t="s">
        <v>1108</v>
      </c>
      <c r="J22" s="57" t="s">
        <v>181</v>
      </c>
      <c r="K22" s="57" t="s">
        <v>181</v>
      </c>
      <c r="L22" s="57" t="s">
        <v>1109</v>
      </c>
      <c r="M22" s="57" t="s">
        <v>1110</v>
      </c>
      <c r="R22" t="b">
        <f>IF(韻母表_4[[#This Row],[台羅拼音]]="", FALSE, ISNUMBER(FIND(RIGHT(韻母表_4[[#This Row],[台羅拼音]],1), "ptkh")))</f>
        <v>0</v>
      </c>
      <c r="S22" s="41">
        <f>IF(OR(韻母表_4[[#This Row],[台羅拼音]]="", R22=TRUE), "", LEN(韻母表_4[[#This Row],[台羅拼音]]))</f>
        <v>2</v>
      </c>
      <c r="T22" s="41" t="str">
        <f ca="1" xml:space="preserve"> IF(OR(韻母表_4[[#This Row],[台羅拼音]]="", $R22=TRUE), "", _xlfn.CONCAT("    ", "- xform/", 韻母表_4[[#This Row],[台羅拼音]], "([48?])/", OFFSET(韻母表_4[[#This Row],[台羅拼音]],1,0), "$1", "/    # ", LEFT(韻母表_4[[#This Row],[十五音]],1)))</f>
        <v xml:space="preserve">    - xform/oo([48?])/ooh$1/    # 沽</v>
      </c>
      <c r="U22" s="41" t="str">
        <f ca="1" xml:space="preserve"> IF(OR(韻母表_4[[#This Row],[台羅拼音]]="", R22=TRUE), "", _xlfn.CONCAT("    ", "- xform/", 韻母表_4[[#This Row],[台羅拼音]], "([48])/", OFFSET(韻母表_4[[#This Row],[台羅拼音]],1,0), "$1", "/    # ", LEFT(韻母表_4[[#This Row],[十五音]],1)))</f>
        <v xml:space="preserve">    - xform/oo([48])/ooh$1/    # 沽</v>
      </c>
      <c r="W22" s="41" t="s">
        <v>1414</v>
      </c>
    </row>
    <row r="23" spans="1:23" ht="44.25">
      <c r="A23" s="54">
        <v>22</v>
      </c>
      <c r="B23" s="54">
        <f xml:space="preserve"> IF(MOD(韻母表_4[[#This Row],[序號]],2)=0, 韻母表_4[[#This Row],[序號]]/2, ROUNDUP(韻母表_4[[#This Row],[序號]]/2,0))</f>
        <v>11</v>
      </c>
      <c r="C23" s="55"/>
      <c r="D23" s="56" t="s">
        <v>1384</v>
      </c>
      <c r="E23" s="86" t="str">
        <f xml:space="preserve"> _xlfn.CONCAT(E22, "h")</f>
        <v>ɔh</v>
      </c>
      <c r="F23" s="86"/>
      <c r="G23" s="57" t="str">
        <f xml:space="preserve"> _xlfn.CONCAT(G22, "h")</f>
        <v>ooh</v>
      </c>
      <c r="H23" s="57" t="str">
        <f t="shared" ref="H23:K23" si="0" xml:space="preserve"> _xlfn.CONCAT(H22, "h")</f>
        <v>ooh</v>
      </c>
      <c r="I23" s="57" t="str">
        <f t="shared" si="0"/>
        <v>o͘h</v>
      </c>
      <c r="J23" s="57" t="str">
        <f t="shared" si="0"/>
        <v>ooh</v>
      </c>
      <c r="K23" s="57" t="str">
        <f t="shared" si="0"/>
        <v>ooh</v>
      </c>
      <c r="L23" s="57" t="str">
        <f xml:space="preserve"> _xlfn.CONCAT(L22, "ㆷ")</f>
        <v>ㆦㆷ</v>
      </c>
      <c r="M23" s="57" t="str">
        <f xml:space="preserve"> _xlfn.CONCAT(M22, "ㄏ")</f>
        <v>ㄛㄏ</v>
      </c>
      <c r="R23" t="b">
        <f>IF(韻母表_4[[#This Row],[台羅拼音]]="", FALSE, ISNUMBER(FIND(RIGHT(韻母表_4[[#This Row],[台羅拼音]],1), "ptkh")))</f>
        <v>1</v>
      </c>
      <c r="S23" s="41" t="str">
        <f>IF(OR(韻母表_4[[#This Row],[台羅拼音]]="", R23=TRUE), "", LEN(韻母表_4[[#This Row],[台羅拼音]]))</f>
        <v/>
      </c>
      <c r="T23" s="41" t="str">
        <f ca="1" xml:space="preserve"> IF(OR(韻母表_4[[#This Row],[台羅拼音]]="", $R23=TRUE), "", _xlfn.CONCAT("    ", "- xform/", 韻母表_4[[#This Row],[台羅拼音]], "([48?])/", OFFSET(韻母表_4[[#This Row],[台羅拼音]],1,0), "$1", "/    # ", LEFT(韻母表_4[[#This Row],[十五音]],1)))</f>
        <v/>
      </c>
      <c r="U23" s="41" t="str">
        <f ca="1" xml:space="preserve"> IF(OR(韻母表_4[[#This Row],[台羅拼音]]="", R23=TRUE), "", _xlfn.CONCAT("    ", "- xform/", 韻母表_4[[#This Row],[台羅拼音]], "([48])/", OFFSET(韻母表_4[[#This Row],[台羅拼音]],1,0), "$1", "/    # ", LEFT(韻母表_4[[#This Row],[十五音]],1)))</f>
        <v/>
      </c>
      <c r="W23" s="41" t="s">
        <v>1079</v>
      </c>
    </row>
    <row r="24" spans="1:23" ht="44.25">
      <c r="A24" s="54">
        <v>23</v>
      </c>
      <c r="B24" s="54">
        <f xml:space="preserve"> IF(MOD(韻母表_4[[#This Row],[序號]],2)=0, 韻母表_4[[#This Row],[序號]]/2, ROUNDUP(韻母表_4[[#This Row],[序號]]/2,0))</f>
        <v>12</v>
      </c>
      <c r="C24" s="55" t="s">
        <v>263</v>
      </c>
      <c r="D24" s="56" t="s">
        <v>84</v>
      </c>
      <c r="E24" s="86" t="s">
        <v>1337</v>
      </c>
      <c r="F24" s="86"/>
      <c r="G24" s="57" t="s">
        <v>182</v>
      </c>
      <c r="H24" s="57" t="s">
        <v>182</v>
      </c>
      <c r="I24" s="57" t="s">
        <v>182</v>
      </c>
      <c r="J24" s="57" t="s">
        <v>1111</v>
      </c>
      <c r="K24" s="57" t="s">
        <v>182</v>
      </c>
      <c r="L24" s="57" t="s">
        <v>1112</v>
      </c>
      <c r="M24" s="57" t="s">
        <v>1112</v>
      </c>
      <c r="R24" t="b">
        <f>IF(韻母表_4[[#This Row],[台羅拼音]]="", FALSE, ISNUMBER(FIND(RIGHT(韻母表_4[[#This Row],[台羅拼音]],1), "ptkh")))</f>
        <v>0</v>
      </c>
      <c r="S24" s="41">
        <f>IF(OR(韻母表_4[[#This Row],[台羅拼音]]="", R24=TRUE), "", LEN(韻母表_4[[#This Row],[台羅拼音]]))</f>
        <v>3</v>
      </c>
      <c r="T24" s="41" t="str">
        <f ca="1" xml:space="preserve"> IF(OR(韻母表_4[[#This Row],[台羅拼音]]="", $R24=TRUE), "", _xlfn.CONCAT("    ", "- xform/", 韻母表_4[[#This Row],[台羅拼音]], "([48?])/", OFFSET(韻母表_4[[#This Row],[台羅拼音]],1,0), "$1", "/    # ", LEFT(韻母表_4[[#This Row],[十五音]],1)))</f>
        <v xml:space="preserve">    - xform/iau([48?])/iauh$1/    # 嬌</v>
      </c>
      <c r="U24" s="41" t="str">
        <f ca="1" xml:space="preserve"> IF(OR(韻母表_4[[#This Row],[台羅拼音]]="", R24=TRUE), "", _xlfn.CONCAT("    ", "- xform/", 韻母表_4[[#This Row],[台羅拼音]], "([48])/", OFFSET(韻母表_4[[#This Row],[台羅拼音]],1,0), "$1", "/    # ", LEFT(韻母表_4[[#This Row],[十五音]],1)))</f>
        <v xml:space="preserve">    - xform/iau([48])/iauh$1/    # 嬌</v>
      </c>
      <c r="W24" s="41" t="s">
        <v>1415</v>
      </c>
    </row>
    <row r="25" spans="1:23" ht="44.25">
      <c r="A25" s="54">
        <v>24</v>
      </c>
      <c r="B25" s="54">
        <f xml:space="preserve"> IF(MOD(韻母表_4[[#This Row],[序號]],2)=0, 韻母表_4[[#This Row],[序號]]/2, ROUNDUP(韻母表_4[[#This Row],[序號]]/2,0))</f>
        <v>12</v>
      </c>
      <c r="C25" s="62" t="s">
        <v>264</v>
      </c>
      <c r="D25" s="63" t="s">
        <v>85</v>
      </c>
      <c r="E25" s="86" t="s">
        <v>1338</v>
      </c>
      <c r="F25" s="86"/>
      <c r="G25" s="57" t="s">
        <v>183</v>
      </c>
      <c r="H25" s="57" t="s">
        <v>183</v>
      </c>
      <c r="I25" s="57" t="s">
        <v>183</v>
      </c>
      <c r="J25" s="57" t="s">
        <v>1113</v>
      </c>
      <c r="K25" s="57" t="s">
        <v>183</v>
      </c>
      <c r="L25" s="57" t="s">
        <v>1114</v>
      </c>
      <c r="M25" s="57" t="s">
        <v>1115</v>
      </c>
      <c r="R25" t="b">
        <f>IF(韻母表_4[[#This Row],[台羅拼音]]="", FALSE, ISNUMBER(FIND(RIGHT(韻母表_4[[#This Row],[台羅拼音]],1), "ptkh")))</f>
        <v>1</v>
      </c>
      <c r="S25" s="41" t="str">
        <f>IF(OR(韻母表_4[[#This Row],[台羅拼音]]="", R25=TRUE), "", LEN(韻母表_4[[#This Row],[台羅拼音]]))</f>
        <v/>
      </c>
      <c r="T25" s="41" t="str">
        <f ca="1" xml:space="preserve"> IF(OR(韻母表_4[[#This Row],[台羅拼音]]="", $R25=TRUE), "", _xlfn.CONCAT("    ", "- xform/", 韻母表_4[[#This Row],[台羅拼音]], "([48?])/", OFFSET(韻母表_4[[#This Row],[台羅拼音]],1,0), "$1", "/    # ", LEFT(韻母表_4[[#This Row],[十五音]],1)))</f>
        <v/>
      </c>
      <c r="U25" s="41" t="str">
        <f ca="1" xml:space="preserve"> IF(OR(韻母表_4[[#This Row],[台羅拼音]]="", R25=TRUE), "", _xlfn.CONCAT("    ", "- xform/", 韻母表_4[[#This Row],[台羅拼音]], "([48])/", OFFSET(韻母表_4[[#This Row],[台羅拼音]],1,0), "$1", "/    # ", LEFT(韻母表_4[[#This Row],[十五音]],1)))</f>
        <v/>
      </c>
      <c r="W25" s="41" t="s">
        <v>1079</v>
      </c>
    </row>
    <row r="26" spans="1:23" ht="44.25">
      <c r="A26" s="54">
        <v>25</v>
      </c>
      <c r="B26" s="54">
        <f xml:space="preserve"> IF(MOD(韻母表_4[[#This Row],[序號]],2)=0, 韻母表_4[[#This Row],[序號]]/2, ROUNDUP(韻母表_4[[#This Row],[序號]]/2,0))</f>
        <v>13</v>
      </c>
      <c r="C26" s="59" t="s">
        <v>265</v>
      </c>
      <c r="D26" s="60" t="s">
        <v>86</v>
      </c>
      <c r="E26" s="86" t="s">
        <v>1328</v>
      </c>
      <c r="F26" s="86" t="s">
        <v>1116</v>
      </c>
      <c r="G26" s="57" t="s">
        <v>184</v>
      </c>
      <c r="H26" s="57" t="s">
        <v>1116</v>
      </c>
      <c r="I26" s="57" t="s">
        <v>184</v>
      </c>
      <c r="J26" s="57" t="s">
        <v>184</v>
      </c>
      <c r="K26" s="57" t="s">
        <v>184</v>
      </c>
      <c r="L26" s="57" t="s">
        <v>1117</v>
      </c>
      <c r="M26" s="57" t="s">
        <v>1081</v>
      </c>
      <c r="R26" t="b">
        <f>IF(韻母表_4[[#This Row],[台羅拼音]]="", FALSE, ISNUMBER(FIND(RIGHT(韻母表_4[[#This Row],[台羅拼音]],1), "ptkh")))</f>
        <v>0</v>
      </c>
      <c r="S26" s="41">
        <f>IF(OR(韻母表_4[[#This Row],[台羅拼音]]="", R26=TRUE), "", LEN(韻母表_4[[#This Row],[台羅拼音]]))</f>
        <v>1</v>
      </c>
      <c r="T26" s="41" t="str">
        <f ca="1" xml:space="preserve"> IF(OR(韻母表_4[[#This Row],[台羅拼音]]="", $R26=TRUE), "", _xlfn.CONCAT("    ", "- xform/", 韻母表_4[[#This Row],[台羅拼音]], "([48?])/", OFFSET(韻母表_4[[#This Row],[台羅拼音]],1,0), "$1", "/    # ", LEFT(韻母表_4[[#This Row],[十五音]],1)))</f>
        <v xml:space="preserve">    - xform/e([48?])/$1/    # 稽</v>
      </c>
      <c r="U26" s="41" t="str">
        <f ca="1" xml:space="preserve"> IF(OR(韻母表_4[[#This Row],[台羅拼音]]="", R26=TRUE), "", _xlfn.CONCAT("    ", "- xform/", 韻母表_4[[#This Row],[台羅拼音]], "([48])/", OFFSET(韻母表_4[[#This Row],[台羅拼音]],1,0), "$1", "/    # ", LEFT(韻母表_4[[#This Row],[十五音]],1)))</f>
        <v xml:space="preserve">    - xform/e([48])/$1/    # 稽</v>
      </c>
      <c r="W26" s="41" t="s">
        <v>1416</v>
      </c>
    </row>
    <row r="27" spans="1:23" ht="44.25">
      <c r="A27" s="54">
        <v>26</v>
      </c>
      <c r="B27" s="54">
        <f xml:space="preserve"> IF(MOD(韻母表_4[[#This Row],[序號]],2)=0, 韻母表_4[[#This Row],[序號]]/2, ROUNDUP(韻母表_4[[#This Row],[序號]]/2,0))</f>
        <v>13</v>
      </c>
      <c r="C27" s="62"/>
      <c r="D27" s="63"/>
      <c r="E27" s="86" t="s">
        <v>1079</v>
      </c>
      <c r="F27" s="86"/>
      <c r="G27" s="57" t="s">
        <v>1079</v>
      </c>
      <c r="H27" s="57" t="s">
        <v>1079</v>
      </c>
      <c r="I27" s="57" t="s">
        <v>1079</v>
      </c>
      <c r="J27" s="57" t="s">
        <v>1079</v>
      </c>
      <c r="K27" s="57" t="s">
        <v>1079</v>
      </c>
      <c r="L27" s="57" t="s">
        <v>1079</v>
      </c>
      <c r="M27" s="57" t="s">
        <v>1079</v>
      </c>
      <c r="R27" t="b">
        <f>IF(韻母表_4[[#This Row],[台羅拼音]]="", FALSE, ISNUMBER(FIND(RIGHT(韻母表_4[[#This Row],[台羅拼音]],1), "ptkh")))</f>
        <v>0</v>
      </c>
      <c r="S27" s="41" t="str">
        <f>IF(OR(韻母表_4[[#This Row],[台羅拼音]]="", R27=TRUE), "", LEN(韻母表_4[[#This Row],[台羅拼音]]))</f>
        <v/>
      </c>
      <c r="T27" s="41" t="str">
        <f ca="1" xml:space="preserve"> IF(OR(韻母表_4[[#This Row],[台羅拼音]]="", $R27=TRUE), "", _xlfn.CONCAT("    ", "- xform/", 韻母表_4[[#This Row],[台羅拼音]], "([48?])/", OFFSET(韻母表_4[[#This Row],[台羅拼音]],1,0), "$1", "/    # ", LEFT(韻母表_4[[#This Row],[十五音]],1)))</f>
        <v/>
      </c>
      <c r="U27" s="41" t="str">
        <f ca="1" xml:space="preserve"> IF(OR(韻母表_4[[#This Row],[台羅拼音]]="", R27=TRUE), "", _xlfn.CONCAT("    ", "- xform/", 韻母表_4[[#This Row],[台羅拼音]], "([48])/", OFFSET(韻母表_4[[#This Row],[台羅拼音]],1,0), "$1", "/    # ", LEFT(韻母表_4[[#This Row],[十五音]],1)))</f>
        <v/>
      </c>
      <c r="W27" s="41" t="s">
        <v>1417</v>
      </c>
    </row>
    <row r="28" spans="1:23" ht="44.25">
      <c r="A28" s="54">
        <v>27</v>
      </c>
      <c r="B28" s="54">
        <f xml:space="preserve"> IF(MOD(韻母表_4[[#This Row],[序號]],2)=0, 韻母表_4[[#This Row],[序號]]/2, ROUNDUP(韻母表_4[[#This Row],[序號]]/2,0))</f>
        <v>14</v>
      </c>
      <c r="C28" s="55" t="s">
        <v>266</v>
      </c>
      <c r="D28" s="56" t="s">
        <v>88</v>
      </c>
      <c r="E28" s="86" t="s">
        <v>1339</v>
      </c>
      <c r="F28" s="86"/>
      <c r="G28" s="57" t="s">
        <v>185</v>
      </c>
      <c r="H28" s="57" t="s">
        <v>185</v>
      </c>
      <c r="I28" s="57" t="s">
        <v>185</v>
      </c>
      <c r="J28" s="57" t="s">
        <v>185</v>
      </c>
      <c r="K28" s="57" t="s">
        <v>185</v>
      </c>
      <c r="L28" s="57" t="s">
        <v>1118</v>
      </c>
      <c r="M28" s="57" t="s">
        <v>1119</v>
      </c>
      <c r="R28" t="b">
        <f>IF(韻母表_4[[#This Row],[台羅拼音]]="", FALSE, ISNUMBER(FIND(RIGHT(韻母表_4[[#This Row],[台羅拼音]],1), "ptkh")))</f>
        <v>0</v>
      </c>
      <c r="S28" s="41">
        <f>IF(OR(韻母表_4[[#This Row],[台羅拼音]]="", R28=TRUE), "", LEN(韻母表_4[[#This Row],[台羅拼音]]))</f>
        <v>4</v>
      </c>
      <c r="T28" s="41" t="str">
        <f ca="1" xml:space="preserve"> IF(OR(韻母表_4[[#This Row],[台羅拼音]]="", $R28=TRUE), "", _xlfn.CONCAT("    ", "- xform/", 韻母表_4[[#This Row],[台羅拼音]], "([48?])/", OFFSET(韻母表_4[[#This Row],[台羅拼音]],1,0), "$1", "/    # ", LEFT(韻母表_4[[#This Row],[十五音]],1)))</f>
        <v xml:space="preserve">    - xform/iong([48?])/iok$1/    # 恭</v>
      </c>
      <c r="U28" s="41" t="str">
        <f ca="1" xml:space="preserve"> IF(OR(韻母表_4[[#This Row],[台羅拼音]]="", R28=TRUE), "", _xlfn.CONCAT("    ", "- xform/", 韻母表_4[[#This Row],[台羅拼音]], "([48])/", OFFSET(韻母表_4[[#This Row],[台羅拼音]],1,0), "$1", "/    # ", LEFT(韻母表_4[[#This Row],[十五音]],1)))</f>
        <v xml:space="preserve">    - xform/iong([48])/iok$1/    # 恭</v>
      </c>
      <c r="W28" s="41" t="s">
        <v>1418</v>
      </c>
    </row>
    <row r="29" spans="1:23" ht="44.25">
      <c r="A29" s="54">
        <v>28</v>
      </c>
      <c r="B29" s="54">
        <f xml:space="preserve"> IF(MOD(韻母表_4[[#This Row],[序號]],2)=0, 韻母表_4[[#This Row],[序號]]/2, ROUNDUP(韻母表_4[[#This Row],[序號]]/2,0))</f>
        <v>14</v>
      </c>
      <c r="C29" s="55" t="s">
        <v>267</v>
      </c>
      <c r="D29" s="56" t="s">
        <v>89</v>
      </c>
      <c r="E29" s="86" t="s">
        <v>1340</v>
      </c>
      <c r="F29" s="86"/>
      <c r="G29" s="57" t="s">
        <v>186</v>
      </c>
      <c r="H29" s="57" t="s">
        <v>186</v>
      </c>
      <c r="I29" s="57" t="s">
        <v>186</v>
      </c>
      <c r="J29" s="57" t="s">
        <v>186</v>
      </c>
      <c r="K29" s="57" t="s">
        <v>1120</v>
      </c>
      <c r="L29" s="57" t="s">
        <v>1121</v>
      </c>
      <c r="M29" s="57" t="s">
        <v>1122</v>
      </c>
      <c r="R29" t="b">
        <f>IF(韻母表_4[[#This Row],[台羅拼音]]="", FALSE, ISNUMBER(FIND(RIGHT(韻母表_4[[#This Row],[台羅拼音]],1), "ptkh")))</f>
        <v>1</v>
      </c>
      <c r="S29" s="41" t="str">
        <f>IF(OR(韻母表_4[[#This Row],[台羅拼音]]="", R29=TRUE), "", LEN(韻母表_4[[#This Row],[台羅拼音]]))</f>
        <v/>
      </c>
      <c r="T29" s="41" t="str">
        <f ca="1" xml:space="preserve"> IF(OR(韻母表_4[[#This Row],[台羅拼音]]="", $R29=TRUE), "", _xlfn.CONCAT("    ", "- xform/", 韻母表_4[[#This Row],[台羅拼音]], "([48?])/", OFFSET(韻母表_4[[#This Row],[台羅拼音]],1,0), "$1", "/    # ", LEFT(韻母表_4[[#This Row],[十五音]],1)))</f>
        <v/>
      </c>
      <c r="U29" s="41" t="str">
        <f ca="1" xml:space="preserve"> IF(OR(韻母表_4[[#This Row],[台羅拼音]]="", R29=TRUE), "", _xlfn.CONCAT("    ", "- xform/", 韻母表_4[[#This Row],[台羅拼音]], "([48])/", OFFSET(韻母表_4[[#This Row],[台羅拼音]],1,0), "$1", "/    # ", LEFT(韻母表_4[[#This Row],[十五音]],1)))</f>
        <v/>
      </c>
      <c r="W29" s="41" t="s">
        <v>1079</v>
      </c>
    </row>
    <row r="30" spans="1:23" ht="44.25">
      <c r="A30" s="54">
        <v>29</v>
      </c>
      <c r="B30" s="54">
        <f xml:space="preserve"> IF(MOD(韻母表_4[[#This Row],[序號]],2)=0, 韻母表_4[[#This Row],[序號]]/2, ROUNDUP(韻母表_4[[#This Row],[序號]]/2,0))</f>
        <v>15</v>
      </c>
      <c r="C30" s="55" t="s">
        <v>268</v>
      </c>
      <c r="D30" s="56" t="s">
        <v>90</v>
      </c>
      <c r="E30" s="86" t="s">
        <v>1123</v>
      </c>
      <c r="F30" s="86"/>
      <c r="G30" s="57" t="s">
        <v>187</v>
      </c>
      <c r="H30" s="57" t="s">
        <v>187</v>
      </c>
      <c r="I30" s="57" t="s">
        <v>187</v>
      </c>
      <c r="J30" s="57" t="s">
        <v>187</v>
      </c>
      <c r="K30" s="57" t="s">
        <v>1124</v>
      </c>
      <c r="L30" s="57" t="s">
        <v>1125</v>
      </c>
      <c r="M30" s="57" t="s">
        <v>1125</v>
      </c>
      <c r="R30" t="b">
        <f>IF(韻母表_4[[#This Row],[台羅拼音]]="", FALSE, ISNUMBER(FIND(RIGHT(韻母表_4[[#This Row],[台羅拼音]],1), "ptkh")))</f>
        <v>0</v>
      </c>
      <c r="S30" s="41">
        <f>IF(OR(韻母表_4[[#This Row],[台羅拼音]]="", R30=TRUE), "", LEN(韻母表_4[[#This Row],[台羅拼音]]))</f>
        <v>1</v>
      </c>
      <c r="T30" s="41" t="str">
        <f ca="1" xml:space="preserve"> IF(OR(韻母表_4[[#This Row],[台羅拼音]]="", $R30=TRUE), "", _xlfn.CONCAT("    ", "- xform/", 韻母表_4[[#This Row],[台羅拼音]], "([48?])/", OFFSET(韻母表_4[[#This Row],[台羅拼音]],1,0), "$1", "/    # ", LEFT(韻母表_4[[#This Row],[十五音]],1)))</f>
        <v xml:space="preserve">    - xform/o([48?])/oh$1/    # 高</v>
      </c>
      <c r="U30" s="41" t="str">
        <f ca="1" xml:space="preserve"> IF(OR(韻母表_4[[#This Row],[台羅拼音]]="", R30=TRUE), "", _xlfn.CONCAT("    ", "- xform/", 韻母表_4[[#This Row],[台羅拼音]], "([48])/", OFFSET(韻母表_4[[#This Row],[台羅拼音]],1,0), "$1", "/    # ", LEFT(韻母表_4[[#This Row],[十五音]],1)))</f>
        <v xml:space="preserve">    - xform/o([48])/oh$1/    # 高</v>
      </c>
      <c r="W30" s="41" t="s">
        <v>1419</v>
      </c>
    </row>
    <row r="31" spans="1:23" ht="44.25">
      <c r="A31" s="54">
        <v>30</v>
      </c>
      <c r="B31" s="54">
        <f xml:space="preserve"> IF(MOD(韻母表_4[[#This Row],[序號]],2)=0, 韻母表_4[[#This Row],[序號]]/2, ROUNDUP(韻母表_4[[#This Row],[序號]]/2,0))</f>
        <v>15</v>
      </c>
      <c r="C31" s="55" t="s">
        <v>269</v>
      </c>
      <c r="D31" s="56" t="s">
        <v>91</v>
      </c>
      <c r="E31" s="86" t="s">
        <v>1126</v>
      </c>
      <c r="F31" s="86"/>
      <c r="G31" s="57" t="s">
        <v>188</v>
      </c>
      <c r="H31" s="57" t="s">
        <v>188</v>
      </c>
      <c r="I31" s="57" t="s">
        <v>188</v>
      </c>
      <c r="J31" s="57" t="s">
        <v>188</v>
      </c>
      <c r="K31" s="57" t="s">
        <v>1127</v>
      </c>
      <c r="L31" s="57" t="s">
        <v>1128</v>
      </c>
      <c r="M31" s="57" t="s">
        <v>1129</v>
      </c>
      <c r="R31" t="b">
        <f>IF(韻母表_4[[#This Row],[台羅拼音]]="", FALSE, ISNUMBER(FIND(RIGHT(韻母表_4[[#This Row],[台羅拼音]],1), "ptkh")))</f>
        <v>1</v>
      </c>
      <c r="S31" s="41" t="str">
        <f>IF(OR(韻母表_4[[#This Row],[台羅拼音]]="", R31=TRUE), "", LEN(韻母表_4[[#This Row],[台羅拼音]]))</f>
        <v/>
      </c>
      <c r="T31" s="41" t="str">
        <f ca="1" xml:space="preserve"> IF(OR(韻母表_4[[#This Row],[台羅拼音]]="", $R31=TRUE), "", _xlfn.CONCAT("    ", "- xform/", 韻母表_4[[#This Row],[台羅拼音]], "([48?])/", OFFSET(韻母表_4[[#This Row],[台羅拼音]],1,0), "$1", "/    # ", LEFT(韻母表_4[[#This Row],[十五音]],1)))</f>
        <v/>
      </c>
      <c r="U31" s="41" t="str">
        <f ca="1" xml:space="preserve"> IF(OR(韻母表_4[[#This Row],[台羅拼音]]="", R31=TRUE), "", _xlfn.CONCAT("    ", "- xform/", 韻母表_4[[#This Row],[台羅拼音]], "([48])/", OFFSET(韻母表_4[[#This Row],[台羅拼音]],1,0), "$1", "/    # ", LEFT(韻母表_4[[#This Row],[十五音]],1)))</f>
        <v/>
      </c>
      <c r="W31" s="41" t="s">
        <v>1079</v>
      </c>
    </row>
    <row r="32" spans="1:23" ht="44.25">
      <c r="A32" s="54">
        <v>31</v>
      </c>
      <c r="B32" s="54">
        <f xml:space="preserve"> IF(MOD(韻母表_4[[#This Row],[序號]],2)=0, 韻母表_4[[#This Row],[序號]]/2, ROUNDUP(韻母表_4[[#This Row],[序號]]/2,0))</f>
        <v>16</v>
      </c>
      <c r="C32" s="55" t="s">
        <v>270</v>
      </c>
      <c r="D32" s="56" t="s">
        <v>92</v>
      </c>
      <c r="E32" s="86" t="s">
        <v>1341</v>
      </c>
      <c r="F32" s="86"/>
      <c r="G32" s="57" t="s">
        <v>189</v>
      </c>
      <c r="H32" s="57" t="s">
        <v>189</v>
      </c>
      <c r="I32" s="57" t="s">
        <v>189</v>
      </c>
      <c r="J32" s="57" t="s">
        <v>189</v>
      </c>
      <c r="K32" s="57" t="s">
        <v>189</v>
      </c>
      <c r="L32" s="57" t="s">
        <v>1130</v>
      </c>
      <c r="M32" s="57" t="s">
        <v>1130</v>
      </c>
      <c r="R32" t="b">
        <f>IF(韻母表_4[[#This Row],[台羅拼音]]="", FALSE, ISNUMBER(FIND(RIGHT(韻母表_4[[#This Row],[台羅拼音]],1), "ptkh")))</f>
        <v>0</v>
      </c>
      <c r="S32" s="41">
        <f>IF(OR(韻母表_4[[#This Row],[台羅拼音]]="", R32=TRUE), "", LEN(韻母表_4[[#This Row],[台羅拼音]]))</f>
        <v>2</v>
      </c>
      <c r="T32" s="41" t="str">
        <f ca="1" xml:space="preserve"> IF(OR(韻母表_4[[#This Row],[台羅拼音]]="", $R32=TRUE), "", _xlfn.CONCAT("    ", "- xform/", 韻母表_4[[#This Row],[台羅拼音]], "([48?])/", OFFSET(韻母表_4[[#This Row],[台羅拼音]],1,0), "$1", "/    # ", LEFT(韻母表_4[[#This Row],[十五音]],1)))</f>
        <v xml:space="preserve">    - xform/ai([48?])/$1/    # 皆</v>
      </c>
      <c r="U32" s="41" t="str">
        <f ca="1" xml:space="preserve"> IF(OR(韻母表_4[[#This Row],[台羅拼音]]="", R32=TRUE), "", _xlfn.CONCAT("    ", "- xform/", 韻母表_4[[#This Row],[台羅拼音]], "([48])/", OFFSET(韻母表_4[[#This Row],[台羅拼音]],1,0), "$1", "/    # ", LEFT(韻母表_4[[#This Row],[十五音]],1)))</f>
        <v xml:space="preserve">    - xform/ai([48])/$1/    # 皆</v>
      </c>
      <c r="W32" s="41" t="s">
        <v>1420</v>
      </c>
    </row>
    <row r="33" spans="1:23" ht="44.25">
      <c r="A33" s="54">
        <v>32</v>
      </c>
      <c r="B33" s="54">
        <f xml:space="preserve"> IF(MOD(韻母表_4[[#This Row],[序號]],2)=0, 韻母表_4[[#This Row],[序號]]/2, ROUNDUP(韻母表_4[[#This Row],[序號]]/2,0))</f>
        <v>16</v>
      </c>
      <c r="C33" s="62"/>
      <c r="D33" s="63"/>
      <c r="E33" s="86"/>
      <c r="F33" s="86"/>
      <c r="G33" s="57"/>
      <c r="H33" s="57"/>
      <c r="I33" s="57"/>
      <c r="J33" s="57"/>
      <c r="K33" s="57"/>
      <c r="L33" s="57"/>
      <c r="M33" s="57"/>
      <c r="R33" t="b">
        <f>IF(韻母表_4[[#This Row],[台羅拼音]]="", FALSE, ISNUMBER(FIND(RIGHT(韻母表_4[[#This Row],[台羅拼音]],1), "ptkh")))</f>
        <v>0</v>
      </c>
      <c r="S33" s="41" t="str">
        <f>IF(OR(韻母表_4[[#This Row],[台羅拼音]]="", R33=TRUE), "", LEN(韻母表_4[[#This Row],[台羅拼音]]))</f>
        <v/>
      </c>
      <c r="T33" s="41" t="str">
        <f ca="1" xml:space="preserve"> IF(OR(韻母表_4[[#This Row],[台羅拼音]]="", $R33=TRUE), "", _xlfn.CONCAT("    ", "- xform/", 韻母表_4[[#This Row],[台羅拼音]], "([48?])/", OFFSET(韻母表_4[[#This Row],[台羅拼音]],1,0), "$1", "/    # ", LEFT(韻母表_4[[#This Row],[十五音]],1)))</f>
        <v/>
      </c>
      <c r="U33" s="41" t="str">
        <f ca="1" xml:space="preserve"> IF(OR(韻母表_4[[#This Row],[台羅拼音]]="", R33=TRUE), "", _xlfn.CONCAT("    ", "- xform/", 韻母表_4[[#This Row],[台羅拼音]], "([48])/", OFFSET(韻母表_4[[#This Row],[台羅拼音]],1,0), "$1", "/    # ", LEFT(韻母表_4[[#This Row],[十五音]],1)))</f>
        <v/>
      </c>
      <c r="W33" s="41" t="s">
        <v>1421</v>
      </c>
    </row>
    <row r="34" spans="1:23" ht="44.25">
      <c r="A34" s="54">
        <v>33</v>
      </c>
      <c r="B34" s="54">
        <f xml:space="preserve"> IF(MOD(韻母表_4[[#This Row],[序號]],2)=0, 韻母表_4[[#This Row],[序號]]/2, ROUNDUP(韻母表_4[[#This Row],[序號]]/2,0))</f>
        <v>17</v>
      </c>
      <c r="C34" s="55" t="s">
        <v>271</v>
      </c>
      <c r="D34" s="56" t="s">
        <v>94</v>
      </c>
      <c r="E34" s="86" t="s">
        <v>190</v>
      </c>
      <c r="F34" s="86"/>
      <c r="G34" s="57" t="s">
        <v>190</v>
      </c>
      <c r="H34" s="57" t="s">
        <v>190</v>
      </c>
      <c r="I34" s="57" t="s">
        <v>190</v>
      </c>
      <c r="J34" s="57" t="s">
        <v>190</v>
      </c>
      <c r="K34" s="57" t="s">
        <v>190</v>
      </c>
      <c r="L34" s="57" t="s">
        <v>1131</v>
      </c>
      <c r="M34" s="57" t="s">
        <v>1131</v>
      </c>
      <c r="R34" t="b">
        <f>IF(韻母表_4[[#This Row],[台羅拼音]]="", FALSE, ISNUMBER(FIND(RIGHT(韻母表_4[[#This Row],[台羅拼音]],1), "ptkh")))</f>
        <v>0</v>
      </c>
      <c r="S34" s="41">
        <f>IF(OR(韻母表_4[[#This Row],[台羅拼音]]="", R34=TRUE), "", LEN(韻母表_4[[#This Row],[台羅拼音]]))</f>
        <v>2</v>
      </c>
      <c r="T34" s="41" t="str">
        <f ca="1" xml:space="preserve"> IF(OR(韻母表_4[[#This Row],[台羅拼音]]="", $R34=TRUE), "", _xlfn.CONCAT("    ", "- xform/", 韻母表_4[[#This Row],[台羅拼音]], "([48?])/", OFFSET(韻母表_4[[#This Row],[台羅拼音]],1,0), "$1", "/    # ", LEFT(韻母表_4[[#This Row],[十五音]],1)))</f>
        <v xml:space="preserve">    - xform/in([48?])/it$1/    # 巾</v>
      </c>
      <c r="U34" s="41" t="str">
        <f ca="1" xml:space="preserve"> IF(OR(韻母表_4[[#This Row],[台羅拼音]]="", R34=TRUE), "", _xlfn.CONCAT("    ", "- xform/", 韻母表_4[[#This Row],[台羅拼音]], "([48])/", OFFSET(韻母表_4[[#This Row],[台羅拼音]],1,0), "$1", "/    # ", LEFT(韻母表_4[[#This Row],[十五音]],1)))</f>
        <v xml:space="preserve">    - xform/in([48])/it$1/    # 巾</v>
      </c>
      <c r="W34" s="41" t="s">
        <v>1422</v>
      </c>
    </row>
    <row r="35" spans="1:23" ht="44.25">
      <c r="A35" s="54">
        <v>34</v>
      </c>
      <c r="B35" s="54">
        <f xml:space="preserve"> IF(MOD(韻母表_4[[#This Row],[序號]],2)=0, 韻母表_4[[#This Row],[序號]]/2, ROUNDUP(韻母表_4[[#This Row],[序號]]/2,0))</f>
        <v>17</v>
      </c>
      <c r="C35" s="55" t="s">
        <v>272</v>
      </c>
      <c r="D35" s="56" t="s">
        <v>95</v>
      </c>
      <c r="E35" s="86" t="s">
        <v>1132</v>
      </c>
      <c r="F35" s="86"/>
      <c r="G35" s="57" t="s">
        <v>191</v>
      </c>
      <c r="H35" s="57" t="s">
        <v>191</v>
      </c>
      <c r="I35" s="57" t="s">
        <v>191</v>
      </c>
      <c r="J35" s="57" t="s">
        <v>191</v>
      </c>
      <c r="K35" s="57" t="s">
        <v>191</v>
      </c>
      <c r="L35" s="57" t="s">
        <v>1133</v>
      </c>
      <c r="M35" s="57" t="s">
        <v>1134</v>
      </c>
      <c r="R35" t="b">
        <f>IF(韻母表_4[[#This Row],[台羅拼音]]="", FALSE, ISNUMBER(FIND(RIGHT(韻母表_4[[#This Row],[台羅拼音]],1), "ptkh")))</f>
        <v>1</v>
      </c>
      <c r="S35" s="41" t="str">
        <f>IF(OR(韻母表_4[[#This Row],[台羅拼音]]="", R35=TRUE), "", LEN(韻母表_4[[#This Row],[台羅拼音]]))</f>
        <v/>
      </c>
      <c r="T35" s="41" t="str">
        <f ca="1" xml:space="preserve"> IF(OR(韻母表_4[[#This Row],[台羅拼音]]="", $R35=TRUE), "", _xlfn.CONCAT("    ", "- xform/", 韻母表_4[[#This Row],[台羅拼音]], "([48?])/", OFFSET(韻母表_4[[#This Row],[台羅拼音]],1,0), "$1", "/    # ", LEFT(韻母表_4[[#This Row],[十五音]],1)))</f>
        <v/>
      </c>
      <c r="U35" s="41" t="str">
        <f ca="1" xml:space="preserve"> IF(OR(韻母表_4[[#This Row],[台羅拼音]]="", R35=TRUE), "", _xlfn.CONCAT("    ", "- xform/", 韻母表_4[[#This Row],[台羅拼音]], "([48])/", OFFSET(韻母表_4[[#This Row],[台羅拼音]],1,0), "$1", "/    # ", LEFT(韻母表_4[[#This Row],[十五音]],1)))</f>
        <v/>
      </c>
      <c r="W35" s="41" t="s">
        <v>1079</v>
      </c>
    </row>
    <row r="36" spans="1:23" ht="44.25">
      <c r="A36" s="54">
        <v>35</v>
      </c>
      <c r="B36" s="54">
        <f xml:space="preserve"> IF(MOD(韻母表_4[[#This Row],[序號]],2)=0, 韻母表_4[[#This Row],[序號]]/2, ROUNDUP(韻母表_4[[#This Row],[序號]]/2,0))</f>
        <v>18</v>
      </c>
      <c r="C36" s="55" t="s">
        <v>274</v>
      </c>
      <c r="D36" s="56" t="s">
        <v>96</v>
      </c>
      <c r="E36" s="86" t="s">
        <v>1342</v>
      </c>
      <c r="F36" s="86"/>
      <c r="G36" s="57" t="s">
        <v>192</v>
      </c>
      <c r="H36" s="57" t="s">
        <v>192</v>
      </c>
      <c r="I36" s="57" t="s">
        <v>192</v>
      </c>
      <c r="J36" s="57" t="s">
        <v>192</v>
      </c>
      <c r="K36" s="57" t="s">
        <v>192</v>
      </c>
      <c r="L36" s="57" t="s">
        <v>1135</v>
      </c>
      <c r="M36" s="57" t="s">
        <v>1135</v>
      </c>
      <c r="R36" t="b">
        <f>IF(韻母表_4[[#This Row],[台羅拼音]]="", FALSE, ISNUMBER(FIND(RIGHT(韻母表_4[[#This Row],[台羅拼音]],1), "ptkh")))</f>
        <v>0</v>
      </c>
      <c r="S36" s="41">
        <f>IF(OR(韻母表_4[[#This Row],[台羅拼音]]="", R36=TRUE), "", LEN(韻母表_4[[#This Row],[台羅拼音]]))</f>
        <v>4</v>
      </c>
      <c r="T36" s="41" t="str">
        <f ca="1" xml:space="preserve"> IF(OR(韻母表_4[[#This Row],[台羅拼音]]="", $R36=TRUE), "", _xlfn.CONCAT("    ", "- xform/", 韻母表_4[[#This Row],[台羅拼音]], "([48?])/", OFFSET(韻母表_4[[#This Row],[台羅拼音]],1,0), "$1", "/    # ", LEFT(韻母表_4[[#This Row],[十五音]],1)))</f>
        <v xml:space="preserve">    - xform/iang([48?])/iak$1/    # 姜</v>
      </c>
      <c r="U36" s="41" t="str">
        <f ca="1" xml:space="preserve"> IF(OR(韻母表_4[[#This Row],[台羅拼音]]="", R36=TRUE), "", _xlfn.CONCAT("    ", "- xform/", 韻母表_4[[#This Row],[台羅拼音]], "([48])/", OFFSET(韻母表_4[[#This Row],[台羅拼音]],1,0), "$1", "/    # ", LEFT(韻母表_4[[#This Row],[十五音]],1)))</f>
        <v xml:space="preserve">    - xform/iang([48])/iak$1/    # 姜</v>
      </c>
      <c r="W36" s="41" t="s">
        <v>1423</v>
      </c>
    </row>
    <row r="37" spans="1:23" ht="44.25">
      <c r="A37" s="54">
        <v>36</v>
      </c>
      <c r="B37" s="54">
        <f xml:space="preserve"> IF(MOD(韻母表_4[[#This Row],[序號]],2)=0, 韻母表_4[[#This Row],[序號]]/2, ROUNDUP(韻母表_4[[#This Row],[序號]]/2,0))</f>
        <v>18</v>
      </c>
      <c r="C37" s="55" t="s">
        <v>275</v>
      </c>
      <c r="D37" s="56" t="s">
        <v>97</v>
      </c>
      <c r="E37" s="86" t="s">
        <v>1343</v>
      </c>
      <c r="F37" s="86"/>
      <c r="G37" s="57" t="s">
        <v>193</v>
      </c>
      <c r="H37" s="57" t="s">
        <v>193</v>
      </c>
      <c r="I37" s="57" t="s">
        <v>193</v>
      </c>
      <c r="J37" s="57" t="s">
        <v>193</v>
      </c>
      <c r="K37" s="57" t="s">
        <v>193</v>
      </c>
      <c r="L37" s="57" t="s">
        <v>1136</v>
      </c>
      <c r="M37" s="57" t="s">
        <v>1137</v>
      </c>
      <c r="R37" t="b">
        <f>IF(韻母表_4[[#This Row],[台羅拼音]]="", FALSE, ISNUMBER(FIND(RIGHT(韻母表_4[[#This Row],[台羅拼音]],1), "ptkh")))</f>
        <v>1</v>
      </c>
      <c r="S37" s="41" t="str">
        <f>IF(OR(韻母表_4[[#This Row],[台羅拼音]]="", R37=TRUE), "", LEN(韻母表_4[[#This Row],[台羅拼音]]))</f>
        <v/>
      </c>
      <c r="T37" s="41" t="str">
        <f ca="1" xml:space="preserve"> IF(OR(韻母表_4[[#This Row],[台羅拼音]]="", $R37=TRUE), "", _xlfn.CONCAT("    ", "- xform/", 韻母表_4[[#This Row],[台羅拼音]], "([48?])/", OFFSET(韻母表_4[[#This Row],[台羅拼音]],1,0), "$1", "/    # ", LEFT(韻母表_4[[#This Row],[十五音]],1)))</f>
        <v/>
      </c>
      <c r="U37" s="41" t="str">
        <f ca="1" xml:space="preserve"> IF(OR(韻母表_4[[#This Row],[台羅拼音]]="", R37=TRUE), "", _xlfn.CONCAT("    ", "- xform/", 韻母表_4[[#This Row],[台羅拼音]], "([48])/", OFFSET(韻母表_4[[#This Row],[台羅拼音]],1,0), "$1", "/    # ", LEFT(韻母表_4[[#This Row],[十五音]],1)))</f>
        <v/>
      </c>
      <c r="W37" s="41" t="s">
        <v>1079</v>
      </c>
    </row>
    <row r="38" spans="1:23" ht="44.25">
      <c r="A38" s="54">
        <v>37</v>
      </c>
      <c r="B38" s="54">
        <f xml:space="preserve"> IF(MOD(韻母表_4[[#This Row],[序號]],2)=0, 韻母表_4[[#This Row],[序號]]/2, ROUNDUP(韻母表_4[[#This Row],[序號]]/2,0))</f>
        <v>19</v>
      </c>
      <c r="C38" s="55" t="s">
        <v>276</v>
      </c>
      <c r="D38" s="56" t="s">
        <v>98</v>
      </c>
      <c r="E38" s="86" t="s">
        <v>194</v>
      </c>
      <c r="F38" s="86"/>
      <c r="G38" s="57" t="s">
        <v>194</v>
      </c>
      <c r="H38" s="57" t="s">
        <v>194</v>
      </c>
      <c r="I38" s="57" t="s">
        <v>194</v>
      </c>
      <c r="J38" s="57" t="s">
        <v>194</v>
      </c>
      <c r="K38" s="57" t="s">
        <v>194</v>
      </c>
      <c r="L38" s="57" t="s">
        <v>1138</v>
      </c>
      <c r="M38" s="57" t="s">
        <v>1139</v>
      </c>
      <c r="R38" t="b">
        <f>IF(韻母表_4[[#This Row],[台羅拼音]]="", FALSE, ISNUMBER(FIND(RIGHT(韻母表_4[[#This Row],[台羅拼音]],1), "ptkh")))</f>
        <v>0</v>
      </c>
      <c r="S38" s="41">
        <f>IF(OR(韻母表_4[[#This Row],[台羅拼音]]="", R38=TRUE), "", LEN(韻母表_4[[#This Row],[台羅拼音]]))</f>
        <v>2</v>
      </c>
      <c r="T38" s="41" t="str">
        <f ca="1" xml:space="preserve"> IF(OR(韻母表_4[[#This Row],[台羅拼音]]="", $R38=TRUE), "", _xlfn.CONCAT("    ", "- xform/", 韻母表_4[[#This Row],[台羅拼音]], "([48?])/", OFFSET(韻母表_4[[#This Row],[台羅拼音]],1,0), "$1", "/    # ", LEFT(韻母表_4[[#This Row],[十五音]],1)))</f>
        <v xml:space="preserve">    - xform/am([48?])/ap$1/    # 甘</v>
      </c>
      <c r="U38" s="41" t="str">
        <f ca="1" xml:space="preserve"> IF(OR(韻母表_4[[#This Row],[台羅拼音]]="", R38=TRUE), "", _xlfn.CONCAT("    ", "- xform/", 韻母表_4[[#This Row],[台羅拼音]], "([48])/", OFFSET(韻母表_4[[#This Row],[台羅拼音]],1,0), "$1", "/    # ", LEFT(韻母表_4[[#This Row],[十五音]],1)))</f>
        <v xml:space="preserve">    - xform/am([48])/ap$1/    # 甘</v>
      </c>
      <c r="W38" s="41" t="s">
        <v>1424</v>
      </c>
    </row>
    <row r="39" spans="1:23" ht="44.25">
      <c r="A39" s="54">
        <v>38</v>
      </c>
      <c r="B39" s="54">
        <f xml:space="preserve"> IF(MOD(韻母表_4[[#This Row],[序號]],2)=0, 韻母表_4[[#This Row],[序號]]/2, ROUNDUP(韻母表_4[[#This Row],[序號]]/2,0))</f>
        <v>19</v>
      </c>
      <c r="C39" s="55" t="s">
        <v>277</v>
      </c>
      <c r="D39" s="56" t="s">
        <v>99</v>
      </c>
      <c r="E39" s="86" t="s">
        <v>1140</v>
      </c>
      <c r="F39" s="86"/>
      <c r="G39" s="57" t="s">
        <v>195</v>
      </c>
      <c r="H39" s="57" t="s">
        <v>195</v>
      </c>
      <c r="I39" s="57" t="s">
        <v>195</v>
      </c>
      <c r="J39" s="57" t="s">
        <v>195</v>
      </c>
      <c r="K39" s="57" t="s">
        <v>195</v>
      </c>
      <c r="L39" s="57" t="s">
        <v>1141</v>
      </c>
      <c r="M39" s="57" t="s">
        <v>1142</v>
      </c>
      <c r="R39" t="b">
        <f>IF(韻母表_4[[#This Row],[台羅拼音]]="", FALSE, ISNUMBER(FIND(RIGHT(韻母表_4[[#This Row],[台羅拼音]],1), "ptkh")))</f>
        <v>1</v>
      </c>
      <c r="S39" s="41" t="str">
        <f>IF(OR(韻母表_4[[#This Row],[台羅拼音]]="", R39=TRUE), "", LEN(韻母表_4[[#This Row],[台羅拼音]]))</f>
        <v/>
      </c>
      <c r="T39" s="41" t="str">
        <f ca="1" xml:space="preserve"> IF(OR(韻母表_4[[#This Row],[台羅拼音]]="", $R39=TRUE), "", _xlfn.CONCAT("    ", "- xform/", 韻母表_4[[#This Row],[台羅拼音]], "([48?])/", OFFSET(韻母表_4[[#This Row],[台羅拼音]],1,0), "$1", "/    # ", LEFT(韻母表_4[[#This Row],[十五音]],1)))</f>
        <v/>
      </c>
      <c r="U39" s="41" t="str">
        <f ca="1" xml:space="preserve"> IF(OR(韻母表_4[[#This Row],[台羅拼音]]="", R39=TRUE), "", _xlfn.CONCAT("    ", "- xform/", 韻母表_4[[#This Row],[台羅拼音]], "([48])/", OFFSET(韻母表_4[[#This Row],[台羅拼音]],1,0), "$1", "/    # ", LEFT(韻母表_4[[#This Row],[十五音]],1)))</f>
        <v/>
      </c>
      <c r="W39" s="41" t="s">
        <v>1079</v>
      </c>
    </row>
    <row r="40" spans="1:23" ht="44.25">
      <c r="A40" s="54">
        <v>39</v>
      </c>
      <c r="B40" s="54">
        <f xml:space="preserve"> IF(MOD(韻母表_4[[#This Row],[序號]],2)=0, 韻母表_4[[#This Row],[序號]]/2, ROUNDUP(韻母表_4[[#This Row],[序號]]/2,0))</f>
        <v>20</v>
      </c>
      <c r="C40" s="55" t="s">
        <v>278</v>
      </c>
      <c r="D40" s="56" t="s">
        <v>100</v>
      </c>
      <c r="E40" s="86" t="s">
        <v>196</v>
      </c>
      <c r="F40" s="86"/>
      <c r="G40" s="57" t="s">
        <v>196</v>
      </c>
      <c r="H40" s="57" t="s">
        <v>196</v>
      </c>
      <c r="I40" s="57" t="s">
        <v>1143</v>
      </c>
      <c r="J40" s="57" t="s">
        <v>196</v>
      </c>
      <c r="K40" s="57" t="s">
        <v>196</v>
      </c>
      <c r="L40" s="57" t="s">
        <v>1144</v>
      </c>
      <c r="M40" s="57" t="s">
        <v>1144</v>
      </c>
      <c r="R40" t="b">
        <f>IF(韻母表_4[[#This Row],[台羅拼音]]="", FALSE, ISNUMBER(FIND(RIGHT(韻母表_4[[#This Row],[台羅拼音]],1), "ptkh")))</f>
        <v>0</v>
      </c>
      <c r="S40" s="41">
        <f>IF(OR(韻母表_4[[#This Row],[台羅拼音]]="", R40=TRUE), "", LEN(韻母表_4[[#This Row],[台羅拼音]]))</f>
        <v>2</v>
      </c>
      <c r="T40" s="41" t="str">
        <f ca="1" xml:space="preserve"> IF(OR(韻母表_4[[#This Row],[台羅拼音]]="", $R40=TRUE), "", _xlfn.CONCAT("    ", "- xform/", 韻母表_4[[#This Row],[台羅拼音]], "([48?])/", OFFSET(韻母表_4[[#This Row],[台羅拼音]],1,0), "$1", "/    # ", LEFT(韻母表_4[[#This Row],[十五音]],1)))</f>
        <v xml:space="preserve">    - xform/ua([48?])/uah$1/    # 瓜</v>
      </c>
      <c r="U40" s="41" t="str">
        <f ca="1" xml:space="preserve"> IF(OR(韻母表_4[[#This Row],[台羅拼音]]="", R40=TRUE), "", _xlfn.CONCAT("    ", "- xform/", 韻母表_4[[#This Row],[台羅拼音]], "([48])/", OFFSET(韻母表_4[[#This Row],[台羅拼音]],1,0), "$1", "/    # ", LEFT(韻母表_4[[#This Row],[十五音]],1)))</f>
        <v xml:space="preserve">    - xform/ua([48])/uah$1/    # 瓜</v>
      </c>
      <c r="W40" s="41" t="s">
        <v>1425</v>
      </c>
    </row>
    <row r="41" spans="1:23" ht="44.25">
      <c r="A41" s="54">
        <v>40</v>
      </c>
      <c r="B41" s="54">
        <f xml:space="preserve"> IF(MOD(韻母表_4[[#This Row],[序號]],2)=0, 韻母表_4[[#This Row],[序號]]/2, ROUNDUP(韻母表_4[[#This Row],[序號]]/2,0))</f>
        <v>20</v>
      </c>
      <c r="C41" s="55" t="s">
        <v>279</v>
      </c>
      <c r="D41" s="56" t="s">
        <v>101</v>
      </c>
      <c r="E41" s="86" t="s">
        <v>1145</v>
      </c>
      <c r="F41" s="86"/>
      <c r="G41" s="57" t="s">
        <v>197</v>
      </c>
      <c r="H41" s="57" t="s">
        <v>197</v>
      </c>
      <c r="I41" s="57" t="s">
        <v>1146</v>
      </c>
      <c r="J41" s="57" t="s">
        <v>197</v>
      </c>
      <c r="K41" s="57" t="s">
        <v>197</v>
      </c>
      <c r="L41" s="57" t="s">
        <v>1147</v>
      </c>
      <c r="M41" s="57" t="s">
        <v>1148</v>
      </c>
      <c r="R41" t="b">
        <f>IF(韻母表_4[[#This Row],[台羅拼音]]="", FALSE, ISNUMBER(FIND(RIGHT(韻母表_4[[#This Row],[台羅拼音]],1), "ptkh")))</f>
        <v>1</v>
      </c>
      <c r="S41" s="41" t="str">
        <f>IF(OR(韻母表_4[[#This Row],[台羅拼音]]="", R41=TRUE), "", LEN(韻母表_4[[#This Row],[台羅拼音]]))</f>
        <v/>
      </c>
      <c r="T41" s="41" t="str">
        <f ca="1" xml:space="preserve"> IF(OR(韻母表_4[[#This Row],[台羅拼音]]="", $R41=TRUE), "", _xlfn.CONCAT("    ", "- xform/", 韻母表_4[[#This Row],[台羅拼音]], "([48?])/", OFFSET(韻母表_4[[#This Row],[台羅拼音]],1,0), "$1", "/    # ", LEFT(韻母表_4[[#This Row],[十五音]],1)))</f>
        <v/>
      </c>
      <c r="U41" s="41" t="str">
        <f ca="1" xml:space="preserve"> IF(OR(韻母表_4[[#This Row],[台羅拼音]]="", R41=TRUE), "", _xlfn.CONCAT("    ", "- xform/", 韻母表_4[[#This Row],[台羅拼音]], "([48])/", OFFSET(韻母表_4[[#This Row],[台羅拼音]],1,0), "$1", "/    # ", LEFT(韻母表_4[[#This Row],[十五音]],1)))</f>
        <v/>
      </c>
      <c r="W41" s="41" t="s">
        <v>1079</v>
      </c>
    </row>
    <row r="42" spans="1:23" ht="44.25">
      <c r="A42" s="54">
        <v>41</v>
      </c>
      <c r="B42" s="54">
        <f xml:space="preserve"> IF(MOD(韻母表_4[[#This Row],[序號]],2)=0, 韻母表_4[[#This Row],[序號]]/2, ROUNDUP(韻母表_4[[#This Row],[序號]]/2,0))</f>
        <v>21</v>
      </c>
      <c r="C42" s="55" t="s">
        <v>280</v>
      </c>
      <c r="D42" s="56" t="s">
        <v>102</v>
      </c>
      <c r="E42" s="86" t="s">
        <v>1344</v>
      </c>
      <c r="F42" s="86"/>
      <c r="G42" s="57" t="s">
        <v>198</v>
      </c>
      <c r="H42" s="57" t="s">
        <v>198</v>
      </c>
      <c r="I42" s="57" t="s">
        <v>198</v>
      </c>
      <c r="J42" s="57" t="s">
        <v>198</v>
      </c>
      <c r="K42" s="57" t="s">
        <v>198</v>
      </c>
      <c r="L42" s="57" t="s">
        <v>1149</v>
      </c>
      <c r="M42" s="57" t="s">
        <v>1149</v>
      </c>
      <c r="R42" t="b">
        <f>IF(韻母表_4[[#This Row],[台羅拼音]]="", FALSE, ISNUMBER(FIND(RIGHT(韻母表_4[[#This Row],[台羅拼音]],1), "ptkh")))</f>
        <v>0</v>
      </c>
      <c r="S42" s="41">
        <f>IF(OR(韻母表_4[[#This Row],[台羅拼音]]="", R42=TRUE), "", LEN(韻母表_4[[#This Row],[台羅拼音]]))</f>
        <v>3</v>
      </c>
      <c r="T42" s="41" t="str">
        <f ca="1" xml:space="preserve"> IF(OR(韻母表_4[[#This Row],[台羅拼音]]="", $R42=TRUE), "", _xlfn.CONCAT("    ", "- xform/", 韻母表_4[[#This Row],[台羅拼音]], "([48?])/", OFFSET(韻母表_4[[#This Row],[台羅拼音]],1,0), "$1", "/    # ", LEFT(韻母表_4[[#This Row],[十五音]],1)))</f>
        <v xml:space="preserve">    - xform/ang([48?])/ak$1/    # 江</v>
      </c>
      <c r="U42" s="41" t="str">
        <f ca="1" xml:space="preserve"> IF(OR(韻母表_4[[#This Row],[台羅拼音]]="", R42=TRUE), "", _xlfn.CONCAT("    ", "- xform/", 韻母表_4[[#This Row],[台羅拼音]], "([48])/", OFFSET(韻母表_4[[#This Row],[台羅拼音]],1,0), "$1", "/    # ", LEFT(韻母表_4[[#This Row],[十五音]],1)))</f>
        <v xml:space="preserve">    - xform/ang([48])/ak$1/    # 江</v>
      </c>
      <c r="W42" s="41" t="s">
        <v>1426</v>
      </c>
    </row>
    <row r="43" spans="1:23" ht="44.25">
      <c r="A43" s="54">
        <v>42</v>
      </c>
      <c r="B43" s="54">
        <f xml:space="preserve"> IF(MOD(韻母表_4[[#This Row],[序號]],2)=0, 韻母表_4[[#This Row],[序號]]/2, ROUNDUP(韻母表_4[[#This Row],[序號]]/2,0))</f>
        <v>21</v>
      </c>
      <c r="C43" s="55" t="s">
        <v>281</v>
      </c>
      <c r="D43" s="56" t="s">
        <v>103</v>
      </c>
      <c r="E43" s="86" t="s">
        <v>1150</v>
      </c>
      <c r="F43" s="86"/>
      <c r="G43" s="57" t="s">
        <v>199</v>
      </c>
      <c r="H43" s="57" t="s">
        <v>199</v>
      </c>
      <c r="I43" s="57" t="s">
        <v>199</v>
      </c>
      <c r="J43" s="57" t="s">
        <v>199</v>
      </c>
      <c r="K43" s="57" t="s">
        <v>199</v>
      </c>
      <c r="L43" s="57" t="s">
        <v>1151</v>
      </c>
      <c r="M43" s="57" t="s">
        <v>1152</v>
      </c>
      <c r="R43" t="b">
        <f>IF(韻母表_4[[#This Row],[台羅拼音]]="", FALSE, ISNUMBER(FIND(RIGHT(韻母表_4[[#This Row],[台羅拼音]],1), "ptkh")))</f>
        <v>1</v>
      </c>
      <c r="S43" s="41" t="str">
        <f>IF(OR(韻母表_4[[#This Row],[台羅拼音]]="", R43=TRUE), "", LEN(韻母表_4[[#This Row],[台羅拼音]]))</f>
        <v/>
      </c>
      <c r="T43" s="41" t="str">
        <f ca="1" xml:space="preserve"> IF(OR(韻母表_4[[#This Row],[台羅拼音]]="", $R43=TRUE), "", _xlfn.CONCAT("    ", "- xform/", 韻母表_4[[#This Row],[台羅拼音]], "([48?])/", OFFSET(韻母表_4[[#This Row],[台羅拼音]],1,0), "$1", "/    # ", LEFT(韻母表_4[[#This Row],[十五音]],1)))</f>
        <v/>
      </c>
      <c r="U43" s="41" t="str">
        <f ca="1" xml:space="preserve"> IF(OR(韻母表_4[[#This Row],[台羅拼音]]="", R43=TRUE), "", _xlfn.CONCAT("    ", "- xform/", 韻母表_4[[#This Row],[台羅拼音]], "([48])/", OFFSET(韻母表_4[[#This Row],[台羅拼音]],1,0), "$1", "/    # ", LEFT(韻母表_4[[#This Row],[十五音]],1)))</f>
        <v/>
      </c>
      <c r="W43" s="41" t="s">
        <v>1079</v>
      </c>
    </row>
    <row r="44" spans="1:23" ht="44.25">
      <c r="A44" s="54">
        <v>43</v>
      </c>
      <c r="B44" s="54">
        <f xml:space="preserve"> IF(MOD(韻母表_4[[#This Row],[序號]],2)=0, 韻母表_4[[#This Row],[序號]]/2, ROUNDUP(韻母表_4[[#This Row],[序號]]/2,0))</f>
        <v>22</v>
      </c>
      <c r="C44" s="55" t="s">
        <v>282</v>
      </c>
      <c r="D44" s="56" t="s">
        <v>104</v>
      </c>
      <c r="E44" s="86" t="s">
        <v>1345</v>
      </c>
      <c r="F44" s="86"/>
      <c r="G44" s="57" t="s">
        <v>200</v>
      </c>
      <c r="H44" s="57" t="s">
        <v>200</v>
      </c>
      <c r="I44" s="57" t="s">
        <v>200</v>
      </c>
      <c r="J44" s="57" t="s">
        <v>200</v>
      </c>
      <c r="K44" s="57" t="s">
        <v>200</v>
      </c>
      <c r="L44" s="57" t="s">
        <v>1153</v>
      </c>
      <c r="M44" s="57" t="s">
        <v>1154</v>
      </c>
      <c r="R44" t="b">
        <f>IF(韻母表_4[[#This Row],[台羅拼音]]="", FALSE, ISNUMBER(FIND(RIGHT(韻母表_4[[#This Row],[台羅拼音]],1), "ptkh")))</f>
        <v>0</v>
      </c>
      <c r="S44" s="41">
        <f>IF(OR(韻母表_4[[#This Row],[台羅拼音]]="", R44=TRUE), "", LEN(韻母表_4[[#This Row],[台羅拼音]]))</f>
        <v>3</v>
      </c>
      <c r="T44" s="41" t="str">
        <f ca="1" xml:space="preserve"> IF(OR(韻母表_4[[#This Row],[台羅拼音]]="", $R44=TRUE), "", _xlfn.CONCAT("    ", "- xform/", 韻母表_4[[#This Row],[台羅拼音]], "([48?])/", OFFSET(韻母表_4[[#This Row],[台羅拼音]],1,0), "$1", "/    # ", LEFT(韻母表_4[[#This Row],[十五音]],1)))</f>
        <v xml:space="preserve">    - xform/iam([48?])/iap$1/    # 兼</v>
      </c>
      <c r="U44" s="41" t="str">
        <f ca="1" xml:space="preserve"> IF(OR(韻母表_4[[#This Row],[台羅拼音]]="", R44=TRUE), "", _xlfn.CONCAT("    ", "- xform/", 韻母表_4[[#This Row],[台羅拼音]], "([48])/", OFFSET(韻母表_4[[#This Row],[台羅拼音]],1,0), "$1", "/    # ", LEFT(韻母表_4[[#This Row],[十五音]],1)))</f>
        <v xml:space="preserve">    - xform/iam([48])/iap$1/    # 兼</v>
      </c>
      <c r="W44" s="41" t="s">
        <v>1427</v>
      </c>
    </row>
    <row r="45" spans="1:23" ht="44.25">
      <c r="A45" s="54">
        <v>44</v>
      </c>
      <c r="B45" s="54">
        <f xml:space="preserve"> IF(MOD(韻母表_4[[#This Row],[序號]],2)=0, 韻母表_4[[#This Row],[序號]]/2, ROUNDUP(韻母表_4[[#This Row],[序號]]/2,0))</f>
        <v>22</v>
      </c>
      <c r="C45" s="55" t="s">
        <v>283</v>
      </c>
      <c r="D45" s="56" t="s">
        <v>105</v>
      </c>
      <c r="E45" s="86" t="s">
        <v>1346</v>
      </c>
      <c r="F45" s="86"/>
      <c r="G45" s="57" t="s">
        <v>201</v>
      </c>
      <c r="H45" s="57" t="s">
        <v>201</v>
      </c>
      <c r="I45" s="57" t="s">
        <v>201</v>
      </c>
      <c r="J45" s="57" t="s">
        <v>201</v>
      </c>
      <c r="K45" s="57" t="s">
        <v>201</v>
      </c>
      <c r="L45" s="57" t="s">
        <v>1155</v>
      </c>
      <c r="M45" s="57" t="s">
        <v>1156</v>
      </c>
      <c r="R45" t="b">
        <f>IF(韻母表_4[[#This Row],[台羅拼音]]="", FALSE, ISNUMBER(FIND(RIGHT(韻母表_4[[#This Row],[台羅拼音]],1), "ptkh")))</f>
        <v>1</v>
      </c>
      <c r="S45" s="41" t="str">
        <f>IF(OR(韻母表_4[[#This Row],[台羅拼音]]="", R45=TRUE), "", LEN(韻母表_4[[#This Row],[台羅拼音]]))</f>
        <v/>
      </c>
      <c r="T45" s="41" t="str">
        <f ca="1" xml:space="preserve"> IF(OR(韻母表_4[[#This Row],[台羅拼音]]="", $R45=TRUE), "", _xlfn.CONCAT("    ", "- xform/", 韻母表_4[[#This Row],[台羅拼音]], "([48?])/", OFFSET(韻母表_4[[#This Row],[台羅拼音]],1,0), "$1", "/    # ", LEFT(韻母表_4[[#This Row],[十五音]],1)))</f>
        <v/>
      </c>
      <c r="U45" s="41" t="str">
        <f ca="1" xml:space="preserve"> IF(OR(韻母表_4[[#This Row],[台羅拼音]]="", R45=TRUE), "", _xlfn.CONCAT("    ", "- xform/", 韻母表_4[[#This Row],[台羅拼音]], "([48])/", OFFSET(韻母表_4[[#This Row],[台羅拼音]],1,0), "$1", "/    # ", LEFT(韻母表_4[[#This Row],[十五音]],1)))</f>
        <v/>
      </c>
      <c r="W45" s="41" t="s">
        <v>1079</v>
      </c>
    </row>
    <row r="46" spans="1:23" ht="44.25">
      <c r="A46" s="54">
        <v>45</v>
      </c>
      <c r="B46" s="54">
        <f xml:space="preserve"> IF(MOD(韻母表_4[[#This Row],[序號]],2)=0, 韻母表_4[[#This Row],[序號]]/2, ROUNDUP(韻母表_4[[#This Row],[序號]]/2,0))</f>
        <v>23</v>
      </c>
      <c r="C46" s="55" t="s">
        <v>284</v>
      </c>
      <c r="D46" s="56" t="s">
        <v>106</v>
      </c>
      <c r="E46" s="86" t="s">
        <v>1347</v>
      </c>
      <c r="F46" s="86"/>
      <c r="G46" s="57" t="s">
        <v>202</v>
      </c>
      <c r="H46" s="57" t="s">
        <v>202</v>
      </c>
      <c r="I46" s="57" t="s">
        <v>202</v>
      </c>
      <c r="J46" s="57" t="s">
        <v>1157</v>
      </c>
      <c r="K46" s="57" t="s">
        <v>202</v>
      </c>
      <c r="L46" s="57" t="s">
        <v>1158</v>
      </c>
      <c r="M46" s="57" t="s">
        <v>1158</v>
      </c>
      <c r="R46" t="b">
        <f>IF(韻母表_4[[#This Row],[台羅拼音]]="", FALSE, ISNUMBER(FIND(RIGHT(韻母表_4[[#This Row],[台羅拼音]],1), "ptkh")))</f>
        <v>0</v>
      </c>
      <c r="S46" s="41">
        <f>IF(OR(韻母表_4[[#This Row],[台羅拼音]]="", R46=TRUE), "", LEN(韻母表_4[[#This Row],[台羅拼音]]))</f>
        <v>2</v>
      </c>
      <c r="T46" s="41" t="str">
        <f ca="1" xml:space="preserve"> IF(OR(韻母表_4[[#This Row],[台羅拼音]]="", $R46=TRUE), "", _xlfn.CONCAT("    ", "- xform/", 韻母表_4[[#This Row],[台羅拼音]], "([48?])/", OFFSET(韻母表_4[[#This Row],[台羅拼音]],1,0), "$1", "/    # ", LEFT(韻母表_4[[#This Row],[十五音]],1)))</f>
        <v xml:space="preserve">    - xform/au([48?])/auh$1/    # 交</v>
      </c>
      <c r="U46" s="41" t="str">
        <f ca="1" xml:space="preserve"> IF(OR(韻母表_4[[#This Row],[台羅拼音]]="", R46=TRUE), "", _xlfn.CONCAT("    ", "- xform/", 韻母表_4[[#This Row],[台羅拼音]], "([48])/", OFFSET(韻母表_4[[#This Row],[台羅拼音]],1,0), "$1", "/    # ", LEFT(韻母表_4[[#This Row],[十五音]],1)))</f>
        <v xml:space="preserve">    - xform/au([48])/auh$1/    # 交</v>
      </c>
      <c r="W46" s="41" t="s">
        <v>1428</v>
      </c>
    </row>
    <row r="47" spans="1:23" ht="44.25">
      <c r="A47" s="54">
        <v>46</v>
      </c>
      <c r="B47" s="54">
        <f xml:space="preserve"> IF(MOD(韻母表_4[[#This Row],[序號]],2)=0, 韻母表_4[[#This Row],[序號]]/2, ROUNDUP(韻母表_4[[#This Row],[序號]]/2,0))</f>
        <v>23</v>
      </c>
      <c r="C47" s="55" t="s">
        <v>285</v>
      </c>
      <c r="D47" s="56" t="s">
        <v>107</v>
      </c>
      <c r="E47" s="86" t="s">
        <v>1159</v>
      </c>
      <c r="F47" s="86"/>
      <c r="G47" s="57" t="s">
        <v>203</v>
      </c>
      <c r="H47" s="57" t="s">
        <v>203</v>
      </c>
      <c r="I47" s="57" t="s">
        <v>203</v>
      </c>
      <c r="J47" s="57" t="s">
        <v>1160</v>
      </c>
      <c r="K47" s="57" t="s">
        <v>203</v>
      </c>
      <c r="L47" s="57" t="s">
        <v>1161</v>
      </c>
      <c r="M47" s="57" t="s">
        <v>1162</v>
      </c>
      <c r="R47" t="b">
        <f>IF(韻母表_4[[#This Row],[台羅拼音]]="", FALSE, ISNUMBER(FIND(RIGHT(韻母表_4[[#This Row],[台羅拼音]],1), "ptkh")))</f>
        <v>1</v>
      </c>
      <c r="S47" s="41" t="str">
        <f>IF(OR(韻母表_4[[#This Row],[台羅拼音]]="", R47=TRUE), "", LEN(韻母表_4[[#This Row],[台羅拼音]]))</f>
        <v/>
      </c>
      <c r="T47" s="41" t="str">
        <f ca="1" xml:space="preserve"> IF(OR(韻母表_4[[#This Row],[台羅拼音]]="", $R47=TRUE), "", _xlfn.CONCAT("    ", "- xform/", 韻母表_4[[#This Row],[台羅拼音]], "([48?])/", OFFSET(韻母表_4[[#This Row],[台羅拼音]],1,0), "$1", "/    # ", LEFT(韻母表_4[[#This Row],[十五音]],1)))</f>
        <v/>
      </c>
      <c r="U47" s="41" t="str">
        <f ca="1" xml:space="preserve"> IF(OR(韻母表_4[[#This Row],[台羅拼音]]="", R47=TRUE), "", _xlfn.CONCAT("    ", "- xform/", 韻母表_4[[#This Row],[台羅拼音]], "([48])/", OFFSET(韻母表_4[[#This Row],[台羅拼音]],1,0), "$1", "/    # ", LEFT(韻母表_4[[#This Row],[十五音]],1)))</f>
        <v/>
      </c>
      <c r="W47" s="41" t="s">
        <v>1079</v>
      </c>
    </row>
    <row r="48" spans="1:23" ht="44.25">
      <c r="A48" s="54">
        <v>47</v>
      </c>
      <c r="B48" s="54">
        <f xml:space="preserve"> IF(MOD(韻母表_4[[#This Row],[序號]],2)=0, 韻母表_4[[#This Row],[序號]]/2, ROUNDUP(韻母表_4[[#This Row],[序號]]/2,0))</f>
        <v>24</v>
      </c>
      <c r="C48" s="55" t="s">
        <v>286</v>
      </c>
      <c r="D48" s="56" t="s">
        <v>108</v>
      </c>
      <c r="E48" s="86" t="s">
        <v>1348</v>
      </c>
      <c r="F48" s="86"/>
      <c r="G48" s="57" t="s">
        <v>204</v>
      </c>
      <c r="H48" s="57" t="s">
        <v>204</v>
      </c>
      <c r="I48" s="57" t="s">
        <v>204</v>
      </c>
      <c r="J48" s="57" t="s">
        <v>204</v>
      </c>
      <c r="K48" s="57" t="s">
        <v>204</v>
      </c>
      <c r="L48" s="57" t="s">
        <v>1163</v>
      </c>
      <c r="M48" s="57" t="s">
        <v>1163</v>
      </c>
      <c r="R48" t="b">
        <f>IF(韻母表_4[[#This Row],[台羅拼音]]="", FALSE, ISNUMBER(FIND(RIGHT(韻母表_4[[#This Row],[台羅拼音]],1), "ptkh")))</f>
        <v>0</v>
      </c>
      <c r="S48" s="41">
        <f>IF(OR(韻母表_4[[#This Row],[台羅拼音]]="", R48=TRUE), "", LEN(韻母表_4[[#This Row],[台羅拼音]]))</f>
        <v>2</v>
      </c>
      <c r="T48" s="41" t="str">
        <f ca="1" xml:space="preserve"> IF(OR(韻母表_4[[#This Row],[台羅拼音]]="", $R48=TRUE), "", _xlfn.CONCAT("    ", "- xform/", 韻母表_4[[#This Row],[台羅拼音]], "([48?])/", OFFSET(韻母表_4[[#This Row],[台羅拼音]],1,0), "$1", "/    # ", LEFT(韻母表_4[[#This Row],[十五音]],1)))</f>
        <v xml:space="preserve">    - xform/ia([48?])/iah$1/    # 迦</v>
      </c>
      <c r="U48" s="41" t="str">
        <f ca="1" xml:space="preserve"> IF(OR(韻母表_4[[#This Row],[台羅拼音]]="", R48=TRUE), "", _xlfn.CONCAT("    ", "- xform/", 韻母表_4[[#This Row],[台羅拼音]], "([48])/", OFFSET(韻母表_4[[#This Row],[台羅拼音]],1,0), "$1", "/    # ", LEFT(韻母表_4[[#This Row],[十五音]],1)))</f>
        <v xml:space="preserve">    - xform/ia([48])/iah$1/    # 迦</v>
      </c>
      <c r="W48" s="41" t="s">
        <v>1429</v>
      </c>
    </row>
    <row r="49" spans="1:23" ht="44.25">
      <c r="A49" s="54">
        <v>48</v>
      </c>
      <c r="B49" s="54">
        <f xml:space="preserve"> IF(MOD(韻母表_4[[#This Row],[序號]],2)=0, 韻母表_4[[#This Row],[序號]]/2, ROUNDUP(韻母表_4[[#This Row],[序號]]/2,0))</f>
        <v>24</v>
      </c>
      <c r="C49" s="55" t="s">
        <v>287</v>
      </c>
      <c r="D49" s="56" t="s">
        <v>109</v>
      </c>
      <c r="E49" s="86" t="s">
        <v>1349</v>
      </c>
      <c r="F49" s="86"/>
      <c r="G49" s="57" t="s">
        <v>205</v>
      </c>
      <c r="H49" s="57" t="s">
        <v>205</v>
      </c>
      <c r="I49" s="57" t="s">
        <v>205</v>
      </c>
      <c r="J49" s="57" t="s">
        <v>205</v>
      </c>
      <c r="K49" s="57" t="s">
        <v>205</v>
      </c>
      <c r="L49" s="57" t="s">
        <v>1164</v>
      </c>
      <c r="M49" s="57" t="s">
        <v>1165</v>
      </c>
      <c r="R49" t="b">
        <f>IF(韻母表_4[[#This Row],[台羅拼音]]="", FALSE, ISNUMBER(FIND(RIGHT(韻母表_4[[#This Row],[台羅拼音]],1), "ptkh")))</f>
        <v>1</v>
      </c>
      <c r="S49" s="41" t="str">
        <f>IF(OR(韻母表_4[[#This Row],[台羅拼音]]="", R49=TRUE), "", LEN(韻母表_4[[#This Row],[台羅拼音]]))</f>
        <v/>
      </c>
      <c r="T49" s="41" t="str">
        <f ca="1" xml:space="preserve"> IF(OR(韻母表_4[[#This Row],[台羅拼音]]="", $R49=TRUE), "", _xlfn.CONCAT("    ", "- xform/", 韻母表_4[[#This Row],[台羅拼音]], "([48?])/", OFFSET(韻母表_4[[#This Row],[台羅拼音]],1,0), "$1", "/    # ", LEFT(韻母表_4[[#This Row],[十五音]],1)))</f>
        <v/>
      </c>
      <c r="U49" s="41" t="str">
        <f ca="1" xml:space="preserve"> IF(OR(韻母表_4[[#This Row],[台羅拼音]]="", R49=TRUE), "", _xlfn.CONCAT("    ", "- xform/", 韻母表_4[[#This Row],[台羅拼音]], "([48])/", OFFSET(韻母表_4[[#This Row],[台羅拼音]],1,0), "$1", "/    # ", LEFT(韻母表_4[[#This Row],[十五音]],1)))</f>
        <v/>
      </c>
      <c r="W49" s="41" t="s">
        <v>1079</v>
      </c>
    </row>
    <row r="50" spans="1:23" ht="44.25">
      <c r="A50" s="54">
        <v>49</v>
      </c>
      <c r="B50" s="54">
        <f xml:space="preserve"> IF(MOD(韻母表_4[[#This Row],[序號]],2)=0, 韻母表_4[[#This Row],[序號]]/2, ROUNDUP(韻母表_4[[#This Row],[序號]]/2,0))</f>
        <v>25</v>
      </c>
      <c r="C50" s="55" t="s">
        <v>288</v>
      </c>
      <c r="D50" s="56" t="s">
        <v>110</v>
      </c>
      <c r="E50" s="86" t="s">
        <v>1380</v>
      </c>
      <c r="F50" s="86" t="s">
        <v>1326</v>
      </c>
      <c r="G50" s="57" t="s">
        <v>206</v>
      </c>
      <c r="H50" s="57" t="s">
        <v>206</v>
      </c>
      <c r="I50" s="57" t="s">
        <v>1166</v>
      </c>
      <c r="J50" s="57" t="s">
        <v>206</v>
      </c>
      <c r="K50" s="57" t="s">
        <v>206</v>
      </c>
      <c r="L50" s="57" t="s">
        <v>1167</v>
      </c>
      <c r="M50" s="57" t="s">
        <v>1168</v>
      </c>
      <c r="R50" t="b">
        <f>IF(韻母表_4[[#This Row],[台羅拼音]]="", FALSE, ISNUMBER(FIND(RIGHT(韻母表_4[[#This Row],[台羅拼音]],1), "ptkh")))</f>
        <v>0</v>
      </c>
      <c r="S50" s="41">
        <f>IF(OR(韻母表_4[[#This Row],[台羅拼音]]="", R50=TRUE), "", LEN(韻母表_4[[#This Row],[台羅拼音]]))</f>
        <v>2</v>
      </c>
      <c r="T50" s="41" t="str">
        <f ca="1" xml:space="preserve"> IF(OR(韻母表_4[[#This Row],[台羅拼音]]="", $R50=TRUE), "", _xlfn.CONCAT("    ", "- xform/", 韻母表_4[[#This Row],[台羅拼音]], "([48?])/", OFFSET(韻母表_4[[#This Row],[台羅拼音]],1,0), "$1", "/    # ", LEFT(韻母表_4[[#This Row],[十五音]],1)))</f>
        <v xml:space="preserve">    - xform/ue([48?])/ueh$1/    # 檜</v>
      </c>
      <c r="U50" s="41" t="str">
        <f ca="1" xml:space="preserve"> IF(OR(韻母表_4[[#This Row],[台羅拼音]]="", R50=TRUE), "", _xlfn.CONCAT("    ", "- xform/", 韻母表_4[[#This Row],[台羅拼音]], "([48])/", OFFSET(韻母表_4[[#This Row],[台羅拼音]],1,0), "$1", "/    # ", LEFT(韻母表_4[[#This Row],[十五音]],1)))</f>
        <v xml:space="preserve">    - xform/ue([48])/ueh$1/    # 檜</v>
      </c>
      <c r="W50" s="41" t="s">
        <v>1430</v>
      </c>
    </row>
    <row r="51" spans="1:23" ht="44.25">
      <c r="A51" s="54">
        <v>50</v>
      </c>
      <c r="B51" s="54">
        <f xml:space="preserve"> IF(MOD(韻母表_4[[#This Row],[序號]],2)=0, 韻母表_4[[#This Row],[序號]]/2, ROUNDUP(韻母表_4[[#This Row],[序號]]/2,0))</f>
        <v>25</v>
      </c>
      <c r="C51" s="55" t="s">
        <v>289</v>
      </c>
      <c r="D51" s="56" t="s">
        <v>111</v>
      </c>
      <c r="E51" s="86" t="s">
        <v>1381</v>
      </c>
      <c r="F51" s="86" t="s">
        <v>1379</v>
      </c>
      <c r="G51" s="57" t="s">
        <v>207</v>
      </c>
      <c r="H51" s="57" t="s">
        <v>207</v>
      </c>
      <c r="I51" s="57" t="s">
        <v>1169</v>
      </c>
      <c r="J51" s="57" t="s">
        <v>207</v>
      </c>
      <c r="K51" s="57" t="s">
        <v>207</v>
      </c>
      <c r="L51" s="57" t="s">
        <v>1170</v>
      </c>
      <c r="M51" s="57" t="s">
        <v>1171</v>
      </c>
      <c r="R51" t="b">
        <f>IF(韻母表_4[[#This Row],[台羅拼音]]="", FALSE, ISNUMBER(FIND(RIGHT(韻母表_4[[#This Row],[台羅拼音]],1), "ptkh")))</f>
        <v>1</v>
      </c>
      <c r="S51" s="41" t="str">
        <f>IF(OR(韻母表_4[[#This Row],[台羅拼音]]="", R51=TRUE), "", LEN(韻母表_4[[#This Row],[台羅拼音]]))</f>
        <v/>
      </c>
      <c r="T51" s="41" t="str">
        <f ca="1" xml:space="preserve"> IF(OR(韻母表_4[[#This Row],[台羅拼音]]="", $R51=TRUE), "", _xlfn.CONCAT("    ", "- xform/", 韻母表_4[[#This Row],[台羅拼音]], "([48?])/", OFFSET(韻母表_4[[#This Row],[台羅拼音]],1,0), "$1", "/    # ", LEFT(韻母表_4[[#This Row],[十五音]],1)))</f>
        <v/>
      </c>
      <c r="U51" s="41" t="str">
        <f ca="1" xml:space="preserve"> IF(OR(韻母表_4[[#This Row],[台羅拼音]]="", R51=TRUE), "", _xlfn.CONCAT("    ", "- xform/", 韻母表_4[[#This Row],[台羅拼音]], "([48])/", OFFSET(韻母表_4[[#This Row],[台羅拼音]],1,0), "$1", "/    # ", LEFT(韻母表_4[[#This Row],[十五音]],1)))</f>
        <v/>
      </c>
      <c r="W51" s="41" t="s">
        <v>1079</v>
      </c>
    </row>
    <row r="52" spans="1:23" ht="44.25">
      <c r="A52" s="54">
        <v>51</v>
      </c>
      <c r="B52" s="54">
        <f xml:space="preserve"> IF(MOD(韻母表_4[[#This Row],[序號]],2)=0, 韻母表_4[[#This Row],[序號]]/2, ROUNDUP(韻母表_4[[#This Row],[序號]]/2,0))</f>
        <v>26</v>
      </c>
      <c r="C52" s="55" t="s">
        <v>290</v>
      </c>
      <c r="D52" s="56" t="s">
        <v>112</v>
      </c>
      <c r="E52" s="86" t="s">
        <v>1172</v>
      </c>
      <c r="F52" s="86"/>
      <c r="G52" s="57" t="s">
        <v>208</v>
      </c>
      <c r="H52" s="57" t="s">
        <v>208</v>
      </c>
      <c r="I52" s="57" t="s">
        <v>1173</v>
      </c>
      <c r="J52" s="57" t="s">
        <v>335</v>
      </c>
      <c r="K52" s="57" t="s">
        <v>208</v>
      </c>
      <c r="L52" s="57" t="s">
        <v>1174</v>
      </c>
      <c r="M52" s="57" t="s">
        <v>1175</v>
      </c>
      <c r="R52" t="b">
        <f>IF(韻母表_4[[#This Row],[台羅拼音]]="", FALSE, ISNUMBER(FIND(RIGHT(韻母表_4[[#This Row],[台羅拼音]],1), "ptkh")))</f>
        <v>0</v>
      </c>
      <c r="S52" s="41">
        <f>IF(OR(韻母表_4[[#This Row],[台羅拼音]]="", R52=TRUE), "", LEN(韻母表_4[[#This Row],[台羅拼音]]))</f>
        <v>3</v>
      </c>
      <c r="T52" s="41" t="str">
        <f ca="1" xml:space="preserve"> IF(OR(韻母表_4[[#This Row],[台羅拼音]]="", $R52=TRUE), "", _xlfn.CONCAT("    ", "- xform/", 韻母表_4[[#This Row],[台羅拼音]], "([48?])/", OFFSET(韻母表_4[[#This Row],[台羅拼音]],1,0), "$1", "/    # ", LEFT(韻母表_4[[#This Row],[十五音]],1)))</f>
        <v xml:space="preserve">    - xform/ann([48?])/annh$1/    # 監</v>
      </c>
      <c r="U52" s="41" t="str">
        <f ca="1" xml:space="preserve"> IF(OR(韻母表_4[[#This Row],[台羅拼音]]="", R52=TRUE), "", _xlfn.CONCAT("    ", "- xform/", 韻母表_4[[#This Row],[台羅拼音]], "([48])/", OFFSET(韻母表_4[[#This Row],[台羅拼音]],1,0), "$1", "/    # ", LEFT(韻母表_4[[#This Row],[十五音]],1)))</f>
        <v xml:space="preserve">    - xform/ann([48])/annh$1/    # 監</v>
      </c>
      <c r="W52" s="41" t="s">
        <v>1431</v>
      </c>
    </row>
    <row r="53" spans="1:23" ht="44.25">
      <c r="A53" s="54">
        <v>52</v>
      </c>
      <c r="B53" s="54">
        <f xml:space="preserve"> IF(MOD(韻母表_4[[#This Row],[序號]],2)=0, 韻母表_4[[#This Row],[序號]]/2, ROUNDUP(韻母表_4[[#This Row],[序號]]/2,0))</f>
        <v>26</v>
      </c>
      <c r="C53" s="64" t="s">
        <v>291</v>
      </c>
      <c r="D53" s="56" t="s">
        <v>113</v>
      </c>
      <c r="E53" s="86" t="s">
        <v>1176</v>
      </c>
      <c r="F53" s="86"/>
      <c r="G53" s="57" t="s">
        <v>209</v>
      </c>
      <c r="H53" s="57" t="s">
        <v>209</v>
      </c>
      <c r="I53" s="57" t="s">
        <v>1177</v>
      </c>
      <c r="J53" s="57" t="s">
        <v>349</v>
      </c>
      <c r="K53" s="57" t="s">
        <v>209</v>
      </c>
      <c r="L53" s="57" t="s">
        <v>1178</v>
      </c>
      <c r="M53" s="57" t="s">
        <v>1179</v>
      </c>
      <c r="R53" t="b">
        <f>IF(韻母表_4[[#This Row],[台羅拼音]]="", FALSE, ISNUMBER(FIND(RIGHT(韻母表_4[[#This Row],[台羅拼音]],1), "ptkh")))</f>
        <v>1</v>
      </c>
      <c r="S53" s="41" t="str">
        <f>IF(OR(韻母表_4[[#This Row],[台羅拼音]]="", R53=TRUE), "", LEN(韻母表_4[[#This Row],[台羅拼音]]))</f>
        <v/>
      </c>
      <c r="T53" s="41" t="str">
        <f ca="1" xml:space="preserve"> IF(OR(韻母表_4[[#This Row],[台羅拼音]]="", $R53=TRUE), "", _xlfn.CONCAT("    ", "- xform/", 韻母表_4[[#This Row],[台羅拼音]], "([48?])/", OFFSET(韻母表_4[[#This Row],[台羅拼音]],1,0), "$1", "/    # ", LEFT(韻母表_4[[#This Row],[十五音]],1)))</f>
        <v/>
      </c>
      <c r="U53" s="41" t="str">
        <f ca="1" xml:space="preserve"> IF(OR(韻母表_4[[#This Row],[台羅拼音]]="", R53=TRUE), "", _xlfn.CONCAT("    ", "- xform/", 韻母表_4[[#This Row],[台羅拼音]], "([48])/", OFFSET(韻母表_4[[#This Row],[台羅拼音]],1,0), "$1", "/    # ", LEFT(韻母表_4[[#This Row],[十五音]],1)))</f>
        <v/>
      </c>
      <c r="W53" s="41" t="s">
        <v>1079</v>
      </c>
    </row>
    <row r="54" spans="1:23" ht="44.25">
      <c r="A54" s="54">
        <v>53</v>
      </c>
      <c r="B54" s="54">
        <f xml:space="preserve"> IF(MOD(韻母表_4[[#This Row],[序號]],2)=0, 韻母表_4[[#This Row],[序號]]/2, ROUNDUP(韻母表_4[[#This Row],[序號]]/2,0))</f>
        <v>27</v>
      </c>
      <c r="C54" s="55" t="s">
        <v>292</v>
      </c>
      <c r="D54" s="56" t="s">
        <v>114</v>
      </c>
      <c r="E54" s="86" t="s">
        <v>210</v>
      </c>
      <c r="F54" s="86"/>
      <c r="G54" s="57" t="s">
        <v>210</v>
      </c>
      <c r="H54" s="57" t="s">
        <v>210</v>
      </c>
      <c r="I54" s="57" t="s">
        <v>210</v>
      </c>
      <c r="J54" s="57" t="s">
        <v>210</v>
      </c>
      <c r="K54" s="57" t="s">
        <v>210</v>
      </c>
      <c r="L54" s="57" t="s">
        <v>1180</v>
      </c>
      <c r="M54" s="57" t="s">
        <v>1180</v>
      </c>
      <c r="R54" t="b">
        <f>IF(韻母表_4[[#This Row],[台羅拼音]]="", FALSE, ISNUMBER(FIND(RIGHT(韻母表_4[[#This Row],[台羅拼音]],1), "ptkh")))</f>
        <v>0</v>
      </c>
      <c r="S54" s="41">
        <f>IF(OR(韻母表_4[[#This Row],[台羅拼音]]="", R54=TRUE), "", LEN(韻母表_4[[#This Row],[台羅拼音]]))</f>
        <v>1</v>
      </c>
      <c r="T54" s="41" t="str">
        <f ca="1" xml:space="preserve"> IF(OR(韻母表_4[[#This Row],[台羅拼音]]="", $R54=TRUE), "", _xlfn.CONCAT("    ", "- xform/", 韻母表_4[[#This Row],[台羅拼音]], "([48?])/", OFFSET(韻母表_4[[#This Row],[台羅拼音]],1,0), "$1", "/    # ", LEFT(韻母表_4[[#This Row],[十五音]],1)))</f>
        <v xml:space="preserve">    - xform/u([48?])/uh$1/    # 艍</v>
      </c>
      <c r="U54" s="41" t="str">
        <f ca="1" xml:space="preserve"> IF(OR(韻母表_4[[#This Row],[台羅拼音]]="", R54=TRUE), "", _xlfn.CONCAT("    ", "- xform/", 韻母表_4[[#This Row],[台羅拼音]], "([48])/", OFFSET(韻母表_4[[#This Row],[台羅拼音]],1,0), "$1", "/    # ", LEFT(韻母表_4[[#This Row],[十五音]],1)))</f>
        <v xml:space="preserve">    - xform/u([48])/uh$1/    # 艍</v>
      </c>
      <c r="W54" s="41" t="s">
        <v>1432</v>
      </c>
    </row>
    <row r="55" spans="1:23" ht="44.25">
      <c r="A55" s="54">
        <v>54</v>
      </c>
      <c r="B55" s="54">
        <f xml:space="preserve"> IF(MOD(韻母表_4[[#This Row],[序號]],2)=0, 韻母表_4[[#This Row],[序號]]/2, ROUNDUP(韻母表_4[[#This Row],[序號]]/2,0))</f>
        <v>27</v>
      </c>
      <c r="C55" s="55" t="s">
        <v>293</v>
      </c>
      <c r="D55" s="56" t="s">
        <v>115</v>
      </c>
      <c r="E55" s="86" t="s">
        <v>1181</v>
      </c>
      <c r="F55" s="86"/>
      <c r="G55" s="57" t="s">
        <v>211</v>
      </c>
      <c r="H55" s="57" t="s">
        <v>211</v>
      </c>
      <c r="I55" s="57" t="s">
        <v>211</v>
      </c>
      <c r="J55" s="57" t="s">
        <v>211</v>
      </c>
      <c r="K55" s="57" t="s">
        <v>211</v>
      </c>
      <c r="L55" s="57" t="s">
        <v>1182</v>
      </c>
      <c r="M55" s="57" t="s">
        <v>1183</v>
      </c>
      <c r="R55" t="b">
        <f>IF(韻母表_4[[#This Row],[台羅拼音]]="", FALSE, ISNUMBER(FIND(RIGHT(韻母表_4[[#This Row],[台羅拼音]],1), "ptkh")))</f>
        <v>1</v>
      </c>
      <c r="S55" s="41" t="str">
        <f>IF(OR(韻母表_4[[#This Row],[台羅拼音]]="", R55=TRUE), "", LEN(韻母表_4[[#This Row],[台羅拼音]]))</f>
        <v/>
      </c>
      <c r="T55" s="41" t="str">
        <f ca="1" xml:space="preserve"> IF(OR(韻母表_4[[#This Row],[台羅拼音]]="", $R55=TRUE), "", _xlfn.CONCAT("    ", "- xform/", 韻母表_4[[#This Row],[台羅拼音]], "([48?])/", OFFSET(韻母表_4[[#This Row],[台羅拼音]],1,0), "$1", "/    # ", LEFT(韻母表_4[[#This Row],[十五音]],1)))</f>
        <v/>
      </c>
      <c r="U55" s="41" t="str">
        <f ca="1" xml:space="preserve"> IF(OR(韻母表_4[[#This Row],[台羅拼音]]="", R55=TRUE), "", _xlfn.CONCAT("    ", "- xform/", 韻母表_4[[#This Row],[台羅拼音]], "([48])/", OFFSET(韻母表_4[[#This Row],[台羅拼音]],1,0), "$1", "/    # ", LEFT(韻母表_4[[#This Row],[十五音]],1)))</f>
        <v/>
      </c>
      <c r="W55" s="41" t="s">
        <v>1079</v>
      </c>
    </row>
    <row r="56" spans="1:23" ht="44.25">
      <c r="A56" s="54">
        <v>55</v>
      </c>
      <c r="B56" s="54">
        <f xml:space="preserve"> IF(MOD(韻母表_4[[#This Row],[序號]],2)=0, 韻母表_4[[#This Row],[序號]]/2, ROUNDUP(韻母表_4[[#This Row],[序號]]/2,0))</f>
        <v>28</v>
      </c>
      <c r="C56" s="55" t="s">
        <v>294</v>
      </c>
      <c r="D56" s="56" t="s">
        <v>116</v>
      </c>
      <c r="E56" s="86" t="s">
        <v>212</v>
      </c>
      <c r="F56" s="86"/>
      <c r="G56" s="57" t="s">
        <v>212</v>
      </c>
      <c r="H56" s="57" t="s">
        <v>212</v>
      </c>
      <c r="I56" s="57" t="s">
        <v>212</v>
      </c>
      <c r="J56" s="57" t="s">
        <v>212</v>
      </c>
      <c r="K56" s="57" t="s">
        <v>212</v>
      </c>
      <c r="L56" s="57" t="s">
        <v>1184</v>
      </c>
      <c r="M56" s="57" t="s">
        <v>1184</v>
      </c>
      <c r="R56" t="b">
        <f>IF(韻母表_4[[#This Row],[台羅拼音]]="", FALSE, ISNUMBER(FIND(RIGHT(韻母表_4[[#This Row],[台羅拼音]],1), "ptkh")))</f>
        <v>0</v>
      </c>
      <c r="S56" s="41">
        <f>IF(OR(韻母表_4[[#This Row],[台羅拼音]]="", R56=TRUE), "", LEN(韻母表_4[[#This Row],[台羅拼音]]))</f>
        <v>1</v>
      </c>
      <c r="T56" s="41" t="str">
        <f ca="1" xml:space="preserve"> IF(OR(韻母表_4[[#This Row],[台羅拼音]]="", $R56=TRUE), "", _xlfn.CONCAT("    ", "- xform/", 韻母表_4[[#This Row],[台羅拼音]], "([48?])/", OFFSET(韻母表_4[[#This Row],[台羅拼音]],1,0), "$1", "/    # ", LEFT(韻母表_4[[#This Row],[十五音]],1)))</f>
        <v xml:space="preserve">    - xform/a([48?])/ah$1/    # 膠</v>
      </c>
      <c r="U56" s="41" t="str">
        <f ca="1" xml:space="preserve"> IF(OR(韻母表_4[[#This Row],[台羅拼音]]="", R56=TRUE), "", _xlfn.CONCAT("    ", "- xform/", 韻母表_4[[#This Row],[台羅拼音]], "([48])/", OFFSET(韻母表_4[[#This Row],[台羅拼音]],1,0), "$1", "/    # ", LEFT(韻母表_4[[#This Row],[十五音]],1)))</f>
        <v xml:space="preserve">    - xform/a([48])/ah$1/    # 膠</v>
      </c>
      <c r="W56" s="41" t="s">
        <v>1433</v>
      </c>
    </row>
    <row r="57" spans="1:23" ht="44.25">
      <c r="A57" s="54">
        <v>56</v>
      </c>
      <c r="B57" s="54">
        <f xml:space="preserve"> IF(MOD(韻母表_4[[#This Row],[序號]],2)=0, 韻母表_4[[#This Row],[序號]]/2, ROUNDUP(韻母表_4[[#This Row],[序號]]/2,0))</f>
        <v>28</v>
      </c>
      <c r="C57" s="55" t="s">
        <v>295</v>
      </c>
      <c r="D57" s="56" t="s">
        <v>117</v>
      </c>
      <c r="E57" s="86" t="s">
        <v>1185</v>
      </c>
      <c r="F57" s="86"/>
      <c r="G57" s="57" t="s">
        <v>213</v>
      </c>
      <c r="H57" s="57" t="s">
        <v>213</v>
      </c>
      <c r="I57" s="57" t="s">
        <v>213</v>
      </c>
      <c r="J57" s="57" t="s">
        <v>213</v>
      </c>
      <c r="K57" s="57" t="s">
        <v>213</v>
      </c>
      <c r="L57" s="57" t="s">
        <v>1186</v>
      </c>
      <c r="M57" s="57" t="s">
        <v>1187</v>
      </c>
      <c r="R57" t="b">
        <f>IF(韻母表_4[[#This Row],[台羅拼音]]="", FALSE, ISNUMBER(FIND(RIGHT(韻母表_4[[#This Row],[台羅拼音]],1), "ptkh")))</f>
        <v>1</v>
      </c>
      <c r="S57" s="41" t="str">
        <f>IF(OR(韻母表_4[[#This Row],[台羅拼音]]="", R57=TRUE), "", LEN(韻母表_4[[#This Row],[台羅拼音]]))</f>
        <v/>
      </c>
      <c r="T57" s="41" t="str">
        <f ca="1" xml:space="preserve"> IF(OR(韻母表_4[[#This Row],[台羅拼音]]="", $R57=TRUE), "", _xlfn.CONCAT("    ", "- xform/", 韻母表_4[[#This Row],[台羅拼音]], "([48?])/", OFFSET(韻母表_4[[#This Row],[台羅拼音]],1,0), "$1", "/    # ", LEFT(韻母表_4[[#This Row],[十五音]],1)))</f>
        <v/>
      </c>
      <c r="U57" s="41" t="str">
        <f ca="1" xml:space="preserve"> IF(OR(韻母表_4[[#This Row],[台羅拼音]]="", R57=TRUE), "", _xlfn.CONCAT("    ", "- xform/", 韻母表_4[[#This Row],[台羅拼音]], "([48])/", OFFSET(韻母表_4[[#This Row],[台羅拼音]],1,0), "$1", "/    # ", LEFT(韻母表_4[[#This Row],[十五音]],1)))</f>
        <v/>
      </c>
      <c r="W57" s="41" t="s">
        <v>1079</v>
      </c>
    </row>
    <row r="58" spans="1:23" ht="44.25">
      <c r="A58" s="54">
        <v>57</v>
      </c>
      <c r="B58" s="54">
        <f xml:space="preserve"> IF(MOD(韻母表_4[[#This Row],[序號]],2)=0, 韻母表_4[[#This Row],[序號]]/2, ROUNDUP(韻母表_4[[#This Row],[序號]]/2,0))</f>
        <v>29</v>
      </c>
      <c r="C58" s="55" t="s">
        <v>246</v>
      </c>
      <c r="D58" s="56" t="s">
        <v>118</v>
      </c>
      <c r="E58" s="86" t="s">
        <v>214</v>
      </c>
      <c r="F58" s="86"/>
      <c r="G58" s="57" t="s">
        <v>214</v>
      </c>
      <c r="H58" s="57" t="s">
        <v>214</v>
      </c>
      <c r="I58" s="57" t="s">
        <v>214</v>
      </c>
      <c r="J58" s="57" t="s">
        <v>214</v>
      </c>
      <c r="K58" s="57" t="s">
        <v>214</v>
      </c>
      <c r="L58" s="57" t="s">
        <v>1188</v>
      </c>
      <c r="M58" s="57" t="s">
        <v>1188</v>
      </c>
      <c r="R58" t="b">
        <f>IF(韻母表_4[[#This Row],[台羅拼音]]="", FALSE, ISNUMBER(FIND(RIGHT(韻母表_4[[#This Row],[台羅拼音]],1), "ptkh")))</f>
        <v>0</v>
      </c>
      <c r="S58" s="41">
        <f>IF(OR(韻母表_4[[#This Row],[台羅拼音]]="", R58=TRUE), "", LEN(韻母表_4[[#This Row],[台羅拼音]]))</f>
        <v>1</v>
      </c>
      <c r="T58" s="41" t="str">
        <f ca="1" xml:space="preserve"> IF(OR(韻母表_4[[#This Row],[台羅拼音]]="", $R58=TRUE), "", _xlfn.CONCAT("    ", "- xform/", 韻母表_4[[#This Row],[台羅拼音]], "([48?])/", OFFSET(韻母表_4[[#This Row],[台羅拼音]],1,0), "$1", "/    # ", LEFT(韻母表_4[[#This Row],[十五音]],1)))</f>
        <v xml:space="preserve">    - xform/i([48?])/ih$1/    # 居</v>
      </c>
      <c r="U58" s="41" t="str">
        <f ca="1" xml:space="preserve"> IF(OR(韻母表_4[[#This Row],[台羅拼音]]="", R58=TRUE), "", _xlfn.CONCAT("    ", "- xform/", 韻母表_4[[#This Row],[台羅拼音]], "([48])/", OFFSET(韻母表_4[[#This Row],[台羅拼音]],1,0), "$1", "/    # ", LEFT(韻母表_4[[#This Row],[十五音]],1)))</f>
        <v xml:space="preserve">    - xform/i([48])/ih$1/    # 居</v>
      </c>
      <c r="W58" s="41" t="s">
        <v>1434</v>
      </c>
    </row>
    <row r="59" spans="1:23" ht="44.25">
      <c r="A59" s="54">
        <v>58</v>
      </c>
      <c r="B59" s="54">
        <f xml:space="preserve"> IF(MOD(韻母表_4[[#This Row],[序號]],2)=0, 韻母表_4[[#This Row],[序號]]/2, ROUNDUP(韻母表_4[[#This Row],[序號]]/2,0))</f>
        <v>29</v>
      </c>
      <c r="C59" s="55" t="s">
        <v>296</v>
      </c>
      <c r="D59" s="56" t="s">
        <v>119</v>
      </c>
      <c r="E59" s="86" t="s">
        <v>1189</v>
      </c>
      <c r="F59" s="86"/>
      <c r="G59" s="57" t="s">
        <v>215</v>
      </c>
      <c r="H59" s="57" t="s">
        <v>215</v>
      </c>
      <c r="I59" s="57" t="s">
        <v>215</v>
      </c>
      <c r="J59" s="57" t="s">
        <v>215</v>
      </c>
      <c r="K59" s="57" t="s">
        <v>215</v>
      </c>
      <c r="L59" s="57" t="s">
        <v>1190</v>
      </c>
      <c r="M59" s="57" t="s">
        <v>1191</v>
      </c>
      <c r="R59" t="b">
        <f>IF(韻母表_4[[#This Row],[台羅拼音]]="", FALSE, ISNUMBER(FIND(RIGHT(韻母表_4[[#This Row],[台羅拼音]],1), "ptkh")))</f>
        <v>1</v>
      </c>
      <c r="S59" s="41" t="str">
        <f>IF(OR(韻母表_4[[#This Row],[台羅拼音]]="", R59=TRUE), "", LEN(韻母表_4[[#This Row],[台羅拼音]]))</f>
        <v/>
      </c>
      <c r="T59" s="41" t="str">
        <f ca="1" xml:space="preserve"> IF(OR(韻母表_4[[#This Row],[台羅拼音]]="", $R59=TRUE), "", _xlfn.CONCAT("    ", "- xform/", 韻母表_4[[#This Row],[台羅拼音]], "([48?])/", OFFSET(韻母表_4[[#This Row],[台羅拼音]],1,0), "$1", "/    # ", LEFT(韻母表_4[[#This Row],[十五音]],1)))</f>
        <v/>
      </c>
      <c r="U59" s="41" t="str">
        <f ca="1" xml:space="preserve"> IF(OR(韻母表_4[[#This Row],[台羅拼音]]="", R59=TRUE), "", _xlfn.CONCAT("    ", "- xform/", 韻母表_4[[#This Row],[台羅拼音]], "([48])/", OFFSET(韻母表_4[[#This Row],[台羅拼音]],1,0), "$1", "/    # ", LEFT(韻母表_4[[#This Row],[十五音]],1)))</f>
        <v/>
      </c>
      <c r="W59" s="41" t="s">
        <v>1079</v>
      </c>
    </row>
    <row r="60" spans="1:23" ht="44.25">
      <c r="A60" s="54">
        <v>59</v>
      </c>
      <c r="B60" s="54">
        <f xml:space="preserve"> IF(MOD(韻母表_4[[#This Row],[序號]],2)=0, 韻母表_4[[#This Row],[序號]]/2, ROUNDUP(韻母表_4[[#This Row],[序號]]/2,0))</f>
        <v>30</v>
      </c>
      <c r="C60" s="55" t="s">
        <v>297</v>
      </c>
      <c r="D60" s="56" t="s">
        <v>120</v>
      </c>
      <c r="E60" s="86" t="s">
        <v>1350</v>
      </c>
      <c r="F60" s="86"/>
      <c r="G60" s="57" t="s">
        <v>216</v>
      </c>
      <c r="H60" s="57" t="s">
        <v>216</v>
      </c>
      <c r="I60" s="57" t="s">
        <v>216</v>
      </c>
      <c r="J60" s="57" t="s">
        <v>216</v>
      </c>
      <c r="K60" s="57" t="s">
        <v>216</v>
      </c>
      <c r="L60" s="57" t="s">
        <v>1192</v>
      </c>
      <c r="M60" s="57" t="s">
        <v>1192</v>
      </c>
      <c r="R60" t="b">
        <f>IF(韻母表_4[[#This Row],[台羅拼音]]="", FALSE, ISNUMBER(FIND(RIGHT(韻母表_4[[#This Row],[台羅拼音]],1), "ptkh")))</f>
        <v>0</v>
      </c>
      <c r="S60" s="41">
        <f>IF(OR(韻母表_4[[#This Row],[台羅拼音]]="", R60=TRUE), "", LEN(韻母表_4[[#This Row],[台羅拼音]]))</f>
        <v>2</v>
      </c>
      <c r="T60" s="41" t="str">
        <f ca="1" xml:space="preserve"> IF(OR(韻母表_4[[#This Row],[台羅拼音]]="", $R60=TRUE), "", _xlfn.CONCAT("    ", "- xform/", 韻母表_4[[#This Row],[台羅拼音]], "([48?])/", OFFSET(韻母表_4[[#This Row],[台羅拼音]],1,0), "$1", "/    # ", LEFT(韻母表_4[[#This Row],[十五音]],1)))</f>
        <v xml:space="preserve">    - xform/iu([48?])/$1/    # 丩</v>
      </c>
      <c r="U60" s="41" t="str">
        <f ca="1" xml:space="preserve"> IF(OR(韻母表_4[[#This Row],[台羅拼音]]="", R60=TRUE), "", _xlfn.CONCAT("    ", "- xform/", 韻母表_4[[#This Row],[台羅拼音]], "([48])/", OFFSET(韻母表_4[[#This Row],[台羅拼音]],1,0), "$1", "/    # ", LEFT(韻母表_4[[#This Row],[十五音]],1)))</f>
        <v xml:space="preserve">    - xform/iu([48])/$1/    # 丩</v>
      </c>
      <c r="W60" s="41" t="s">
        <v>1435</v>
      </c>
    </row>
    <row r="61" spans="1:23" ht="44.25">
      <c r="A61" s="54">
        <v>60</v>
      </c>
      <c r="B61" s="54">
        <f xml:space="preserve"> IF(MOD(韻母表_4[[#This Row],[序號]],2)=0, 韻母表_4[[#This Row],[序號]]/2, ROUNDUP(韻母表_4[[#This Row],[序號]]/2,0))</f>
        <v>30</v>
      </c>
      <c r="C61" s="62"/>
      <c r="D61" s="63"/>
      <c r="E61" s="86" t="s">
        <v>1079</v>
      </c>
      <c r="F61" s="86"/>
      <c r="G61" s="57" t="s">
        <v>1079</v>
      </c>
      <c r="H61" s="57" t="s">
        <v>1079</v>
      </c>
      <c r="I61" s="57" t="s">
        <v>1079</v>
      </c>
      <c r="J61" s="57" t="s">
        <v>1079</v>
      </c>
      <c r="K61" s="57" t="s">
        <v>1079</v>
      </c>
      <c r="L61" s="57" t="s">
        <v>1079</v>
      </c>
      <c r="M61" s="57" t="s">
        <v>1079</v>
      </c>
      <c r="R61" t="b">
        <f>IF(韻母表_4[[#This Row],[台羅拼音]]="", FALSE, ISNUMBER(FIND(RIGHT(韻母表_4[[#This Row],[台羅拼音]],1), "ptkh")))</f>
        <v>0</v>
      </c>
      <c r="S61" s="41" t="str">
        <f>IF(OR(韻母表_4[[#This Row],[台羅拼音]]="", R61=TRUE), "", LEN(韻母表_4[[#This Row],[台羅拼音]]))</f>
        <v/>
      </c>
      <c r="T61" s="41" t="str">
        <f ca="1" xml:space="preserve"> IF(OR(韻母表_4[[#This Row],[台羅拼音]]="", $R61=TRUE), "", _xlfn.CONCAT("    ", "- xform/", 韻母表_4[[#This Row],[台羅拼音]], "([48?])/", OFFSET(韻母表_4[[#This Row],[台羅拼音]],1,0), "$1", "/    # ", LEFT(韻母表_4[[#This Row],[十五音]],1)))</f>
        <v/>
      </c>
      <c r="U61" s="41" t="str">
        <f ca="1" xml:space="preserve"> IF(OR(韻母表_4[[#This Row],[台羅拼音]]="", R61=TRUE), "", _xlfn.CONCAT("    ", "- xform/", 韻母表_4[[#This Row],[台羅拼音]], "([48])/", OFFSET(韻母表_4[[#This Row],[台羅拼音]],1,0), "$1", "/    # ", LEFT(韻母表_4[[#This Row],[十五音]],1)))</f>
        <v/>
      </c>
      <c r="W61" s="41" t="s">
        <v>1436</v>
      </c>
    </row>
    <row r="62" spans="1:23" ht="44.25">
      <c r="A62" s="54">
        <v>61</v>
      </c>
      <c r="B62" s="54">
        <f xml:space="preserve"> IF(MOD(韻母表_4[[#This Row],[序號]],2)=0, 韻母表_4[[#This Row],[序號]]/2, ROUNDUP(韻母表_4[[#This Row],[序號]]/2,0))</f>
        <v>31</v>
      </c>
      <c r="C62" s="55" t="s">
        <v>298</v>
      </c>
      <c r="D62" s="56" t="s">
        <v>122</v>
      </c>
      <c r="E62" s="86" t="str">
        <f xml:space="preserve"> _xlfn.CONCAT("e", _xlfn.UNICHAR(HEX2DEC(RIGHT("U+0303",4))))</f>
        <v>ẽ</v>
      </c>
      <c r="F62" s="86" t="str">
        <f xml:space="preserve"> _xlfn.CONCAT("ɛ", _xlfn.UNICHAR(HEX2DEC(RIGHT("U+0303",4))))</f>
        <v>ɛ̃</v>
      </c>
      <c r="G62" s="57" t="s">
        <v>217</v>
      </c>
      <c r="H62" s="57" t="s">
        <v>217</v>
      </c>
      <c r="I62" s="57" t="s">
        <v>1193</v>
      </c>
      <c r="J62" s="57" t="s">
        <v>489</v>
      </c>
      <c r="K62" s="57" t="s">
        <v>217</v>
      </c>
      <c r="L62" s="57" t="s">
        <v>1194</v>
      </c>
      <c r="M62" s="57" t="s">
        <v>1195</v>
      </c>
      <c r="R62" t="b">
        <f>IF(韻母表_4[[#This Row],[台羅拼音]]="", FALSE, ISNUMBER(FIND(RIGHT(韻母表_4[[#This Row],[台羅拼音]],1), "ptkh")))</f>
        <v>0</v>
      </c>
      <c r="S62" s="41">
        <f>IF(OR(韻母表_4[[#This Row],[台羅拼音]]="", R62=TRUE), "", LEN(韻母表_4[[#This Row],[台羅拼音]]))</f>
        <v>3</v>
      </c>
      <c r="T62" s="41" t="str">
        <f ca="1" xml:space="preserve"> IF(OR(韻母表_4[[#This Row],[台羅拼音]]="", $R62=TRUE), "", _xlfn.CONCAT("    ", "- xform/", 韻母表_4[[#This Row],[台羅拼音]], "([48?])/", OFFSET(韻母表_4[[#This Row],[台羅拼音]],1,0), "$1", "/    # ", LEFT(韻母表_4[[#This Row],[十五音]],1)))</f>
        <v xml:space="preserve">    - xform/enn([48?])/ennh$1/    # 更</v>
      </c>
      <c r="U62" s="41" t="str">
        <f ca="1" xml:space="preserve"> IF(OR(韻母表_4[[#This Row],[台羅拼音]]="", R62=TRUE), "", _xlfn.CONCAT("    ", "- xform/", 韻母表_4[[#This Row],[台羅拼音]], "([48])/", OFFSET(韻母表_4[[#This Row],[台羅拼音]],1,0), "$1", "/    # ", LEFT(韻母表_4[[#This Row],[十五音]],1)))</f>
        <v xml:space="preserve">    - xform/enn([48])/ennh$1/    # 更</v>
      </c>
      <c r="W62" s="41" t="s">
        <v>1437</v>
      </c>
    </row>
    <row r="63" spans="1:23" ht="44.25">
      <c r="A63" s="54">
        <v>62</v>
      </c>
      <c r="B63" s="54">
        <f xml:space="preserve"> IF(MOD(韻母表_4[[#This Row],[序號]],2)=0, 韻母表_4[[#This Row],[序號]]/2, ROUNDUP(韻母表_4[[#This Row],[序號]]/2,0))</f>
        <v>31</v>
      </c>
      <c r="C63" s="55" t="s">
        <v>299</v>
      </c>
      <c r="D63" s="56" t="s">
        <v>123</v>
      </c>
      <c r="E63" s="86" t="str">
        <f xml:space="preserve"> _xlfn.CONCAT("e", _xlfn.UNICHAR(HEX2DEC(RIGHT("U+0294",4))))</f>
        <v>eʔ</v>
      </c>
      <c r="F63" s="86" t="str">
        <f xml:space="preserve"> _xlfn.CONCAT("ɛ", _xlfn.UNICHAR(HEX2DEC(RIGHT("U+0294",4))))</f>
        <v>ɛʔ</v>
      </c>
      <c r="G63" s="57" t="s">
        <v>218</v>
      </c>
      <c r="H63" s="57" t="s">
        <v>218</v>
      </c>
      <c r="I63" s="57" t="s">
        <v>1196</v>
      </c>
      <c r="J63" s="57" t="s">
        <v>218</v>
      </c>
      <c r="K63" s="57" t="s">
        <v>218</v>
      </c>
      <c r="L63" s="57" t="s">
        <v>1197</v>
      </c>
      <c r="M63" s="57" t="s">
        <v>1198</v>
      </c>
      <c r="R63" t="b">
        <f>IF(韻母表_4[[#This Row],[台羅拼音]]="", FALSE, ISNUMBER(FIND(RIGHT(韻母表_4[[#This Row],[台羅拼音]],1), "ptkh")))</f>
        <v>1</v>
      </c>
      <c r="S63" s="41" t="str">
        <f>IF(OR(韻母表_4[[#This Row],[台羅拼音]]="", R63=TRUE), "", LEN(韻母表_4[[#This Row],[台羅拼音]]))</f>
        <v/>
      </c>
      <c r="T63" s="41" t="str">
        <f ca="1" xml:space="preserve"> IF(OR(韻母表_4[[#This Row],[台羅拼音]]="", $R63=TRUE), "", _xlfn.CONCAT("    ", "- xform/", 韻母表_4[[#This Row],[台羅拼音]], "([48?])/", OFFSET(韻母表_4[[#This Row],[台羅拼音]],1,0), "$1", "/    # ", LEFT(韻母表_4[[#This Row],[十五音]],1)))</f>
        <v/>
      </c>
      <c r="U63" s="41" t="str">
        <f ca="1" xml:space="preserve"> IF(OR(韻母表_4[[#This Row],[台羅拼音]]="", R63=TRUE), "", _xlfn.CONCAT("    ", "- xform/", 韻母表_4[[#This Row],[台羅拼音]], "([48])/", OFFSET(韻母表_4[[#This Row],[台羅拼音]],1,0), "$1", "/    # ", LEFT(韻母表_4[[#This Row],[十五音]],1)))</f>
        <v/>
      </c>
      <c r="W63" s="41" t="s">
        <v>1079</v>
      </c>
    </row>
    <row r="64" spans="1:23" ht="44.25">
      <c r="A64" s="54">
        <v>63</v>
      </c>
      <c r="B64" s="54">
        <f xml:space="preserve"> IF(MOD(韻母表_4[[#This Row],[序號]],2)=0, 韻母表_4[[#This Row],[序號]]/2, ROUNDUP(韻母表_4[[#This Row],[序號]]/2,0))</f>
        <v>32</v>
      </c>
      <c r="C64" s="55" t="s">
        <v>1327</v>
      </c>
      <c r="D64" s="63" t="s">
        <v>124</v>
      </c>
      <c r="E64" s="86" t="s">
        <v>1199</v>
      </c>
      <c r="F64" s="86"/>
      <c r="G64" s="57" t="s">
        <v>219</v>
      </c>
      <c r="H64" s="57" t="s">
        <v>219</v>
      </c>
      <c r="I64" s="57" t="s">
        <v>1200</v>
      </c>
      <c r="J64" s="57" t="s">
        <v>1201</v>
      </c>
      <c r="K64" s="57" t="s">
        <v>219</v>
      </c>
      <c r="L64" s="57" t="s">
        <v>1202</v>
      </c>
      <c r="M64" s="57" t="s">
        <v>1203</v>
      </c>
      <c r="R64" t="b">
        <f>IF(韻母表_4[[#This Row],[台羅拼音]]="", FALSE, ISNUMBER(FIND(RIGHT(韻母表_4[[#This Row],[台羅拼音]],1), "ptkh")))</f>
        <v>0</v>
      </c>
      <c r="S64" s="41">
        <f>IF(OR(韻母表_4[[#This Row],[台羅拼音]]="", R64=TRUE), "", LEN(韻母表_4[[#This Row],[台羅拼音]]))</f>
        <v>4</v>
      </c>
      <c r="T64" s="41" t="str">
        <f ca="1" xml:space="preserve"> IF(OR(韻母表_4[[#This Row],[台羅拼音]]="", $R64=TRUE), "", _xlfn.CONCAT("    ", "- xform/", 韻母表_4[[#This Row],[台羅拼音]], "([48?])/", OFFSET(韻母表_4[[#This Row],[台羅拼音]],1,0), "$1", "/    # ", LEFT(韻母表_4[[#This Row],[十五音]],1)))</f>
        <v xml:space="preserve">    - xform/uinn([48?])/$1/    # 褌</v>
      </c>
      <c r="U64" s="41" t="str">
        <f ca="1" xml:space="preserve"> IF(OR(韻母表_4[[#This Row],[台羅拼音]]="", R64=TRUE), "", _xlfn.CONCAT("    ", "- xform/", 韻母表_4[[#This Row],[台羅拼音]], "([48])/", OFFSET(韻母表_4[[#This Row],[台羅拼音]],1,0), "$1", "/    # ", LEFT(韻母表_4[[#This Row],[十五音]],1)))</f>
        <v xml:space="preserve">    - xform/uinn([48])/$1/    # 褌</v>
      </c>
      <c r="W64" s="41" t="s">
        <v>1438</v>
      </c>
    </row>
    <row r="65" spans="1:23" ht="44.25">
      <c r="A65" s="54">
        <v>64</v>
      </c>
      <c r="B65" s="54">
        <f xml:space="preserve"> IF(MOD(韻母表_4[[#This Row],[序號]],2)=0, 韻母表_4[[#This Row],[序號]]/2, ROUNDUP(韻母表_4[[#This Row],[序號]]/2,0))</f>
        <v>32</v>
      </c>
      <c r="C65" s="62"/>
      <c r="D65" s="63"/>
      <c r="E65" s="86"/>
      <c r="F65" s="86"/>
      <c r="G65" s="57"/>
      <c r="H65" s="57"/>
      <c r="I65" s="57"/>
      <c r="J65" s="57"/>
      <c r="K65" s="57"/>
      <c r="L65" s="57"/>
      <c r="M65" s="57"/>
      <c r="R65" t="b">
        <f>IF(韻母表_4[[#This Row],[台羅拼音]]="", FALSE, ISNUMBER(FIND(RIGHT(韻母表_4[[#This Row],[台羅拼音]],1), "ptkh")))</f>
        <v>0</v>
      </c>
      <c r="S65" s="41" t="str">
        <f>IF(OR(韻母表_4[[#This Row],[台羅拼音]]="", R65=TRUE), "", LEN(韻母表_4[[#This Row],[台羅拼音]]))</f>
        <v/>
      </c>
      <c r="T65" s="41" t="str">
        <f ca="1" xml:space="preserve"> IF(OR(韻母表_4[[#This Row],[台羅拼音]]="", $R65=TRUE), "", _xlfn.CONCAT("    ", "- xform/", 韻母表_4[[#This Row],[台羅拼音]], "([48?])/", OFFSET(韻母表_4[[#This Row],[台羅拼音]],1,0), "$1", "/    # ", LEFT(韻母表_4[[#This Row],[十五音]],1)))</f>
        <v/>
      </c>
      <c r="U65" s="41" t="str">
        <f ca="1" xml:space="preserve"> IF(OR(韻母表_4[[#This Row],[台羅拼音]]="", R65=TRUE), "", _xlfn.CONCAT("    ", "- xform/", 韻母表_4[[#This Row],[台羅拼音]], "([48])/", OFFSET(韻母表_4[[#This Row],[台羅拼音]],1,0), "$1", "/    # ", LEFT(韻母表_4[[#This Row],[十五音]],1)))</f>
        <v/>
      </c>
      <c r="W65" s="41" t="s">
        <v>1439</v>
      </c>
    </row>
    <row r="66" spans="1:23" ht="44.25">
      <c r="A66" s="54">
        <v>65</v>
      </c>
      <c r="B66" s="54">
        <f xml:space="preserve"> IF(MOD(韻母表_4[[#This Row],[序號]],2)=0, 韻母表_4[[#This Row],[序號]]/2, ROUNDUP(韻母表_4[[#This Row],[序號]]/2,0))</f>
        <v>33</v>
      </c>
      <c r="C66" s="55" t="s">
        <v>300</v>
      </c>
      <c r="D66" s="56" t="s">
        <v>126</v>
      </c>
      <c r="E66" s="86" t="s">
        <v>1351</v>
      </c>
      <c r="F66" s="86"/>
      <c r="G66" s="57" t="s">
        <v>220</v>
      </c>
      <c r="H66" s="57" t="s">
        <v>220</v>
      </c>
      <c r="I66" s="57" t="s">
        <v>220</v>
      </c>
      <c r="J66" s="57" t="s">
        <v>220</v>
      </c>
      <c r="K66" s="57" t="s">
        <v>1204</v>
      </c>
      <c r="L66" s="57" t="s">
        <v>1205</v>
      </c>
      <c r="M66" s="57" t="s">
        <v>1205</v>
      </c>
      <c r="R66" t="b">
        <f>IF(韻母表_4[[#This Row],[台羅拼音]]="", FALSE, ISNUMBER(FIND(RIGHT(韻母表_4[[#This Row],[台羅拼音]],1), "ptkh")))</f>
        <v>0</v>
      </c>
      <c r="S66" s="41">
        <f>IF(OR(韻母表_4[[#This Row],[台羅拼音]]="", R66=TRUE), "", LEN(韻母表_4[[#This Row],[台羅拼音]]))</f>
        <v>2</v>
      </c>
      <c r="T66" s="41" t="str">
        <f ca="1" xml:space="preserve"> IF(OR(韻母表_4[[#This Row],[台羅拼音]]="", $R66=TRUE), "", _xlfn.CONCAT("    ", "- xform/", 韻母表_4[[#This Row],[台羅拼音]], "([48?])/", OFFSET(韻母表_4[[#This Row],[台羅拼音]],1,0), "$1", "/    # ", LEFT(韻母表_4[[#This Row],[十五音]],1)))</f>
        <v xml:space="preserve">    - xform/io([48?])/ioh$1/    # 茄</v>
      </c>
      <c r="U66" s="41" t="str">
        <f ca="1" xml:space="preserve"> IF(OR(韻母表_4[[#This Row],[台羅拼音]]="", R66=TRUE), "", _xlfn.CONCAT("    ", "- xform/", 韻母表_4[[#This Row],[台羅拼音]], "([48])/", OFFSET(韻母表_4[[#This Row],[台羅拼音]],1,0), "$1", "/    # ", LEFT(韻母表_4[[#This Row],[十五音]],1)))</f>
        <v xml:space="preserve">    - xform/io([48])/ioh$1/    # 茄</v>
      </c>
      <c r="W66" s="41" t="s">
        <v>1440</v>
      </c>
    </row>
    <row r="67" spans="1:23" ht="44.25">
      <c r="A67" s="54">
        <v>66</v>
      </c>
      <c r="B67" s="54">
        <f xml:space="preserve"> IF(MOD(韻母表_4[[#This Row],[序號]],2)=0, 韻母表_4[[#This Row],[序號]]/2, ROUNDUP(韻母表_4[[#This Row],[序號]]/2,0))</f>
        <v>33</v>
      </c>
      <c r="C67" s="55" t="s">
        <v>301</v>
      </c>
      <c r="D67" s="56" t="s">
        <v>127</v>
      </c>
      <c r="E67" s="86" t="s">
        <v>1352</v>
      </c>
      <c r="F67" s="86"/>
      <c r="G67" s="57" t="s">
        <v>221</v>
      </c>
      <c r="H67" s="57" t="s">
        <v>221</v>
      </c>
      <c r="I67" s="57" t="s">
        <v>221</v>
      </c>
      <c r="J67" s="57" t="s">
        <v>221</v>
      </c>
      <c r="K67" s="57" t="s">
        <v>1206</v>
      </c>
      <c r="L67" s="57" t="s">
        <v>1207</v>
      </c>
      <c r="M67" s="57" t="s">
        <v>1208</v>
      </c>
      <c r="R67" t="b">
        <f>IF(韻母表_4[[#This Row],[台羅拼音]]="", FALSE, ISNUMBER(FIND(RIGHT(韻母表_4[[#This Row],[台羅拼音]],1), "ptkh")))</f>
        <v>1</v>
      </c>
      <c r="S67" s="41" t="str">
        <f>IF(OR(韻母表_4[[#This Row],[台羅拼音]]="", R67=TRUE), "", LEN(韻母表_4[[#This Row],[台羅拼音]]))</f>
        <v/>
      </c>
      <c r="T67" s="41" t="str">
        <f ca="1" xml:space="preserve"> IF(OR(韻母表_4[[#This Row],[台羅拼音]]="", $R67=TRUE), "", _xlfn.CONCAT("    ", "- xform/", 韻母表_4[[#This Row],[台羅拼音]], "([48?])/", OFFSET(韻母表_4[[#This Row],[台羅拼音]],1,0), "$1", "/    # ", LEFT(韻母表_4[[#This Row],[十五音]],1)))</f>
        <v/>
      </c>
      <c r="U67" s="41" t="str">
        <f ca="1" xml:space="preserve"> IF(OR(韻母表_4[[#This Row],[台羅拼音]]="", R67=TRUE), "", _xlfn.CONCAT("    ", "- xform/", 韻母表_4[[#This Row],[台羅拼音]], "([48])/", OFFSET(韻母表_4[[#This Row],[台羅拼音]],1,0), "$1", "/    # ", LEFT(韻母表_4[[#This Row],[十五音]],1)))</f>
        <v/>
      </c>
      <c r="W67" s="41" t="s">
        <v>1079</v>
      </c>
    </row>
    <row r="68" spans="1:23" ht="44.25">
      <c r="A68" s="54">
        <v>67</v>
      </c>
      <c r="B68" s="54">
        <f xml:space="preserve"> IF(MOD(韻母表_4[[#This Row],[序號]],2)=0, 韻母表_4[[#This Row],[序號]]/2, ROUNDUP(韻母表_4[[#This Row],[序號]]/2,0))</f>
        <v>34</v>
      </c>
      <c r="C68" s="55" t="s">
        <v>302</v>
      </c>
      <c r="D68" s="56" t="s">
        <v>128</v>
      </c>
      <c r="E68" s="86" t="s">
        <v>1209</v>
      </c>
      <c r="F68" s="86"/>
      <c r="G68" s="57" t="s">
        <v>222</v>
      </c>
      <c r="H68" s="57" t="s">
        <v>222</v>
      </c>
      <c r="I68" s="57" t="s">
        <v>1210</v>
      </c>
      <c r="J68" s="57" t="s">
        <v>532</v>
      </c>
      <c r="K68" s="57" t="s">
        <v>222</v>
      </c>
      <c r="L68" s="57" t="s">
        <v>1211</v>
      </c>
      <c r="M68" s="57" t="s">
        <v>1212</v>
      </c>
      <c r="R68" t="b">
        <f>IF(韻母表_4[[#This Row],[台羅拼音]]="", FALSE, ISNUMBER(FIND(RIGHT(韻母表_4[[#This Row],[台羅拼音]],1), "ptkh")))</f>
        <v>0</v>
      </c>
      <c r="S68" s="41">
        <f>IF(OR(韻母表_4[[#This Row],[台羅拼音]]="", R68=TRUE), "", LEN(韻母表_4[[#This Row],[台羅拼音]]))</f>
        <v>3</v>
      </c>
      <c r="T68" s="41" t="str">
        <f ca="1" xml:space="preserve"> IF(OR(韻母表_4[[#This Row],[台羅拼音]]="", $R68=TRUE), "", _xlfn.CONCAT("    ", "- xform/", 韻母表_4[[#This Row],[台羅拼音]], "([48?])/", OFFSET(韻母表_4[[#This Row],[台羅拼音]],1,0), "$1", "/    # ", LEFT(韻母表_4[[#This Row],[十五音]],1)))</f>
        <v xml:space="preserve">    - xform/inn([48?])/$1/    # 梔</v>
      </c>
      <c r="U68" s="41" t="str">
        <f ca="1" xml:space="preserve"> IF(OR(韻母表_4[[#This Row],[台羅拼音]]="", R68=TRUE), "", _xlfn.CONCAT("    ", "- xform/", 韻母表_4[[#This Row],[台羅拼音]], "([48])/", OFFSET(韻母表_4[[#This Row],[台羅拼音]],1,0), "$1", "/    # ", LEFT(韻母表_4[[#This Row],[十五音]],1)))</f>
        <v xml:space="preserve">    - xform/inn([48])/$1/    # 梔</v>
      </c>
      <c r="W68" s="41" t="s">
        <v>1441</v>
      </c>
    </row>
    <row r="69" spans="1:23" ht="44.25">
      <c r="A69" s="54">
        <v>68</v>
      </c>
      <c r="B69" s="54">
        <f xml:space="preserve"> IF(MOD(韻母表_4[[#This Row],[序號]],2)=0, 韻母表_4[[#This Row],[序號]]/2, ROUNDUP(韻母表_4[[#This Row],[序號]]/2,0))</f>
        <v>34</v>
      </c>
      <c r="C69" s="62"/>
      <c r="D69" s="63" t="s">
        <v>129</v>
      </c>
      <c r="E69" s="86" t="s">
        <v>1353</v>
      </c>
      <c r="F69" s="86"/>
      <c r="G69" s="57" t="s">
        <v>1079</v>
      </c>
      <c r="H69" s="57" t="s">
        <v>1079</v>
      </c>
      <c r="I69" s="57" t="s">
        <v>1079</v>
      </c>
      <c r="J69" s="57" t="s">
        <v>1079</v>
      </c>
      <c r="K69" s="57" t="s">
        <v>1079</v>
      </c>
      <c r="L69" s="57" t="s">
        <v>1079</v>
      </c>
      <c r="M69" s="57" t="s">
        <v>1079</v>
      </c>
      <c r="R69" t="b">
        <f>IF(韻母表_4[[#This Row],[台羅拼音]]="", FALSE, ISNUMBER(FIND(RIGHT(韻母表_4[[#This Row],[台羅拼音]],1), "ptkh")))</f>
        <v>0</v>
      </c>
      <c r="S69" s="41" t="str">
        <f>IF(OR(韻母表_4[[#This Row],[台羅拼音]]="", R69=TRUE), "", LEN(韻母表_4[[#This Row],[台羅拼音]]))</f>
        <v/>
      </c>
      <c r="T69" s="41" t="str">
        <f ca="1" xml:space="preserve"> IF(OR(韻母表_4[[#This Row],[台羅拼音]]="", $R69=TRUE), "", _xlfn.CONCAT("    ", "- xform/", 韻母表_4[[#This Row],[台羅拼音]], "([48?])/", OFFSET(韻母表_4[[#This Row],[台羅拼音]],1,0), "$1", "/    # ", LEFT(韻母表_4[[#This Row],[十五音]],1)))</f>
        <v/>
      </c>
      <c r="U69" s="41" t="str">
        <f ca="1" xml:space="preserve"> IF(OR(韻母表_4[[#This Row],[台羅拼音]]="", R69=TRUE), "", _xlfn.CONCAT("    ", "- xform/", 韻母表_4[[#This Row],[台羅拼音]], "([48])/", OFFSET(韻母表_4[[#This Row],[台羅拼音]],1,0), "$1", "/    # ", LEFT(韻母表_4[[#This Row],[十五音]],1)))</f>
        <v/>
      </c>
      <c r="W69" s="41" t="s">
        <v>1442</v>
      </c>
    </row>
    <row r="70" spans="1:23" ht="44.25">
      <c r="A70" s="54">
        <v>69</v>
      </c>
      <c r="B70" s="54">
        <f xml:space="preserve"> IF(MOD(韻母表_4[[#This Row],[序號]],2)=0, 韻母表_4[[#This Row],[序號]]/2, ROUNDUP(韻母表_4[[#This Row],[序號]]/2,0))</f>
        <v>35</v>
      </c>
      <c r="C70" s="65" t="s">
        <v>303</v>
      </c>
      <c r="D70" s="63" t="s">
        <v>130</v>
      </c>
      <c r="E70" s="86" t="s">
        <v>1354</v>
      </c>
      <c r="F70" s="86"/>
      <c r="G70" s="57" t="s">
        <v>224</v>
      </c>
      <c r="H70" s="57" t="s">
        <v>224</v>
      </c>
      <c r="I70" s="57" t="s">
        <v>1213</v>
      </c>
      <c r="J70" s="57" t="s">
        <v>1214</v>
      </c>
      <c r="K70" s="57" t="s">
        <v>1215</v>
      </c>
      <c r="L70" s="57" t="s">
        <v>1216</v>
      </c>
      <c r="M70" s="57" t="s">
        <v>1217</v>
      </c>
      <c r="R70" t="b">
        <f>IF(韻母表_4[[#This Row],[台羅拼音]]="", FALSE, ISNUMBER(FIND(RIGHT(韻母表_4[[#This Row],[台羅拼音]],1), "ptkh")))</f>
        <v>0</v>
      </c>
      <c r="S70" s="41">
        <f>IF(OR(韻母表_4[[#This Row],[台羅拼音]]="", R70=TRUE), "", LEN(韻母表_4[[#This Row],[台羅拼音]]))</f>
        <v>4</v>
      </c>
      <c r="T70" s="41" t="str">
        <f ca="1" xml:space="preserve"> IF(OR(韻母表_4[[#This Row],[台羅拼音]]="", $R70=TRUE), "", _xlfn.CONCAT("    ", "- xform/", 韻母表_4[[#This Row],[台羅拼音]], "([48?])/", OFFSET(韻母表_4[[#This Row],[台羅拼音]],1,0), "$1", "/    # ", LEFT(韻母表_4[[#This Row],[十五音]],1)))</f>
        <v xml:space="preserve">    - xform/ionn([48?])/$1/    # 薑</v>
      </c>
      <c r="U70" s="41" t="str">
        <f ca="1" xml:space="preserve"> IF(OR(韻母表_4[[#This Row],[台羅拼音]]="", R70=TRUE), "", _xlfn.CONCAT("    ", "- xform/", 韻母表_4[[#This Row],[台羅拼音]], "([48])/", OFFSET(韻母表_4[[#This Row],[台羅拼音]],1,0), "$1", "/    # ", LEFT(韻母表_4[[#This Row],[十五音]],1)))</f>
        <v xml:space="preserve">    - xform/ionn([48])/$1/    # 薑</v>
      </c>
      <c r="W70" s="41" t="s">
        <v>1443</v>
      </c>
    </row>
    <row r="71" spans="1:23" ht="44.25">
      <c r="A71" s="54">
        <v>70</v>
      </c>
      <c r="B71" s="54">
        <f xml:space="preserve"> IF(MOD(韻母表_4[[#This Row],[序號]],2)=0, 韻母表_4[[#This Row],[序號]]/2, ROUNDUP(韻母表_4[[#This Row],[序號]]/2,0))</f>
        <v>35</v>
      </c>
      <c r="C71" s="62"/>
      <c r="D71" s="63"/>
      <c r="E71" s="86" t="s">
        <v>1079</v>
      </c>
      <c r="F71" s="86"/>
      <c r="G71" s="57" t="s">
        <v>1079</v>
      </c>
      <c r="H71" s="57" t="s">
        <v>1079</v>
      </c>
      <c r="I71" s="57" t="s">
        <v>1079</v>
      </c>
      <c r="J71" s="57" t="s">
        <v>1079</v>
      </c>
      <c r="K71" s="57" t="s">
        <v>1079</v>
      </c>
      <c r="L71" s="57" t="s">
        <v>1079</v>
      </c>
      <c r="M71" s="57" t="s">
        <v>1079</v>
      </c>
      <c r="R71" t="b">
        <f>IF(韻母表_4[[#This Row],[台羅拼音]]="", FALSE, ISNUMBER(FIND(RIGHT(韻母表_4[[#This Row],[台羅拼音]],1), "ptkh")))</f>
        <v>0</v>
      </c>
      <c r="S71" s="41" t="str">
        <f>IF(OR(韻母表_4[[#This Row],[台羅拼音]]="", R71=TRUE), "", LEN(韻母表_4[[#This Row],[台羅拼音]]))</f>
        <v/>
      </c>
      <c r="T71" s="41" t="str">
        <f ca="1" xml:space="preserve"> IF(OR(韻母表_4[[#This Row],[台羅拼音]]="", $R71=TRUE), "", _xlfn.CONCAT("    ", "- xform/", 韻母表_4[[#This Row],[台羅拼音]], "([48?])/", OFFSET(韻母表_4[[#This Row],[台羅拼音]],1,0), "$1", "/    # ", LEFT(韻母表_4[[#This Row],[十五音]],1)))</f>
        <v/>
      </c>
      <c r="U71" s="41" t="str">
        <f ca="1" xml:space="preserve"> IF(OR(韻母表_4[[#This Row],[台羅拼音]]="", R71=TRUE), "", _xlfn.CONCAT("    ", "- xform/", 韻母表_4[[#This Row],[台羅拼音]], "([48])/", OFFSET(韻母表_4[[#This Row],[台羅拼音]],1,0), "$1", "/    # ", LEFT(韻母表_4[[#This Row],[十五音]],1)))</f>
        <v/>
      </c>
      <c r="W71" s="41" t="s">
        <v>1444</v>
      </c>
    </row>
    <row r="72" spans="1:23" ht="44.25">
      <c r="A72" s="54">
        <v>71</v>
      </c>
      <c r="B72" s="54">
        <f xml:space="preserve"> IF(MOD(韻母表_4[[#This Row],[序號]],2)=0, 韻母表_4[[#This Row],[序號]]/2, ROUNDUP(韻母表_4[[#This Row],[序號]]/2,0))</f>
        <v>36</v>
      </c>
      <c r="C72" s="55" t="s">
        <v>304</v>
      </c>
      <c r="D72" s="56" t="s">
        <v>132</v>
      </c>
      <c r="E72" s="86" t="s">
        <v>1355</v>
      </c>
      <c r="F72" s="86"/>
      <c r="G72" s="57" t="s">
        <v>305</v>
      </c>
      <c r="H72" s="57" t="s">
        <v>305</v>
      </c>
      <c r="I72" s="57" t="s">
        <v>1218</v>
      </c>
      <c r="J72" s="57" t="s">
        <v>543</v>
      </c>
      <c r="K72" s="57" t="s">
        <v>305</v>
      </c>
      <c r="L72" s="57" t="s">
        <v>1219</v>
      </c>
      <c r="M72" s="57" t="s">
        <v>1220</v>
      </c>
      <c r="R72" t="b">
        <f>IF(韻母表_4[[#This Row],[台羅拼音]]="", FALSE, ISNUMBER(FIND(RIGHT(韻母表_4[[#This Row],[台羅拼音]],1), "ptkh")))</f>
        <v>0</v>
      </c>
      <c r="S72" s="41">
        <f>IF(OR(韻母表_4[[#This Row],[台羅拼音]]="", R72=TRUE), "", LEN(韻母表_4[[#This Row],[台羅拼音]]))</f>
        <v>4</v>
      </c>
      <c r="T72" s="41" t="str">
        <f ca="1" xml:space="preserve"> IF(OR(韻母表_4[[#This Row],[台羅拼音]]="", $R72=TRUE), "", _xlfn.CONCAT("    ", "- xform/", 韻母表_4[[#This Row],[台羅拼音]], "([48?])/", OFFSET(韻母表_4[[#This Row],[台羅拼音]],1,0), "$1", "/    # ", LEFT(韻母表_4[[#This Row],[十五音]],1)))</f>
        <v xml:space="preserve">    - xform/iann([48?])/iannh$1/    # 驚</v>
      </c>
      <c r="U72" s="41" t="str">
        <f ca="1" xml:space="preserve"> IF(OR(韻母表_4[[#This Row],[台羅拼音]]="", R72=TRUE), "", _xlfn.CONCAT("    ", "- xform/", 韻母表_4[[#This Row],[台羅拼音]], "([48])/", OFFSET(韻母表_4[[#This Row],[台羅拼音]],1,0), "$1", "/    # ", LEFT(韻母表_4[[#This Row],[十五音]],1)))</f>
        <v xml:space="preserve">    - xform/iann([48])/iannh$1/    # 驚</v>
      </c>
      <c r="W72" s="41" t="s">
        <v>1445</v>
      </c>
    </row>
    <row r="73" spans="1:23" ht="44.25">
      <c r="A73" s="54">
        <v>72</v>
      </c>
      <c r="B73" s="54">
        <f xml:space="preserve"> IF(MOD(韻母表_4[[#This Row],[序號]],2)=0, 韻母表_4[[#This Row],[序號]]/2, ROUNDUP(韻母表_4[[#This Row],[序號]]/2,0))</f>
        <v>36</v>
      </c>
      <c r="C73" s="62"/>
      <c r="D73" s="56" t="s">
        <v>1386</v>
      </c>
      <c r="E73" s="86" t="str">
        <f xml:space="preserve"> _xlfn.CONCAT(E72, "h")</f>
        <v>ɪãh</v>
      </c>
      <c r="F73" s="86"/>
      <c r="G73" s="57" t="str">
        <f xml:space="preserve"> _xlfn.CONCAT(G72, "h")</f>
        <v>iannh</v>
      </c>
      <c r="H73" s="57" t="str">
        <f t="shared" ref="H73:K73" si="1" xml:space="preserve"> _xlfn.CONCAT(H72, "h")</f>
        <v>iannh</v>
      </c>
      <c r="I73" s="57" t="str">
        <f t="shared" si="1"/>
        <v>iaⁿh</v>
      </c>
      <c r="J73" s="57" t="str">
        <f t="shared" si="1"/>
        <v>niah</v>
      </c>
      <c r="K73" s="57" t="str">
        <f t="shared" si="1"/>
        <v>iannh</v>
      </c>
      <c r="L73" s="57" t="str">
        <f xml:space="preserve"> _xlfn.CONCAT(L72, "ㆷ")</f>
        <v>ㄧㆩㆷ</v>
      </c>
      <c r="M73" s="57" t="str">
        <f xml:space="preserve"> _xlfn.CONCAT(M72, "ㄏ")</f>
        <v>⁰ㄧㄚㄏ</v>
      </c>
      <c r="R73" t="b">
        <f>IF(韻母表_4[[#This Row],[台羅拼音]]="", FALSE, ISNUMBER(FIND(RIGHT(韻母表_4[[#This Row],[台羅拼音]],1), "ptkh")))</f>
        <v>1</v>
      </c>
      <c r="S73" s="41" t="str">
        <f>IF(OR(韻母表_4[[#This Row],[台羅拼音]]="", R73=TRUE), "", LEN(韻母表_4[[#This Row],[台羅拼音]]))</f>
        <v/>
      </c>
      <c r="T73" s="41" t="str">
        <f ca="1" xml:space="preserve"> IF(OR(韻母表_4[[#This Row],[台羅拼音]]="", $R73=TRUE), "", _xlfn.CONCAT("    ", "- xform/", 韻母表_4[[#This Row],[台羅拼音]], "([48?])/", OFFSET(韻母表_4[[#This Row],[台羅拼音]],1,0), "$1", "/    # ", LEFT(韻母表_4[[#This Row],[十五音]],1)))</f>
        <v/>
      </c>
      <c r="U73" s="41" t="str">
        <f ca="1" xml:space="preserve"> IF(OR(韻母表_4[[#This Row],[台羅拼音]]="", R73=TRUE), "", _xlfn.CONCAT("    ", "- xform/", 韻母表_4[[#This Row],[台羅拼音]], "([48])/", OFFSET(韻母表_4[[#This Row],[台羅拼音]],1,0), "$1", "/    # ", LEFT(韻母表_4[[#This Row],[十五音]],1)))</f>
        <v/>
      </c>
      <c r="W73" s="41" t="s">
        <v>1079</v>
      </c>
    </row>
    <row r="74" spans="1:23" ht="44.25">
      <c r="A74" s="54">
        <v>73</v>
      </c>
      <c r="B74" s="54">
        <f xml:space="preserve"> IF(MOD(韻母表_4[[#This Row],[序號]],2)=0, 韻母表_4[[#This Row],[序號]]/2, ROUNDUP(韻母表_4[[#This Row],[序號]]/2,0))</f>
        <v>37</v>
      </c>
      <c r="C74" s="55" t="s">
        <v>307</v>
      </c>
      <c r="D74" s="56" t="s">
        <v>134</v>
      </c>
      <c r="E74" s="86" t="s">
        <v>1221</v>
      </c>
      <c r="F74" s="86"/>
      <c r="G74" s="57" t="s">
        <v>226</v>
      </c>
      <c r="H74" s="57" t="s">
        <v>226</v>
      </c>
      <c r="I74" s="57" t="s">
        <v>1222</v>
      </c>
      <c r="J74" s="57" t="s">
        <v>923</v>
      </c>
      <c r="K74" s="57" t="s">
        <v>226</v>
      </c>
      <c r="L74" s="57" t="s">
        <v>1223</v>
      </c>
      <c r="M74" s="57" t="s">
        <v>1224</v>
      </c>
      <c r="R74" t="b">
        <f>IF(韻母表_4[[#This Row],[台羅拼音]]="", FALSE, ISNUMBER(FIND(RIGHT(韻母表_4[[#This Row],[台羅拼音]],1), "ptkh")))</f>
        <v>0</v>
      </c>
      <c r="S74" s="41">
        <f>IF(OR(韻母表_4[[#This Row],[台羅拼音]]="", R74=TRUE), "", LEN(韻母表_4[[#This Row],[台羅拼音]]))</f>
        <v>4</v>
      </c>
      <c r="T74" s="41" t="str">
        <f ca="1" xml:space="preserve"> IF(OR(韻母表_4[[#This Row],[台羅拼音]]="", $R74=TRUE), "", _xlfn.CONCAT("    ", "- xform/", 韻母表_4[[#This Row],[台羅拼音]], "([48?])/", OFFSET(韻母表_4[[#This Row],[台羅拼音]],1,0), "$1", "/    # ", LEFT(韻母表_4[[#This Row],[十五音]],1)))</f>
        <v xml:space="preserve">    - xform/uann([48?])/$1/    # 官</v>
      </c>
      <c r="U74" s="41" t="str">
        <f ca="1" xml:space="preserve"> IF(OR(韻母表_4[[#This Row],[台羅拼音]]="", R74=TRUE), "", _xlfn.CONCAT("    ", "- xform/", 韻母表_4[[#This Row],[台羅拼音]], "([48])/", OFFSET(韻母表_4[[#This Row],[台羅拼音]],1,0), "$1", "/    # ", LEFT(韻母表_4[[#This Row],[十五音]],1)))</f>
        <v xml:space="preserve">    - xform/uann([48])/$1/    # 官</v>
      </c>
      <c r="W74" s="41" t="s">
        <v>1446</v>
      </c>
    </row>
    <row r="75" spans="1:23" ht="44.25">
      <c r="A75" s="54">
        <v>74</v>
      </c>
      <c r="B75" s="54">
        <f xml:space="preserve"> IF(MOD(韻母表_4[[#This Row],[序號]],2)=0, 韻母表_4[[#This Row],[序號]]/2, ROUNDUP(韻母表_4[[#This Row],[序號]]/2,0))</f>
        <v>37</v>
      </c>
      <c r="C75" s="62"/>
      <c r="D75" s="63"/>
      <c r="E75" s="86" t="s">
        <v>1079</v>
      </c>
      <c r="F75" s="86"/>
      <c r="G75" s="57" t="s">
        <v>1079</v>
      </c>
      <c r="H75" s="57" t="s">
        <v>1079</v>
      </c>
      <c r="I75" s="57" t="s">
        <v>1079</v>
      </c>
      <c r="J75" s="57" t="s">
        <v>1079</v>
      </c>
      <c r="K75" s="57" t="s">
        <v>1079</v>
      </c>
      <c r="L75" s="57" t="s">
        <v>1079</v>
      </c>
      <c r="M75" s="57" t="s">
        <v>1079</v>
      </c>
      <c r="R75" t="b">
        <f>IF(韻母表_4[[#This Row],[台羅拼音]]="", FALSE, ISNUMBER(FIND(RIGHT(韻母表_4[[#This Row],[台羅拼音]],1), "ptkh")))</f>
        <v>0</v>
      </c>
      <c r="S75" s="41" t="str">
        <f>IF(OR(韻母表_4[[#This Row],[台羅拼音]]="", R75=TRUE), "", LEN(韻母表_4[[#This Row],[台羅拼音]]))</f>
        <v/>
      </c>
      <c r="T75" s="41" t="str">
        <f ca="1" xml:space="preserve"> IF(OR(韻母表_4[[#This Row],[台羅拼音]]="", $R75=TRUE), "", _xlfn.CONCAT("    ", "- xform/", 韻母表_4[[#This Row],[台羅拼音]], "([48?])/", OFFSET(韻母表_4[[#This Row],[台羅拼音]],1,0), "$1", "/    # ", LEFT(韻母表_4[[#This Row],[十五音]],1)))</f>
        <v/>
      </c>
      <c r="U75" s="41" t="str">
        <f ca="1" xml:space="preserve"> IF(OR(韻母表_4[[#This Row],[台羅拼音]]="", R75=TRUE), "", _xlfn.CONCAT("    ", "- xform/", 韻母表_4[[#This Row],[台羅拼音]], "([48])/", OFFSET(韻母表_4[[#This Row],[台羅拼音]],1,0), "$1", "/    # ", LEFT(韻母表_4[[#This Row],[十五音]],1)))</f>
        <v/>
      </c>
      <c r="W75" s="41" t="s">
        <v>1447</v>
      </c>
    </row>
    <row r="76" spans="1:23" ht="44.25">
      <c r="A76" s="54">
        <v>75</v>
      </c>
      <c r="B76" s="54">
        <f xml:space="preserve"> IF(MOD(韻母表_4[[#This Row],[序號]],2)=0, 韻母表_4[[#This Row],[序號]]/2, ROUNDUP(韻母表_4[[#This Row],[序號]]/2,0))</f>
        <v>38</v>
      </c>
      <c r="C76" s="55" t="s">
        <v>273</v>
      </c>
      <c r="D76" s="56" t="s">
        <v>136</v>
      </c>
      <c r="E76" s="86" t="s">
        <v>1356</v>
      </c>
      <c r="F76" s="86"/>
      <c r="G76" s="57" t="s">
        <v>52</v>
      </c>
      <c r="H76" s="57" t="s">
        <v>52</v>
      </c>
      <c r="I76" s="57" t="s">
        <v>52</v>
      </c>
      <c r="J76" s="57" t="s">
        <v>52</v>
      </c>
      <c r="K76" s="57" t="s">
        <v>52</v>
      </c>
      <c r="L76" s="57" t="s">
        <v>1225</v>
      </c>
      <c r="M76" s="57" t="s">
        <v>1226</v>
      </c>
      <c r="R76" t="b">
        <f>IF(韻母表_4[[#This Row],[台羅拼音]]="", FALSE, ISNUMBER(FIND(RIGHT(韻母表_4[[#This Row],[台羅拼音]],1), "ptkh")))</f>
        <v>0</v>
      </c>
      <c r="S76" s="41">
        <f>IF(OR(韻母表_4[[#This Row],[台羅拼音]]="", R76=TRUE), "", LEN(韻母表_4[[#This Row],[台羅拼音]]))</f>
        <v>2</v>
      </c>
      <c r="T76" s="41" t="str">
        <f ca="1" xml:space="preserve"> IF(OR(韻母表_4[[#This Row],[台羅拼音]]="", $R76=TRUE), "", _xlfn.CONCAT("    ", "- xform/", 韻母表_4[[#This Row],[台羅拼音]], "([48?])/", OFFSET(韻母表_4[[#This Row],[台羅拼音]],1,0), "$1", "/    # ", LEFT(韻母表_4[[#This Row],[十五音]],1)))</f>
        <v xml:space="preserve">    - xform/ng([48?])/ngh$1/    # 鋼</v>
      </c>
      <c r="U76" s="41" t="str">
        <f ca="1" xml:space="preserve"> IF(OR(韻母表_4[[#This Row],[台羅拼音]]="", R76=TRUE), "", _xlfn.CONCAT("    ", "- xform/", 韻母表_4[[#This Row],[台羅拼音]], "([48])/", OFFSET(韻母表_4[[#This Row],[台羅拼音]],1,0), "$1", "/    # ", LEFT(韻母表_4[[#This Row],[十五音]],1)))</f>
        <v xml:space="preserve">    - xform/ng([48])/ngh$1/    # 鋼</v>
      </c>
      <c r="W76" s="41" t="s">
        <v>1448</v>
      </c>
    </row>
    <row r="77" spans="1:23" ht="44.25">
      <c r="A77" s="54">
        <v>76</v>
      </c>
      <c r="B77" s="54">
        <f xml:space="preserve"> IF(MOD(韻母表_4[[#This Row],[序號]],2)=0, 韻母表_4[[#This Row],[序號]]/2, ROUNDUP(韻母表_4[[#This Row],[序號]]/2,0))</f>
        <v>38</v>
      </c>
      <c r="C77" s="62"/>
      <c r="D77" s="56" t="s">
        <v>1387</v>
      </c>
      <c r="E77" s="86" t="str">
        <f xml:space="preserve"> _xlfn.CONCAT(E76, "h")</f>
        <v>ŋ̍h</v>
      </c>
      <c r="F77" s="86"/>
      <c r="G77" s="57" t="str">
        <f xml:space="preserve"> _xlfn.CONCAT(G76, "h")</f>
        <v>ngh</v>
      </c>
      <c r="H77" s="57" t="str">
        <f t="shared" ref="H77:K77" si="2" xml:space="preserve"> _xlfn.CONCAT(H76, "h")</f>
        <v>ngh</v>
      </c>
      <c r="I77" s="57" t="str">
        <f t="shared" si="2"/>
        <v>ngh</v>
      </c>
      <c r="J77" s="57" t="str">
        <f t="shared" si="2"/>
        <v>ngh</v>
      </c>
      <c r="K77" s="57" t="str">
        <f t="shared" si="2"/>
        <v>ngh</v>
      </c>
      <c r="L77" s="57" t="str">
        <f xml:space="preserve"> _xlfn.CONCAT(L76, "ㆷ")</f>
        <v>ㆭㆷ</v>
      </c>
      <c r="M77" s="57" t="str">
        <f xml:space="preserve"> _xlfn.CONCAT(M76, "ㄏ")</f>
        <v>ㄥㄏ</v>
      </c>
      <c r="R77" t="b">
        <f>IF(韻母表_4[[#This Row],[台羅拼音]]="", FALSE, ISNUMBER(FIND(RIGHT(韻母表_4[[#This Row],[台羅拼音]],1), "ptkh")))</f>
        <v>1</v>
      </c>
      <c r="S77" s="41" t="str">
        <f>IF(OR(韻母表_4[[#This Row],[台羅拼音]]="", R77=TRUE), "", LEN(韻母表_4[[#This Row],[台羅拼音]]))</f>
        <v/>
      </c>
      <c r="T77" s="41" t="str">
        <f ca="1" xml:space="preserve"> IF(OR(韻母表_4[[#This Row],[台羅拼音]]="", $R77=TRUE), "", _xlfn.CONCAT("    ", "- xform/", 韻母表_4[[#This Row],[台羅拼音]], "([48?])/", OFFSET(韻母表_4[[#This Row],[台羅拼音]],1,0), "$1", "/    # ", LEFT(韻母表_4[[#This Row],[十五音]],1)))</f>
        <v/>
      </c>
      <c r="U77" s="41" t="str">
        <f ca="1" xml:space="preserve"> IF(OR(韻母表_4[[#This Row],[台羅拼音]]="", R77=TRUE), "", _xlfn.CONCAT("    ", "- xform/", 韻母表_4[[#This Row],[台羅拼音]], "([48])/", OFFSET(韻母表_4[[#This Row],[台羅拼音]],1,0), "$1", "/    # ", LEFT(韻母表_4[[#This Row],[十五音]],1)))</f>
        <v/>
      </c>
      <c r="W77" s="41" t="s">
        <v>1079</v>
      </c>
    </row>
    <row r="78" spans="1:23" ht="44.25">
      <c r="A78" s="54">
        <v>77</v>
      </c>
      <c r="B78" s="54">
        <f xml:space="preserve"> IF(MOD(韻母表_4[[#This Row],[序號]],2)=0, 韻母表_4[[#This Row],[序號]]/2, ROUNDUP(韻母表_4[[#This Row],[序號]]/2,0))</f>
        <v>39</v>
      </c>
      <c r="C78" s="55" t="s">
        <v>308</v>
      </c>
      <c r="D78" s="56" t="s">
        <v>138</v>
      </c>
      <c r="E78" s="86" t="s">
        <v>1328</v>
      </c>
      <c r="F78" s="86"/>
      <c r="G78" s="57" t="s">
        <v>1079</v>
      </c>
      <c r="H78" s="57" t="s">
        <v>1079</v>
      </c>
      <c r="I78" s="57" t="s">
        <v>1079</v>
      </c>
      <c r="J78" s="57" t="s">
        <v>1079</v>
      </c>
      <c r="K78" s="57" t="s">
        <v>1079</v>
      </c>
      <c r="L78" s="57" t="s">
        <v>1079</v>
      </c>
      <c r="M78" s="57" t="s">
        <v>1079</v>
      </c>
      <c r="R78" t="b">
        <f>IF(韻母表_4[[#This Row],[台羅拼音]]="", FALSE, ISNUMBER(FIND(RIGHT(韻母表_4[[#This Row],[台羅拼音]],1), "ptkh")))</f>
        <v>0</v>
      </c>
      <c r="S78" s="41" t="str">
        <f>IF(OR(韻母表_4[[#This Row],[台羅拼音]]="", R78=TRUE), "", LEN(韻母表_4[[#This Row],[台羅拼音]]))</f>
        <v/>
      </c>
      <c r="T78" s="41" t="str">
        <f ca="1" xml:space="preserve"> IF(OR(韻母表_4[[#This Row],[台羅拼音]]="", $R78=TRUE), "", _xlfn.CONCAT("    ", "- xform/", 韻母表_4[[#This Row],[台羅拼音]], "([48?])/", OFFSET(韻母表_4[[#This Row],[台羅拼音]],1,0), "$1", "/    # ", LEFT(韻母表_4[[#This Row],[十五音]],1)))</f>
        <v/>
      </c>
      <c r="U78" s="41" t="str">
        <f ca="1" xml:space="preserve"> IF(OR(韻母表_4[[#This Row],[台羅拼音]]="", R78=TRUE), "", _xlfn.CONCAT("    ", "- xform/", 韻母表_4[[#This Row],[台羅拼音]], "([48])/", OFFSET(韻母表_4[[#This Row],[台羅拼音]],1,0), "$1", "/    # ", LEFT(韻母表_4[[#This Row],[十五音]],1)))</f>
        <v/>
      </c>
      <c r="W78" s="41" t="s">
        <v>1449</v>
      </c>
    </row>
    <row r="79" spans="1:23" ht="44.25">
      <c r="A79" s="54">
        <v>78</v>
      </c>
      <c r="B79" s="54">
        <f xml:space="preserve"> IF(MOD(韻母表_4[[#This Row],[序號]],2)=0, 韻母表_4[[#This Row],[序號]]/2, ROUNDUP(韻母表_4[[#This Row],[序號]]/2,0))</f>
        <v>39</v>
      </c>
      <c r="C79" s="55" t="s">
        <v>309</v>
      </c>
      <c r="D79" s="56" t="s">
        <v>139</v>
      </c>
      <c r="E79" s="86" t="s">
        <v>1227</v>
      </c>
      <c r="F79" s="86"/>
      <c r="G79" s="57" t="s">
        <v>227</v>
      </c>
      <c r="H79" s="57" t="s">
        <v>227</v>
      </c>
      <c r="I79" s="57" t="s">
        <v>227</v>
      </c>
      <c r="J79" s="57" t="s">
        <v>227</v>
      </c>
      <c r="K79" s="57" t="s">
        <v>227</v>
      </c>
      <c r="L79" s="57" t="s">
        <v>1228</v>
      </c>
      <c r="M79" s="57" t="s">
        <v>1084</v>
      </c>
      <c r="R79" t="b">
        <f>IF(韻母表_4[[#This Row],[台羅拼音]]="", FALSE, ISNUMBER(FIND(RIGHT(韻母表_4[[#This Row],[台羅拼音]],1), "ptkh")))</f>
        <v>1</v>
      </c>
      <c r="S79" s="41" t="str">
        <f>IF(OR(韻母表_4[[#This Row],[台羅拼音]]="", R79=TRUE), "", LEN(韻母表_4[[#This Row],[台羅拼音]]))</f>
        <v/>
      </c>
      <c r="T79" s="41" t="str">
        <f ca="1" xml:space="preserve"> IF(OR(韻母表_4[[#This Row],[台羅拼音]]="", $R79=TRUE), "", _xlfn.CONCAT("    ", "- xform/", 韻母表_4[[#This Row],[台羅拼音]], "([48?])/", OFFSET(韻母表_4[[#This Row],[台羅拼音]],1,0), "$1", "/    # ", LEFT(韻母表_4[[#This Row],[十五音]],1)))</f>
        <v/>
      </c>
      <c r="U79" s="41" t="str">
        <f ca="1" xml:space="preserve"> IF(OR(韻母表_4[[#This Row],[台羅拼音]]="", R79=TRUE), "", _xlfn.CONCAT("    ", "- xform/", 韻母表_4[[#This Row],[台羅拼音]], "([48])/", OFFSET(韻母表_4[[#This Row],[台羅拼音]],1,0), "$1", "/    # ", LEFT(韻母表_4[[#This Row],[十五音]],1)))</f>
        <v/>
      </c>
      <c r="W79" s="41" t="s">
        <v>1079</v>
      </c>
    </row>
    <row r="80" spans="1:23" ht="44.25">
      <c r="A80" s="54">
        <v>79</v>
      </c>
      <c r="B80" s="54">
        <f xml:space="preserve"> IF(MOD(韻母表_4[[#This Row],[序號]],2)=0, 韻母表_4[[#This Row],[序號]]/2, ROUNDUP(韻母表_4[[#This Row],[序號]]/2,0))</f>
        <v>40</v>
      </c>
      <c r="C80" s="55" t="s">
        <v>310</v>
      </c>
      <c r="D80" s="56" t="s">
        <v>140</v>
      </c>
      <c r="E80" s="86" t="s">
        <v>1357</v>
      </c>
      <c r="F80" s="86"/>
      <c r="G80" s="57" t="s">
        <v>228</v>
      </c>
      <c r="H80" s="57" t="s">
        <v>228</v>
      </c>
      <c r="I80" s="57" t="s">
        <v>1229</v>
      </c>
      <c r="J80" s="57" t="s">
        <v>364</v>
      </c>
      <c r="K80" s="57" t="s">
        <v>228</v>
      </c>
      <c r="L80" s="57" t="s">
        <v>1230</v>
      </c>
      <c r="M80" s="57" t="s">
        <v>1231</v>
      </c>
      <c r="R80" t="b">
        <f>IF(韻母表_4[[#This Row],[台羅拼音]]="", FALSE, ISNUMBER(FIND(RIGHT(韻母表_4[[#This Row],[台羅拼音]],1), "ptkh")))</f>
        <v>0</v>
      </c>
      <c r="S80" s="41">
        <f>IF(OR(韻母表_4[[#This Row],[台羅拼音]]="", R80=TRUE), "", LEN(韻母表_4[[#This Row],[台羅拼音]]))</f>
        <v>4</v>
      </c>
      <c r="T80" s="41" t="str">
        <f ca="1" xml:space="preserve"> IF(OR(韻母表_4[[#This Row],[台羅拼音]]="", $R80=TRUE), "", _xlfn.CONCAT("    ", "- xform/", 韻母表_4[[#This Row],[台羅拼音]], "([48?])/", OFFSET(韻母表_4[[#This Row],[台羅拼音]],1,0), "$1", "/    # ", LEFT(韻母表_4[[#This Row],[十五音]],1)))</f>
        <v xml:space="preserve">    - xform/ainn([48?])/$1/    # 閒</v>
      </c>
      <c r="U80" s="41" t="str">
        <f ca="1" xml:space="preserve"> IF(OR(韻母表_4[[#This Row],[台羅拼音]]="", R80=TRUE), "", _xlfn.CONCAT("    ", "- xform/", 韻母表_4[[#This Row],[台羅拼音]], "([48])/", OFFSET(韻母表_4[[#This Row],[台羅拼音]],1,0), "$1", "/    # ", LEFT(韻母表_4[[#This Row],[十五音]],1)))</f>
        <v xml:space="preserve">    - xform/ainn([48])/$1/    # 閒</v>
      </c>
      <c r="W80" s="41" t="s">
        <v>1450</v>
      </c>
    </row>
    <row r="81" spans="1:23" ht="44.25">
      <c r="A81" s="54">
        <v>80</v>
      </c>
      <c r="B81" s="54">
        <f xml:space="preserve"> IF(MOD(韻母表_4[[#This Row],[序號]],2)=0, 韻母表_4[[#This Row],[序號]]/2, ROUNDUP(韻母表_4[[#This Row],[序號]]/2,0))</f>
        <v>40</v>
      </c>
      <c r="C81" s="62"/>
      <c r="D81" s="63"/>
      <c r="E81" s="86" t="s">
        <v>1079</v>
      </c>
      <c r="F81" s="86"/>
      <c r="G81" s="57" t="s">
        <v>1079</v>
      </c>
      <c r="H81" s="57" t="s">
        <v>1079</v>
      </c>
      <c r="I81" s="57" t="s">
        <v>1079</v>
      </c>
      <c r="J81" s="57" t="s">
        <v>1079</v>
      </c>
      <c r="K81" s="57" t="s">
        <v>1079</v>
      </c>
      <c r="L81" s="57" t="s">
        <v>1079</v>
      </c>
      <c r="M81" s="57" t="s">
        <v>1079</v>
      </c>
      <c r="R81" t="b">
        <f>IF(韻母表_4[[#This Row],[台羅拼音]]="", FALSE, ISNUMBER(FIND(RIGHT(韻母表_4[[#This Row],[台羅拼音]],1), "ptkh")))</f>
        <v>0</v>
      </c>
      <c r="S81" s="41" t="str">
        <f>IF(OR(韻母表_4[[#This Row],[台羅拼音]]="", R81=TRUE), "", LEN(韻母表_4[[#This Row],[台羅拼音]]))</f>
        <v/>
      </c>
      <c r="T81" s="41" t="str">
        <f ca="1" xml:space="preserve"> IF(OR(韻母表_4[[#This Row],[台羅拼音]]="", $R81=TRUE), "", _xlfn.CONCAT("    ", "- xform/", 韻母表_4[[#This Row],[台羅拼音]], "([48?])/", OFFSET(韻母表_4[[#This Row],[台羅拼音]],1,0), "$1", "/    # ", LEFT(韻母表_4[[#This Row],[十五音]],1)))</f>
        <v/>
      </c>
      <c r="U81" s="41" t="str">
        <f ca="1" xml:space="preserve"> IF(OR(韻母表_4[[#This Row],[台羅拼音]]="", R81=TRUE), "", _xlfn.CONCAT("    ", "- xform/", 韻母表_4[[#This Row],[台羅拼音]], "([48])/", OFFSET(韻母表_4[[#This Row],[台羅拼音]],1,0), "$1", "/    # ", LEFT(韻母表_4[[#This Row],[十五音]],1)))</f>
        <v/>
      </c>
      <c r="W81" s="41" t="s">
        <v>1451</v>
      </c>
    </row>
    <row r="82" spans="1:23" ht="44.25">
      <c r="A82" s="54">
        <v>81</v>
      </c>
      <c r="B82" s="54">
        <f xml:space="preserve"> IF(MOD(韻母表_4[[#This Row],[序號]],2)=0, 韻母表_4[[#This Row],[序號]]/2, ROUNDUP(韻母表_4[[#This Row],[序號]]/2,0))</f>
        <v>41</v>
      </c>
      <c r="C82" s="62" t="s">
        <v>262</v>
      </c>
      <c r="D82" s="63" t="s">
        <v>142</v>
      </c>
      <c r="E82" s="86" t="str">
        <f xml:space="preserve"> _xlfn.CONCAT("ɔ", _xlfn.UNICHAR(HEX2DEC(RIGHT("U+0303",4))))</f>
        <v>ɔ̃</v>
      </c>
      <c r="F82" s="86" t="str">
        <f xml:space="preserve"> _xlfn.CONCAT("o", _xlfn.UNICHAR(HEX2DEC(RIGHT("U+0303",4))), "u")</f>
        <v>õu</v>
      </c>
      <c r="G82" s="57" t="s">
        <v>229</v>
      </c>
      <c r="H82" s="57" t="s">
        <v>229</v>
      </c>
      <c r="I82" s="57" t="s">
        <v>1232</v>
      </c>
      <c r="J82" s="57" t="s">
        <v>892</v>
      </c>
      <c r="K82" s="57" t="s">
        <v>1233</v>
      </c>
      <c r="L82" s="57" t="s">
        <v>1234</v>
      </c>
      <c r="M82" s="57" t="s">
        <v>1235</v>
      </c>
      <c r="R82" t="b">
        <f>IF(韻母表_4[[#This Row],[台羅拼音]]="", FALSE, ISNUMBER(FIND(RIGHT(韻母表_4[[#This Row],[台羅拼音]],1), "ptkh")))</f>
        <v>0</v>
      </c>
      <c r="S82" s="41">
        <f>IF(OR(韻母表_4[[#This Row],[台羅拼音]]="", R82=TRUE), "", LEN(韻母表_4[[#This Row],[台羅拼音]]))</f>
        <v>3</v>
      </c>
      <c r="T82" s="41" t="str">
        <f ca="1" xml:space="preserve"> IF(OR(韻母表_4[[#This Row],[台羅拼音]]="", $R82=TRUE), "", _xlfn.CONCAT("    ", "- xform/", 韻母表_4[[#This Row],[台羅拼音]], "([48?])/", OFFSET(韻母表_4[[#This Row],[台羅拼音]],1,0), "$1", "/    # ", LEFT(韻母表_4[[#This Row],[十五音]],1)))</f>
        <v xml:space="preserve">    - xform/onn([48?])/$1/    # 姑</v>
      </c>
      <c r="U82" s="41" t="str">
        <f ca="1" xml:space="preserve"> IF(OR(韻母表_4[[#This Row],[台羅拼音]]="", R82=TRUE), "", _xlfn.CONCAT("    ", "- xform/", 韻母表_4[[#This Row],[台羅拼音]], "([48])/", OFFSET(韻母表_4[[#This Row],[台羅拼音]],1,0), "$1", "/    # ", LEFT(韻母表_4[[#This Row],[十五音]],1)))</f>
        <v xml:space="preserve">    - xform/onn([48])/$1/    # 姑</v>
      </c>
      <c r="W82" s="41" t="s">
        <v>1452</v>
      </c>
    </row>
    <row r="83" spans="1:23" ht="44.25">
      <c r="A83" s="54">
        <v>82</v>
      </c>
      <c r="B83" s="54">
        <f xml:space="preserve"> IF(MOD(韻母表_4[[#This Row],[序號]],2)=0, 韻母表_4[[#This Row],[序號]]/2, ROUNDUP(韻母表_4[[#This Row],[序號]]/2,0))</f>
        <v>41</v>
      </c>
      <c r="C83" s="62"/>
      <c r="D83" s="63"/>
      <c r="E83" s="86" t="s">
        <v>1079</v>
      </c>
      <c r="F83" s="86"/>
      <c r="G83" s="57" t="s">
        <v>1079</v>
      </c>
      <c r="H83" s="57" t="s">
        <v>1079</v>
      </c>
      <c r="I83" s="57" t="s">
        <v>1079</v>
      </c>
      <c r="J83" s="57" t="s">
        <v>1079</v>
      </c>
      <c r="K83" s="57" t="s">
        <v>1079</v>
      </c>
      <c r="L83" s="57" t="s">
        <v>1079</v>
      </c>
      <c r="M83" s="57" t="s">
        <v>1079</v>
      </c>
      <c r="R83" t="b">
        <f>IF(韻母表_4[[#This Row],[台羅拼音]]="", FALSE, ISNUMBER(FIND(RIGHT(韻母表_4[[#This Row],[台羅拼音]],1), "ptkh")))</f>
        <v>0</v>
      </c>
      <c r="S83" s="41" t="str">
        <f>IF(OR(韻母表_4[[#This Row],[台羅拼音]]="", R83=TRUE), "", LEN(韻母表_4[[#This Row],[台羅拼音]]))</f>
        <v/>
      </c>
      <c r="T83" s="41" t="str">
        <f ca="1" xml:space="preserve"> IF(OR(韻母表_4[[#This Row],[台羅拼音]]="", $R83=TRUE), "", _xlfn.CONCAT("    ", "- xform/", 韻母表_4[[#This Row],[台羅拼音]], "([48?])/", OFFSET(韻母表_4[[#This Row],[台羅拼音]],1,0), "$1", "/    # ", LEFT(韻母表_4[[#This Row],[十五音]],1)))</f>
        <v/>
      </c>
      <c r="U83" s="41" t="str">
        <f ca="1" xml:space="preserve"> IF(OR(韻母表_4[[#This Row],[台羅拼音]]="", R83=TRUE), "", _xlfn.CONCAT("    ", "- xform/", 韻母表_4[[#This Row],[台羅拼音]], "([48])/", OFFSET(韻母表_4[[#This Row],[台羅拼音]],1,0), "$1", "/    # ", LEFT(韻母表_4[[#This Row],[十五音]],1)))</f>
        <v/>
      </c>
      <c r="W83" s="41" t="s">
        <v>1453</v>
      </c>
    </row>
    <row r="84" spans="1:23" ht="44.25">
      <c r="A84" s="54">
        <v>83</v>
      </c>
      <c r="B84" s="54">
        <f xml:space="preserve"> IF(MOD(韻母表_4[[#This Row],[序號]],2)=0, 韻母表_4[[#This Row],[序號]]/2, ROUNDUP(韻母表_4[[#This Row],[序號]]/2,0))</f>
        <v>42</v>
      </c>
      <c r="C84" s="55" t="s">
        <v>311</v>
      </c>
      <c r="D84" s="56" t="s">
        <v>144</v>
      </c>
      <c r="E84" s="86" t="s">
        <v>1236</v>
      </c>
      <c r="F84" s="86"/>
      <c r="G84" s="57" t="s">
        <v>44</v>
      </c>
      <c r="H84" s="57" t="s">
        <v>44</v>
      </c>
      <c r="I84" s="57" t="s">
        <v>44</v>
      </c>
      <c r="J84" s="57" t="s">
        <v>44</v>
      </c>
      <c r="K84" s="57" t="s">
        <v>44</v>
      </c>
      <c r="L84" s="57" t="s">
        <v>1237</v>
      </c>
      <c r="M84" s="57" t="s">
        <v>1238</v>
      </c>
      <c r="R84" t="b">
        <f>IF(韻母表_4[[#This Row],[台羅拼音]]="", FALSE, ISNUMBER(FIND(RIGHT(韻母表_4[[#This Row],[台羅拼音]],1), "ptkh")))</f>
        <v>0</v>
      </c>
      <c r="S84" s="41">
        <f>IF(OR(韻母表_4[[#This Row],[台羅拼音]]="", R84=TRUE), "", LEN(韻母表_4[[#This Row],[台羅拼音]]))</f>
        <v>1</v>
      </c>
      <c r="T84" s="41" t="str">
        <f ca="1" xml:space="preserve"> IF(OR(韻母表_4[[#This Row],[台羅拼音]]="", $R84=TRUE), "", _xlfn.CONCAT("    ", "- xform/", 韻母表_4[[#This Row],[台羅拼音]], "([48?])/", OFFSET(韻母表_4[[#This Row],[台羅拼音]],1,0), "$1", "/    # ", LEFT(韻母表_4[[#This Row],[十五音]],1)))</f>
        <v xml:space="preserve">    - xform/m([48?])/mh$1/    # 姆</v>
      </c>
      <c r="U84" s="41" t="str">
        <f ca="1" xml:space="preserve"> IF(OR(韻母表_4[[#This Row],[台羅拼音]]="", R84=TRUE), "", _xlfn.CONCAT("    ", "- xform/", 韻母表_4[[#This Row],[台羅拼音]], "([48])/", OFFSET(韻母表_4[[#This Row],[台羅拼音]],1,0), "$1", "/    # ", LEFT(韻母表_4[[#This Row],[十五音]],1)))</f>
        <v xml:space="preserve">    - xform/m([48])/mh$1/    # 姆</v>
      </c>
      <c r="W84" s="41" t="s">
        <v>1454</v>
      </c>
    </row>
    <row r="85" spans="1:23" ht="44.25">
      <c r="A85" s="54">
        <v>84</v>
      </c>
      <c r="B85" s="54">
        <f xml:space="preserve"> IF(MOD(韻母表_4[[#This Row],[序號]],2)=0, 韻母表_4[[#This Row],[序號]]/2, ROUNDUP(韻母表_4[[#This Row],[序號]]/2,0))</f>
        <v>42</v>
      </c>
      <c r="C85" s="62"/>
      <c r="D85" s="56" t="s">
        <v>1388</v>
      </c>
      <c r="E85" s="86" t="str">
        <f xml:space="preserve"> _xlfn.CONCAT(E84, "h")</f>
        <v>m̩h</v>
      </c>
      <c r="F85" s="86"/>
      <c r="G85" s="57" t="str">
        <f xml:space="preserve"> _xlfn.CONCAT(G84, "h")</f>
        <v>mh</v>
      </c>
      <c r="H85" s="57" t="str">
        <f t="shared" ref="H85:K85" si="3" xml:space="preserve"> _xlfn.CONCAT(H84, "h")</f>
        <v>mh</v>
      </c>
      <c r="I85" s="57" t="str">
        <f t="shared" si="3"/>
        <v>mh</v>
      </c>
      <c r="J85" s="57" t="str">
        <f t="shared" si="3"/>
        <v>mh</v>
      </c>
      <c r="K85" s="57" t="str">
        <f t="shared" si="3"/>
        <v>mh</v>
      </c>
      <c r="L85" s="57" t="str">
        <f xml:space="preserve"> _xlfn.CONCAT(L84, "ㆷ")</f>
        <v>ㆬㆷ</v>
      </c>
      <c r="M85" s="57" t="str">
        <f xml:space="preserve"> _xlfn.CONCAT(M84, "ㄏ")</f>
        <v>ㄇㄏ</v>
      </c>
      <c r="R85" t="b">
        <f>IF(韻母表_4[[#This Row],[台羅拼音]]="", FALSE, ISNUMBER(FIND(RIGHT(韻母表_4[[#This Row],[台羅拼音]],1), "ptkh")))</f>
        <v>1</v>
      </c>
      <c r="S85" s="41" t="str">
        <f>IF(OR(韻母表_4[[#This Row],[台羅拼音]]="", R85=TRUE), "", LEN(韻母表_4[[#This Row],[台羅拼音]]))</f>
        <v/>
      </c>
      <c r="T85" s="41" t="str">
        <f ca="1" xml:space="preserve"> IF(OR(韻母表_4[[#This Row],[台羅拼音]]="", $R85=TRUE), "", _xlfn.CONCAT("    ", "- xform/", 韻母表_4[[#This Row],[台羅拼音]], "([48?])/", OFFSET(韻母表_4[[#This Row],[台羅拼音]],1,0), "$1", "/    # ", LEFT(韻母表_4[[#This Row],[十五音]],1)))</f>
        <v/>
      </c>
      <c r="U85" s="41" t="str">
        <f ca="1" xml:space="preserve"> IF(OR(韻母表_4[[#This Row],[台羅拼音]]="", R85=TRUE), "", _xlfn.CONCAT("    ", "- xform/", 韻母表_4[[#This Row],[台羅拼音]], "([48])/", OFFSET(韻母表_4[[#This Row],[台羅拼音]],1,0), "$1", "/    # ", LEFT(韻母表_4[[#This Row],[十五音]],1)))</f>
        <v/>
      </c>
      <c r="W85" s="41" t="s">
        <v>1079</v>
      </c>
    </row>
    <row r="86" spans="1:23" ht="44.25">
      <c r="A86" s="54">
        <v>85</v>
      </c>
      <c r="B86" s="54">
        <f xml:space="preserve"> IF(MOD(韻母表_4[[#This Row],[序號]],2)=0, 韻母表_4[[#This Row],[序號]]/2, ROUNDUP(韻母表_4[[#This Row],[序號]]/2,0))</f>
        <v>43</v>
      </c>
      <c r="C86" s="55" t="s">
        <v>312</v>
      </c>
      <c r="D86" s="56" t="s">
        <v>146</v>
      </c>
      <c r="E86" s="86" t="s">
        <v>1358</v>
      </c>
      <c r="F86" s="86"/>
      <c r="G86" s="57" t="s">
        <v>230</v>
      </c>
      <c r="H86" s="57" t="s">
        <v>230</v>
      </c>
      <c r="I86" s="57" t="s">
        <v>1239</v>
      </c>
      <c r="J86" s="57" t="s">
        <v>230</v>
      </c>
      <c r="K86" s="57" t="s">
        <v>230</v>
      </c>
      <c r="L86" s="57" t="s">
        <v>1240</v>
      </c>
      <c r="M86" s="57" t="s">
        <v>1240</v>
      </c>
      <c r="R86" t="b">
        <f>IF(韻母表_4[[#This Row],[台羅拼音]]="", FALSE, ISNUMBER(FIND(RIGHT(韻母表_4[[#This Row],[台羅拼音]],1), "ptkh")))</f>
        <v>0</v>
      </c>
      <c r="S86" s="41">
        <f>IF(OR(韻母表_4[[#This Row],[台羅拼音]]="", R86=TRUE), "", LEN(韻母表_4[[#This Row],[台羅拼音]]))</f>
        <v>4</v>
      </c>
      <c r="T86" s="41" t="str">
        <f ca="1" xml:space="preserve"> IF(OR(韻母表_4[[#This Row],[台羅拼音]]="", $R86=TRUE), "", _xlfn.CONCAT("    ", "- xform/", 韻母表_4[[#This Row],[台羅拼音]], "([48?])/", OFFSET(韻母表_4[[#This Row],[台羅拼音]],1,0), "$1", "/    # ", LEFT(韻母表_4[[#This Row],[十五音]],1)))</f>
        <v xml:space="preserve">    - xform/uang([48?])/$1/    # 光</v>
      </c>
      <c r="U86" s="41" t="str">
        <f ca="1" xml:space="preserve"> IF(OR(韻母表_4[[#This Row],[台羅拼音]]="", R86=TRUE), "", _xlfn.CONCAT("    ", "- xform/", 韻母表_4[[#This Row],[台羅拼音]], "([48])/", OFFSET(韻母表_4[[#This Row],[台羅拼音]],1,0), "$1", "/    # ", LEFT(韻母表_4[[#This Row],[十五音]],1)))</f>
        <v xml:space="preserve">    - xform/uang([48])/$1/    # 光</v>
      </c>
      <c r="W86" s="41" t="s">
        <v>1455</v>
      </c>
    </row>
    <row r="87" spans="1:23" ht="44.25">
      <c r="A87" s="54">
        <v>86</v>
      </c>
      <c r="B87" s="54">
        <f xml:space="preserve"> IF(MOD(韻母表_4[[#This Row],[序號]],2)=0, 韻母表_4[[#This Row],[序號]]/2, ROUNDUP(韻母表_4[[#This Row],[序號]]/2,0))</f>
        <v>43</v>
      </c>
      <c r="C87" s="62"/>
      <c r="D87" s="63" t="s">
        <v>147</v>
      </c>
      <c r="E87" s="86" t="s">
        <v>1329</v>
      </c>
      <c r="F87" s="86"/>
      <c r="G87" s="57" t="s">
        <v>1079</v>
      </c>
      <c r="H87" s="57" t="s">
        <v>1079</v>
      </c>
      <c r="I87" s="57" t="s">
        <v>1079</v>
      </c>
      <c r="J87" s="57" t="s">
        <v>1079</v>
      </c>
      <c r="K87" s="57" t="s">
        <v>1079</v>
      </c>
      <c r="L87" s="57" t="s">
        <v>1079</v>
      </c>
      <c r="M87" s="57" t="s">
        <v>1079</v>
      </c>
      <c r="R87" t="b">
        <f>IF(韻母表_4[[#This Row],[台羅拼音]]="", FALSE, ISNUMBER(FIND(RIGHT(韻母表_4[[#This Row],[台羅拼音]],1), "ptkh")))</f>
        <v>0</v>
      </c>
      <c r="S87" s="41" t="str">
        <f>IF(OR(韻母表_4[[#This Row],[台羅拼音]]="", R87=TRUE), "", LEN(韻母表_4[[#This Row],[台羅拼音]]))</f>
        <v/>
      </c>
      <c r="T87" s="41" t="str">
        <f ca="1" xml:space="preserve"> IF(OR(韻母表_4[[#This Row],[台羅拼音]]="", $R87=TRUE), "", _xlfn.CONCAT("    ", "- xform/", 韻母表_4[[#This Row],[台羅拼音]], "([48?])/", OFFSET(韻母表_4[[#This Row],[台羅拼音]],1,0), "$1", "/    # ", LEFT(韻母表_4[[#This Row],[十五音]],1)))</f>
        <v/>
      </c>
      <c r="U87" s="41" t="str">
        <f ca="1" xml:space="preserve"> IF(OR(韻母表_4[[#This Row],[台羅拼音]]="", R87=TRUE), "", _xlfn.CONCAT("    ", "- xform/", 韻母表_4[[#This Row],[台羅拼音]], "([48])/", OFFSET(韻母表_4[[#This Row],[台羅拼音]],1,0), "$1", "/    # ", LEFT(韻母表_4[[#This Row],[十五音]],1)))</f>
        <v/>
      </c>
      <c r="W87" s="41" t="s">
        <v>1456</v>
      </c>
    </row>
    <row r="88" spans="1:23" ht="44.25">
      <c r="A88" s="54">
        <v>87</v>
      </c>
      <c r="B88" s="54">
        <f xml:space="preserve"> IF(MOD(韻母表_4[[#This Row],[序號]],2)=0, 韻母表_4[[#This Row],[序號]]/2, ROUNDUP(韻母表_4[[#This Row],[序號]]/2,0))</f>
        <v>44</v>
      </c>
      <c r="C88" s="62"/>
      <c r="D88" s="63" t="s">
        <v>148</v>
      </c>
      <c r="E88" s="86" t="s">
        <v>1241</v>
      </c>
      <c r="F88" s="86"/>
      <c r="G88" s="57" t="s">
        <v>232</v>
      </c>
      <c r="H88" s="57" t="s">
        <v>232</v>
      </c>
      <c r="I88" s="57" t="s">
        <v>1242</v>
      </c>
      <c r="J88" s="57" t="s">
        <v>1243</v>
      </c>
      <c r="K88" s="57" t="s">
        <v>232</v>
      </c>
      <c r="L88" s="57" t="s">
        <v>1244</v>
      </c>
      <c r="M88" s="57" t="s">
        <v>1245</v>
      </c>
      <c r="R88" t="b">
        <f>IF(韻母表_4[[#This Row],[台羅拼音]]="", FALSE, ISNUMBER(FIND(RIGHT(韻母表_4[[#This Row],[台羅拼音]],1), "ptkh")))</f>
        <v>0</v>
      </c>
      <c r="S88" s="41">
        <f>IF(OR(韻母表_4[[#This Row],[台羅拼音]]="", R88=TRUE), "", LEN(韻母表_4[[#This Row],[台羅拼音]]))</f>
        <v>5</v>
      </c>
      <c r="T88" s="41" t="str">
        <f ca="1" xml:space="preserve"> IF(OR(韻母表_4[[#This Row],[台羅拼音]]="", $R88=TRUE), "", _xlfn.CONCAT("    ", "- xform/", 韻母表_4[[#This Row],[台羅拼音]], "([48?])/", OFFSET(韻母表_4[[#This Row],[台羅拼音]],1,0), "$1", "/    # ", LEFT(韻母表_4[[#This Row],[十五音]],1)))</f>
        <v xml:space="preserve">    - xform/uainn([48?])/uainnh$1/    # 閂</v>
      </c>
      <c r="U88" s="41" t="str">
        <f ca="1" xml:space="preserve"> IF(OR(韻母表_4[[#This Row],[台羅拼音]]="", R88=TRUE), "", _xlfn.CONCAT("    ", "- xform/", 韻母表_4[[#This Row],[台羅拼音]], "([48])/", OFFSET(韻母表_4[[#This Row],[台羅拼音]],1,0), "$1", "/    # ", LEFT(韻母表_4[[#This Row],[十五音]],1)))</f>
        <v xml:space="preserve">    - xform/uainn([48])/uainnh$1/    # 閂</v>
      </c>
      <c r="W88" s="41" t="s">
        <v>1457</v>
      </c>
    </row>
    <row r="89" spans="1:23" ht="44.25">
      <c r="A89" s="54">
        <v>88</v>
      </c>
      <c r="B89" s="54">
        <f xml:space="preserve"> IF(MOD(韻母表_4[[#This Row],[序號]],2)=0, 韻母表_4[[#This Row],[序號]]/2, ROUNDUP(韻母表_4[[#This Row],[序號]]/2,0))</f>
        <v>44</v>
      </c>
      <c r="C89" s="62"/>
      <c r="D89" s="63" t="s">
        <v>149</v>
      </c>
      <c r="E89" s="86" t="s">
        <v>1246</v>
      </c>
      <c r="F89" s="86"/>
      <c r="G89" s="57" t="s">
        <v>233</v>
      </c>
      <c r="H89" s="57" t="s">
        <v>1247</v>
      </c>
      <c r="I89" s="57" t="s">
        <v>1248</v>
      </c>
      <c r="J89" s="57" t="s">
        <v>233</v>
      </c>
      <c r="K89" s="57" t="s">
        <v>233</v>
      </c>
      <c r="L89" s="57" t="s">
        <v>1249</v>
      </c>
      <c r="M89" s="57" t="s">
        <v>1250</v>
      </c>
      <c r="R89" t="b">
        <f>IF(韻母表_4[[#This Row],[台羅拼音]]="", FALSE, ISNUMBER(FIND(RIGHT(韻母表_4[[#This Row],[台羅拼音]],1), "ptkh")))</f>
        <v>1</v>
      </c>
      <c r="S89" s="41" t="str">
        <f>IF(OR(韻母表_4[[#This Row],[台羅拼音]]="", R89=TRUE), "", LEN(韻母表_4[[#This Row],[台羅拼音]]))</f>
        <v/>
      </c>
      <c r="T89" s="41" t="str">
        <f ca="1" xml:space="preserve"> IF(OR(韻母表_4[[#This Row],[台羅拼音]]="", $R89=TRUE), "", _xlfn.CONCAT("    ", "- xform/", 韻母表_4[[#This Row],[台羅拼音]], "([48?])/", OFFSET(韻母表_4[[#This Row],[台羅拼音]],1,0), "$1", "/    # ", LEFT(韻母表_4[[#This Row],[十五音]],1)))</f>
        <v/>
      </c>
      <c r="U89" s="41" t="str">
        <f ca="1" xml:space="preserve"> IF(OR(韻母表_4[[#This Row],[台羅拼音]]="", R89=TRUE), "", _xlfn.CONCAT("    ", "- xform/", 韻母表_4[[#This Row],[台羅拼音]], "([48])/", OFFSET(韻母表_4[[#This Row],[台羅拼音]],1,0), "$1", "/    # ", LEFT(韻母表_4[[#This Row],[十五音]],1)))</f>
        <v/>
      </c>
      <c r="W89" s="41" t="s">
        <v>1079</v>
      </c>
    </row>
    <row r="90" spans="1:23" ht="44.25">
      <c r="A90" s="54">
        <v>89</v>
      </c>
      <c r="B90" s="54">
        <f xml:space="preserve"> IF(MOD(韻母表_4[[#This Row],[序號]],2)=0, 韻母表_4[[#This Row],[序號]]/2, ROUNDUP(韻母表_4[[#This Row],[序號]]/2,0))</f>
        <v>45</v>
      </c>
      <c r="C90" s="65" t="s">
        <v>313</v>
      </c>
      <c r="D90" s="63" t="s">
        <v>150</v>
      </c>
      <c r="E90" s="86" t="s">
        <v>1365</v>
      </c>
      <c r="F90" s="86"/>
      <c r="G90" s="57" t="s">
        <v>1079</v>
      </c>
      <c r="H90" s="57" t="s">
        <v>1079</v>
      </c>
      <c r="I90" s="57" t="s">
        <v>1079</v>
      </c>
      <c r="J90" s="57" t="s">
        <v>1079</v>
      </c>
      <c r="K90" s="57" t="s">
        <v>1079</v>
      </c>
      <c r="L90" s="57" t="s">
        <v>1079</v>
      </c>
      <c r="M90" s="57" t="s">
        <v>1079</v>
      </c>
      <c r="R90" t="b">
        <f>IF(韻母表_4[[#This Row],[台羅拼音]]="", FALSE, ISNUMBER(FIND(RIGHT(韻母表_4[[#This Row],[台羅拼音]],1), "ptkh")))</f>
        <v>0</v>
      </c>
      <c r="S90" s="41" t="str">
        <f>IF(OR(韻母表_4[[#This Row],[台羅拼音]]="", R90=TRUE), "", LEN(韻母表_4[[#This Row],[台羅拼音]]))</f>
        <v/>
      </c>
      <c r="T90" s="41" t="str">
        <f ca="1" xml:space="preserve"> IF(OR(韻母表_4[[#This Row],[台羅拼音]]="", $R90=TRUE), "", _xlfn.CONCAT("    ", "- xform/", 韻母表_4[[#This Row],[台羅拼音]], "([48?])/", OFFSET(韻母表_4[[#This Row],[台羅拼音]],1,0), "$1", "/    # ", LEFT(韻母表_4[[#This Row],[十五音]],1)))</f>
        <v/>
      </c>
      <c r="U90" s="41" t="str">
        <f ca="1" xml:space="preserve"> IF(OR(韻母表_4[[#This Row],[台羅拼音]]="", R90=TRUE), "", _xlfn.CONCAT("    ", "- xform/", 韻母表_4[[#This Row],[台羅拼音]], "([48])/", OFFSET(韻母表_4[[#This Row],[台羅拼音]],1,0), "$1", "/    # ", LEFT(韻母表_4[[#This Row],[十五音]],1)))</f>
        <v/>
      </c>
      <c r="W90" s="41" t="s">
        <v>1458</v>
      </c>
    </row>
    <row r="91" spans="1:23" ht="44.25">
      <c r="A91" s="54">
        <v>90</v>
      </c>
      <c r="B91" s="54">
        <f xml:space="preserve"> IF(MOD(韻母表_4[[#This Row],[序號]],2)=0, 韻母表_4[[#This Row],[序號]]/2, ROUNDUP(韻母表_4[[#This Row],[序號]]/2,0))</f>
        <v>45</v>
      </c>
      <c r="C91" s="65" t="s">
        <v>314</v>
      </c>
      <c r="D91" s="63" t="s">
        <v>151</v>
      </c>
      <c r="E91" s="86" t="s">
        <v>1364</v>
      </c>
      <c r="F91" s="86"/>
      <c r="G91" s="57" t="s">
        <v>1079</v>
      </c>
      <c r="H91" s="57" t="s">
        <v>1079</v>
      </c>
      <c r="I91" s="57" t="s">
        <v>1079</v>
      </c>
      <c r="J91" s="57" t="s">
        <v>1079</v>
      </c>
      <c r="K91" s="57" t="s">
        <v>1079</v>
      </c>
      <c r="L91" s="57" t="s">
        <v>1079</v>
      </c>
      <c r="M91" s="57" t="s">
        <v>1079</v>
      </c>
      <c r="R91" t="b">
        <f>IF(韻母表_4[[#This Row],[台羅拼音]]="", FALSE, ISNUMBER(FIND(RIGHT(韻母表_4[[#This Row],[台羅拼音]],1), "ptkh")))</f>
        <v>0</v>
      </c>
      <c r="S91" s="41" t="str">
        <f>IF(OR(韻母表_4[[#This Row],[台羅拼音]]="", R91=TRUE), "", LEN(韻母表_4[[#This Row],[台羅拼音]]))</f>
        <v/>
      </c>
      <c r="T91" s="41" t="str">
        <f ca="1" xml:space="preserve"> IF(OR(韻母表_4[[#This Row],[台羅拼音]]="", $R91=TRUE), "", _xlfn.CONCAT("    ", "- xform/", 韻母表_4[[#This Row],[台羅拼音]], "([48?])/", OFFSET(韻母表_4[[#This Row],[台羅拼音]],1,0), "$1", "/    # ", LEFT(韻母表_4[[#This Row],[十五音]],1)))</f>
        <v/>
      </c>
      <c r="U91" s="41" t="str">
        <f ca="1" xml:space="preserve"> IF(OR(韻母表_4[[#This Row],[台羅拼音]]="", R91=TRUE), "", _xlfn.CONCAT("    ", "- xform/", 韻母表_4[[#This Row],[台羅拼音]], "([48])/", OFFSET(韻母表_4[[#This Row],[台羅拼音]],1,0), "$1", "/    # ", LEFT(韻母表_4[[#This Row],[十五音]],1)))</f>
        <v/>
      </c>
      <c r="W91" s="41" t="s">
        <v>1459</v>
      </c>
    </row>
    <row r="92" spans="1:23" ht="44.25">
      <c r="A92" s="54">
        <v>91</v>
      </c>
      <c r="B92" s="54">
        <f xml:space="preserve"> IF(MOD(韻母表_4[[#This Row],[序號]],2)=0, 韻母表_4[[#This Row],[序號]]/2, ROUNDUP(韻母表_4[[#This Row],[序號]]/2,0))</f>
        <v>46</v>
      </c>
      <c r="C92" s="55" t="s">
        <v>316</v>
      </c>
      <c r="D92" s="63" t="s">
        <v>152</v>
      </c>
      <c r="E92" s="86" t="s">
        <v>1359</v>
      </c>
      <c r="F92" s="86"/>
      <c r="G92" s="57" t="s">
        <v>235</v>
      </c>
      <c r="H92" s="57" t="s">
        <v>235</v>
      </c>
      <c r="I92" s="57" t="s">
        <v>1251</v>
      </c>
      <c r="J92" s="57" t="s">
        <v>1252</v>
      </c>
      <c r="K92" s="57" t="s">
        <v>235</v>
      </c>
      <c r="L92" s="57" t="s">
        <v>1253</v>
      </c>
      <c r="M92" s="57" t="s">
        <v>1254</v>
      </c>
      <c r="R92" t="b">
        <f>IF(韻母表_4[[#This Row],[台羅拼音]]="", FALSE, ISNUMBER(FIND(RIGHT(韻母表_4[[#This Row],[台羅拼音]],1), "ptkh")))</f>
        <v>0</v>
      </c>
      <c r="S92" s="41">
        <f>IF(OR(韻母表_4[[#This Row],[台羅拼音]]="", R92=TRUE), "", LEN(韻母表_4[[#This Row],[台羅拼音]]))</f>
        <v>5</v>
      </c>
      <c r="T92" s="41" t="str">
        <f ca="1" xml:space="preserve"> IF(OR(韻母表_4[[#This Row],[台羅拼音]]="", $R92=TRUE), "", _xlfn.CONCAT("    ", "- xform/", 韻母表_4[[#This Row],[台羅拼音]], "([48?])/", OFFSET(韻母表_4[[#This Row],[台羅拼音]],1,0), "$1", "/    # ", LEFT(韻母表_4[[#This Row],[十五音]],1)))</f>
        <v xml:space="preserve">    - xform/iaunn([48?])/$1/    # 嘄</v>
      </c>
      <c r="U92" s="41" t="str">
        <f ca="1" xml:space="preserve"> IF(OR(韻母表_4[[#This Row],[台羅拼音]]="", R92=TRUE), "", _xlfn.CONCAT("    ", "- xform/", 韻母表_4[[#This Row],[台羅拼音]], "([48])/", OFFSET(韻母表_4[[#This Row],[台羅拼音]],1,0), "$1", "/    # ", LEFT(韻母表_4[[#This Row],[十五音]],1)))</f>
        <v xml:space="preserve">    - xform/iaunn([48])/$1/    # 嘄</v>
      </c>
      <c r="W92" s="41" t="s">
        <v>1460</v>
      </c>
    </row>
    <row r="93" spans="1:23" ht="44.25">
      <c r="A93" s="54">
        <v>92</v>
      </c>
      <c r="B93" s="54">
        <f xml:space="preserve"> IF(MOD(韻母表_4[[#This Row],[序號]],2)=0, 韻母表_4[[#This Row],[序號]]/2, ROUNDUP(韻母表_4[[#This Row],[序號]]/2,0))</f>
        <v>46</v>
      </c>
      <c r="C93" s="55" t="s">
        <v>318</v>
      </c>
      <c r="D93" s="63" t="s">
        <v>153</v>
      </c>
      <c r="E93" s="86" t="s">
        <v>1366</v>
      </c>
      <c r="F93" s="86"/>
      <c r="G93" s="57" t="s">
        <v>1079</v>
      </c>
      <c r="H93" s="57" t="s">
        <v>1079</v>
      </c>
      <c r="I93" s="57" t="s">
        <v>1079</v>
      </c>
      <c r="J93" s="57" t="s">
        <v>1079</v>
      </c>
      <c r="K93" s="57" t="s">
        <v>1079</v>
      </c>
      <c r="L93" s="57" t="s">
        <v>1079</v>
      </c>
      <c r="M93" s="57" t="s">
        <v>1079</v>
      </c>
      <c r="R93" t="b">
        <f>IF(韻母表_4[[#This Row],[台羅拼音]]="", FALSE, ISNUMBER(FIND(RIGHT(韻母表_4[[#This Row],[台羅拼音]],1), "ptkh")))</f>
        <v>0</v>
      </c>
      <c r="S93" s="41" t="str">
        <f>IF(OR(韻母表_4[[#This Row],[台羅拼音]]="", R93=TRUE), "", LEN(韻母表_4[[#This Row],[台羅拼音]]))</f>
        <v/>
      </c>
      <c r="T93" s="41" t="str">
        <f ca="1" xml:space="preserve"> IF(OR(韻母表_4[[#This Row],[台羅拼音]]="", $R93=TRUE), "", _xlfn.CONCAT("    ", "- xform/", 韻母表_4[[#This Row],[台羅拼音]], "([48?])/", OFFSET(韻母表_4[[#This Row],[台羅拼音]],1,0), "$1", "/    # ", LEFT(韻母表_4[[#This Row],[十五音]],1)))</f>
        <v/>
      </c>
      <c r="U93" s="41" t="str">
        <f ca="1" xml:space="preserve"> IF(OR(韻母表_4[[#This Row],[台羅拼音]]="", R93=TRUE), "", _xlfn.CONCAT("    ", "- xform/", 韻母表_4[[#This Row],[台羅拼音]], "([48])/", OFFSET(韻母表_4[[#This Row],[台羅拼音]],1,0), "$1", "/    # ", LEFT(韻母表_4[[#This Row],[十五音]],1)))</f>
        <v/>
      </c>
      <c r="W93" s="41" t="s">
        <v>1461</v>
      </c>
    </row>
    <row r="94" spans="1:23" ht="44.25">
      <c r="A94" s="54">
        <v>93</v>
      </c>
      <c r="B94" s="54">
        <f xml:space="preserve"> IF(MOD(韻母表_4[[#This Row],[序號]],2)=0, 韻母表_4[[#This Row],[序號]]/2, ROUNDUP(韻母表_4[[#This Row],[序號]]/2,0))</f>
        <v>47</v>
      </c>
      <c r="C94" s="55" t="s">
        <v>319</v>
      </c>
      <c r="D94" s="56" t="s">
        <v>154</v>
      </c>
      <c r="E94" s="86" t="s">
        <v>1360</v>
      </c>
      <c r="F94" s="86"/>
      <c r="G94" s="57" t="s">
        <v>236</v>
      </c>
      <c r="H94" s="57" t="s">
        <v>236</v>
      </c>
      <c r="I94" s="57" t="s">
        <v>236</v>
      </c>
      <c r="J94" s="57" t="s">
        <v>236</v>
      </c>
      <c r="K94" s="57" t="s">
        <v>1255</v>
      </c>
      <c r="L94" s="57" t="s">
        <v>1256</v>
      </c>
      <c r="M94" s="57" t="s">
        <v>1257</v>
      </c>
      <c r="R94" t="b">
        <f>IF(韻母表_4[[#This Row],[台羅拼音]]="", FALSE, ISNUMBER(FIND(RIGHT(韻母表_4[[#This Row],[台羅拼音]],1), "ptkh")))</f>
        <v>0</v>
      </c>
      <c r="S94" s="41">
        <f>IF(OR(韻母表_4[[#This Row],[台羅拼音]]="", R94=TRUE), "", LEN(韻母表_4[[#This Row],[台羅拼音]]))</f>
        <v>2</v>
      </c>
      <c r="T94" s="41" t="str">
        <f ca="1" xml:space="preserve"> IF(OR(韻母表_4[[#This Row],[台羅拼音]]="", $R94=TRUE), "", _xlfn.CONCAT("    ", "- xform/", 韻母表_4[[#This Row],[台羅拼音]], "([48?])/", OFFSET(韻母表_4[[#This Row],[台羅拼音]],1,0), "$1", "/    # ", LEFT(韻母表_4[[#This Row],[十五音]],1)))</f>
        <v xml:space="preserve">    - xform/om([48?])/op$1/    # 箴</v>
      </c>
      <c r="U94" s="41" t="str">
        <f ca="1" xml:space="preserve"> IF(OR(韻母表_4[[#This Row],[台羅拼音]]="", R94=TRUE), "", _xlfn.CONCAT("    ", "- xform/", 韻母表_4[[#This Row],[台羅拼音]], "([48])/", OFFSET(韻母表_4[[#This Row],[台羅拼音]],1,0), "$1", "/    # ", LEFT(韻母表_4[[#This Row],[十五音]],1)))</f>
        <v xml:space="preserve">    - xform/om([48])/op$1/    # 箴</v>
      </c>
      <c r="W94" s="41" t="s">
        <v>1462</v>
      </c>
    </row>
    <row r="95" spans="1:23" ht="44.25">
      <c r="A95" s="54">
        <v>94</v>
      </c>
      <c r="B95" s="54">
        <f xml:space="preserve"> IF(MOD(韻母表_4[[#This Row],[序號]],2)=0, 韻母表_4[[#This Row],[序號]]/2, ROUNDUP(韻母表_4[[#This Row],[序號]]/2,0))</f>
        <v>47</v>
      </c>
      <c r="C95" s="55" t="s">
        <v>320</v>
      </c>
      <c r="D95" s="63" t="s">
        <v>155</v>
      </c>
      <c r="E95" s="86" t="s">
        <v>1361</v>
      </c>
      <c r="F95" s="86"/>
      <c r="G95" s="57" t="s">
        <v>1258</v>
      </c>
      <c r="H95" s="57" t="s">
        <v>1258</v>
      </c>
      <c r="I95" s="57" t="s">
        <v>1258</v>
      </c>
      <c r="J95" s="57" t="s">
        <v>1258</v>
      </c>
      <c r="K95" s="57" t="s">
        <v>1259</v>
      </c>
      <c r="L95" s="57" t="s">
        <v>1260</v>
      </c>
      <c r="M95" s="57" t="s">
        <v>1261</v>
      </c>
      <c r="R95" t="b">
        <f>IF(韻母表_4[[#This Row],[台羅拼音]]="", FALSE, ISNUMBER(FIND(RIGHT(韻母表_4[[#This Row],[台羅拼音]],1), "ptkh")))</f>
        <v>1</v>
      </c>
      <c r="S95" s="41" t="str">
        <f>IF(OR(韻母表_4[[#This Row],[台羅拼音]]="", R95=TRUE), "", LEN(韻母表_4[[#This Row],[台羅拼音]]))</f>
        <v/>
      </c>
      <c r="T95" s="41" t="str">
        <f ca="1" xml:space="preserve"> IF(OR(韻母表_4[[#This Row],[台羅拼音]]="", $R95=TRUE), "", _xlfn.CONCAT("    ", "- xform/", 韻母表_4[[#This Row],[台羅拼音]], "([48?])/", OFFSET(韻母表_4[[#This Row],[台羅拼音]],1,0), "$1", "/    # ", LEFT(韻母表_4[[#This Row],[十五音]],1)))</f>
        <v/>
      </c>
      <c r="U95" s="41" t="str">
        <f ca="1" xml:space="preserve"> IF(OR(韻母表_4[[#This Row],[台羅拼音]]="", R95=TRUE), "", _xlfn.CONCAT("    ", "- xform/", 韻母表_4[[#This Row],[台羅拼音]], "([48])/", OFFSET(韻母表_4[[#This Row],[台羅拼音]],1,0), "$1", "/    # ", LEFT(韻母表_4[[#This Row],[十五音]],1)))</f>
        <v/>
      </c>
      <c r="W95" s="41" t="s">
        <v>1079</v>
      </c>
    </row>
    <row r="96" spans="1:23" ht="32.25">
      <c r="A96" s="54">
        <v>95</v>
      </c>
      <c r="B96" s="54">
        <f xml:space="preserve"> IF(MOD(韻母表_4[[#This Row],[序號]],2)=0, 韻母表_4[[#This Row],[序號]]/2, ROUNDUP(韻母表_4[[#This Row],[序號]]/2,0))</f>
        <v>48</v>
      </c>
      <c r="C96" s="66" t="s">
        <v>322</v>
      </c>
      <c r="D96" s="56" t="s">
        <v>156</v>
      </c>
      <c r="E96" s="86" t="s">
        <v>1367</v>
      </c>
      <c r="F96" s="86"/>
      <c r="G96" s="57" t="s">
        <v>1079</v>
      </c>
      <c r="H96" s="57" t="s">
        <v>1079</v>
      </c>
      <c r="I96" s="57" t="s">
        <v>1079</v>
      </c>
      <c r="J96" s="57" t="s">
        <v>1079</v>
      </c>
      <c r="K96" s="57" t="s">
        <v>1079</v>
      </c>
      <c r="L96" s="57" t="s">
        <v>1079</v>
      </c>
      <c r="M96" s="57" t="s">
        <v>1079</v>
      </c>
      <c r="R96" t="b">
        <f>IF(韻母表_4[[#This Row],[台羅拼音]]="", FALSE, ISNUMBER(FIND(RIGHT(韻母表_4[[#This Row],[台羅拼音]],1), "ptkh")))</f>
        <v>0</v>
      </c>
      <c r="S96" s="41" t="str">
        <f>IF(OR(韻母表_4[[#This Row],[台羅拼音]]="", R96=TRUE), "", LEN(韻母表_4[[#This Row],[台羅拼音]]))</f>
        <v/>
      </c>
      <c r="T96" s="41" t="str">
        <f ca="1" xml:space="preserve"> IF(OR(韻母表_4[[#This Row],[台羅拼音]]="", $R96=TRUE), "", _xlfn.CONCAT("    ", "- xform/", 韻母表_4[[#This Row],[台羅拼音]], "([48?])/", OFFSET(韻母表_4[[#This Row],[台羅拼音]],1,0), "$1", "/    # ", LEFT(韻母表_4[[#This Row],[十五音]],1)))</f>
        <v/>
      </c>
      <c r="U96" s="41" t="str">
        <f ca="1" xml:space="preserve"> IF(OR(韻母表_4[[#This Row],[台羅拼音]]="", R96=TRUE), "", _xlfn.CONCAT("    ", "- xform/", 韻母表_4[[#This Row],[台羅拼音]], "([48])/", OFFSET(韻母表_4[[#This Row],[台羅拼音]],1,0), "$1", "/    # ", LEFT(韻母表_4[[#This Row],[十五音]],1)))</f>
        <v/>
      </c>
      <c r="W96" s="41" t="s">
        <v>1463</v>
      </c>
    </row>
    <row r="97" spans="1:23" ht="44.25">
      <c r="A97" s="54">
        <v>96</v>
      </c>
      <c r="B97" s="54">
        <f xml:space="preserve"> IF(MOD(韻母表_4[[#This Row],[序號]],2)=0, 韻母表_4[[#This Row],[序號]]/2, ROUNDUP(韻母表_4[[#This Row],[序號]]/2,0))</f>
        <v>48</v>
      </c>
      <c r="C97" s="55"/>
      <c r="D97" s="63"/>
      <c r="E97" s="86" t="s">
        <v>1079</v>
      </c>
      <c r="F97" s="86"/>
      <c r="G97" s="57" t="s">
        <v>1079</v>
      </c>
      <c r="H97" s="57" t="s">
        <v>1079</v>
      </c>
      <c r="I97" s="57" t="s">
        <v>1079</v>
      </c>
      <c r="J97" s="57" t="s">
        <v>1079</v>
      </c>
      <c r="K97" s="57" t="s">
        <v>1079</v>
      </c>
      <c r="L97" s="57" t="s">
        <v>1079</v>
      </c>
      <c r="M97" s="57" t="s">
        <v>1079</v>
      </c>
      <c r="R97" t="b">
        <f>IF(韻母表_4[[#This Row],[台羅拼音]]="", FALSE, ISNUMBER(FIND(RIGHT(韻母表_4[[#This Row],[台羅拼音]],1), "ptkh")))</f>
        <v>0</v>
      </c>
      <c r="S97" s="41" t="str">
        <f>IF(OR(韻母表_4[[#This Row],[台羅拼音]]="", R97=TRUE), "", LEN(韻母表_4[[#This Row],[台羅拼音]]))</f>
        <v/>
      </c>
      <c r="T97" s="41" t="str">
        <f ca="1" xml:space="preserve"> IF(OR(韻母表_4[[#This Row],[台羅拼音]]="", $R97=TRUE), "", _xlfn.CONCAT("    ", "- xform/", 韻母表_4[[#This Row],[台羅拼音]], "([48?])/", OFFSET(韻母表_4[[#This Row],[台羅拼音]],1,0), "$1", "/    # ", LEFT(韻母表_4[[#This Row],[十五音]],1)))</f>
        <v/>
      </c>
      <c r="U97" s="41" t="str">
        <f ca="1" xml:space="preserve"> IF(OR(韻母表_4[[#This Row],[台羅拼音]]="", R97=TRUE), "", _xlfn.CONCAT("    ", "- xform/", 韻母表_4[[#This Row],[台羅拼音]], "([48])/", OFFSET(韻母表_4[[#This Row],[台羅拼音]],1,0), "$1", "/    # ", LEFT(韻母表_4[[#This Row],[十五音]],1)))</f>
        <v/>
      </c>
      <c r="W97" s="41" t="s">
        <v>1464</v>
      </c>
    </row>
    <row r="98" spans="1:23" ht="44.25">
      <c r="A98" s="54">
        <v>97</v>
      </c>
      <c r="B98" s="54">
        <f xml:space="preserve"> IF(MOD(韻母表_4[[#This Row],[序號]],2)=0, 韻母表_4[[#This Row],[序號]]/2, ROUNDUP(韻母表_4[[#This Row],[序號]]/2,0))</f>
        <v>49</v>
      </c>
      <c r="C98" s="55"/>
      <c r="D98" s="63" t="s">
        <v>158</v>
      </c>
      <c r="E98" s="89" t="s">
        <v>1368</v>
      </c>
      <c r="F98" s="89"/>
      <c r="G98" s="57" t="s">
        <v>1079</v>
      </c>
      <c r="H98" s="57" t="s">
        <v>1079</v>
      </c>
      <c r="I98" s="57" t="s">
        <v>1079</v>
      </c>
      <c r="J98" s="57" t="s">
        <v>1079</v>
      </c>
      <c r="K98" s="57" t="s">
        <v>1079</v>
      </c>
      <c r="L98" s="57" t="s">
        <v>1079</v>
      </c>
      <c r="M98" s="57" t="s">
        <v>1079</v>
      </c>
      <c r="R98" t="b">
        <f>IF(韻母表_4[[#This Row],[台羅拼音]]="", FALSE, ISNUMBER(FIND(RIGHT(韻母表_4[[#This Row],[台羅拼音]],1), "ptkh")))</f>
        <v>0</v>
      </c>
      <c r="S98" s="41" t="str">
        <f>IF(OR(韻母表_4[[#This Row],[台羅拼音]]="", R98=TRUE), "", LEN(韻母表_4[[#This Row],[台羅拼音]]))</f>
        <v/>
      </c>
      <c r="T98" s="41" t="str">
        <f ca="1" xml:space="preserve"> IF(OR(韻母表_4[[#This Row],[台羅拼音]]="", $R98=TRUE), "", _xlfn.CONCAT("    ", "- xform/", 韻母表_4[[#This Row],[台羅拼音]], "([48?])/", OFFSET(韻母表_4[[#This Row],[台羅拼音]],1,0), "$1", "/    # ", LEFT(韻母表_4[[#This Row],[十五音]],1)))</f>
        <v/>
      </c>
      <c r="U98" s="41" t="str">
        <f ca="1" xml:space="preserve"> IF(OR(韻母表_4[[#This Row],[台羅拼音]]="", R98=TRUE), "", _xlfn.CONCAT("    ", "- xform/", 韻母表_4[[#This Row],[台羅拼音]], "([48])/", OFFSET(韻母表_4[[#This Row],[台羅拼音]],1,0), "$1", "/    # ", LEFT(韻母表_4[[#This Row],[十五音]],1)))</f>
        <v/>
      </c>
      <c r="W98" s="41" t="s">
        <v>1465</v>
      </c>
    </row>
    <row r="99" spans="1:23" ht="44.25">
      <c r="A99" s="54">
        <v>98</v>
      </c>
      <c r="B99" s="54">
        <f xml:space="preserve"> IF(MOD(韻母表_4[[#This Row],[序號]],2)=0, 韻母表_4[[#This Row],[序號]]/2, ROUNDUP(韻母表_4[[#This Row],[序號]]/2,0))</f>
        <v>49</v>
      </c>
      <c r="C99" s="55"/>
      <c r="D99" s="63" t="s">
        <v>159</v>
      </c>
      <c r="E99" s="86" t="s">
        <v>1362</v>
      </c>
      <c r="F99" s="86"/>
      <c r="G99" s="57" t="s">
        <v>238</v>
      </c>
      <c r="H99" s="57" t="s">
        <v>1262</v>
      </c>
      <c r="I99" s="57" t="s">
        <v>1263</v>
      </c>
      <c r="J99" s="57" t="s">
        <v>1264</v>
      </c>
      <c r="K99" s="57" t="s">
        <v>238</v>
      </c>
      <c r="L99" s="57" t="s">
        <v>1265</v>
      </c>
      <c r="M99" s="57" t="s">
        <v>1266</v>
      </c>
      <c r="R99" t="b">
        <f>IF(韻母表_4[[#This Row],[台羅拼音]]="", FALSE, ISNUMBER(FIND(RIGHT(韻母表_4[[#This Row],[台羅拼音]],1), "ptkh")))</f>
        <v>1</v>
      </c>
      <c r="S99" s="41" t="str">
        <f>IF(OR(韻母表_4[[#This Row],[台羅拼音]]="", R99=TRUE), "", LEN(韻母表_4[[#This Row],[台羅拼音]]))</f>
        <v/>
      </c>
      <c r="T99" s="41" t="str">
        <f ca="1" xml:space="preserve"> IF(OR(韻母表_4[[#This Row],[台羅拼音]]="", $R99=TRUE), "", _xlfn.CONCAT("    ", "- xform/", 韻母表_4[[#This Row],[台羅拼音]], "([48?])/", OFFSET(韻母表_4[[#This Row],[台羅拼音]],1,0), "$1", "/    # ", LEFT(韻母表_4[[#This Row],[十五音]],1)))</f>
        <v/>
      </c>
      <c r="U99" s="41" t="str">
        <f ca="1" xml:space="preserve"> IF(OR(韻母表_4[[#This Row],[台羅拼音]]="", R99=TRUE), "", _xlfn.CONCAT("    ", "- xform/", 韻母表_4[[#This Row],[台羅拼音]], "([48])/", OFFSET(韻母表_4[[#This Row],[台羅拼音]],1,0), "$1", "/    # ", LEFT(韻母表_4[[#This Row],[十五音]],1)))</f>
        <v/>
      </c>
      <c r="W99" s="41" t="s">
        <v>1079</v>
      </c>
    </row>
    <row r="100" spans="1:23" ht="44.25">
      <c r="A100" s="54">
        <v>99</v>
      </c>
      <c r="B100" s="54">
        <f xml:space="preserve"> IF(MOD(韻母表_4[[#This Row],[序號]],2)=0, 韻母表_4[[#This Row],[序號]]/2, ROUNDUP(韻母表_4[[#This Row],[序號]]/2,0))</f>
        <v>50</v>
      </c>
      <c r="C100" s="55" t="s">
        <v>303</v>
      </c>
      <c r="D100" s="56" t="s">
        <v>160</v>
      </c>
      <c r="E100" s="86" t="s">
        <v>1363</v>
      </c>
      <c r="F100" s="86"/>
      <c r="G100" s="57" t="s">
        <v>239</v>
      </c>
      <c r="H100" s="57" t="s">
        <v>239</v>
      </c>
      <c r="I100" s="57" t="s">
        <v>1267</v>
      </c>
      <c r="J100" s="57" t="s">
        <v>796</v>
      </c>
      <c r="K100" s="57" t="s">
        <v>239</v>
      </c>
      <c r="L100" s="57" t="s">
        <v>1268</v>
      </c>
      <c r="M100" s="57" t="s">
        <v>1269</v>
      </c>
      <c r="R100" t="b">
        <f>IF(韻母表_4[[#This Row],[台羅拼音]]="", FALSE, ISNUMBER(FIND(RIGHT(韻母表_4[[#This Row],[台羅拼音]],1), "ptkh")))</f>
        <v>0</v>
      </c>
      <c r="S100" s="41">
        <f>IF(OR(韻母表_4[[#This Row],[台羅拼音]]="", R100=TRUE), "", LEN(韻母表_4[[#This Row],[台羅拼音]]))</f>
        <v>4</v>
      </c>
      <c r="T100" s="41" t="str">
        <f ca="1" xml:space="preserve"> IF(OR(韻母表_4[[#This Row],[台羅拼音]]="", $R100=TRUE), "", _xlfn.CONCAT("    ", "- xform/", 韻母表_4[[#This Row],[台羅拼音]], "([48?])/", OFFSET(韻母表_4[[#This Row],[台羅拼音]],1,0), "$1", "/    # ", LEFT(韻母表_4[[#This Row],[十五音]],1)))</f>
        <v xml:space="preserve">    - xform/iunn([48?])/iunnh$1/    # 牛</v>
      </c>
      <c r="U100" s="41" t="str">
        <f ca="1" xml:space="preserve"> IF(OR(韻母表_4[[#This Row],[台羅拼音]]="", R100=TRUE), "", _xlfn.CONCAT("    ", "- xform/", 韻母表_4[[#This Row],[台羅拼音]], "([48])/", OFFSET(韻母表_4[[#This Row],[台羅拼音]],1,0), "$1", "/    # ", LEFT(韻母表_4[[#This Row],[十五音]],1)))</f>
        <v xml:space="preserve">    - xform/iunn([48])/iunnh$1/    # 牛</v>
      </c>
      <c r="W100" s="41" t="s">
        <v>1466</v>
      </c>
    </row>
    <row r="101" spans="1:23" ht="44.25">
      <c r="A101" s="67">
        <v>100</v>
      </c>
      <c r="B101" s="67">
        <f xml:space="preserve"> IF(MOD(韻母表_4[[#This Row],[序號]],2)=0, 韻母表_4[[#This Row],[序號]]/2, ROUNDUP(韻母表_4[[#This Row],[序號]]/2,0))</f>
        <v>50</v>
      </c>
      <c r="C101" s="68"/>
      <c r="D101" s="90" t="s">
        <v>161</v>
      </c>
      <c r="E101" s="91" t="s">
        <v>1369</v>
      </c>
      <c r="F101" s="91"/>
      <c r="G101" s="92" t="s">
        <v>810</v>
      </c>
      <c r="H101" s="92" t="s">
        <v>810</v>
      </c>
      <c r="I101" s="92" t="s">
        <v>1270</v>
      </c>
      <c r="J101" s="92" t="s">
        <v>1264</v>
      </c>
      <c r="K101" s="92" t="s">
        <v>810</v>
      </c>
      <c r="L101" s="92" t="s">
        <v>1271</v>
      </c>
      <c r="M101" s="92" t="s">
        <v>1272</v>
      </c>
      <c r="R101" t="b">
        <f>IF(韻母表_4[[#This Row],[台羅拼音]]="", FALSE, ISNUMBER(FIND(RIGHT(韻母表_4[[#This Row],[台羅拼音]],1), "ptkh")))</f>
        <v>1</v>
      </c>
      <c r="S101" s="41" t="str">
        <f>IF(OR(韻母表_4[[#This Row],[台羅拼音]]="", R101=TRUE), "", LEN(韻母表_4[[#This Row],[台羅拼音]]))</f>
        <v/>
      </c>
      <c r="T101" s="41" t="str">
        <f ca="1" xml:space="preserve"> IF(OR(韻母表_4[[#This Row],[台羅拼音]]="", $R101=TRUE), "", _xlfn.CONCAT("    ", "- xform/", 韻母表_4[[#This Row],[台羅拼音]], "([48?])/", OFFSET(韻母表_4[[#This Row],[台羅拼音]],1,0), "$1", "/    # ", LEFT(韻母表_4[[#This Row],[十五音]],1)))</f>
        <v/>
      </c>
      <c r="U101" s="41" t="str">
        <f ca="1" xml:space="preserve"> IF(OR(韻母表_4[[#This Row],[台羅拼音]]="", R101=TRUE), "", _xlfn.CONCAT("    ", "- xform/", 韻母表_4[[#This Row],[台羅拼音]], "([48])/", OFFSET(韻母表_4[[#This Row],[台羅拼音]],1,0), "$1", "/    # ", LEFT(韻母表_4[[#This Row],[十五音]],1)))</f>
        <v/>
      </c>
      <c r="W101" s="41" t="s">
        <v>1079</v>
      </c>
    </row>
    <row r="102" spans="1:23" ht="44.25">
      <c r="A102" s="54">
        <v>101</v>
      </c>
      <c r="B102" s="54"/>
      <c r="C102" s="55"/>
      <c r="D102" s="63"/>
      <c r="E102" s="98" t="s">
        <v>1396</v>
      </c>
      <c r="F102" s="86"/>
      <c r="G102" s="57" t="s">
        <v>1393</v>
      </c>
      <c r="H102" s="57"/>
      <c r="I102" s="57" t="s">
        <v>1399</v>
      </c>
      <c r="J102" s="57" t="s">
        <v>1079</v>
      </c>
      <c r="K102" s="57" t="s">
        <v>1079</v>
      </c>
      <c r="L102" s="57" t="s">
        <v>1125</v>
      </c>
      <c r="M102" s="57"/>
      <c r="R102" t="b">
        <f>IF(韻母表_4[[#This Row],[台羅拼音]]="", FALSE, ISNUMBER(FIND(RIGHT(韻母表_4[[#This Row],[台羅拼音]],1), "ptkh")))</f>
        <v>0</v>
      </c>
      <c r="S102" s="41">
        <f>IF(OR(韻母表_4[[#This Row],[台羅拼音]]="", R102=TRUE), "", LEN(韻母表_4[[#This Row],[台羅拼音]]))</f>
        <v>2</v>
      </c>
      <c r="T102" s="41" t="str">
        <f ca="1" xml:space="preserve"> IF(OR(韻母表_4[[#This Row],[台羅拼音]]="", $R102=TRUE), "", _xlfn.CONCAT("    ", "- xform/", 韻母表_4[[#This Row],[台羅拼音]], "([48?])/", OFFSET(韻母表_4[[#This Row],[台羅拼音]],1,0), "$1", "/    # ", LEFT(韻母表_4[[#This Row],[十五音]],1)))</f>
        <v xml:space="preserve">    - xform/er([48?])/ir$1/    # </v>
      </c>
      <c r="U102" s="41" t="str">
        <f ca="1" xml:space="preserve"> IF(OR(韻母表_4[[#This Row],[台羅拼音]]="", R102=TRUE), "", _xlfn.CONCAT("    ", "- xform/", 韻母表_4[[#This Row],[台羅拼音]], "([48])/", OFFSET(韻母表_4[[#This Row],[台羅拼音]],1,0), "$1", "/    # ", LEFT(韻母表_4[[#This Row],[十五音]],1)))</f>
        <v xml:space="preserve">    - xform/er([48])/ir$1/    # </v>
      </c>
      <c r="W102" s="41" t="s">
        <v>1467</v>
      </c>
    </row>
    <row r="103" spans="1:23" ht="44.25">
      <c r="A103" s="67">
        <v>102</v>
      </c>
      <c r="B103" s="67"/>
      <c r="C103" s="68"/>
      <c r="D103" s="97"/>
      <c r="E103" s="100" t="s">
        <v>1395</v>
      </c>
      <c r="F103" s="98"/>
      <c r="G103" s="99" t="s">
        <v>1394</v>
      </c>
      <c r="H103" s="99"/>
      <c r="I103" s="99" t="s">
        <v>1400</v>
      </c>
      <c r="J103" s="99"/>
      <c r="K103" s="99"/>
      <c r="L103" s="99" t="s">
        <v>1397</v>
      </c>
      <c r="M103" s="99"/>
      <c r="R103" t="b">
        <f>IF(韻母表_4[[#This Row],[台羅拼音]]="", FALSE, ISNUMBER(FIND(RIGHT(韻母表_4[[#This Row],[台羅拼音]],1), "ptkh")))</f>
        <v>0</v>
      </c>
      <c r="S103" s="41">
        <f>IF(OR(韻母表_4[[#This Row],[台羅拼音]]="", R103=TRUE), "", LEN(韻母表_4[[#This Row],[台羅拼音]]))</f>
        <v>2</v>
      </c>
      <c r="T103" s="41" t="str">
        <f ca="1" xml:space="preserve"> IF(OR(韻母表_4[[#This Row],[台羅拼音]]="", $R103=TRUE), "", _xlfn.CONCAT("    ", "- xform/", 韻母表_4[[#This Row],[台羅拼音]], "([48?])/", OFFSET(韻母表_4[[#This Row],[台羅拼音]],1,0), "$1", "/    # ", LEFT(韻母表_4[[#This Row],[十五音]],1)))</f>
        <v xml:space="preserve">    - xform/ir([48?])/$1/    # </v>
      </c>
      <c r="U103" s="41" t="str">
        <f ca="1" xml:space="preserve"> IF(OR(韻母表_4[[#This Row],[台羅拼音]]="", R103=TRUE), "", _xlfn.CONCAT("    ", "- xform/", 韻母表_4[[#This Row],[台羅拼音]], "([48])/", OFFSET(韻母表_4[[#This Row],[台羅拼音]],1,0), "$1", "/    # ", LEFT(韻母表_4[[#This Row],[十五音]],1)))</f>
        <v xml:space="preserve">    - xform/ir([48])/$1/    # </v>
      </c>
      <c r="W103" s="41" t="s">
        <v>1468</v>
      </c>
    </row>
    <row r="104" spans="1:23" ht="44.25">
      <c r="A104" s="67"/>
      <c r="B104" s="67"/>
      <c r="C104" s="68"/>
      <c r="D104" s="101"/>
      <c r="E104" s="98"/>
      <c r="F104" s="98"/>
      <c r="G104" s="99"/>
      <c r="H104" s="102"/>
      <c r="I104" s="99"/>
      <c r="J104" s="102"/>
      <c r="K104" s="102"/>
      <c r="L104" s="102"/>
      <c r="M104" s="102"/>
      <c r="R104" t="b">
        <f>IF(韻母表_4[[#This Row],[台羅拼音]]="", FALSE, ISNUMBER(FIND(RIGHT(韻母表_4[[#This Row],[台羅拼音]],1), "ptkh")))</f>
        <v>0</v>
      </c>
      <c r="S104" s="41" t="str">
        <f>IF(OR(韻母表_4[[#This Row],[台羅拼音]]="", R104=TRUE), "", LEN(韻母表_4[[#This Row],[台羅拼音]]))</f>
        <v/>
      </c>
      <c r="T104" s="41" t="str">
        <f ca="1" xml:space="preserve"> IF(OR(韻母表_4[[#This Row],[台羅拼音]]="", $R104=TRUE), "", _xlfn.CONCAT("    ", "- xform/", 韻母表_4[[#This Row],[台羅拼音]], "([48?])/", OFFSET(韻母表_4[[#This Row],[台羅拼音]],1,0), "$1", "/    # ", LEFT(韻母表_4[[#This Row],[十五音]],1)))</f>
        <v/>
      </c>
      <c r="U104" s="41" t="str">
        <f ca="1" xml:space="preserve"> IF(OR(韻母表_4[[#This Row],[台羅拼音]]="", R104=TRUE), "", _xlfn.CONCAT("    ", "- xform/", 韻母表_4[[#This Row],[台羅拼音]], "([48])/", OFFSET(韻母表_4[[#This Row],[台羅拼音]],1,0), "$1", "/    # ", LEFT(韻母表_4[[#This Row],[十五音]],1)))</f>
        <v/>
      </c>
      <c r="W104" s="41" t="s">
        <v>1464</v>
      </c>
    </row>
  </sheetData>
  <phoneticPr fontId="2" type="noConversion"/>
  <conditionalFormatting sqref="A2:M102 A103:D103 F103:M103">
    <cfRule type="expression" dxfId="18" priority="22">
      <formula>MOD($B2,2)&lt;&gt;0</formula>
    </cfRule>
    <cfRule type="expression" dxfId="17" priority="23">
      <formula>MOD($A2,2)&lt;&gt;0</formula>
    </cfRule>
    <cfRule type="expression" dxfId="16" priority="24">
      <formula>MOD($A2,2)=0</formula>
    </cfRule>
  </conditionalFormatting>
  <conditionalFormatting sqref="A102:M102 A103:D103 F103:M103">
    <cfRule type="expression" dxfId="15" priority="19">
      <formula>MOD($B102,2)&lt;&gt;0</formula>
    </cfRule>
    <cfRule type="expression" dxfId="14" priority="20">
      <formula>MOD($A102,2)&lt;&gt;0</formula>
    </cfRule>
    <cfRule type="expression" dxfId="13" priority="21">
      <formula>MOD($A102,2)=0</formula>
    </cfRule>
  </conditionalFormatting>
  <conditionalFormatting sqref="E103">
    <cfRule type="expression" dxfId="12" priority="7">
      <formula>MOD($B103,2)&lt;&gt;0</formula>
    </cfRule>
    <cfRule type="expression" dxfId="11" priority="8">
      <formula>MOD($A103,2)&lt;&gt;0</formula>
    </cfRule>
    <cfRule type="expression" dxfId="10" priority="9">
      <formula>MOD($A103,2)=0</formula>
    </cfRule>
    <cfRule type="expression" dxfId="9" priority="10">
      <formula>MOD($B103,2)&lt;&gt;0</formula>
    </cfRule>
    <cfRule type="expression" dxfId="8" priority="11">
      <formula>MOD($A103,2)&lt;&gt;0</formula>
    </cfRule>
    <cfRule type="expression" dxfId="7" priority="12">
      <formula>MOD($A103,2)=0</formula>
    </cfRule>
  </conditionalFormatting>
  <conditionalFormatting sqref="I104">
    <cfRule type="expression" dxfId="6" priority="1">
      <formula>MOD($B104,2)&lt;&gt;0</formula>
    </cfRule>
    <cfRule type="expression" dxfId="5" priority="2">
      <formula>MOD($A104,2)&lt;&gt;0</formula>
    </cfRule>
    <cfRule type="expression" dxfId="4" priority="3">
      <formula>MOD($A104,2)=0</formula>
    </cfRule>
    <cfRule type="expression" dxfId="3" priority="4">
      <formula>MOD($B104,2)&lt;&gt;0</formula>
    </cfRule>
    <cfRule type="expression" dxfId="2" priority="5">
      <formula>MOD($A104,2)&lt;&gt;0</formula>
    </cfRule>
    <cfRule type="expression" dxfId="1" priority="6">
      <formula>MOD($A104,2)=0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DC818-4576-4836-ADCE-5368C6C31AFB}">
  <dimension ref="A1:E104"/>
  <sheetViews>
    <sheetView workbookViewId="0">
      <selection sqref="A1:B1048576"/>
    </sheetView>
  </sheetViews>
  <sheetFormatPr defaultRowHeight="16.5"/>
  <cols>
    <col min="2" max="2" width="42" customWidth="1"/>
    <col min="5" max="5" width="39.5" customWidth="1"/>
  </cols>
  <sheetData>
    <row r="1" spans="1:5" ht="22.5">
      <c r="A1" t="s">
        <v>1469</v>
      </c>
      <c r="B1" s="41" t="s">
        <v>1472</v>
      </c>
    </row>
    <row r="2" spans="1:5">
      <c r="A2">
        <v>2</v>
      </c>
      <c r="B2" t="s">
        <v>1473</v>
      </c>
      <c r="D2" cm="1">
        <f t="array" ref="D2:E49">_xlfn._xlws.SORT(_xlfn._xlws.FILTER(A2:B104, (B2:B104&lt;&gt;"")*(A2:A104&lt;&gt;""), "無資料"), 1, -1)</f>
        <v>5</v>
      </c>
      <c r="E2" t="str">
        <v xml:space="preserve">    - xform/uainn([48?])/uainnh$1/    # 閂</v>
      </c>
    </row>
    <row r="3" spans="1:5">
      <c r="A3" t="s">
        <v>1079</v>
      </c>
      <c r="B3" t="s">
        <v>1474</v>
      </c>
      <c r="D3">
        <v>5</v>
      </c>
      <c r="E3" t="str">
        <v xml:space="preserve">    - xform/iaunn([48?])/$1/    # 嘄</v>
      </c>
    </row>
    <row r="4" spans="1:5">
      <c r="A4">
        <v>3</v>
      </c>
      <c r="B4" t="s">
        <v>1475</v>
      </c>
      <c r="D4">
        <v>4</v>
      </c>
      <c r="E4" t="str">
        <v xml:space="preserve">    - xform/iong([48?])/iok$1/    # 恭</v>
      </c>
    </row>
    <row r="5" spans="1:5">
      <c r="A5" t="s">
        <v>1079</v>
      </c>
      <c r="B5" t="s">
        <v>1476</v>
      </c>
      <c r="D5">
        <v>4</v>
      </c>
      <c r="E5" t="str">
        <v xml:space="preserve">    - xform/iang([48?])/iak$1/    # 姜</v>
      </c>
    </row>
    <row r="6" spans="1:5">
      <c r="A6">
        <v>2</v>
      </c>
      <c r="B6" t="s">
        <v>1477</v>
      </c>
      <c r="D6">
        <v>4</v>
      </c>
      <c r="E6" t="str">
        <v xml:space="preserve">    - xform/uinn([48?])/$1/    # 褌</v>
      </c>
    </row>
    <row r="7" spans="1:5">
      <c r="A7" t="s">
        <v>1079</v>
      </c>
      <c r="B7" t="s">
        <v>1478</v>
      </c>
      <c r="D7">
        <v>4</v>
      </c>
      <c r="E7" t="str">
        <v xml:space="preserve">    - xform/ionn([48?])/$1/    # 薑</v>
      </c>
    </row>
    <row r="8" spans="1:5">
      <c r="A8">
        <v>2</v>
      </c>
      <c r="B8" t="s">
        <v>1479</v>
      </c>
      <c r="D8">
        <v>4</v>
      </c>
      <c r="E8" t="str">
        <v xml:space="preserve">    - xform/iann([48?])/iannh$1/    # 驚</v>
      </c>
    </row>
    <row r="9" spans="1:5">
      <c r="A9" t="s">
        <v>1079</v>
      </c>
      <c r="B9" t="s">
        <v>1079</v>
      </c>
      <c r="D9">
        <v>4</v>
      </c>
      <c r="E9" t="str">
        <v xml:space="preserve">    - xform/uann([48?])/$1/    # 官</v>
      </c>
    </row>
    <row r="10" spans="1:5">
      <c r="A10">
        <v>2</v>
      </c>
      <c r="B10" t="s">
        <v>1480</v>
      </c>
      <c r="D10">
        <v>4</v>
      </c>
      <c r="E10" t="str">
        <v xml:space="preserve">    - xform/ainn([48?])/$1/    # 閒</v>
      </c>
    </row>
    <row r="11" spans="1:5">
      <c r="A11" t="s">
        <v>1079</v>
      </c>
      <c r="B11" t="s">
        <v>1481</v>
      </c>
      <c r="D11">
        <v>4</v>
      </c>
      <c r="E11" t="str">
        <v xml:space="preserve">    - xform/uang([48?])/$1/    # 光</v>
      </c>
    </row>
    <row r="12" spans="1:5">
      <c r="A12">
        <v>2</v>
      </c>
      <c r="B12" t="s">
        <v>1482</v>
      </c>
      <c r="D12">
        <v>4</v>
      </c>
      <c r="E12" t="str">
        <v xml:space="preserve">    - xform/iunn([48?])/iunnh$1/    # 牛</v>
      </c>
    </row>
    <row r="13" spans="1:5">
      <c r="A13" t="s">
        <v>1079</v>
      </c>
      <c r="B13" t="s">
        <v>1483</v>
      </c>
      <c r="D13">
        <v>3</v>
      </c>
      <c r="E13" t="str">
        <v xml:space="preserve">    - xform/ian([48?])/iat$1/    # 堅</v>
      </c>
    </row>
    <row r="14" spans="1:5">
      <c r="A14">
        <v>3</v>
      </c>
      <c r="B14" t="s">
        <v>1484</v>
      </c>
      <c r="D14">
        <v>3</v>
      </c>
      <c r="E14" t="str">
        <v xml:space="preserve">    - xform/ong([48?])/ok$1/    # 公</v>
      </c>
    </row>
    <row r="15" spans="1:5">
      <c r="A15" t="s">
        <v>1079</v>
      </c>
      <c r="B15" t="s">
        <v>1485</v>
      </c>
      <c r="D15">
        <v>3</v>
      </c>
      <c r="E15" t="str">
        <v xml:space="preserve">    - xform/uai([48?])/uaih$1/    # 乖</v>
      </c>
    </row>
    <row r="16" spans="1:5">
      <c r="A16">
        <v>3</v>
      </c>
      <c r="B16" t="s">
        <v>1486</v>
      </c>
      <c r="D16">
        <v>3</v>
      </c>
      <c r="E16" t="str">
        <v xml:space="preserve">    - xform/ing([48?])/ik$1/    # 經</v>
      </c>
    </row>
    <row r="17" spans="1:5">
      <c r="A17" t="s">
        <v>1079</v>
      </c>
      <c r="B17" t="s">
        <v>1487</v>
      </c>
      <c r="D17">
        <v>3</v>
      </c>
      <c r="E17" t="str">
        <v xml:space="preserve">    - xform/uan([48?])/uat$1/    # 觀</v>
      </c>
    </row>
    <row r="18" spans="1:5">
      <c r="A18">
        <v>3</v>
      </c>
      <c r="B18" t="s">
        <v>1488</v>
      </c>
      <c r="D18">
        <v>3</v>
      </c>
      <c r="E18" t="str">
        <v xml:space="preserve">    - xform/iau([48?])/iauh$1/    # 嬌</v>
      </c>
    </row>
    <row r="19" spans="1:5">
      <c r="A19" t="s">
        <v>1079</v>
      </c>
      <c r="B19" t="s">
        <v>1489</v>
      </c>
      <c r="D19">
        <v>3</v>
      </c>
      <c r="E19" t="str">
        <v xml:space="preserve">    - xform/ang([48?])/ak$1/    # 江</v>
      </c>
    </row>
    <row r="20" spans="1:5">
      <c r="A20">
        <v>3</v>
      </c>
      <c r="B20" t="s">
        <v>1490</v>
      </c>
      <c r="D20">
        <v>3</v>
      </c>
      <c r="E20" t="str">
        <v xml:space="preserve">    - xform/iam([48?])/iap$1/    # 兼</v>
      </c>
    </row>
    <row r="21" spans="1:5">
      <c r="A21" t="s">
        <v>1079</v>
      </c>
      <c r="B21" t="s">
        <v>1491</v>
      </c>
      <c r="D21">
        <v>3</v>
      </c>
      <c r="E21" t="str">
        <v xml:space="preserve">    - xform/ann([48?])/annh$1/    # 監</v>
      </c>
    </row>
    <row r="22" spans="1:5">
      <c r="A22">
        <v>2</v>
      </c>
      <c r="B22" t="s">
        <v>1492</v>
      </c>
      <c r="D22">
        <v>3</v>
      </c>
      <c r="E22" t="str">
        <v xml:space="preserve">    - xform/enn([48?])/ennh$1/    # 更</v>
      </c>
    </row>
    <row r="23" spans="1:5">
      <c r="A23" t="s">
        <v>1079</v>
      </c>
      <c r="B23" t="s">
        <v>1493</v>
      </c>
      <c r="D23">
        <v>3</v>
      </c>
      <c r="E23" t="str">
        <v xml:space="preserve">    - xform/inn([48?])/$1/    # 梔</v>
      </c>
    </row>
    <row r="24" spans="1:5">
      <c r="A24">
        <v>3</v>
      </c>
      <c r="B24" t="s">
        <v>1494</v>
      </c>
      <c r="D24">
        <v>3</v>
      </c>
      <c r="E24" t="str">
        <v xml:space="preserve">    - xform/onn([48?])/$1/    # 姑</v>
      </c>
    </row>
    <row r="25" spans="1:5">
      <c r="A25" t="s">
        <v>1079</v>
      </c>
      <c r="B25" t="s">
        <v>1495</v>
      </c>
      <c r="D25">
        <v>2</v>
      </c>
      <c r="E25" t="str">
        <v xml:space="preserve">    - xform/un([48?])/ut$1/    # 君</v>
      </c>
    </row>
    <row r="26" spans="1:5">
      <c r="A26">
        <v>1</v>
      </c>
      <c r="B26" t="s">
        <v>1496</v>
      </c>
      <c r="D26">
        <v>2</v>
      </c>
      <c r="E26" t="str">
        <v xml:space="preserve">    - xform/im([48?])/ip$1/    # 金</v>
      </c>
    </row>
    <row r="27" spans="1:5">
      <c r="A27" t="s">
        <v>1079</v>
      </c>
      <c r="B27" t="s">
        <v>1079</v>
      </c>
      <c r="D27">
        <v>2</v>
      </c>
      <c r="E27" t="str">
        <v xml:space="preserve">    - xform/ui([48?])/$1/    # 規</v>
      </c>
    </row>
    <row r="28" spans="1:5">
      <c r="A28">
        <v>4</v>
      </c>
      <c r="B28" t="s">
        <v>1497</v>
      </c>
      <c r="D28">
        <v>2</v>
      </c>
      <c r="E28" t="str">
        <v xml:space="preserve">    - xform/ee([48?])/eeh$1/    # 嘉</v>
      </c>
    </row>
    <row r="29" spans="1:5">
      <c r="A29" t="s">
        <v>1079</v>
      </c>
      <c r="B29" t="s">
        <v>1498</v>
      </c>
      <c r="D29">
        <v>2</v>
      </c>
      <c r="E29" t="str">
        <v xml:space="preserve">    - xform/an([48?])/at$1/    # 干</v>
      </c>
    </row>
    <row r="30" spans="1:5">
      <c r="A30">
        <v>1</v>
      </c>
      <c r="B30" t="s">
        <v>1499</v>
      </c>
      <c r="D30">
        <v>2</v>
      </c>
      <c r="E30" t="str">
        <v xml:space="preserve">    - xform/oo([48?])/ooh$1/    # 沽</v>
      </c>
    </row>
    <row r="31" spans="1:5">
      <c r="A31" t="s">
        <v>1079</v>
      </c>
      <c r="B31" t="s">
        <v>1500</v>
      </c>
      <c r="D31">
        <v>2</v>
      </c>
      <c r="E31" t="str">
        <v xml:space="preserve">    - xform/ai([48?])/$1/    # 皆</v>
      </c>
    </row>
    <row r="32" spans="1:5">
      <c r="A32">
        <v>2</v>
      </c>
      <c r="B32" t="s">
        <v>1501</v>
      </c>
      <c r="D32">
        <v>2</v>
      </c>
      <c r="E32" t="str">
        <v xml:space="preserve">    - xform/in([48?])/it$1/    # 巾</v>
      </c>
    </row>
    <row r="33" spans="1:5">
      <c r="A33" t="s">
        <v>1079</v>
      </c>
      <c r="B33" t="s">
        <v>1079</v>
      </c>
      <c r="D33">
        <v>2</v>
      </c>
      <c r="E33" t="str">
        <v xml:space="preserve">    - xform/am([48?])/ap$1/    # 甘</v>
      </c>
    </row>
    <row r="34" spans="1:5">
      <c r="A34">
        <v>2</v>
      </c>
      <c r="B34" t="s">
        <v>1502</v>
      </c>
      <c r="D34">
        <v>2</v>
      </c>
      <c r="E34" t="str">
        <v xml:space="preserve">    - xform/ua([48?])/uah$1/    # 瓜</v>
      </c>
    </row>
    <row r="35" spans="1:5">
      <c r="A35" t="s">
        <v>1079</v>
      </c>
      <c r="B35" t="s">
        <v>1503</v>
      </c>
      <c r="D35">
        <v>2</v>
      </c>
      <c r="E35" t="str">
        <v xml:space="preserve">    - xform/au([48?])/auh$1/    # 交</v>
      </c>
    </row>
    <row r="36" spans="1:5">
      <c r="A36">
        <v>4</v>
      </c>
      <c r="B36" t="s">
        <v>1504</v>
      </c>
      <c r="D36">
        <v>2</v>
      </c>
      <c r="E36" t="str">
        <v xml:space="preserve">    - xform/ia([48?])/iah$1/    # 迦</v>
      </c>
    </row>
    <row r="37" spans="1:5">
      <c r="A37" t="s">
        <v>1079</v>
      </c>
      <c r="B37" t="s">
        <v>1505</v>
      </c>
      <c r="D37">
        <v>2</v>
      </c>
      <c r="E37" t="str">
        <v xml:space="preserve">    - xform/ue([48?])/ueh$1/    # 檜</v>
      </c>
    </row>
    <row r="38" spans="1:5">
      <c r="A38">
        <v>2</v>
      </c>
      <c r="B38" t="s">
        <v>1506</v>
      </c>
      <c r="D38">
        <v>2</v>
      </c>
      <c r="E38" t="str">
        <v xml:space="preserve">    - xform/iu([48?])/$1/    # 丩</v>
      </c>
    </row>
    <row r="39" spans="1:5">
      <c r="A39" t="s">
        <v>1079</v>
      </c>
      <c r="B39" t="s">
        <v>1507</v>
      </c>
      <c r="D39">
        <v>2</v>
      </c>
      <c r="E39" t="str">
        <v xml:space="preserve">    - xform/io([48?])/ioh$1/    # 茄</v>
      </c>
    </row>
    <row r="40" spans="1:5">
      <c r="A40">
        <v>2</v>
      </c>
      <c r="B40" t="s">
        <v>1508</v>
      </c>
      <c r="D40">
        <v>2</v>
      </c>
      <c r="E40" t="str">
        <v xml:space="preserve">    - xform/ng([48?])/ngh$1/    # 鋼</v>
      </c>
    </row>
    <row r="41" spans="1:5">
      <c r="A41" t="s">
        <v>1079</v>
      </c>
      <c r="B41" t="s">
        <v>1509</v>
      </c>
      <c r="D41">
        <v>2</v>
      </c>
      <c r="E41" t="str">
        <v xml:space="preserve">    - xform/om([48?])/op$1/    # 箴</v>
      </c>
    </row>
    <row r="42" spans="1:5">
      <c r="A42">
        <v>3</v>
      </c>
      <c r="B42" t="s">
        <v>1510</v>
      </c>
      <c r="D42">
        <v>2</v>
      </c>
      <c r="E42" t="str">
        <v xml:space="preserve">    - xform/er([48?])/ir$1/    # </v>
      </c>
    </row>
    <row r="43" spans="1:5">
      <c r="A43" t="s">
        <v>1079</v>
      </c>
      <c r="B43" t="s">
        <v>1511</v>
      </c>
      <c r="D43">
        <v>2</v>
      </c>
      <c r="E43" t="str">
        <v xml:space="preserve">    - xform/ir([48?])/$1/    # </v>
      </c>
    </row>
    <row r="44" spans="1:5">
      <c r="A44">
        <v>3</v>
      </c>
      <c r="B44" t="s">
        <v>1512</v>
      </c>
      <c r="D44">
        <v>1</v>
      </c>
      <c r="E44" t="str">
        <v xml:space="preserve">    - xform/e([48?])/$1/    # 稽</v>
      </c>
    </row>
    <row r="45" spans="1:5">
      <c r="A45" t="s">
        <v>1079</v>
      </c>
      <c r="B45" t="s">
        <v>1513</v>
      </c>
      <c r="D45">
        <v>1</v>
      </c>
      <c r="E45" t="str">
        <v xml:space="preserve">    - xform/o([48?])/oh$1/    # 高</v>
      </c>
    </row>
    <row r="46" spans="1:5">
      <c r="A46">
        <v>2</v>
      </c>
      <c r="B46" t="s">
        <v>1514</v>
      </c>
      <c r="D46">
        <v>1</v>
      </c>
      <c r="E46" t="str">
        <v xml:space="preserve">    - xform/u([48?])/uh$1/    # 艍</v>
      </c>
    </row>
    <row r="47" spans="1:5">
      <c r="A47" t="s">
        <v>1079</v>
      </c>
      <c r="B47" t="s">
        <v>1515</v>
      </c>
      <c r="D47">
        <v>1</v>
      </c>
      <c r="E47" t="str">
        <v xml:space="preserve">    - xform/a([48?])/ah$1/    # 膠</v>
      </c>
    </row>
    <row r="48" spans="1:5">
      <c r="A48">
        <v>2</v>
      </c>
      <c r="B48" t="s">
        <v>1516</v>
      </c>
      <c r="D48">
        <v>1</v>
      </c>
      <c r="E48" t="str">
        <v xml:space="preserve">    - xform/i([48?])/ih$1/    # 居</v>
      </c>
    </row>
    <row r="49" spans="1:5">
      <c r="A49" t="s">
        <v>1079</v>
      </c>
      <c r="B49" t="s">
        <v>1517</v>
      </c>
      <c r="D49">
        <v>1</v>
      </c>
      <c r="E49" t="str">
        <v xml:space="preserve">    - xform/m([48?])/mh$1/    # 姆</v>
      </c>
    </row>
    <row r="50" spans="1:5">
      <c r="A50">
        <v>2</v>
      </c>
      <c r="B50" t="s">
        <v>1518</v>
      </c>
    </row>
    <row r="51" spans="1:5">
      <c r="A51" t="s">
        <v>1079</v>
      </c>
      <c r="B51" t="s">
        <v>1519</v>
      </c>
    </row>
    <row r="52" spans="1:5">
      <c r="A52">
        <v>3</v>
      </c>
      <c r="B52" t="s">
        <v>1520</v>
      </c>
    </row>
    <row r="53" spans="1:5">
      <c r="A53" t="s">
        <v>1079</v>
      </c>
      <c r="B53" t="s">
        <v>1521</v>
      </c>
    </row>
    <row r="54" spans="1:5">
      <c r="A54">
        <v>1</v>
      </c>
      <c r="B54" t="s">
        <v>1522</v>
      </c>
    </row>
    <row r="55" spans="1:5">
      <c r="A55" t="s">
        <v>1079</v>
      </c>
      <c r="B55" t="s">
        <v>1523</v>
      </c>
    </row>
    <row r="56" spans="1:5">
      <c r="A56">
        <v>1</v>
      </c>
      <c r="B56" t="s">
        <v>1524</v>
      </c>
    </row>
    <row r="57" spans="1:5">
      <c r="A57" t="s">
        <v>1079</v>
      </c>
      <c r="B57" t="s">
        <v>1525</v>
      </c>
    </row>
    <row r="58" spans="1:5">
      <c r="A58">
        <v>1</v>
      </c>
      <c r="B58" t="s">
        <v>1526</v>
      </c>
    </row>
    <row r="59" spans="1:5">
      <c r="A59" t="s">
        <v>1079</v>
      </c>
      <c r="B59" t="s">
        <v>1527</v>
      </c>
    </row>
    <row r="60" spans="1:5">
      <c r="A60">
        <v>2</v>
      </c>
      <c r="B60" t="s">
        <v>1528</v>
      </c>
    </row>
    <row r="61" spans="1:5">
      <c r="A61" t="s">
        <v>1079</v>
      </c>
      <c r="B61" t="s">
        <v>1079</v>
      </c>
    </row>
    <row r="62" spans="1:5">
      <c r="A62">
        <v>3</v>
      </c>
      <c r="B62" t="s">
        <v>1529</v>
      </c>
    </row>
    <row r="63" spans="1:5">
      <c r="A63" t="s">
        <v>1079</v>
      </c>
      <c r="B63" t="s">
        <v>1530</v>
      </c>
    </row>
    <row r="64" spans="1:5">
      <c r="A64">
        <v>4</v>
      </c>
      <c r="B64" t="s">
        <v>1531</v>
      </c>
    </row>
    <row r="65" spans="1:2">
      <c r="A65" t="s">
        <v>1079</v>
      </c>
      <c r="B65" t="s">
        <v>1079</v>
      </c>
    </row>
    <row r="66" spans="1:2">
      <c r="A66">
        <v>2</v>
      </c>
      <c r="B66" t="s">
        <v>1532</v>
      </c>
    </row>
    <row r="67" spans="1:2">
      <c r="A67" t="s">
        <v>1079</v>
      </c>
      <c r="B67" t="s">
        <v>1533</v>
      </c>
    </row>
    <row r="68" spans="1:2">
      <c r="A68">
        <v>3</v>
      </c>
      <c r="B68" t="s">
        <v>1534</v>
      </c>
    </row>
    <row r="69" spans="1:2">
      <c r="A69" t="s">
        <v>1079</v>
      </c>
      <c r="B69" t="s">
        <v>1079</v>
      </c>
    </row>
    <row r="70" spans="1:2">
      <c r="A70">
        <v>4</v>
      </c>
      <c r="B70" t="s">
        <v>1535</v>
      </c>
    </row>
    <row r="71" spans="1:2">
      <c r="A71" t="s">
        <v>1079</v>
      </c>
      <c r="B71" t="s">
        <v>1079</v>
      </c>
    </row>
    <row r="72" spans="1:2">
      <c r="A72">
        <v>4</v>
      </c>
      <c r="B72" t="s">
        <v>1536</v>
      </c>
    </row>
    <row r="73" spans="1:2">
      <c r="A73" t="s">
        <v>1079</v>
      </c>
      <c r="B73" t="s">
        <v>1537</v>
      </c>
    </row>
    <row r="74" spans="1:2">
      <c r="A74">
        <v>4</v>
      </c>
      <c r="B74" t="s">
        <v>1538</v>
      </c>
    </row>
    <row r="75" spans="1:2">
      <c r="A75" t="s">
        <v>1079</v>
      </c>
      <c r="B75" t="s">
        <v>1079</v>
      </c>
    </row>
    <row r="76" spans="1:2">
      <c r="A76">
        <v>2</v>
      </c>
      <c r="B76" t="s">
        <v>1539</v>
      </c>
    </row>
    <row r="77" spans="1:2">
      <c r="A77" t="s">
        <v>1079</v>
      </c>
      <c r="B77" t="s">
        <v>1540</v>
      </c>
    </row>
    <row r="78" spans="1:2">
      <c r="A78" t="s">
        <v>1079</v>
      </c>
      <c r="B78" t="s">
        <v>1079</v>
      </c>
    </row>
    <row r="79" spans="1:2">
      <c r="A79" t="s">
        <v>1079</v>
      </c>
      <c r="B79" t="s">
        <v>1541</v>
      </c>
    </row>
    <row r="80" spans="1:2">
      <c r="A80">
        <v>4</v>
      </c>
      <c r="B80" t="s">
        <v>1542</v>
      </c>
    </row>
    <row r="81" spans="1:2">
      <c r="A81" t="s">
        <v>1079</v>
      </c>
      <c r="B81" t="s">
        <v>1079</v>
      </c>
    </row>
    <row r="82" spans="1:2">
      <c r="A82">
        <v>3</v>
      </c>
      <c r="B82" t="s">
        <v>1543</v>
      </c>
    </row>
    <row r="83" spans="1:2">
      <c r="A83" t="s">
        <v>1079</v>
      </c>
      <c r="B83" t="s">
        <v>1079</v>
      </c>
    </row>
    <row r="84" spans="1:2">
      <c r="A84">
        <v>1</v>
      </c>
      <c r="B84" t="s">
        <v>1544</v>
      </c>
    </row>
    <row r="85" spans="1:2">
      <c r="A85" t="s">
        <v>1079</v>
      </c>
      <c r="B85" t="s">
        <v>1545</v>
      </c>
    </row>
    <row r="86" spans="1:2">
      <c r="A86">
        <v>4</v>
      </c>
      <c r="B86" t="s">
        <v>1546</v>
      </c>
    </row>
    <row r="87" spans="1:2">
      <c r="A87" t="s">
        <v>1079</v>
      </c>
      <c r="B87" t="s">
        <v>1079</v>
      </c>
    </row>
    <row r="88" spans="1:2">
      <c r="A88">
        <v>5</v>
      </c>
      <c r="B88" t="s">
        <v>1547</v>
      </c>
    </row>
    <row r="89" spans="1:2">
      <c r="A89" t="s">
        <v>1079</v>
      </c>
      <c r="B89" t="s">
        <v>1548</v>
      </c>
    </row>
    <row r="90" spans="1:2">
      <c r="A90" t="s">
        <v>1079</v>
      </c>
      <c r="B90" t="s">
        <v>1079</v>
      </c>
    </row>
    <row r="91" spans="1:2">
      <c r="A91" t="s">
        <v>1079</v>
      </c>
      <c r="B91" t="s">
        <v>1079</v>
      </c>
    </row>
    <row r="92" spans="1:2">
      <c r="A92">
        <v>5</v>
      </c>
      <c r="B92" t="s">
        <v>1549</v>
      </c>
    </row>
    <row r="93" spans="1:2">
      <c r="A93" t="s">
        <v>1079</v>
      </c>
      <c r="B93" t="s">
        <v>1079</v>
      </c>
    </row>
    <row r="94" spans="1:2">
      <c r="A94">
        <v>2</v>
      </c>
      <c r="B94" t="s">
        <v>1550</v>
      </c>
    </row>
    <row r="95" spans="1:2">
      <c r="A95" t="s">
        <v>1079</v>
      </c>
      <c r="B95" t="s">
        <v>1551</v>
      </c>
    </row>
    <row r="96" spans="1:2">
      <c r="A96" t="s">
        <v>1079</v>
      </c>
      <c r="B96" t="s">
        <v>1079</v>
      </c>
    </row>
    <row r="97" spans="1:2">
      <c r="A97" t="s">
        <v>1079</v>
      </c>
      <c r="B97" t="s">
        <v>1079</v>
      </c>
    </row>
    <row r="98" spans="1:2">
      <c r="A98" t="s">
        <v>1079</v>
      </c>
      <c r="B98" t="s">
        <v>1079</v>
      </c>
    </row>
    <row r="99" spans="1:2">
      <c r="A99" t="s">
        <v>1079</v>
      </c>
      <c r="B99" t="s">
        <v>1552</v>
      </c>
    </row>
    <row r="100" spans="1:2">
      <c r="A100">
        <v>4</v>
      </c>
      <c r="B100" t="s">
        <v>1553</v>
      </c>
    </row>
    <row r="101" spans="1:2">
      <c r="A101" t="s">
        <v>1079</v>
      </c>
      <c r="B101" t="s">
        <v>1554</v>
      </c>
    </row>
    <row r="102" spans="1:2">
      <c r="A102">
        <v>2</v>
      </c>
      <c r="B102" t="s">
        <v>1555</v>
      </c>
    </row>
    <row r="103" spans="1:2">
      <c r="A103">
        <v>2</v>
      </c>
      <c r="B103" t="s">
        <v>1556</v>
      </c>
    </row>
    <row r="104" spans="1:2">
      <c r="A104" t="s">
        <v>1079</v>
      </c>
      <c r="B104" t="s">
        <v>1079</v>
      </c>
    </row>
  </sheetData>
  <sortState xmlns:xlrd2="http://schemas.microsoft.com/office/spreadsheetml/2017/richdata2" ref="B2:B104">
    <sortCondition descending="1" ref="B2:B104"/>
  </sortState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13F26-C902-4A86-A09F-2B9413421306}">
  <dimension ref="A1:Y83"/>
  <sheetViews>
    <sheetView showGridLines="0" zoomScaleNormal="100" workbookViewId="0">
      <pane xSplit="5" ySplit="4" topLeftCell="F41" activePane="bottomRight" state="frozen"/>
      <selection pane="topRight" activeCell="C1" sqref="C1"/>
      <selection pane="bottomLeft" activeCell="A3" sqref="A3"/>
      <selection pane="bottomRight" activeCell="D59" sqref="D59:D60"/>
    </sheetView>
  </sheetViews>
  <sheetFormatPr defaultRowHeight="22.5"/>
  <cols>
    <col min="1" max="1" width="1" style="41" customWidth="1"/>
    <col min="2" max="2" width="6" style="41" customWidth="1"/>
    <col min="3" max="4" width="9.625" style="41" customWidth="1"/>
    <col min="5" max="23" width="9" style="41"/>
    <col min="24" max="25" width="9.625" style="41" customWidth="1"/>
    <col min="26" max="16384" width="9" style="41"/>
  </cols>
  <sheetData>
    <row r="1" spans="1:25" ht="9" customHeight="1"/>
    <row r="2" spans="1:25">
      <c r="B2" s="50"/>
      <c r="C2" s="50"/>
      <c r="D2" s="50"/>
      <c r="E2" s="50"/>
      <c r="F2" s="49">
        <v>1</v>
      </c>
      <c r="G2" s="49">
        <v>1</v>
      </c>
      <c r="H2" s="49">
        <f xml:space="preserve"> _xlfn.XLOOKUP(H$4, 聲母表[台羅拼音], 聲母表[序號])</f>
        <v>2</v>
      </c>
      <c r="I2" s="49">
        <v>3</v>
      </c>
      <c r="J2" s="49">
        <v>4</v>
      </c>
      <c r="K2" s="49">
        <v>5</v>
      </c>
      <c r="L2" s="49">
        <v>6</v>
      </c>
      <c r="M2" s="49">
        <f xml:space="preserve"> _xlfn.XLOOKUP(M$4, 聲母表[台羅拼音], 聲母表[序號])</f>
        <v>7</v>
      </c>
      <c r="N2" s="49">
        <v>8</v>
      </c>
      <c r="O2" s="49">
        <v>9</v>
      </c>
      <c r="P2" s="49">
        <v>10</v>
      </c>
      <c r="Q2" s="49">
        <v>11</v>
      </c>
      <c r="R2" s="49">
        <v>12</v>
      </c>
      <c r="S2" s="49">
        <v>12</v>
      </c>
      <c r="T2" s="49">
        <v>13</v>
      </c>
      <c r="U2" s="49">
        <f xml:space="preserve"> _xlfn.XLOOKUP(U$4, 聲母表[台羅拼音], 聲母表[序號])</f>
        <v>13</v>
      </c>
      <c r="V2" s="49">
        <v>14</v>
      </c>
      <c r="W2" s="49">
        <v>15</v>
      </c>
      <c r="X2" s="50"/>
      <c r="Y2" s="50"/>
    </row>
    <row r="3" spans="1:25">
      <c r="B3" s="50"/>
      <c r="C3" s="50"/>
      <c r="D3" s="50"/>
      <c r="E3" s="50"/>
      <c r="F3" s="49" t="str">
        <f xml:space="preserve"> _xlfn.XLOOKUP(F$4, 聲母表[台羅拼音], 聲母表[十五音])</f>
        <v>柳</v>
      </c>
      <c r="G3" s="52" t="str">
        <f xml:space="preserve"> _xlfn.XLOOKUP(G$4, 聲母表[台羅拼音], 聲母表[十五音])</f>
        <v>柳</v>
      </c>
      <c r="H3" s="49" t="str">
        <f xml:space="preserve"> _xlfn.XLOOKUP(H$4, 聲母表[台羅拼音], 聲母表[十五音])</f>
        <v>邊</v>
      </c>
      <c r="I3" s="49" t="str">
        <f xml:space="preserve"> _xlfn.XLOOKUP(I$4, 聲母表[台羅拼音], 聲母表[十五音])</f>
        <v>求</v>
      </c>
      <c r="J3" s="49" t="str">
        <f xml:space="preserve"> _xlfn.XLOOKUP(J$4, 聲母表[台羅拼音], 聲母表[十五音])</f>
        <v>去</v>
      </c>
      <c r="K3" s="49" t="str">
        <f xml:space="preserve"> _xlfn.XLOOKUP(K$4, 聲母表[台羅拼音], 聲母表[十五音])</f>
        <v>地</v>
      </c>
      <c r="L3" s="49" t="str">
        <f xml:space="preserve"> _xlfn.XLOOKUP(L$4, 聲母表[台羅拼音], 聲母表[十五音])</f>
        <v>頗</v>
      </c>
      <c r="M3" s="49" t="str">
        <f xml:space="preserve"> _xlfn.XLOOKUP(M$4, 聲母表[台羅拼音], 聲母表[十五音])</f>
        <v>他</v>
      </c>
      <c r="N3" s="49" t="str">
        <f xml:space="preserve"> _xlfn.XLOOKUP(N$4, 聲母表[台羅拼音], 聲母表[十五音])</f>
        <v>曾</v>
      </c>
      <c r="O3" s="49" t="str">
        <f xml:space="preserve"> _xlfn.XLOOKUP(O$4, 聲母表[台羅拼音], 聲母表[十五音])</f>
        <v>入</v>
      </c>
      <c r="P3" s="49" t="str">
        <f xml:space="preserve"> _xlfn.XLOOKUP(P$4, 聲母表[台羅拼音], 聲母表[十五音])</f>
        <v>時</v>
      </c>
      <c r="Q3" s="49" t="str">
        <f xml:space="preserve"> _xlfn.XLOOKUP(Q$4, 聲母表[台羅拼音], 聲母表[十五音])</f>
        <v>英</v>
      </c>
      <c r="R3" s="49" t="str">
        <f xml:space="preserve"> _xlfn.XLOOKUP(R$4, 聲母表[台羅拼音], 聲母表[十五音])</f>
        <v>門</v>
      </c>
      <c r="S3" s="52" t="str">
        <f xml:space="preserve"> _xlfn.XLOOKUP(S$4, 聲母表[台羅拼音], 聲母表[十五音])</f>
        <v>門</v>
      </c>
      <c r="T3" s="49" t="str">
        <f xml:space="preserve"> _xlfn.XLOOKUP(T$4, 聲母表[台羅拼音], 聲母表[十五音])</f>
        <v>語</v>
      </c>
      <c r="U3" s="52" t="str">
        <f xml:space="preserve"> _xlfn.XLOOKUP(U$4, 聲母表[台羅拼音], 聲母表[十五音])</f>
        <v>語</v>
      </c>
      <c r="V3" s="49" t="str">
        <f xml:space="preserve"> _xlfn.XLOOKUP(V$4, 聲母表[台羅拼音], 聲母表[十五音])</f>
        <v>出</v>
      </c>
      <c r="W3" s="49" t="str">
        <f xml:space="preserve"> _xlfn.XLOOKUP(W$4, 聲母表[台羅拼音], 聲母表[十五音])</f>
        <v>喜</v>
      </c>
      <c r="X3" s="50"/>
      <c r="Y3" s="50"/>
    </row>
    <row r="4" spans="1:25">
      <c r="A4" s="95"/>
      <c r="B4" s="103" t="s">
        <v>1056</v>
      </c>
      <c r="C4" s="103" t="s">
        <v>1391</v>
      </c>
      <c r="D4" s="103" t="s">
        <v>1057</v>
      </c>
      <c r="E4" s="103" t="s">
        <v>40</v>
      </c>
      <c r="F4" s="49" t="s">
        <v>47</v>
      </c>
      <c r="G4" s="52" t="s">
        <v>48</v>
      </c>
      <c r="H4" s="49" t="s">
        <v>41</v>
      </c>
      <c r="I4" s="49" t="s">
        <v>49</v>
      </c>
      <c r="J4" s="49" t="s">
        <v>50</v>
      </c>
      <c r="K4" s="49" t="s">
        <v>45</v>
      </c>
      <c r="L4" s="49" t="s">
        <v>42</v>
      </c>
      <c r="M4" s="49" t="s">
        <v>46</v>
      </c>
      <c r="N4" s="49" t="s">
        <v>54</v>
      </c>
      <c r="O4" s="49" t="s">
        <v>60</v>
      </c>
      <c r="P4" s="49" t="s">
        <v>58</v>
      </c>
      <c r="Q4" s="49" t="s">
        <v>327</v>
      </c>
      <c r="R4" s="49" t="s">
        <v>43</v>
      </c>
      <c r="S4" s="52" t="s">
        <v>44</v>
      </c>
      <c r="T4" s="49" t="s">
        <v>51</v>
      </c>
      <c r="U4" s="52" t="s">
        <v>52</v>
      </c>
      <c r="V4" s="49" t="s">
        <v>56</v>
      </c>
      <c r="W4" s="49" t="s">
        <v>53</v>
      </c>
      <c r="X4" s="50"/>
      <c r="Y4" s="50"/>
    </row>
    <row r="5" spans="1:25" ht="7.5" customHeight="1">
      <c r="B5" s="50"/>
      <c r="C5" s="50"/>
      <c r="D5" s="50"/>
      <c r="E5" s="50"/>
      <c r="F5" s="49"/>
      <c r="G5" s="52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52"/>
      <c r="T5" s="49"/>
      <c r="U5" s="52"/>
      <c r="V5" s="49"/>
      <c r="W5" s="49"/>
      <c r="X5" s="50"/>
      <c r="Y5" s="50"/>
    </row>
    <row r="6" spans="1:25">
      <c r="B6" s="50" cm="1">
        <f t="array" ref="B6" xml:space="preserve"> INDEX(韻母表[韻序], MATCH(TRUE, EXACT($C6, 韻母表[十五音]), 0))</f>
        <v>1</v>
      </c>
      <c r="C6" s="50" t="s">
        <v>62</v>
      </c>
      <c r="D6" s="50" t="str" cm="1">
        <f t="array" ref="D6" xml:space="preserve"> IF( INDEX(韻母表[國際音標2], MATCH(TRUE, EXACT($C6, 韻母表[十五音]), 0))&lt;&gt;"",  INDEX(韻母表[國際音標2], MATCH(TRUE, EXACT($C6, 韻母表[十五音]), 0)),  INDEX(韻母表[國際音標], MATCH(TRUE, EXACT($C6, 韻母表[十五音]), 0)))</f>
        <v>un</v>
      </c>
      <c r="E6" s="50" t="str" cm="1">
        <f t="array" ref="E6" xml:space="preserve"> INDEX(韻母表[台羅拼音], MATCH(TRUE, EXACT($C6, 韻母表[十五音]), 0))</f>
        <v>un</v>
      </c>
      <c r="F6" s="53" t="s">
        <v>1034</v>
      </c>
      <c r="G6" s="53"/>
      <c r="H6" s="53" t="s">
        <v>1035</v>
      </c>
      <c r="I6" s="53" t="s">
        <v>1032</v>
      </c>
      <c r="J6" s="53" t="s">
        <v>1033</v>
      </c>
      <c r="K6" s="53" t="s">
        <v>1038</v>
      </c>
      <c r="L6" s="53" t="s">
        <v>1036</v>
      </c>
      <c r="M6" s="53" t="s">
        <v>1039</v>
      </c>
      <c r="N6" s="53" t="s">
        <v>1040</v>
      </c>
      <c r="O6" s="53" t="s">
        <v>1031</v>
      </c>
      <c r="P6" s="53" t="s">
        <v>1037</v>
      </c>
      <c r="Q6" s="53" t="s">
        <v>162</v>
      </c>
      <c r="R6" s="53" t="s">
        <v>1028</v>
      </c>
      <c r="S6" s="53"/>
      <c r="T6" s="53" t="s">
        <v>1029</v>
      </c>
      <c r="U6" s="53"/>
      <c r="V6" s="53" t="s">
        <v>1041</v>
      </c>
      <c r="W6" s="53" t="s">
        <v>1030</v>
      </c>
      <c r="X6" s="50" t="s">
        <v>162</v>
      </c>
      <c r="Y6" s="50" t="s">
        <v>62</v>
      </c>
    </row>
    <row r="7" spans="1:25">
      <c r="B7" s="50" cm="1">
        <f t="array" ref="B7" xml:space="preserve"> INDEX(韻母表[韻序], MATCH(TRUE, EXACT($C7, 韻母表[十五音]), 0))</f>
        <v>1</v>
      </c>
      <c r="C7" s="50" t="s">
        <v>63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ut̚</v>
      </c>
      <c r="E7" s="50" t="str" cm="1">
        <f t="array" ref="E7" xml:space="preserve"> INDEX(韻母表[台羅拼音], MATCH(TRUE, EXACT($C7, 韻母表[十五音]), 0))</f>
        <v>ut</v>
      </c>
      <c r="F7" s="53" t="s">
        <v>1046</v>
      </c>
      <c r="G7" s="53"/>
      <c r="H7" s="53" t="s">
        <v>1047</v>
      </c>
      <c r="I7" s="53" t="s">
        <v>1044</v>
      </c>
      <c r="J7" s="53" t="s">
        <v>1045</v>
      </c>
      <c r="K7" s="53" t="s">
        <v>1050</v>
      </c>
      <c r="L7" s="53" t="s">
        <v>1048</v>
      </c>
      <c r="M7" s="53" t="s">
        <v>1051</v>
      </c>
      <c r="N7" s="53" t="s">
        <v>1052</v>
      </c>
      <c r="O7" s="53"/>
      <c r="P7" s="53" t="s">
        <v>1049</v>
      </c>
      <c r="Q7" s="53" t="s">
        <v>163</v>
      </c>
      <c r="R7" s="53" t="s">
        <v>1042</v>
      </c>
      <c r="S7" s="53"/>
      <c r="T7" s="53"/>
      <c r="U7" s="53"/>
      <c r="V7" s="53" t="s">
        <v>1053</v>
      </c>
      <c r="W7" s="53" t="s">
        <v>1043</v>
      </c>
      <c r="X7" s="50" t="s">
        <v>163</v>
      </c>
      <c r="Y7" s="50" t="s">
        <v>63</v>
      </c>
    </row>
    <row r="8" spans="1:25">
      <c r="B8" s="50" cm="1">
        <f t="array" ref="B8" xml:space="preserve"> INDEX(韻母表[韻序], MATCH(TRUE, EXACT($C8, 韻母表[十五音]), 0))</f>
        <v>2</v>
      </c>
      <c r="C8" s="50" t="s">
        <v>64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ɪan</v>
      </c>
      <c r="E8" s="50" t="str" cm="1">
        <f t="array" ref="E8" xml:space="preserve"> INDEX(韻母表[台羅拼音], MATCH(TRUE, EXACT($C8, 韻母表[十五音]), 0))</f>
        <v>ian</v>
      </c>
      <c r="F8" s="53" t="s">
        <v>584</v>
      </c>
      <c r="G8" s="53"/>
      <c r="H8" s="53" t="s">
        <v>585</v>
      </c>
      <c r="I8" s="53" t="s">
        <v>582</v>
      </c>
      <c r="J8" s="53" t="s">
        <v>583</v>
      </c>
      <c r="K8" s="53" t="s">
        <v>588</v>
      </c>
      <c r="L8" s="53" t="s">
        <v>586</v>
      </c>
      <c r="M8" s="53" t="s">
        <v>589</v>
      </c>
      <c r="N8" s="53" t="s">
        <v>590</v>
      </c>
      <c r="O8" s="53" t="s">
        <v>581</v>
      </c>
      <c r="P8" s="53" t="s">
        <v>587</v>
      </c>
      <c r="Q8" s="53" t="s">
        <v>164</v>
      </c>
      <c r="R8" s="53" t="s">
        <v>578</v>
      </c>
      <c r="S8" s="53"/>
      <c r="T8" s="53" t="s">
        <v>579</v>
      </c>
      <c r="U8" s="53"/>
      <c r="V8" s="53" t="s">
        <v>591</v>
      </c>
      <c r="W8" s="53" t="s">
        <v>580</v>
      </c>
      <c r="X8" s="50" t="s">
        <v>164</v>
      </c>
      <c r="Y8" s="50" t="s">
        <v>64</v>
      </c>
    </row>
    <row r="9" spans="1:25">
      <c r="B9" s="50" cm="1">
        <f t="array" ref="B9" xml:space="preserve"> INDEX(韻母表[韻序], MATCH(TRUE, EXACT($C9, 韻母表[十五音]), 0))</f>
        <v>2</v>
      </c>
      <c r="C9" s="50" t="s">
        <v>65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ɪat̚</v>
      </c>
      <c r="E9" s="50" t="str" cm="1">
        <f t="array" ref="E9" xml:space="preserve"> INDEX(韻母表[台羅拼音], MATCH(TRUE, EXACT($C9, 韻母表[十五音]), 0))</f>
        <v>iat</v>
      </c>
      <c r="F9" s="53" t="s">
        <v>628</v>
      </c>
      <c r="G9" s="53"/>
      <c r="H9" s="53" t="s">
        <v>629</v>
      </c>
      <c r="I9" s="53" t="s">
        <v>626</v>
      </c>
      <c r="J9" s="53" t="s">
        <v>627</v>
      </c>
      <c r="K9" s="53" t="s">
        <v>632</v>
      </c>
      <c r="L9" s="53" t="s">
        <v>630</v>
      </c>
      <c r="M9" s="53" t="s">
        <v>633</v>
      </c>
      <c r="N9" s="53" t="s">
        <v>634</v>
      </c>
      <c r="O9" s="53" t="s">
        <v>625</v>
      </c>
      <c r="P9" s="53" t="s">
        <v>631</v>
      </c>
      <c r="Q9" s="53" t="s">
        <v>165</v>
      </c>
      <c r="R9" s="53" t="s">
        <v>622</v>
      </c>
      <c r="S9" s="53"/>
      <c r="T9" s="53" t="s">
        <v>623</v>
      </c>
      <c r="U9" s="53"/>
      <c r="V9" s="53" t="s">
        <v>635</v>
      </c>
      <c r="W9" s="53" t="s">
        <v>624</v>
      </c>
      <c r="X9" s="50" t="s">
        <v>165</v>
      </c>
      <c r="Y9" s="50" t="s">
        <v>65</v>
      </c>
    </row>
    <row r="10" spans="1:25">
      <c r="B10" s="50" cm="1">
        <f t="array" ref="B10" xml:space="preserve"> INDEX(韻母表[韻序], MATCH(TRUE, EXACT($C10, 韻母表[十五音]), 0))</f>
        <v>3</v>
      </c>
      <c r="C10" s="50" t="s">
        <v>66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im</v>
      </c>
      <c r="E10" s="50" t="str" cm="1">
        <f t="array" ref="E10" xml:space="preserve"> INDEX(韻母表[台羅拼音], MATCH(TRUE, EXACT($C10, 韻母表[十五音]), 0))</f>
        <v>im</v>
      </c>
      <c r="F10" s="53" t="s">
        <v>684</v>
      </c>
      <c r="G10" s="53"/>
      <c r="H10" s="53"/>
      <c r="I10" s="53" t="s">
        <v>682</v>
      </c>
      <c r="J10" s="53" t="s">
        <v>683</v>
      </c>
      <c r="K10" s="53" t="s">
        <v>686</v>
      </c>
      <c r="L10" s="53"/>
      <c r="M10" s="53" t="s">
        <v>687</v>
      </c>
      <c r="N10" s="53" t="s">
        <v>688</v>
      </c>
      <c r="O10" s="53" t="s">
        <v>681</v>
      </c>
      <c r="P10" s="53" t="s">
        <v>685</v>
      </c>
      <c r="Q10" s="53" t="s">
        <v>166</v>
      </c>
      <c r="R10" s="53"/>
      <c r="S10" s="53"/>
      <c r="T10" s="53" t="s">
        <v>679</v>
      </c>
      <c r="U10" s="53"/>
      <c r="V10" s="53" t="s">
        <v>689</v>
      </c>
      <c r="W10" s="53" t="s">
        <v>680</v>
      </c>
      <c r="X10" s="50" t="s">
        <v>166</v>
      </c>
      <c r="Y10" s="50" t="s">
        <v>66</v>
      </c>
    </row>
    <row r="11" spans="1:25">
      <c r="B11" s="50" cm="1">
        <f t="array" ref="B11" xml:space="preserve"> INDEX(韻母表[韻序], MATCH(TRUE, EXACT($C11, 韻母表[十五音]), 0))</f>
        <v>3</v>
      </c>
      <c r="C11" s="50" t="s">
        <v>67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ip̚</v>
      </c>
      <c r="E11" s="50" t="str" cm="1">
        <f t="array" ref="E11" xml:space="preserve"> INDEX(韻母表[台羅拼音], MATCH(TRUE, EXACT($C11, 韻母表[十五音]), 0))</f>
        <v>ip</v>
      </c>
      <c r="F11" s="53" t="s">
        <v>774</v>
      </c>
      <c r="G11" s="53"/>
      <c r="H11" s="53"/>
      <c r="I11" s="53" t="s">
        <v>772</v>
      </c>
      <c r="J11" s="53" t="s">
        <v>773</v>
      </c>
      <c r="K11" s="53"/>
      <c r="L11" s="53"/>
      <c r="M11" s="53"/>
      <c r="N11" s="53" t="s">
        <v>776</v>
      </c>
      <c r="O11" s="53" t="s">
        <v>771</v>
      </c>
      <c r="P11" s="53" t="s">
        <v>775</v>
      </c>
      <c r="Q11" s="53" t="s">
        <v>167</v>
      </c>
      <c r="R11" s="53"/>
      <c r="S11" s="53"/>
      <c r="T11" s="53"/>
      <c r="U11" s="53"/>
      <c r="V11" s="53" t="s">
        <v>777</v>
      </c>
      <c r="W11" s="53" t="s">
        <v>770</v>
      </c>
      <c r="X11" s="50" t="s">
        <v>167</v>
      </c>
      <c r="Y11" s="50" t="s">
        <v>67</v>
      </c>
    </row>
    <row r="12" spans="1:25">
      <c r="B12" s="50" cm="1">
        <f t="array" ref="B12" xml:space="preserve"> INDEX(韻母表[韻序], MATCH(TRUE, EXACT($C12, 韻母表[十五音]), 0))</f>
        <v>4</v>
      </c>
      <c r="C12" s="50" t="s">
        <v>68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ui</v>
      </c>
      <c r="E12" s="50" t="str" cm="1">
        <f t="array" ref="E12" xml:space="preserve"> INDEX(韻母表[台羅拼音], MATCH(TRUE, EXACT($C12, 韻母表[十五音]), 0))</f>
        <v>ui</v>
      </c>
      <c r="F12" s="53" t="s">
        <v>1019</v>
      </c>
      <c r="G12" s="53"/>
      <c r="H12" s="53" t="s">
        <v>1021</v>
      </c>
      <c r="I12" s="53" t="s">
        <v>1017</v>
      </c>
      <c r="J12" s="53" t="s">
        <v>1018</v>
      </c>
      <c r="K12" s="53" t="s">
        <v>1024</v>
      </c>
      <c r="L12" s="53" t="s">
        <v>1022</v>
      </c>
      <c r="M12" s="53" t="s">
        <v>1025</v>
      </c>
      <c r="N12" s="53" t="s">
        <v>1026</v>
      </c>
      <c r="O12" s="53"/>
      <c r="P12" s="53" t="s">
        <v>1023</v>
      </c>
      <c r="Q12" s="53" t="s">
        <v>168</v>
      </c>
      <c r="R12" s="53" t="s">
        <v>1014</v>
      </c>
      <c r="S12" s="53" t="s">
        <v>1020</v>
      </c>
      <c r="T12" s="53" t="s">
        <v>1015</v>
      </c>
      <c r="U12" s="53"/>
      <c r="V12" s="53" t="s">
        <v>1027</v>
      </c>
      <c r="W12" s="53" t="s">
        <v>1016</v>
      </c>
      <c r="X12" s="50" t="s">
        <v>168</v>
      </c>
      <c r="Y12" s="50" t="s">
        <v>68</v>
      </c>
    </row>
    <row r="13" spans="1:25">
      <c r="B13" s="50" cm="1">
        <f t="array" ref="B13" xml:space="preserve"> INDEX(韻母表[韻序], MATCH(TRUE, EXACT($C13, 韻母表[十五音]), 0))</f>
        <v>6</v>
      </c>
      <c r="C13" s="50" t="s">
        <v>72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an</v>
      </c>
      <c r="E13" s="50" t="str" cm="1">
        <f t="array" ref="E13" xml:space="preserve"> INDEX(韻母表[台羅拼音], MATCH(TRUE, EXACT($C13, 韻母表[十五音]), 0))</f>
        <v>an</v>
      </c>
      <c r="F13" s="53" t="s">
        <v>407</v>
      </c>
      <c r="G13" s="53"/>
      <c r="H13" s="53" t="s">
        <v>408</v>
      </c>
      <c r="I13" s="53" t="s">
        <v>405</v>
      </c>
      <c r="J13" s="53" t="s">
        <v>406</v>
      </c>
      <c r="K13" s="53" t="s">
        <v>411</v>
      </c>
      <c r="L13" s="53" t="s">
        <v>409</v>
      </c>
      <c r="M13" s="53" t="s">
        <v>412</v>
      </c>
      <c r="N13" s="53" t="s">
        <v>413</v>
      </c>
      <c r="O13" s="53"/>
      <c r="P13" s="53" t="s">
        <v>410</v>
      </c>
      <c r="Q13" s="53" t="s">
        <v>171</v>
      </c>
      <c r="R13" s="53" t="s">
        <v>402</v>
      </c>
      <c r="S13" s="53"/>
      <c r="T13" s="53" t="s">
        <v>403</v>
      </c>
      <c r="U13" s="53"/>
      <c r="V13" s="53" t="s">
        <v>414</v>
      </c>
      <c r="W13" s="53" t="s">
        <v>404</v>
      </c>
      <c r="X13" s="50" t="s">
        <v>171</v>
      </c>
      <c r="Y13" s="50" t="s">
        <v>72</v>
      </c>
    </row>
    <row r="14" spans="1:25">
      <c r="B14" s="50" cm="1">
        <f t="array" ref="B14" xml:space="preserve"> INDEX(韻母表[韻序], MATCH(TRUE, EXACT($C14, 韻母表[十五音]), 0))</f>
        <v>6</v>
      </c>
      <c r="C14" s="50" t="s">
        <v>73</v>
      </c>
      <c r="D14" s="50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at̚</v>
      </c>
      <c r="E14" s="50" t="str" cm="1">
        <f t="array" ref="E14" xml:space="preserve"> INDEX(韻母表[台羅拼音], MATCH(TRUE, EXACT($C14, 韻母表[十五音]), 0))</f>
        <v>at</v>
      </c>
      <c r="F14" s="53" t="s">
        <v>452</v>
      </c>
      <c r="G14" s="53"/>
      <c r="H14" s="53" t="s">
        <v>453</v>
      </c>
      <c r="I14" s="53" t="s">
        <v>450</v>
      </c>
      <c r="J14" s="53" t="s">
        <v>451</v>
      </c>
      <c r="K14" s="53" t="s">
        <v>455</v>
      </c>
      <c r="L14" s="53"/>
      <c r="M14" s="53" t="s">
        <v>456</v>
      </c>
      <c r="N14" s="53" t="s">
        <v>457</v>
      </c>
      <c r="O14" s="53"/>
      <c r="P14" s="53" t="s">
        <v>454</v>
      </c>
      <c r="Q14" s="53" t="s">
        <v>172</v>
      </c>
      <c r="R14" s="53" t="s">
        <v>448</v>
      </c>
      <c r="S14" s="53"/>
      <c r="T14" s="53"/>
      <c r="U14" s="53"/>
      <c r="V14" s="53" t="s">
        <v>458</v>
      </c>
      <c r="W14" s="53" t="s">
        <v>449</v>
      </c>
      <c r="X14" s="50" t="s">
        <v>172</v>
      </c>
      <c r="Y14" s="50" t="s">
        <v>73</v>
      </c>
    </row>
    <row r="15" spans="1:25">
      <c r="B15" s="50" cm="1">
        <f t="array" ref="B15" xml:space="preserve"> INDEX(韻母表[韻序], MATCH(TRUE, EXACT($C15, 韻母表[十五音]), 0))</f>
        <v>7</v>
      </c>
      <c r="C15" s="50" t="s">
        <v>74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ɔŋ</v>
      </c>
      <c r="E15" s="50" t="str" cm="1">
        <f t="array" ref="E15" xml:space="preserve"> INDEX(韻母表[台羅拼音], MATCH(TRUE, EXACT($C15, 韻母表[十五音]), 0))</f>
        <v>ong</v>
      </c>
      <c r="F15" s="53" t="s">
        <v>874</v>
      </c>
      <c r="G15" s="53"/>
      <c r="H15" s="53" t="s">
        <v>875</v>
      </c>
      <c r="I15" s="53" t="s">
        <v>872</v>
      </c>
      <c r="J15" s="53" t="s">
        <v>873</v>
      </c>
      <c r="K15" s="53" t="s">
        <v>878</v>
      </c>
      <c r="L15" s="53" t="s">
        <v>876</v>
      </c>
      <c r="M15" s="53" t="s">
        <v>879</v>
      </c>
      <c r="N15" s="53" t="s">
        <v>880</v>
      </c>
      <c r="O15" s="53"/>
      <c r="P15" s="53" t="s">
        <v>877</v>
      </c>
      <c r="Q15" s="53" t="s">
        <v>173</v>
      </c>
      <c r="R15" s="53" t="s">
        <v>869</v>
      </c>
      <c r="S15" s="53"/>
      <c r="T15" s="53" t="s">
        <v>870</v>
      </c>
      <c r="U15" s="53"/>
      <c r="V15" s="53" t="s">
        <v>881</v>
      </c>
      <c r="W15" s="53" t="s">
        <v>871</v>
      </c>
      <c r="X15" s="50" t="s">
        <v>173</v>
      </c>
      <c r="Y15" s="50" t="s">
        <v>74</v>
      </c>
    </row>
    <row r="16" spans="1:25">
      <c r="B16" s="50" cm="1">
        <f t="array" ref="B16" xml:space="preserve"> INDEX(韻母表[韻序], MATCH(TRUE, EXACT($C16, 韻母表[十五音]), 0))</f>
        <v>7</v>
      </c>
      <c r="C16" s="50" t="s">
        <v>75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ɔk̚</v>
      </c>
      <c r="E16" s="50" t="str" cm="1">
        <f t="array" ref="E16" xml:space="preserve"> INDEX(韻母表[台羅拼音], MATCH(TRUE, EXACT($C16, 韻母表[十五音]), 0))</f>
        <v>ok</v>
      </c>
      <c r="F16" s="53" t="s">
        <v>859</v>
      </c>
      <c r="G16" s="53"/>
      <c r="H16" s="53" t="s">
        <v>860</v>
      </c>
      <c r="I16" s="53" t="s">
        <v>857</v>
      </c>
      <c r="J16" s="53" t="s">
        <v>858</v>
      </c>
      <c r="K16" s="53" t="s">
        <v>863</v>
      </c>
      <c r="L16" s="53" t="s">
        <v>861</v>
      </c>
      <c r="M16" s="53" t="s">
        <v>864</v>
      </c>
      <c r="N16" s="53" t="s">
        <v>865</v>
      </c>
      <c r="O16" s="53"/>
      <c r="P16" s="53" t="s">
        <v>862</v>
      </c>
      <c r="Q16" s="53" t="s">
        <v>174</v>
      </c>
      <c r="R16" s="53" t="s">
        <v>854</v>
      </c>
      <c r="S16" s="53"/>
      <c r="T16" s="53" t="s">
        <v>855</v>
      </c>
      <c r="U16" s="53"/>
      <c r="V16" s="53" t="s">
        <v>866</v>
      </c>
      <c r="W16" s="53" t="s">
        <v>856</v>
      </c>
      <c r="X16" s="50" t="s">
        <v>174</v>
      </c>
      <c r="Y16" s="50" t="s">
        <v>75</v>
      </c>
    </row>
    <row r="17" spans="2:25">
      <c r="B17" s="50" cm="1">
        <f t="array" ref="B17" xml:space="preserve"> INDEX(韻母表[韻序], MATCH(TRUE, EXACT($C17, 韻母表[十五音]), 0))</f>
        <v>8</v>
      </c>
      <c r="C17" s="50" t="s">
        <v>76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uai</v>
      </c>
      <c r="E17" s="50" t="str" cm="1">
        <f t="array" ref="E17" xml:space="preserve"> INDEX(韻母表[台羅拼音], MATCH(TRUE, EXACT($C17, 韻母表[十五音]), 0))</f>
        <v>uai</v>
      </c>
      <c r="F17" s="53"/>
      <c r="G17" s="53"/>
      <c r="H17" s="53"/>
      <c r="I17" s="53" t="s">
        <v>944</v>
      </c>
      <c r="J17" s="53" t="s">
        <v>945</v>
      </c>
      <c r="K17" s="53"/>
      <c r="L17" s="53"/>
      <c r="M17" s="53"/>
      <c r="N17" s="53"/>
      <c r="O17" s="53"/>
      <c r="P17" s="53" t="s">
        <v>946</v>
      </c>
      <c r="Q17" s="53" t="s">
        <v>175</v>
      </c>
      <c r="R17" s="53"/>
      <c r="S17" s="53"/>
      <c r="T17" s="53"/>
      <c r="U17" s="53"/>
      <c r="V17" s="53"/>
      <c r="W17" s="53" t="s">
        <v>943</v>
      </c>
      <c r="X17" s="50" t="s">
        <v>175</v>
      </c>
      <c r="Y17" s="50" t="s">
        <v>76</v>
      </c>
    </row>
    <row r="18" spans="2:25">
      <c r="B18" s="50" cm="1">
        <f t="array" ref="B18" xml:space="preserve"> INDEX(韻母表[韻序], MATCH(TRUE, EXACT($C18, 韻母表[十五音]), 0))</f>
        <v>9</v>
      </c>
      <c r="C18" s="50" t="s">
        <v>78</v>
      </c>
      <c r="D18" s="96" t="str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ɛŋ</v>
      </c>
      <c r="E18" s="50" t="str" cm="1">
        <f t="array" ref="E18" xml:space="preserve"> INDEX(韻母表[台羅拼音], MATCH(TRUE, EXACT($C18, 韻母表[十五音]), 0))</f>
        <v>ing</v>
      </c>
      <c r="F18" s="53" t="s">
        <v>709</v>
      </c>
      <c r="G18" s="53"/>
      <c r="H18" s="53" t="s">
        <v>710</v>
      </c>
      <c r="I18" s="53" t="s">
        <v>707</v>
      </c>
      <c r="J18" s="53" t="s">
        <v>708</v>
      </c>
      <c r="K18" s="53" t="s">
        <v>713</v>
      </c>
      <c r="L18" s="53" t="s">
        <v>711</v>
      </c>
      <c r="M18" s="53" t="s">
        <v>714</v>
      </c>
      <c r="N18" s="53" t="s">
        <v>715</v>
      </c>
      <c r="O18" s="53"/>
      <c r="P18" s="53" t="s">
        <v>712</v>
      </c>
      <c r="Q18" s="53" t="s">
        <v>177</v>
      </c>
      <c r="R18" s="53" t="s">
        <v>704</v>
      </c>
      <c r="S18" s="53"/>
      <c r="T18" s="53" t="s">
        <v>705</v>
      </c>
      <c r="U18" s="53"/>
      <c r="V18" s="53" t="s">
        <v>716</v>
      </c>
      <c r="W18" s="53" t="s">
        <v>706</v>
      </c>
      <c r="X18" s="50" t="s">
        <v>177</v>
      </c>
      <c r="Y18" s="50" t="s">
        <v>78</v>
      </c>
    </row>
    <row r="19" spans="2:25">
      <c r="B19" s="50" cm="1">
        <f t="array" ref="B19" xml:space="preserve"> INDEX(韻母表[韻序], MATCH(TRUE, EXACT($C19, 韻母表[十五音]), 0))</f>
        <v>9</v>
      </c>
      <c r="C19" s="50" t="s">
        <v>79</v>
      </c>
      <c r="D19" s="96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ɛk</v>
      </c>
      <c r="E19" s="50" t="str" cm="1">
        <f t="array" ref="E19" xml:space="preserve"> INDEX(韻母表[台羅拼音], MATCH(TRUE, EXACT($C19, 韻母表[十五音]), 0))</f>
        <v>ik</v>
      </c>
      <c r="F19" s="53" t="s">
        <v>671</v>
      </c>
      <c r="G19" s="53"/>
      <c r="H19" s="53" t="s">
        <v>672</v>
      </c>
      <c r="I19" s="53" t="s">
        <v>670</v>
      </c>
      <c r="J19" s="53"/>
      <c r="K19" s="53" t="s">
        <v>675</v>
      </c>
      <c r="L19" s="53" t="s">
        <v>673</v>
      </c>
      <c r="M19" s="53" t="s">
        <v>676</v>
      </c>
      <c r="N19" s="53" t="s">
        <v>677</v>
      </c>
      <c r="O19" s="53"/>
      <c r="P19" s="53" t="s">
        <v>674</v>
      </c>
      <c r="Q19" s="53" t="s">
        <v>178</v>
      </c>
      <c r="R19" s="53" t="s">
        <v>667</v>
      </c>
      <c r="S19" s="53"/>
      <c r="T19" s="53" t="s">
        <v>668</v>
      </c>
      <c r="U19" s="53"/>
      <c r="V19" s="53" t="s">
        <v>678</v>
      </c>
      <c r="W19" s="53" t="s">
        <v>669</v>
      </c>
      <c r="X19" s="50" t="s">
        <v>178</v>
      </c>
      <c r="Y19" s="50" t="s">
        <v>79</v>
      </c>
    </row>
    <row r="20" spans="2:25">
      <c r="B20" s="50" cm="1">
        <f t="array" ref="B20" xml:space="preserve"> INDEX(韻母表[韻序], MATCH(TRUE, EXACT($C20, 韻母表[十五音]), 0))</f>
        <v>10</v>
      </c>
      <c r="C20" s="50" t="s">
        <v>80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uan</v>
      </c>
      <c r="E20" s="50" t="str" cm="1">
        <f t="array" ref="E20" xml:space="preserve"> INDEX(韻母表[台羅拼音], MATCH(TRUE, EXACT($C20, 韻母表[十五音]), 0))</f>
        <v>uan</v>
      </c>
      <c r="F20" s="53" t="s">
        <v>956</v>
      </c>
      <c r="G20" s="53"/>
      <c r="H20" s="53" t="s">
        <v>957</v>
      </c>
      <c r="I20" s="53" t="s">
        <v>954</v>
      </c>
      <c r="J20" s="53" t="s">
        <v>955</v>
      </c>
      <c r="K20" s="53" t="s">
        <v>960</v>
      </c>
      <c r="L20" s="53" t="s">
        <v>958</v>
      </c>
      <c r="M20" s="53" t="s">
        <v>961</v>
      </c>
      <c r="N20" s="53" t="s">
        <v>962</v>
      </c>
      <c r="O20" s="53"/>
      <c r="P20" s="53" t="s">
        <v>959</v>
      </c>
      <c r="Q20" s="53" t="s">
        <v>179</v>
      </c>
      <c r="R20" s="53" t="s">
        <v>951</v>
      </c>
      <c r="S20" s="53"/>
      <c r="T20" s="53" t="s">
        <v>952</v>
      </c>
      <c r="U20" s="53"/>
      <c r="V20" s="53" t="s">
        <v>963</v>
      </c>
      <c r="W20" s="53" t="s">
        <v>953</v>
      </c>
      <c r="X20" s="50" t="s">
        <v>179</v>
      </c>
      <c r="Y20" s="50" t="s">
        <v>80</v>
      </c>
    </row>
    <row r="21" spans="2:25">
      <c r="B21" s="50" cm="1">
        <f t="array" ref="B21" xml:space="preserve"> INDEX(韻母表[韻序], MATCH(TRUE, EXACT($C21, 韻母表[十五音]), 0))</f>
        <v>10</v>
      </c>
      <c r="C21" s="50" t="s">
        <v>81</v>
      </c>
      <c r="D21" s="50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uat̚</v>
      </c>
      <c r="E21" s="50" t="str" cm="1">
        <f t="array" ref="E21" xml:space="preserve"> INDEX(韻母表[台羅拼音], MATCH(TRUE, EXACT($C21, 韻母表[十五音]), 0))</f>
        <v>uat</v>
      </c>
      <c r="F21" s="53" t="s">
        <v>979</v>
      </c>
      <c r="G21" s="53"/>
      <c r="H21" s="53" t="s">
        <v>980</v>
      </c>
      <c r="I21" s="53" t="s">
        <v>977</v>
      </c>
      <c r="J21" s="53" t="s">
        <v>978</v>
      </c>
      <c r="K21" s="53" t="s">
        <v>983</v>
      </c>
      <c r="L21" s="53" t="s">
        <v>981</v>
      </c>
      <c r="M21" s="53" t="s">
        <v>984</v>
      </c>
      <c r="N21" s="53" t="s">
        <v>985</v>
      </c>
      <c r="O21" s="53"/>
      <c r="P21" s="53" t="s">
        <v>982</v>
      </c>
      <c r="Q21" s="53" t="s">
        <v>180</v>
      </c>
      <c r="R21" s="53" t="s">
        <v>974</v>
      </c>
      <c r="S21" s="53"/>
      <c r="T21" s="53" t="s">
        <v>975</v>
      </c>
      <c r="U21" s="53"/>
      <c r="V21" s="53"/>
      <c r="W21" s="53" t="s">
        <v>976</v>
      </c>
      <c r="X21" s="50" t="s">
        <v>180</v>
      </c>
      <c r="Y21" s="50" t="s">
        <v>81</v>
      </c>
    </row>
    <row r="22" spans="2:25">
      <c r="B22" s="50" cm="1">
        <f t="array" ref="B22" xml:space="preserve"> INDEX(韻母表[韻序], MATCH(TRUE, EXACT($C22, 韻母表[十五音]), 0))</f>
        <v>11</v>
      </c>
      <c r="C22" s="50" t="s">
        <v>82</v>
      </c>
      <c r="D22" s="96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ou</v>
      </c>
      <c r="E22" s="50" t="str" cm="1">
        <f t="array" ref="E22" xml:space="preserve"> INDEX(韻母表[台羅拼音], MATCH(TRUE, EXACT($C22, 韻母表[十五音]), 0))</f>
        <v>oo</v>
      </c>
      <c r="F22" s="53" t="s">
        <v>890</v>
      </c>
      <c r="G22" s="53" t="s">
        <v>892</v>
      </c>
      <c r="H22" s="53" t="s">
        <v>894</v>
      </c>
      <c r="I22" s="53" t="s">
        <v>888</v>
      </c>
      <c r="J22" s="53" t="s">
        <v>889</v>
      </c>
      <c r="K22" s="53" t="s">
        <v>897</v>
      </c>
      <c r="L22" s="53" t="s">
        <v>895</v>
      </c>
      <c r="M22" s="53" t="s">
        <v>898</v>
      </c>
      <c r="N22" s="53" t="s">
        <v>899</v>
      </c>
      <c r="O22" s="53"/>
      <c r="P22" s="53" t="s">
        <v>896</v>
      </c>
      <c r="Q22" s="53" t="s">
        <v>181</v>
      </c>
      <c r="R22" s="53" t="s">
        <v>885</v>
      </c>
      <c r="S22" s="53" t="s">
        <v>891</v>
      </c>
      <c r="T22" s="53" t="s">
        <v>886</v>
      </c>
      <c r="U22" s="53" t="s">
        <v>893</v>
      </c>
      <c r="V22" s="53" t="s">
        <v>900</v>
      </c>
      <c r="W22" s="53" t="s">
        <v>887</v>
      </c>
      <c r="X22" s="50" t="s">
        <v>181</v>
      </c>
      <c r="Y22" s="50" t="s">
        <v>82</v>
      </c>
    </row>
    <row r="23" spans="2:25">
      <c r="B23" s="50" cm="1">
        <f t="array" ref="B23" xml:space="preserve"> INDEX(韻母表[韻序], MATCH(TRUE, EXACT($C23, 韻母表[十五音]), 0))</f>
        <v>11</v>
      </c>
      <c r="C23" s="50" t="s">
        <v>83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ɔh</v>
      </c>
      <c r="E23" s="50" t="str" cm="1">
        <f t="array" ref="E23" xml:space="preserve"> INDEX(韻母表[台羅拼音], MATCH(TRUE, EXACT($C23, 韻母表[十五音]), 0))</f>
        <v>ooh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 t="s">
        <v>901</v>
      </c>
      <c r="T23" s="53"/>
      <c r="U23" s="53"/>
      <c r="V23" s="53"/>
      <c r="W23" s="53"/>
      <c r="X23" s="50" t="s">
        <v>253</v>
      </c>
      <c r="Y23" s="50" t="s">
        <v>83</v>
      </c>
    </row>
    <row r="24" spans="2:25">
      <c r="B24" s="50" cm="1">
        <f t="array" ref="B24" xml:space="preserve"> INDEX(韻母表[韻序], MATCH(TRUE, EXACT($C24, 韻母表[十五音]), 0))</f>
        <v>12</v>
      </c>
      <c r="C24" s="50" t="s">
        <v>84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ɪaʊ</v>
      </c>
      <c r="E24" s="50" t="str" cm="1">
        <f t="array" ref="E24" xml:space="preserve"> INDEX(韻母表[台羅拼音], MATCH(TRUE, EXACT($C24, 韻母表[十五音]), 0))</f>
        <v>iau</v>
      </c>
      <c r="F24" s="53" t="s">
        <v>642</v>
      </c>
      <c r="G24" s="53" t="s">
        <v>644</v>
      </c>
      <c r="H24" s="53" t="s">
        <v>646</v>
      </c>
      <c r="I24" s="53" t="s">
        <v>640</v>
      </c>
      <c r="J24" s="53" t="s">
        <v>641</v>
      </c>
      <c r="K24" s="53" t="s">
        <v>649</v>
      </c>
      <c r="L24" s="53" t="s">
        <v>647</v>
      </c>
      <c r="M24" s="53" t="s">
        <v>650</v>
      </c>
      <c r="N24" s="53" t="s">
        <v>651</v>
      </c>
      <c r="O24" s="53" t="s">
        <v>639</v>
      </c>
      <c r="P24" s="53" t="s">
        <v>648</v>
      </c>
      <c r="Q24" s="53" t="s">
        <v>182</v>
      </c>
      <c r="R24" s="53" t="s">
        <v>636</v>
      </c>
      <c r="S24" s="53" t="s">
        <v>643</v>
      </c>
      <c r="T24" s="53" t="s">
        <v>637</v>
      </c>
      <c r="U24" s="53" t="s">
        <v>645</v>
      </c>
      <c r="V24" s="53" t="s">
        <v>652</v>
      </c>
      <c r="W24" s="53" t="s">
        <v>638</v>
      </c>
      <c r="X24" s="50" t="s">
        <v>182</v>
      </c>
      <c r="Y24" s="50" t="s">
        <v>84</v>
      </c>
    </row>
    <row r="25" spans="2:25">
      <c r="B25" s="50" cm="1">
        <f t="array" ref="B25" xml:space="preserve"> INDEX(韻母表[韻序], MATCH(TRUE, EXACT($C25, 韻母表[十五音]), 0))</f>
        <v>12</v>
      </c>
      <c r="C25" s="50" t="s">
        <v>85</v>
      </c>
      <c r="D25" s="50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ɪaʊʔ</v>
      </c>
      <c r="E25" s="50" t="str" cm="1">
        <f t="array" ref="E25" xml:space="preserve"> INDEX(韻母表[台羅拼音], MATCH(TRUE, EXACT($C25, 韻母表[十五音]), 0))</f>
        <v>iauh</v>
      </c>
      <c r="F25" s="53"/>
      <c r="G25" s="53"/>
      <c r="H25" s="53"/>
      <c r="I25" s="53"/>
      <c r="J25" s="53" t="s">
        <v>654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 t="s">
        <v>655</v>
      </c>
      <c r="V25" s="53"/>
      <c r="W25" s="53" t="s">
        <v>653</v>
      </c>
      <c r="X25" s="50" t="s">
        <v>183</v>
      </c>
      <c r="Y25" s="50" t="s">
        <v>85</v>
      </c>
    </row>
    <row r="26" spans="2:25">
      <c r="B26" s="50" cm="1">
        <f t="array" ref="B26" xml:space="preserve"> INDEX(韻母表[韻序], MATCH(TRUE, EXACT($C26, 韻母表[十五音]), 0))</f>
        <v>13</v>
      </c>
      <c r="C26" s="50" t="s">
        <v>86</v>
      </c>
      <c r="D26" s="96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ei</v>
      </c>
      <c r="E26" s="50" t="str" cm="1">
        <f t="array" ref="E26" xml:space="preserve"> INDEX(韻母表[台羅拼音], MATCH(TRUE, EXACT($C26, 韻母表[十五音]), 0))</f>
        <v>e</v>
      </c>
      <c r="F26" s="53" t="s">
        <v>487</v>
      </c>
      <c r="G26" s="53" t="s">
        <v>489</v>
      </c>
      <c r="H26" s="53" t="s">
        <v>491</v>
      </c>
      <c r="I26" s="53" t="s">
        <v>485</v>
      </c>
      <c r="J26" s="53" t="s">
        <v>486</v>
      </c>
      <c r="K26" s="53" t="s">
        <v>494</v>
      </c>
      <c r="L26" s="53" t="s">
        <v>492</v>
      </c>
      <c r="M26" s="53" t="s">
        <v>495</v>
      </c>
      <c r="N26" s="53" t="s">
        <v>496</v>
      </c>
      <c r="O26" s="53"/>
      <c r="P26" s="53" t="s">
        <v>493</v>
      </c>
      <c r="Q26" s="53" t="s">
        <v>184</v>
      </c>
      <c r="R26" s="53" t="s">
        <v>482</v>
      </c>
      <c r="S26" s="53" t="s">
        <v>488</v>
      </c>
      <c r="T26" s="53" t="s">
        <v>483</v>
      </c>
      <c r="U26" s="53" t="s">
        <v>490</v>
      </c>
      <c r="V26" s="53" t="s">
        <v>497</v>
      </c>
      <c r="W26" s="53" t="s">
        <v>484</v>
      </c>
      <c r="X26" s="50" t="s">
        <v>184</v>
      </c>
      <c r="Y26" s="50" t="s">
        <v>86</v>
      </c>
    </row>
    <row r="27" spans="2:25">
      <c r="B27" s="50" cm="1">
        <f t="array" ref="B27" xml:space="preserve"> INDEX(韻母表[韻序], MATCH(TRUE, EXACT($C27, 韻母表[十五音]), 0))</f>
        <v>14</v>
      </c>
      <c r="C27" s="50" t="s">
        <v>88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ɪɔŋ</v>
      </c>
      <c r="E27" s="50" t="str" cm="1">
        <f t="array" ref="E27" xml:space="preserve"> INDEX(韻母表[台羅拼音], MATCH(TRUE, EXACT($C27, 韻母表[十五音]), 0))</f>
        <v>iong</v>
      </c>
      <c r="F27" s="53" t="s">
        <v>764</v>
      </c>
      <c r="G27" s="53"/>
      <c r="H27" s="53"/>
      <c r="I27" s="53" t="s">
        <v>762</v>
      </c>
      <c r="J27" s="53" t="s">
        <v>763</v>
      </c>
      <c r="K27" s="53" t="s">
        <v>766</v>
      </c>
      <c r="L27" s="53"/>
      <c r="M27" s="53" t="s">
        <v>767</v>
      </c>
      <c r="N27" s="53" t="s">
        <v>768</v>
      </c>
      <c r="O27" s="53" t="s">
        <v>761</v>
      </c>
      <c r="P27" s="53" t="s">
        <v>765</v>
      </c>
      <c r="Q27" s="53" t="s">
        <v>185</v>
      </c>
      <c r="R27" s="53"/>
      <c r="S27" s="53"/>
      <c r="T27" s="53" t="s">
        <v>759</v>
      </c>
      <c r="U27" s="53"/>
      <c r="V27" s="53" t="s">
        <v>769</v>
      </c>
      <c r="W27" s="53" t="s">
        <v>760</v>
      </c>
      <c r="X27" s="50" t="s">
        <v>185</v>
      </c>
      <c r="Y27" s="50" t="s">
        <v>88</v>
      </c>
    </row>
    <row r="28" spans="2:25">
      <c r="B28" s="50" cm="1">
        <f t="array" ref="B28" xml:space="preserve"> INDEX(韻母表[韻序], MATCH(TRUE, EXACT($C28, 韻母表[十五音]), 0))</f>
        <v>14</v>
      </c>
      <c r="C28" s="50" t="s">
        <v>89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ɪɔk̚</v>
      </c>
      <c r="E28" s="50" t="str" cm="1">
        <f t="array" ref="E28" xml:space="preserve"> INDEX(韻母表[台羅拼音], MATCH(TRUE, EXACT($C28, 韻母表[十五音]), 0))</f>
        <v>iok</v>
      </c>
      <c r="F28" s="53" t="s">
        <v>753</v>
      </c>
      <c r="G28" s="53"/>
      <c r="H28" s="53"/>
      <c r="I28" s="53" t="s">
        <v>751</v>
      </c>
      <c r="J28" s="53" t="s">
        <v>752</v>
      </c>
      <c r="K28" s="53" t="s">
        <v>755</v>
      </c>
      <c r="L28" s="53"/>
      <c r="M28" s="53" t="s">
        <v>756</v>
      </c>
      <c r="N28" s="53" t="s">
        <v>757</v>
      </c>
      <c r="O28" s="53" t="s">
        <v>750</v>
      </c>
      <c r="P28" s="53" t="s">
        <v>754</v>
      </c>
      <c r="Q28" s="53" t="s">
        <v>186</v>
      </c>
      <c r="R28" s="53"/>
      <c r="S28" s="53"/>
      <c r="T28" s="53" t="s">
        <v>748</v>
      </c>
      <c r="U28" s="53"/>
      <c r="V28" s="53" t="s">
        <v>758</v>
      </c>
      <c r="W28" s="53" t="s">
        <v>749</v>
      </c>
      <c r="X28" s="50" t="s">
        <v>186</v>
      </c>
      <c r="Y28" s="50" t="s">
        <v>89</v>
      </c>
    </row>
    <row r="29" spans="2:25">
      <c r="B29" s="50" cm="1">
        <f t="array" ref="B29" xml:space="preserve"> INDEX(韻母表[韻序], MATCH(TRUE, EXACT($C29, 韻母表[十五音]), 0))</f>
        <v>15</v>
      </c>
      <c r="C29" s="50" t="s">
        <v>90</v>
      </c>
      <c r="D29" s="50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ə</v>
      </c>
      <c r="E29" s="50" t="str" cm="1">
        <f t="array" ref="E29" xml:space="preserve"> INDEX(韻母表[台羅拼音], MATCH(TRUE, EXACT($C29, 韻母表[十五音]), 0))</f>
        <v>o</v>
      </c>
      <c r="F29" s="53" t="s">
        <v>836</v>
      </c>
      <c r="G29" s="53"/>
      <c r="H29" s="53" t="s">
        <v>837</v>
      </c>
      <c r="I29" s="53" t="s">
        <v>834</v>
      </c>
      <c r="J29" s="53" t="s">
        <v>835</v>
      </c>
      <c r="K29" s="53" t="s">
        <v>840</v>
      </c>
      <c r="L29" s="53" t="s">
        <v>838</v>
      </c>
      <c r="M29" s="53" t="s">
        <v>841</v>
      </c>
      <c r="N29" s="53" t="s">
        <v>842</v>
      </c>
      <c r="O29" s="53"/>
      <c r="P29" s="53" t="s">
        <v>839</v>
      </c>
      <c r="Q29" s="53" t="s">
        <v>187</v>
      </c>
      <c r="R29" s="53" t="s">
        <v>831</v>
      </c>
      <c r="S29" s="53"/>
      <c r="T29" s="53" t="s">
        <v>832</v>
      </c>
      <c r="U29" s="53"/>
      <c r="V29" s="53" t="s">
        <v>843</v>
      </c>
      <c r="W29" s="53" t="s">
        <v>833</v>
      </c>
      <c r="X29" s="50" t="s">
        <v>187</v>
      </c>
      <c r="Y29" s="50" t="s">
        <v>90</v>
      </c>
    </row>
    <row r="30" spans="2:25">
      <c r="B30" s="50" cm="1">
        <f t="array" ref="B30" xml:space="preserve"> INDEX(韻母表[韻序], MATCH(TRUE, EXACT($C30, 韻母表[十五音]), 0))</f>
        <v>15</v>
      </c>
      <c r="C30" s="50" t="s">
        <v>91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əʔ</v>
      </c>
      <c r="E30" s="50" t="str" cm="1">
        <f t="array" ref="E30" xml:space="preserve"> INDEX(韻母表[台羅拼音], MATCH(TRUE, EXACT($C30, 韻母表[十五音]), 0))</f>
        <v>oh</v>
      </c>
      <c r="F30" s="53" t="s">
        <v>846</v>
      </c>
      <c r="G30" s="53"/>
      <c r="H30" s="53" t="s">
        <v>847</v>
      </c>
      <c r="I30" s="53" t="s">
        <v>845</v>
      </c>
      <c r="J30" s="53"/>
      <c r="K30" s="53" t="s">
        <v>850</v>
      </c>
      <c r="L30" s="53" t="s">
        <v>848</v>
      </c>
      <c r="M30" s="53" t="s">
        <v>851</v>
      </c>
      <c r="N30" s="53" t="s">
        <v>852</v>
      </c>
      <c r="O30" s="53"/>
      <c r="P30" s="53" t="s">
        <v>849</v>
      </c>
      <c r="Q30" s="53" t="s">
        <v>188</v>
      </c>
      <c r="R30" s="53"/>
      <c r="S30" s="53"/>
      <c r="T30" s="53"/>
      <c r="U30" s="53"/>
      <c r="V30" s="53" t="s">
        <v>853</v>
      </c>
      <c r="W30" s="53" t="s">
        <v>844</v>
      </c>
      <c r="X30" s="50" t="s">
        <v>188</v>
      </c>
      <c r="Y30" s="50" t="s">
        <v>91</v>
      </c>
    </row>
    <row r="31" spans="2:25">
      <c r="B31" s="50" cm="1">
        <f t="array" ref="B31" xml:space="preserve"> INDEX(韻母表[韻序], MATCH(TRUE, EXACT($C31, 韻母表[十五音]), 0))</f>
        <v>16</v>
      </c>
      <c r="C31" s="50" t="s">
        <v>92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aɪ</v>
      </c>
      <c r="E31" s="50" t="str" cm="1">
        <f t="array" ref="E31" xml:space="preserve"> INDEX(韻母表[台羅拼音], MATCH(TRUE, EXACT($C31, 韻母表[十五音]), 0))</f>
        <v>ai</v>
      </c>
      <c r="F31" s="53" t="s">
        <v>362</v>
      </c>
      <c r="G31" s="53" t="s">
        <v>364</v>
      </c>
      <c r="H31" s="53" t="s">
        <v>366</v>
      </c>
      <c r="I31" s="53" t="s">
        <v>360</v>
      </c>
      <c r="J31" s="53" t="s">
        <v>361</v>
      </c>
      <c r="K31" s="53" t="s">
        <v>369</v>
      </c>
      <c r="L31" s="53" t="s">
        <v>367</v>
      </c>
      <c r="M31" s="53" t="s">
        <v>370</v>
      </c>
      <c r="N31" s="53" t="s">
        <v>371</v>
      </c>
      <c r="O31" s="53"/>
      <c r="P31" s="53" t="s">
        <v>368</v>
      </c>
      <c r="Q31" s="53" t="s">
        <v>189</v>
      </c>
      <c r="R31" s="53" t="s">
        <v>357</v>
      </c>
      <c r="S31" s="53" t="s">
        <v>363</v>
      </c>
      <c r="T31" s="53" t="s">
        <v>358</v>
      </c>
      <c r="U31" s="53" t="s">
        <v>365</v>
      </c>
      <c r="V31" s="53" t="s">
        <v>372</v>
      </c>
      <c r="W31" s="53" t="s">
        <v>359</v>
      </c>
      <c r="X31" s="50" t="s">
        <v>189</v>
      </c>
      <c r="Y31" s="50" t="s">
        <v>92</v>
      </c>
    </row>
    <row r="32" spans="2:25">
      <c r="B32" s="50" cm="1">
        <f t="array" ref="B32" xml:space="preserve"> INDEX(韻母表[韻序], MATCH(TRUE, EXACT($C32, 韻母表[十五音]), 0))</f>
        <v>17</v>
      </c>
      <c r="C32" s="50" t="s">
        <v>94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in</v>
      </c>
      <c r="E32" s="50" t="str" cm="1">
        <f t="array" ref="E32" xml:space="preserve"> INDEX(韻母表[台羅拼音], MATCH(TRUE, EXACT($C32, 韻母表[十五音]), 0))</f>
        <v>in</v>
      </c>
      <c r="F32" s="53" t="s">
        <v>696</v>
      </c>
      <c r="G32" s="53"/>
      <c r="H32" s="53" t="s">
        <v>697</v>
      </c>
      <c r="I32" s="53" t="s">
        <v>694</v>
      </c>
      <c r="J32" s="53" t="s">
        <v>695</v>
      </c>
      <c r="K32" s="53" t="s">
        <v>700</v>
      </c>
      <c r="L32" s="53" t="s">
        <v>698</v>
      </c>
      <c r="M32" s="53" t="s">
        <v>701</v>
      </c>
      <c r="N32" s="53" t="s">
        <v>702</v>
      </c>
      <c r="O32" s="53" t="s">
        <v>693</v>
      </c>
      <c r="P32" s="53" t="s">
        <v>699</v>
      </c>
      <c r="Q32" s="53" t="s">
        <v>190</v>
      </c>
      <c r="R32" s="53" t="s">
        <v>690</v>
      </c>
      <c r="S32" s="53"/>
      <c r="T32" s="53" t="s">
        <v>691</v>
      </c>
      <c r="U32" s="53"/>
      <c r="V32" s="53" t="s">
        <v>703</v>
      </c>
      <c r="W32" s="53" t="s">
        <v>692</v>
      </c>
      <c r="X32" s="50" t="s">
        <v>190</v>
      </c>
      <c r="Y32" s="50" t="s">
        <v>94</v>
      </c>
    </row>
    <row r="33" spans="2:25">
      <c r="B33" s="50" cm="1">
        <f t="array" ref="B33" xml:space="preserve"> INDEX(韻母表[韻序], MATCH(TRUE, EXACT($C33, 韻母表[十五音]), 0))</f>
        <v>17</v>
      </c>
      <c r="C33" s="50" t="s">
        <v>95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it̚</v>
      </c>
      <c r="E33" s="50" t="str" cm="1">
        <f t="array" ref="E33" xml:space="preserve"> INDEX(韻母表[台羅拼音], MATCH(TRUE, EXACT($C33, 韻母表[十五音]), 0))</f>
        <v>it</v>
      </c>
      <c r="F33" s="53"/>
      <c r="G33" s="53"/>
      <c r="H33" s="53" t="s">
        <v>783</v>
      </c>
      <c r="I33" s="53" t="s">
        <v>781</v>
      </c>
      <c r="J33" s="53" t="s">
        <v>782</v>
      </c>
      <c r="K33" s="53" t="s">
        <v>786</v>
      </c>
      <c r="L33" s="53" t="s">
        <v>784</v>
      </c>
      <c r="M33" s="53"/>
      <c r="N33" s="53" t="s">
        <v>787</v>
      </c>
      <c r="O33" s="53" t="s">
        <v>780</v>
      </c>
      <c r="P33" s="53" t="s">
        <v>785</v>
      </c>
      <c r="Q33" s="53" t="s">
        <v>191</v>
      </c>
      <c r="R33" s="53" t="s">
        <v>778</v>
      </c>
      <c r="S33" s="53"/>
      <c r="T33" s="53"/>
      <c r="U33" s="53"/>
      <c r="V33" s="53" t="s">
        <v>788</v>
      </c>
      <c r="W33" s="53" t="s">
        <v>779</v>
      </c>
      <c r="X33" s="50" t="s">
        <v>191</v>
      </c>
      <c r="Y33" s="50" t="s">
        <v>95</v>
      </c>
    </row>
    <row r="34" spans="2:25">
      <c r="B34" s="50" cm="1">
        <f t="array" ref="B34" xml:space="preserve"> INDEX(韻母表[韻序], MATCH(TRUE, EXACT($C34, 韻母表[十五音]), 0))</f>
        <v>18</v>
      </c>
      <c r="C34" s="50" t="s">
        <v>96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ɪaŋ</v>
      </c>
      <c r="E34" s="50" t="str" cm="1">
        <f t="array" ref="E34" xml:space="preserve"> INDEX(韻母表[台羅拼音], MATCH(TRUE, EXACT($C34, 韻母表[十五音]), 0))</f>
        <v>iang</v>
      </c>
      <c r="F34" s="53" t="s">
        <v>596</v>
      </c>
      <c r="G34" s="53"/>
      <c r="H34" s="53" t="s">
        <v>597</v>
      </c>
      <c r="I34" s="53"/>
      <c r="J34" s="53" t="s">
        <v>595</v>
      </c>
      <c r="K34" s="53"/>
      <c r="L34" s="53" t="s">
        <v>598</v>
      </c>
      <c r="M34" s="53"/>
      <c r="N34" s="53" t="s">
        <v>600</v>
      </c>
      <c r="O34" s="53" t="s">
        <v>594</v>
      </c>
      <c r="P34" s="53" t="s">
        <v>599</v>
      </c>
      <c r="Q34" s="53" t="s">
        <v>192</v>
      </c>
      <c r="R34" s="53"/>
      <c r="S34" s="53"/>
      <c r="T34" s="53" t="s">
        <v>592</v>
      </c>
      <c r="U34" s="53"/>
      <c r="V34" s="53" t="s">
        <v>601</v>
      </c>
      <c r="W34" s="53" t="s">
        <v>593</v>
      </c>
      <c r="X34" s="50" t="s">
        <v>192</v>
      </c>
      <c r="Y34" s="50" t="s">
        <v>96</v>
      </c>
    </row>
    <row r="35" spans="2:25">
      <c r="B35" s="50" cm="1">
        <f t="array" ref="B35" xml:space="preserve"> INDEX(韻母表[韻序], MATCH(TRUE, EXACT($C35, 韻母表[十五音]), 0))</f>
        <v>18</v>
      </c>
      <c r="C35" s="50" t="s">
        <v>97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ɪak̚</v>
      </c>
      <c r="E35" s="50" t="str" cm="1">
        <f t="array" ref="E35" xml:space="preserve"> INDEX(韻母表[台羅拼音], MATCH(TRUE, EXACT($C35, 韻母表[十五音]), 0))</f>
        <v>iak</v>
      </c>
      <c r="F35" s="53"/>
      <c r="G35" s="53"/>
      <c r="H35" s="53" t="s">
        <v>562</v>
      </c>
      <c r="I35" s="53"/>
      <c r="J35" s="53" t="s">
        <v>561</v>
      </c>
      <c r="K35" s="53" t="s">
        <v>565</v>
      </c>
      <c r="L35" s="53" t="s">
        <v>563</v>
      </c>
      <c r="M35" s="53"/>
      <c r="N35" s="53"/>
      <c r="O35" s="53"/>
      <c r="P35" s="53" t="s">
        <v>564</v>
      </c>
      <c r="Q35" s="53"/>
      <c r="R35" s="53"/>
      <c r="S35" s="53"/>
      <c r="T35" s="53"/>
      <c r="U35" s="53"/>
      <c r="V35" s="53" t="s">
        <v>566</v>
      </c>
      <c r="W35" s="53"/>
      <c r="X35" s="50" t="s">
        <v>193</v>
      </c>
      <c r="Y35" s="50" t="s">
        <v>97</v>
      </c>
    </row>
    <row r="36" spans="2:25">
      <c r="B36" s="50" cm="1">
        <f t="array" ref="B36" xml:space="preserve"> INDEX(韻母表[韻序], MATCH(TRUE, EXACT($C36, 韻母表[十五音]), 0))</f>
        <v>19</v>
      </c>
      <c r="C36" s="50" t="s">
        <v>98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am</v>
      </c>
      <c r="E36" s="50" t="str" cm="1">
        <f t="array" ref="E36" xml:space="preserve"> INDEX(韻母表[台羅拼音], MATCH(TRUE, EXACT($C36, 韻母表[十五音]), 0))</f>
        <v>am</v>
      </c>
      <c r="F36" s="53" t="s">
        <v>396</v>
      </c>
      <c r="G36" s="53"/>
      <c r="H36" s="53"/>
      <c r="I36" s="53" t="s">
        <v>394</v>
      </c>
      <c r="J36" s="53" t="s">
        <v>395</v>
      </c>
      <c r="K36" s="53" t="s">
        <v>398</v>
      </c>
      <c r="L36" s="53"/>
      <c r="M36" s="53" t="s">
        <v>399</v>
      </c>
      <c r="N36" s="53" t="s">
        <v>400</v>
      </c>
      <c r="O36" s="53"/>
      <c r="P36" s="53" t="s">
        <v>397</v>
      </c>
      <c r="Q36" s="53" t="s">
        <v>194</v>
      </c>
      <c r="R36" s="53"/>
      <c r="S36" s="53"/>
      <c r="T36" s="53" t="s">
        <v>392</v>
      </c>
      <c r="U36" s="53"/>
      <c r="V36" s="53" t="s">
        <v>401</v>
      </c>
      <c r="W36" s="53" t="s">
        <v>393</v>
      </c>
      <c r="X36" s="50" t="s">
        <v>194</v>
      </c>
      <c r="Y36" s="50" t="s">
        <v>98</v>
      </c>
    </row>
    <row r="37" spans="2:25">
      <c r="B37" s="50" cm="1">
        <f t="array" ref="B37" xml:space="preserve"> INDEX(韻母表[韻序], MATCH(TRUE, EXACT($C37, 韻母表[十五音]), 0))</f>
        <v>19</v>
      </c>
      <c r="C37" s="50" t="s">
        <v>99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ap̚</v>
      </c>
      <c r="E37" s="50" t="str" cm="1">
        <f t="array" ref="E37" xml:space="preserve"> INDEX(韻母表[台羅拼音], MATCH(TRUE, EXACT($C37, 韻母表[十五音]), 0))</f>
        <v>ap</v>
      </c>
      <c r="F37" s="53" t="s">
        <v>442</v>
      </c>
      <c r="G37" s="53"/>
      <c r="H37" s="53"/>
      <c r="I37" s="53" t="s">
        <v>440</v>
      </c>
      <c r="J37" s="53" t="s">
        <v>441</v>
      </c>
      <c r="K37" s="53" t="s">
        <v>444</v>
      </c>
      <c r="L37" s="53"/>
      <c r="M37" s="53" t="s">
        <v>445</v>
      </c>
      <c r="N37" s="53" t="s">
        <v>446</v>
      </c>
      <c r="O37" s="53"/>
      <c r="P37" s="53" t="s">
        <v>443</v>
      </c>
      <c r="Q37" s="53" t="s">
        <v>195</v>
      </c>
      <c r="R37" s="53"/>
      <c r="S37" s="53"/>
      <c r="T37" s="53"/>
      <c r="U37" s="53"/>
      <c r="V37" s="53" t="s">
        <v>447</v>
      </c>
      <c r="W37" s="53" t="s">
        <v>439</v>
      </c>
      <c r="X37" s="50" t="s">
        <v>195</v>
      </c>
      <c r="Y37" s="50" t="s">
        <v>99</v>
      </c>
    </row>
    <row r="38" spans="2:25">
      <c r="B38" s="50" cm="1">
        <f t="array" ref="B38" xml:space="preserve"> INDEX(韻母表[韻序], MATCH(TRUE, EXACT($C38, 韻母表[十五音]), 0))</f>
        <v>20</v>
      </c>
      <c r="C38" s="50" t="s">
        <v>100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ua</v>
      </c>
      <c r="E38" s="50" t="str" cm="1">
        <f t="array" ref="E38" xml:space="preserve"> INDEX(韻母表[台羅拼音], MATCH(TRUE, EXACT($C38, 韻母表[十五音]), 0))</f>
        <v>ua</v>
      </c>
      <c r="F38" s="53" t="s">
        <v>921</v>
      </c>
      <c r="G38" s="53" t="s">
        <v>923</v>
      </c>
      <c r="H38" s="53" t="s">
        <v>924</v>
      </c>
      <c r="I38" s="53" t="s">
        <v>919</v>
      </c>
      <c r="J38" s="53" t="s">
        <v>920</v>
      </c>
      <c r="K38" s="53" t="s">
        <v>927</v>
      </c>
      <c r="L38" s="53" t="s">
        <v>925</v>
      </c>
      <c r="M38" s="53" t="s">
        <v>928</v>
      </c>
      <c r="N38" s="53" t="s">
        <v>929</v>
      </c>
      <c r="O38" s="53"/>
      <c r="P38" s="53" t="s">
        <v>926</v>
      </c>
      <c r="Q38" s="53" t="s">
        <v>196</v>
      </c>
      <c r="R38" s="53" t="s">
        <v>916</v>
      </c>
      <c r="S38" s="53" t="s">
        <v>922</v>
      </c>
      <c r="T38" s="53" t="s">
        <v>917</v>
      </c>
      <c r="U38" s="53"/>
      <c r="V38" s="53" t="s">
        <v>930</v>
      </c>
      <c r="W38" s="53" t="s">
        <v>918</v>
      </c>
      <c r="X38" s="50" t="s">
        <v>196</v>
      </c>
      <c r="Y38" s="50" t="s">
        <v>100</v>
      </c>
    </row>
    <row r="39" spans="2:25">
      <c r="B39" s="50" cm="1">
        <f t="array" ref="B39" xml:space="preserve"> INDEX(韻母表[韻序], MATCH(TRUE, EXACT($C39, 韻母表[十五音]), 0))</f>
        <v>20</v>
      </c>
      <c r="C39" s="50" t="s">
        <v>101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uaʔ</v>
      </c>
      <c r="E39" s="50" t="str" cm="1">
        <f t="array" ref="E39" xml:space="preserve"> INDEX(韻母表[台羅拼音], MATCH(TRUE, EXACT($C39, 韻母表[十五音]), 0))</f>
        <v>uah</v>
      </c>
      <c r="F39" s="53" t="s">
        <v>936</v>
      </c>
      <c r="G39" s="53"/>
      <c r="H39" s="53" t="s">
        <v>937</v>
      </c>
      <c r="I39" s="53" t="s">
        <v>934</v>
      </c>
      <c r="J39" s="53" t="s">
        <v>935</v>
      </c>
      <c r="K39" s="53"/>
      <c r="L39" s="53" t="s">
        <v>938</v>
      </c>
      <c r="M39" s="53" t="s">
        <v>940</v>
      </c>
      <c r="N39" s="53" t="s">
        <v>941</v>
      </c>
      <c r="O39" s="53" t="s">
        <v>933</v>
      </c>
      <c r="P39" s="53" t="s">
        <v>939</v>
      </c>
      <c r="Q39" s="53" t="s">
        <v>197</v>
      </c>
      <c r="R39" s="53" t="s">
        <v>931</v>
      </c>
      <c r="S39" s="53"/>
      <c r="T39" s="53"/>
      <c r="U39" s="53"/>
      <c r="V39" s="53" t="s">
        <v>942</v>
      </c>
      <c r="W39" s="53" t="s">
        <v>932</v>
      </c>
      <c r="X39" s="50" t="s">
        <v>197</v>
      </c>
      <c r="Y39" s="50" t="s">
        <v>101</v>
      </c>
    </row>
    <row r="40" spans="2:25">
      <c r="B40" s="50" cm="1">
        <f t="array" ref="B40" xml:space="preserve"> INDEX(韻母表[韻序], MATCH(TRUE, EXACT($C40, 韻母表[十五音]), 0))</f>
        <v>21</v>
      </c>
      <c r="C40" s="50" t="s">
        <v>102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aŋ</v>
      </c>
      <c r="E40" s="50" t="str" cm="1">
        <f t="array" ref="E40" xml:space="preserve"> INDEX(韻母表[台羅拼音], MATCH(TRUE, EXACT($C40, 韻母表[十五音]), 0))</f>
        <v>ang</v>
      </c>
      <c r="F40" s="53" t="s">
        <v>420</v>
      </c>
      <c r="G40" s="53"/>
      <c r="H40" s="53" t="s">
        <v>421</v>
      </c>
      <c r="I40" s="53" t="s">
        <v>418</v>
      </c>
      <c r="J40" s="53" t="s">
        <v>419</v>
      </c>
      <c r="K40" s="53" t="s">
        <v>424</v>
      </c>
      <c r="L40" s="53" t="s">
        <v>422</v>
      </c>
      <c r="M40" s="53" t="s">
        <v>425</v>
      </c>
      <c r="N40" s="53" t="s">
        <v>426</v>
      </c>
      <c r="O40" s="53"/>
      <c r="P40" s="53" t="s">
        <v>423</v>
      </c>
      <c r="Q40" s="53" t="s">
        <v>198</v>
      </c>
      <c r="R40" s="53" t="s">
        <v>415</v>
      </c>
      <c r="S40" s="53"/>
      <c r="T40" s="53" t="s">
        <v>416</v>
      </c>
      <c r="U40" s="53"/>
      <c r="V40" s="53" t="s">
        <v>427</v>
      </c>
      <c r="W40" s="53" t="s">
        <v>417</v>
      </c>
      <c r="X40" s="50" t="s">
        <v>198</v>
      </c>
      <c r="Y40" s="50" t="s">
        <v>102</v>
      </c>
    </row>
    <row r="41" spans="2:25">
      <c r="B41" s="50" cm="1">
        <f t="array" ref="B41" xml:space="preserve"> INDEX(韻母表[韻序], MATCH(TRUE, EXACT($C41, 韻母表[十五音]), 0))</f>
        <v>21</v>
      </c>
      <c r="C41" s="50" t="s">
        <v>103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ak̚</v>
      </c>
      <c r="E41" s="50" t="str" cm="1">
        <f t="array" ref="E41" xml:space="preserve"> INDEX(韻母表[台羅拼音], MATCH(TRUE, EXACT($C41, 韻母表[十五音]), 0))</f>
        <v>ak</v>
      </c>
      <c r="F41" s="53" t="s">
        <v>384</v>
      </c>
      <c r="G41" s="53"/>
      <c r="H41" s="53" t="s">
        <v>385</v>
      </c>
      <c r="I41" s="53" t="s">
        <v>382</v>
      </c>
      <c r="J41" s="53" t="s">
        <v>383</v>
      </c>
      <c r="K41" s="53" t="s">
        <v>388</v>
      </c>
      <c r="L41" s="53" t="s">
        <v>386</v>
      </c>
      <c r="M41" s="53" t="s">
        <v>389</v>
      </c>
      <c r="N41" s="53" t="s">
        <v>390</v>
      </c>
      <c r="O41" s="53"/>
      <c r="P41" s="53" t="s">
        <v>387</v>
      </c>
      <c r="Q41" s="53" t="s">
        <v>199</v>
      </c>
      <c r="R41" s="53" t="s">
        <v>379</v>
      </c>
      <c r="S41" s="53"/>
      <c r="T41" s="53" t="s">
        <v>380</v>
      </c>
      <c r="U41" s="53"/>
      <c r="V41" s="53" t="s">
        <v>391</v>
      </c>
      <c r="W41" s="53" t="s">
        <v>381</v>
      </c>
      <c r="X41" s="50" t="s">
        <v>199</v>
      </c>
      <c r="Y41" s="50" t="s">
        <v>103</v>
      </c>
    </row>
    <row r="42" spans="2:25">
      <c r="B42" s="50" cm="1">
        <f t="array" ref="B42" xml:space="preserve"> INDEX(韻母表[韻序], MATCH(TRUE, EXACT($C42, 韻母表[十五音]), 0))</f>
        <v>22</v>
      </c>
      <c r="C42" s="50" t="s">
        <v>104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ɪam</v>
      </c>
      <c r="E42" s="50" t="str" cm="1">
        <f t="array" ref="E42" xml:space="preserve"> INDEX(韻母表[台羅拼音], MATCH(TRUE, EXACT($C42, 韻母表[十五音]), 0))</f>
        <v>iam</v>
      </c>
      <c r="F42" s="53" t="s">
        <v>572</v>
      </c>
      <c r="G42" s="53"/>
      <c r="H42" s="53"/>
      <c r="I42" s="53" t="s">
        <v>570</v>
      </c>
      <c r="J42" s="53" t="s">
        <v>571</v>
      </c>
      <c r="K42" s="53" t="s">
        <v>574</v>
      </c>
      <c r="L42" s="53"/>
      <c r="M42" s="53" t="s">
        <v>575</v>
      </c>
      <c r="N42" s="53" t="s">
        <v>576</v>
      </c>
      <c r="O42" s="53" t="s">
        <v>569</v>
      </c>
      <c r="P42" s="53" t="s">
        <v>573</v>
      </c>
      <c r="Q42" s="53" t="s">
        <v>200</v>
      </c>
      <c r="R42" s="53"/>
      <c r="S42" s="53"/>
      <c r="T42" s="53" t="s">
        <v>567</v>
      </c>
      <c r="U42" s="53"/>
      <c r="V42" s="53" t="s">
        <v>577</v>
      </c>
      <c r="W42" s="53" t="s">
        <v>568</v>
      </c>
      <c r="X42" s="50" t="s">
        <v>200</v>
      </c>
      <c r="Y42" s="50" t="s">
        <v>104</v>
      </c>
    </row>
    <row r="43" spans="2:25">
      <c r="B43" s="50" cm="1">
        <f t="array" ref="B43" xml:space="preserve"> INDEX(韻母表[韻序], MATCH(TRUE, EXACT($C43, 韻母表[十五音]), 0))</f>
        <v>22</v>
      </c>
      <c r="C43" s="50" t="s">
        <v>105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ɪap̚</v>
      </c>
      <c r="E43" s="50" t="str" cm="1">
        <f t="array" ref="E43" xml:space="preserve"> INDEX(韻母表[台羅拼音], MATCH(TRUE, EXACT($C43, 韻母表[十五音]), 0))</f>
        <v>iap</v>
      </c>
      <c r="F43" s="53" t="s">
        <v>616</v>
      </c>
      <c r="G43" s="53"/>
      <c r="H43" s="53"/>
      <c r="I43" s="53" t="s">
        <v>614</v>
      </c>
      <c r="J43" s="53" t="s">
        <v>615</v>
      </c>
      <c r="K43" s="53" t="s">
        <v>618</v>
      </c>
      <c r="L43" s="53"/>
      <c r="M43" s="53" t="s">
        <v>619</v>
      </c>
      <c r="N43" s="53" t="s">
        <v>620</v>
      </c>
      <c r="O43" s="53" t="s">
        <v>613</v>
      </c>
      <c r="P43" s="53" t="s">
        <v>617</v>
      </c>
      <c r="Q43" s="53" t="s">
        <v>201</v>
      </c>
      <c r="R43" s="53"/>
      <c r="S43" s="53"/>
      <c r="T43" s="53" t="s">
        <v>611</v>
      </c>
      <c r="U43" s="53"/>
      <c r="V43" s="53" t="s">
        <v>621</v>
      </c>
      <c r="W43" s="53" t="s">
        <v>612</v>
      </c>
      <c r="X43" s="50" t="s">
        <v>201</v>
      </c>
      <c r="Y43" s="50" t="s">
        <v>105</v>
      </c>
    </row>
    <row r="44" spans="2:25">
      <c r="B44" s="50" cm="1">
        <f t="array" ref="B44" xml:space="preserve"> INDEX(韻母表[韻序], MATCH(TRUE, EXACT($C44, 韻母表[十五音]), 0))</f>
        <v>23</v>
      </c>
      <c r="C44" s="50" t="s">
        <v>106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aʊ</v>
      </c>
      <c r="E44" s="50" t="str" cm="1">
        <f t="array" ref="E44" xml:space="preserve"> INDEX(韻母表[台羅拼音], MATCH(TRUE, EXACT($C44, 韻母表[十五音]), 0))</f>
        <v>au</v>
      </c>
      <c r="F44" s="53" t="s">
        <v>464</v>
      </c>
      <c r="G44" s="53" t="s">
        <v>466</v>
      </c>
      <c r="H44" s="53" t="s">
        <v>468</v>
      </c>
      <c r="I44" s="53" t="s">
        <v>462</v>
      </c>
      <c r="J44" s="53" t="s">
        <v>463</v>
      </c>
      <c r="K44" s="53" t="s">
        <v>471</v>
      </c>
      <c r="L44" s="53" t="s">
        <v>469</v>
      </c>
      <c r="M44" s="53" t="s">
        <v>472</v>
      </c>
      <c r="N44" s="53" t="s">
        <v>473</v>
      </c>
      <c r="O44" s="53"/>
      <c r="P44" s="53" t="s">
        <v>470</v>
      </c>
      <c r="Q44" s="53" t="s">
        <v>202</v>
      </c>
      <c r="R44" s="53" t="s">
        <v>459</v>
      </c>
      <c r="S44" s="53" t="s">
        <v>465</v>
      </c>
      <c r="T44" s="53" t="s">
        <v>460</v>
      </c>
      <c r="U44" s="53" t="s">
        <v>467</v>
      </c>
      <c r="V44" s="53" t="s">
        <v>474</v>
      </c>
      <c r="W44" s="53" t="s">
        <v>461</v>
      </c>
      <c r="X44" s="50" t="s">
        <v>202</v>
      </c>
      <c r="Y44" s="50" t="s">
        <v>106</v>
      </c>
    </row>
    <row r="45" spans="2:25">
      <c r="B45" s="50" cm="1">
        <f t="array" ref="B45" xml:space="preserve"> INDEX(韻母表[韻序], MATCH(TRUE, EXACT($C45, 韻母表[十五音]), 0))</f>
        <v>23</v>
      </c>
      <c r="C45" s="50" t="s">
        <v>107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auʔ</v>
      </c>
      <c r="E45" s="50" t="str" cm="1">
        <f t="array" ref="E45" xml:space="preserve"> INDEX(韻母表[台羅拼音], MATCH(TRUE, EXACT($C45, 韻母表[十五音]), 0))</f>
        <v>auh</v>
      </c>
      <c r="F45" s="53" t="s">
        <v>476</v>
      </c>
      <c r="G45" s="53" t="s">
        <v>478</v>
      </c>
      <c r="H45" s="53"/>
      <c r="I45" s="53" t="s">
        <v>475</v>
      </c>
      <c r="J45" s="53"/>
      <c r="K45" s="53" t="s">
        <v>480</v>
      </c>
      <c r="L45" s="53" t="s">
        <v>479</v>
      </c>
      <c r="M45" s="53"/>
      <c r="N45" s="53"/>
      <c r="O45" s="53"/>
      <c r="P45" s="53"/>
      <c r="Q45" s="53"/>
      <c r="R45" s="53"/>
      <c r="S45" s="53" t="s">
        <v>477</v>
      </c>
      <c r="T45" s="53"/>
      <c r="U45" s="53"/>
      <c r="V45" s="53" t="s">
        <v>481</v>
      </c>
      <c r="W45" s="53"/>
      <c r="X45" s="50" t="s">
        <v>203</v>
      </c>
      <c r="Y45" s="50" t="s">
        <v>107</v>
      </c>
    </row>
    <row r="46" spans="2:25">
      <c r="B46" s="50" cm="1">
        <f t="array" ref="B46" xml:space="preserve"> INDEX(韻母表[韻序], MATCH(TRUE, EXACT($C46, 韻母表[十五音]), 0))</f>
        <v>24</v>
      </c>
      <c r="C46" s="50" t="s">
        <v>108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ɪa</v>
      </c>
      <c r="E46" s="50" t="str" cm="1">
        <f t="array" ref="E46" xml:space="preserve"> INDEX(韻母表[台羅拼音], MATCH(TRUE, EXACT($C46, 韻母表[十五音]), 0))</f>
        <v>ia</v>
      </c>
      <c r="F46" s="53"/>
      <c r="G46" s="53" t="s">
        <v>543</v>
      </c>
      <c r="H46" s="53"/>
      <c r="I46" s="53" t="s">
        <v>540</v>
      </c>
      <c r="J46" s="53" t="s">
        <v>541</v>
      </c>
      <c r="K46" s="53" t="s">
        <v>546</v>
      </c>
      <c r="L46" s="53"/>
      <c r="M46" s="53"/>
      <c r="N46" s="53" t="s">
        <v>547</v>
      </c>
      <c r="O46" s="53" t="s">
        <v>539</v>
      </c>
      <c r="P46" s="53" t="s">
        <v>545</v>
      </c>
      <c r="Q46" s="53" t="s">
        <v>204</v>
      </c>
      <c r="R46" s="53"/>
      <c r="S46" s="53" t="s">
        <v>542</v>
      </c>
      <c r="T46" s="53" t="s">
        <v>537</v>
      </c>
      <c r="U46" s="53" t="s">
        <v>544</v>
      </c>
      <c r="V46" s="53" t="s">
        <v>548</v>
      </c>
      <c r="W46" s="53" t="s">
        <v>538</v>
      </c>
      <c r="X46" s="50" t="s">
        <v>204</v>
      </c>
      <c r="Y46" s="50" t="s">
        <v>108</v>
      </c>
    </row>
    <row r="47" spans="2:25">
      <c r="B47" s="50" cm="1">
        <f t="array" ref="B47" xml:space="preserve"> INDEX(韻母表[韻序], MATCH(TRUE, EXACT($C47, 韻母表[十五音]), 0))</f>
        <v>24</v>
      </c>
      <c r="C47" s="50" t="s">
        <v>109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ɪaʔ</v>
      </c>
      <c r="E47" s="50" t="str" cm="1">
        <f t="array" ref="E47" xml:space="preserve"> INDEX(韻母表[台羅拼音], MATCH(TRUE, EXACT($C47, 韻母表[十五音]), 0))</f>
        <v>iah</v>
      </c>
      <c r="F47" s="53" t="s">
        <v>553</v>
      </c>
      <c r="G47" s="53"/>
      <c r="H47" s="53" t="s">
        <v>554</v>
      </c>
      <c r="I47" s="53" t="s">
        <v>551</v>
      </c>
      <c r="J47" s="53" t="s">
        <v>552</v>
      </c>
      <c r="K47" s="53" t="s">
        <v>557</v>
      </c>
      <c r="L47" s="53" t="s">
        <v>555</v>
      </c>
      <c r="M47" s="53" t="s">
        <v>558</v>
      </c>
      <c r="N47" s="53" t="s">
        <v>559</v>
      </c>
      <c r="O47" s="53"/>
      <c r="P47" s="53" t="s">
        <v>556</v>
      </c>
      <c r="Q47" s="53" t="s">
        <v>205</v>
      </c>
      <c r="R47" s="53"/>
      <c r="S47" s="53"/>
      <c r="T47" s="53" t="s">
        <v>549</v>
      </c>
      <c r="U47" s="53"/>
      <c r="V47" s="53" t="s">
        <v>560</v>
      </c>
      <c r="W47" s="53" t="s">
        <v>550</v>
      </c>
      <c r="X47" s="50" t="s">
        <v>205</v>
      </c>
      <c r="Y47" s="50" t="s">
        <v>109</v>
      </c>
    </row>
    <row r="48" spans="2:25">
      <c r="B48" s="50" cm="1">
        <f t="array" ref="B48" xml:space="preserve"> INDEX(韻母表[韻序], MATCH(TRUE, EXACT($C48, 韻母表[十五音]), 0))</f>
        <v>25</v>
      </c>
      <c r="C48" s="50" t="s">
        <v>110</v>
      </c>
      <c r="D48" s="96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uei</v>
      </c>
      <c r="E48" s="50" t="str" cm="1">
        <f t="array" ref="E48" xml:space="preserve"> INDEX(韻母表[台羅拼音], MATCH(TRUE, EXACT($C48, 韻母表[十五音]), 0))</f>
        <v>ue</v>
      </c>
      <c r="F48" s="53" t="s">
        <v>992</v>
      </c>
      <c r="G48" s="53"/>
      <c r="H48" s="53" t="s">
        <v>993</v>
      </c>
      <c r="I48" s="53" t="s">
        <v>990</v>
      </c>
      <c r="J48" s="53" t="s">
        <v>991</v>
      </c>
      <c r="K48" s="53" t="s">
        <v>996</v>
      </c>
      <c r="L48" s="53" t="s">
        <v>994</v>
      </c>
      <c r="M48" s="53"/>
      <c r="N48" s="53" t="s">
        <v>997</v>
      </c>
      <c r="O48" s="53" t="s">
        <v>989</v>
      </c>
      <c r="P48" s="53" t="s">
        <v>995</v>
      </c>
      <c r="Q48" s="53" t="s">
        <v>206</v>
      </c>
      <c r="R48" s="53" t="s">
        <v>986</v>
      </c>
      <c r="S48" s="53"/>
      <c r="T48" s="53" t="s">
        <v>987</v>
      </c>
      <c r="U48" s="53"/>
      <c r="V48" s="53" t="s">
        <v>998</v>
      </c>
      <c r="W48" s="53" t="s">
        <v>988</v>
      </c>
      <c r="X48" s="50" t="s">
        <v>206</v>
      </c>
      <c r="Y48" s="50" t="s">
        <v>110</v>
      </c>
    </row>
    <row r="49" spans="2:25">
      <c r="B49" s="50" cm="1">
        <f t="array" ref="B49" xml:space="preserve"> INDEX(韻母表[韻序], MATCH(TRUE, EXACT($C49, 韻母表[十五音]), 0))</f>
        <v>25</v>
      </c>
      <c r="C49" s="50" t="s">
        <v>111</v>
      </c>
      <c r="D49" s="96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ueiʔ</v>
      </c>
      <c r="E49" s="50" t="str" cm="1">
        <f t="array" ref="E49" xml:space="preserve"> INDEX(韻母表[台羅拼音], MATCH(TRUE, EXACT($C49, 韻母表[十五音]), 0))</f>
        <v>ueh</v>
      </c>
      <c r="F49" s="53"/>
      <c r="G49" s="53"/>
      <c r="H49" s="53" t="s">
        <v>1004</v>
      </c>
      <c r="I49" s="53" t="s">
        <v>1002</v>
      </c>
      <c r="J49" s="53" t="s">
        <v>1003</v>
      </c>
      <c r="K49" s="53"/>
      <c r="L49" s="53" t="s">
        <v>1005</v>
      </c>
      <c r="M49" s="53"/>
      <c r="N49" s="53"/>
      <c r="O49" s="53"/>
      <c r="P49" s="53" t="s">
        <v>1006</v>
      </c>
      <c r="Q49" s="53" t="s">
        <v>207</v>
      </c>
      <c r="R49" s="53" t="s">
        <v>999</v>
      </c>
      <c r="S49" s="53"/>
      <c r="T49" s="53" t="s">
        <v>1000</v>
      </c>
      <c r="U49" s="53"/>
      <c r="V49" s="53"/>
      <c r="W49" s="53" t="s">
        <v>1001</v>
      </c>
      <c r="X49" s="50" t="s">
        <v>207</v>
      </c>
      <c r="Y49" s="50" t="s">
        <v>111</v>
      </c>
    </row>
    <row r="50" spans="2:25">
      <c r="B50" s="50" cm="1">
        <f t="array" ref="B50" xml:space="preserve"> INDEX(韻母表[韻序], MATCH(TRUE, EXACT($C50, 韻母表[十五音]), 0))</f>
        <v>26</v>
      </c>
      <c r="C50" s="50" t="s">
        <v>112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ã</v>
      </c>
      <c r="E50" s="50" t="str" cm="1">
        <f t="array" ref="E50" xml:space="preserve"> INDEX(韻母表[台羅拼音], MATCH(TRUE, EXACT($C50, 韻母表[十五音]), 0))</f>
        <v>ann</v>
      </c>
      <c r="F50" s="53"/>
      <c r="G50" s="53"/>
      <c r="H50" s="53"/>
      <c r="I50" s="53" t="s">
        <v>429</v>
      </c>
      <c r="J50" s="53" t="s">
        <v>430</v>
      </c>
      <c r="K50" s="53" t="s">
        <v>433</v>
      </c>
      <c r="L50" s="53" t="s">
        <v>431</v>
      </c>
      <c r="M50" s="53" t="s">
        <v>434</v>
      </c>
      <c r="N50" s="53" t="s">
        <v>435</v>
      </c>
      <c r="O50" s="53"/>
      <c r="P50" s="53" t="s">
        <v>432</v>
      </c>
      <c r="Q50" s="53" t="s">
        <v>208</v>
      </c>
      <c r="R50" s="53"/>
      <c r="S50" s="53"/>
      <c r="T50" s="53"/>
      <c r="U50" s="53"/>
      <c r="V50" s="53" t="s">
        <v>436</v>
      </c>
      <c r="W50" s="53" t="s">
        <v>428</v>
      </c>
      <c r="X50" s="50" t="s">
        <v>208</v>
      </c>
      <c r="Y50" s="50" t="s">
        <v>112</v>
      </c>
    </row>
    <row r="51" spans="2:25">
      <c r="B51" s="50" cm="1">
        <f t="array" ref="B51" xml:space="preserve"> INDEX(韻母表[韻序], MATCH(TRUE, EXACT($C51, 韻母表[十五音]), 0))</f>
        <v>26</v>
      </c>
      <c r="C51" s="50" t="s">
        <v>113</v>
      </c>
      <c r="D51" s="50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ãʔ</v>
      </c>
      <c r="E51" s="50" t="str" cm="1">
        <f t="array" ref="E51" xml:space="preserve"> INDEX(韻母表[台羅拼音], MATCH(TRUE, EXACT($C51, 韻母表[十五音]), 0))</f>
        <v>annh</v>
      </c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 t="s">
        <v>438</v>
      </c>
      <c r="Q51" s="53"/>
      <c r="R51" s="53"/>
      <c r="S51" s="53"/>
      <c r="T51" s="53"/>
      <c r="U51" s="53"/>
      <c r="V51" s="53"/>
      <c r="W51" s="53" t="s">
        <v>437</v>
      </c>
      <c r="X51" s="50" t="s">
        <v>209</v>
      </c>
      <c r="Y51" s="50" t="s">
        <v>113</v>
      </c>
    </row>
    <row r="52" spans="2:25">
      <c r="B52" s="50" cm="1">
        <f t="array" ref="B52" xml:space="preserve"> INDEX(韻母表[韻序], MATCH(TRUE, EXACT($C52, 韻母表[十五音]), 0))</f>
        <v>27</v>
      </c>
      <c r="C52" s="50" t="s">
        <v>114</v>
      </c>
      <c r="D52" s="50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u</v>
      </c>
      <c r="E52" s="50" t="str" cm="1">
        <f t="array" ref="E52" xml:space="preserve"> INDEX(韻母表[台羅拼音], MATCH(TRUE, EXACT($C52, 韻母表[十五音]), 0))</f>
        <v>u</v>
      </c>
      <c r="F52" s="53" t="s">
        <v>908</v>
      </c>
      <c r="G52" s="53"/>
      <c r="H52" s="53" t="s">
        <v>909</v>
      </c>
      <c r="I52" s="53" t="s">
        <v>906</v>
      </c>
      <c r="J52" s="53" t="s">
        <v>907</v>
      </c>
      <c r="K52" s="53" t="s">
        <v>912</v>
      </c>
      <c r="L52" s="53" t="s">
        <v>910</v>
      </c>
      <c r="M52" s="53" t="s">
        <v>913</v>
      </c>
      <c r="N52" s="53" t="s">
        <v>914</v>
      </c>
      <c r="O52" s="53" t="s">
        <v>905</v>
      </c>
      <c r="P52" s="53" t="s">
        <v>911</v>
      </c>
      <c r="Q52" s="53" t="s">
        <v>210</v>
      </c>
      <c r="R52" s="53" t="s">
        <v>902</v>
      </c>
      <c r="S52" s="53"/>
      <c r="T52" s="53" t="s">
        <v>903</v>
      </c>
      <c r="U52" s="53"/>
      <c r="V52" s="53" t="s">
        <v>915</v>
      </c>
      <c r="W52" s="53" t="s">
        <v>904</v>
      </c>
      <c r="X52" s="50" t="s">
        <v>210</v>
      </c>
      <c r="Y52" s="50" t="s">
        <v>114</v>
      </c>
    </row>
    <row r="53" spans="2:25">
      <c r="B53" s="50" cm="1">
        <f t="array" ref="B53" xml:space="preserve"> INDEX(韻母表[韻序], MATCH(TRUE, EXACT($C53, 韻母表[十五音]), 0))</f>
        <v>27</v>
      </c>
      <c r="C53" s="50" t="s">
        <v>115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uʔ</v>
      </c>
      <c r="E53" s="50" t="str" cm="1">
        <f t="array" ref="E53" xml:space="preserve"> INDEX(韻母表[台羅拼音], MATCH(TRUE, EXACT($C53, 韻母表[十五音]), 0))</f>
        <v>uh</v>
      </c>
      <c r="F53" s="53"/>
      <c r="G53" s="53"/>
      <c r="H53" s="53" t="s">
        <v>1008</v>
      </c>
      <c r="I53" s="53"/>
      <c r="J53" s="53" t="s">
        <v>1007</v>
      </c>
      <c r="K53" s="53" t="s">
        <v>1010</v>
      </c>
      <c r="L53" s="53" t="s">
        <v>1009</v>
      </c>
      <c r="M53" s="53" t="s">
        <v>1011</v>
      </c>
      <c r="N53" s="53" t="s">
        <v>1012</v>
      </c>
      <c r="O53" s="53"/>
      <c r="P53" s="53"/>
      <c r="Q53" s="53" t="s">
        <v>211</v>
      </c>
      <c r="R53" s="53"/>
      <c r="S53" s="53"/>
      <c r="T53" s="53"/>
      <c r="U53" s="53"/>
      <c r="V53" s="53" t="s">
        <v>1013</v>
      </c>
      <c r="W53" s="53"/>
      <c r="X53" s="50" t="s">
        <v>211</v>
      </c>
      <c r="Y53" s="50" t="s">
        <v>115</v>
      </c>
    </row>
    <row r="54" spans="2:25">
      <c r="B54" s="50" cm="1">
        <f t="array" ref="B54" xml:space="preserve"> INDEX(韻母表[韻序], MATCH(TRUE, EXACT($C54, 韻母表[十五音]), 0))</f>
        <v>28</v>
      </c>
      <c r="C54" s="50" t="s">
        <v>116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a</v>
      </c>
      <c r="E54" s="50" t="str" cm="1">
        <f t="array" ref="E54" xml:space="preserve"> INDEX(韻母表[台羅拼音], MATCH(TRUE, EXACT($C54, 韻母表[十五音]), 0))</f>
        <v>a</v>
      </c>
      <c r="F54" s="53" t="s">
        <v>333</v>
      </c>
      <c r="G54" s="53" t="s">
        <v>335</v>
      </c>
      <c r="H54" s="53" t="s">
        <v>337</v>
      </c>
      <c r="I54" s="53" t="s">
        <v>331</v>
      </c>
      <c r="J54" s="53" t="s">
        <v>332</v>
      </c>
      <c r="K54" s="53" t="s">
        <v>340</v>
      </c>
      <c r="L54" s="53" t="s">
        <v>338</v>
      </c>
      <c r="M54" s="53" t="s">
        <v>341</v>
      </c>
      <c r="N54" s="53" t="s">
        <v>342</v>
      </c>
      <c r="O54" s="53"/>
      <c r="P54" s="53" t="s">
        <v>339</v>
      </c>
      <c r="Q54" s="53" t="s">
        <v>212</v>
      </c>
      <c r="R54" s="53" t="s">
        <v>328</v>
      </c>
      <c r="S54" s="53" t="s">
        <v>334</v>
      </c>
      <c r="T54" s="53" t="s">
        <v>329</v>
      </c>
      <c r="U54" s="53" t="s">
        <v>336</v>
      </c>
      <c r="V54" s="53" t="s">
        <v>343</v>
      </c>
      <c r="W54" s="53" t="s">
        <v>330</v>
      </c>
      <c r="X54" s="50" t="s">
        <v>212</v>
      </c>
      <c r="Y54" s="50" t="s">
        <v>116</v>
      </c>
    </row>
    <row r="55" spans="2:25">
      <c r="B55" s="50" cm="1">
        <f t="array" ref="B55" xml:space="preserve"> INDEX(韻母表[韻序], MATCH(TRUE, EXACT($C55, 韻母表[十五音]), 0))</f>
        <v>28</v>
      </c>
      <c r="C55" s="50" t="s">
        <v>117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aʔ</v>
      </c>
      <c r="E55" s="50" t="str" cm="1">
        <f t="array" ref="E55" xml:space="preserve"> INDEX(韻母表[台羅拼音], MATCH(TRUE, EXACT($C55, 韻母表[十五音]), 0))</f>
        <v>ah</v>
      </c>
      <c r="F55" s="53" t="s">
        <v>348</v>
      </c>
      <c r="G55" s="53" t="s">
        <v>349</v>
      </c>
      <c r="H55" s="53" t="s">
        <v>350</v>
      </c>
      <c r="I55" s="53" t="s">
        <v>346</v>
      </c>
      <c r="J55" s="53" t="s">
        <v>347</v>
      </c>
      <c r="K55" s="53" t="s">
        <v>353</v>
      </c>
      <c r="L55" s="53" t="s">
        <v>351</v>
      </c>
      <c r="M55" s="53" t="s">
        <v>354</v>
      </c>
      <c r="N55" s="53" t="s">
        <v>355</v>
      </c>
      <c r="O55" s="53"/>
      <c r="P55" s="53" t="s">
        <v>352</v>
      </c>
      <c r="Q55" s="53" t="s">
        <v>213</v>
      </c>
      <c r="R55" s="53" t="s">
        <v>344</v>
      </c>
      <c r="S55" s="53"/>
      <c r="T55" s="53"/>
      <c r="U55" s="53"/>
      <c r="V55" s="53" t="s">
        <v>356</v>
      </c>
      <c r="W55" s="53" t="s">
        <v>345</v>
      </c>
      <c r="X55" s="50" t="s">
        <v>213</v>
      </c>
      <c r="Y55" s="50" t="s">
        <v>117</v>
      </c>
    </row>
    <row r="56" spans="2:25">
      <c r="B56" s="50" cm="1">
        <f t="array" ref="B56" xml:space="preserve"> INDEX(韻母表[韻序], MATCH(TRUE, EXACT($C56, 韻母表[十五音]), 0))</f>
        <v>29</v>
      </c>
      <c r="C56" s="50" t="s">
        <v>118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i</v>
      </c>
      <c r="E56" s="50" t="str" cm="1">
        <f t="array" ref="E56" xml:space="preserve"> INDEX(韻母表[台羅拼音], MATCH(TRUE, EXACT($C56, 韻母表[十五音]), 0))</f>
        <v>i</v>
      </c>
      <c r="F56" s="53" t="s">
        <v>530</v>
      </c>
      <c r="G56" s="53" t="s">
        <v>532</v>
      </c>
      <c r="H56" s="53" t="s">
        <v>533</v>
      </c>
      <c r="I56" s="53" t="s">
        <v>528</v>
      </c>
      <c r="J56" s="53" t="s">
        <v>529</v>
      </c>
      <c r="K56" s="53" t="s">
        <v>535</v>
      </c>
      <c r="L56" s="53" t="s">
        <v>534</v>
      </c>
      <c r="M56" s="53" t="s">
        <v>536</v>
      </c>
      <c r="N56" s="53" t="s">
        <v>55</v>
      </c>
      <c r="O56" s="53" t="s">
        <v>527</v>
      </c>
      <c r="P56" s="53" t="s">
        <v>59</v>
      </c>
      <c r="Q56" s="53" t="s">
        <v>214</v>
      </c>
      <c r="R56" s="53" t="s">
        <v>524</v>
      </c>
      <c r="S56" s="53" t="s">
        <v>531</v>
      </c>
      <c r="T56" s="53" t="s">
        <v>525</v>
      </c>
      <c r="U56" s="53"/>
      <c r="V56" s="53" t="s">
        <v>57</v>
      </c>
      <c r="W56" s="53" t="s">
        <v>526</v>
      </c>
      <c r="X56" s="50" t="s">
        <v>214</v>
      </c>
      <c r="Y56" s="50" t="s">
        <v>118</v>
      </c>
    </row>
    <row r="57" spans="2:25">
      <c r="B57" s="50" cm="1">
        <f t="array" ref="B57" xml:space="preserve"> INDEX(韻母表[韻序], MATCH(TRUE, EXACT($C57, 韻母表[十五音]), 0))</f>
        <v>29</v>
      </c>
      <c r="C57" s="50" t="s">
        <v>119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iʔ</v>
      </c>
      <c r="E57" s="50" t="str" cm="1">
        <f t="array" ref="E57" xml:space="preserve"> INDEX(韻母表[台羅拼音], MATCH(TRUE, EXACT($C57, 韻母表[十五音]), 0))</f>
        <v>ih</v>
      </c>
      <c r="F57" s="53"/>
      <c r="G57" s="53" t="s">
        <v>659</v>
      </c>
      <c r="H57" s="53" t="s">
        <v>660</v>
      </c>
      <c r="I57" s="53"/>
      <c r="J57" s="53" t="s">
        <v>657</v>
      </c>
      <c r="K57" s="53" t="s">
        <v>663</v>
      </c>
      <c r="L57" s="53" t="s">
        <v>661</v>
      </c>
      <c r="M57" s="53" t="s">
        <v>664</v>
      </c>
      <c r="N57" s="53" t="s">
        <v>665</v>
      </c>
      <c r="O57" s="53"/>
      <c r="P57" s="53" t="s">
        <v>662</v>
      </c>
      <c r="Q57" s="53"/>
      <c r="R57" s="53" t="s">
        <v>656</v>
      </c>
      <c r="S57" s="53" t="s">
        <v>658</v>
      </c>
      <c r="T57" s="53"/>
      <c r="U57" s="53"/>
      <c r="V57" s="53" t="s">
        <v>666</v>
      </c>
      <c r="W57" s="53"/>
      <c r="X57" s="50" t="s">
        <v>215</v>
      </c>
      <c r="Y57" s="50" t="s">
        <v>119</v>
      </c>
    </row>
    <row r="58" spans="2:25">
      <c r="B58" s="50" cm="1">
        <f t="array" ref="B58" xml:space="preserve"> INDEX(韻母表[韻序], MATCH(TRUE, EXACT($C58, 韻母表[十五音]), 0))</f>
        <v>30</v>
      </c>
      <c r="C58" s="50" t="s">
        <v>120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ɪu</v>
      </c>
      <c r="E58" s="50" t="str" cm="1">
        <f t="array" ref="E58" xml:space="preserve"> INDEX(韻母表[台羅拼音], MATCH(TRUE, EXACT($C58, 韻母表[十五音]), 0))</f>
        <v>iu</v>
      </c>
      <c r="F58" s="53" t="s">
        <v>795</v>
      </c>
      <c r="G58" s="53" t="s">
        <v>796</v>
      </c>
      <c r="H58" s="53" t="s">
        <v>797</v>
      </c>
      <c r="I58" s="53" t="s">
        <v>793</v>
      </c>
      <c r="J58" s="53" t="s">
        <v>794</v>
      </c>
      <c r="K58" s="53" t="s">
        <v>799</v>
      </c>
      <c r="L58" s="53"/>
      <c r="M58" s="53" t="s">
        <v>800</v>
      </c>
      <c r="N58" s="53" t="s">
        <v>801</v>
      </c>
      <c r="O58" s="53" t="s">
        <v>792</v>
      </c>
      <c r="P58" s="53" t="s">
        <v>798</v>
      </c>
      <c r="Q58" s="53" t="s">
        <v>216</v>
      </c>
      <c r="R58" s="53" t="s">
        <v>789</v>
      </c>
      <c r="S58" s="53"/>
      <c r="T58" s="53" t="s">
        <v>790</v>
      </c>
      <c r="U58" s="53"/>
      <c r="V58" s="53" t="s">
        <v>802</v>
      </c>
      <c r="W58" s="53" t="s">
        <v>791</v>
      </c>
      <c r="X58" s="50" t="s">
        <v>216</v>
      </c>
      <c r="Y58" s="50" t="s">
        <v>120</v>
      </c>
    </row>
    <row r="59" spans="2:25">
      <c r="B59" s="50" cm="1">
        <f t="array" ref="B59" xml:space="preserve"> INDEX(韻母表[韻序], MATCH(TRUE, EXACT($C59, 韻母表[十五音]), 0))</f>
        <v>31</v>
      </c>
      <c r="C59" s="50" t="s">
        <v>122</v>
      </c>
      <c r="D59" s="96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ɛ̃</v>
      </c>
      <c r="E59" s="50" t="str" cm="1">
        <f t="array" ref="E59" xml:space="preserve"> INDEX(韻母表[台羅拼音], MATCH(TRUE, EXACT($C59, 韻母表[十五音]), 0))</f>
        <v>enn</v>
      </c>
      <c r="F59" s="53"/>
      <c r="G59" s="53"/>
      <c r="H59" s="53" t="s">
        <v>515</v>
      </c>
      <c r="I59" s="53" t="s">
        <v>513</v>
      </c>
      <c r="J59" s="53" t="s">
        <v>514</v>
      </c>
      <c r="K59" s="53" t="s">
        <v>518</v>
      </c>
      <c r="L59" s="53" t="s">
        <v>516</v>
      </c>
      <c r="M59" s="53" t="s">
        <v>519</v>
      </c>
      <c r="N59" s="53" t="s">
        <v>520</v>
      </c>
      <c r="O59" s="53"/>
      <c r="P59" s="53" t="s">
        <v>517</v>
      </c>
      <c r="Q59" s="53" t="s">
        <v>217</v>
      </c>
      <c r="R59" s="53"/>
      <c r="S59" s="53"/>
      <c r="T59" s="53"/>
      <c r="U59" s="53"/>
      <c r="V59" s="53" t="s">
        <v>521</v>
      </c>
      <c r="W59" s="53" t="s">
        <v>512</v>
      </c>
      <c r="X59" s="50" t="s">
        <v>217</v>
      </c>
      <c r="Y59" s="50" t="s">
        <v>122</v>
      </c>
    </row>
    <row r="60" spans="2:25">
      <c r="B60" s="50" cm="1">
        <f t="array" ref="B60" xml:space="preserve"> INDEX(韻母表[韻序], MATCH(TRUE, EXACT($C60, 韻母表[十五音]), 0))</f>
        <v>31</v>
      </c>
      <c r="C60" s="50" t="s">
        <v>123</v>
      </c>
      <c r="D60" s="96" t="str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ɛ̃ʔ</v>
      </c>
      <c r="E60" s="50" t="str" cm="1">
        <f t="array" ref="E60" xml:space="preserve"> INDEX(韻母表[台羅拼音], MATCH(TRUE, EXACT($C60, 韻母表[十五音]), 0))</f>
        <v>ennh</v>
      </c>
      <c r="F60" s="53"/>
      <c r="G60" s="53"/>
      <c r="H60" s="53"/>
      <c r="I60" s="53"/>
      <c r="J60" s="53" t="s">
        <v>523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 t="s">
        <v>522</v>
      </c>
      <c r="X60" s="50" t="s">
        <v>218</v>
      </c>
      <c r="Y60" s="50" t="s">
        <v>123</v>
      </c>
    </row>
    <row r="61" spans="2:25">
      <c r="B61" s="50" cm="1">
        <f t="array" ref="B61" xml:space="preserve"> INDEX(韻母表[韻序], MATCH(TRUE, EXACT($C61, 韻母表[十五音]), 0))</f>
        <v>33</v>
      </c>
      <c r="C61" s="50" t="s">
        <v>126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ɪə</v>
      </c>
      <c r="E61" s="50" t="str" cm="1">
        <f t="array" ref="E61" xml:space="preserve"> INDEX(韻母表[台羅拼音], MATCH(TRUE, EXACT($C61, 韻母表[十五音]), 0))</f>
        <v>io</v>
      </c>
      <c r="F61" s="53" t="s">
        <v>731</v>
      </c>
      <c r="G61" s="53"/>
      <c r="H61" s="53" t="s">
        <v>732</v>
      </c>
      <c r="I61" s="53" t="s">
        <v>729</v>
      </c>
      <c r="J61" s="53" t="s">
        <v>730</v>
      </c>
      <c r="K61" s="53" t="s">
        <v>735</v>
      </c>
      <c r="L61" s="53" t="s">
        <v>733</v>
      </c>
      <c r="M61" s="53" t="s">
        <v>736</v>
      </c>
      <c r="N61" s="53" t="s">
        <v>737</v>
      </c>
      <c r="O61" s="53" t="s">
        <v>728</v>
      </c>
      <c r="P61" s="53" t="s">
        <v>734</v>
      </c>
      <c r="Q61" s="53" t="s">
        <v>220</v>
      </c>
      <c r="R61" s="53" t="s">
        <v>725</v>
      </c>
      <c r="S61" s="53"/>
      <c r="T61" s="53" t="s">
        <v>726</v>
      </c>
      <c r="U61" s="53"/>
      <c r="V61" s="53" t="s">
        <v>738</v>
      </c>
      <c r="W61" s="53" t="s">
        <v>727</v>
      </c>
      <c r="X61" s="50" t="s">
        <v>220</v>
      </c>
      <c r="Y61" s="50" t="s">
        <v>126</v>
      </c>
    </row>
    <row r="62" spans="2:25">
      <c r="B62" s="50" cm="1">
        <f t="array" ref="B62" xml:space="preserve"> INDEX(韻母表[韻序], MATCH(TRUE, EXACT($C62, 韻母表[十五音]), 0))</f>
        <v>33</v>
      </c>
      <c r="C62" s="50" t="s">
        <v>127</v>
      </c>
      <c r="D62" s="50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ɪəʔ</v>
      </c>
      <c r="E62" s="50" t="str" cm="1">
        <f t="array" ref="E62" xml:space="preserve"> INDEX(韻母表[台羅拼音], MATCH(TRUE, EXACT($C62, 韻母表[十五音]), 0))</f>
        <v>ioh</v>
      </c>
      <c r="F62" s="53" t="s">
        <v>743</v>
      </c>
      <c r="G62" s="53"/>
      <c r="H62" s="53"/>
      <c r="I62" s="53" t="s">
        <v>741</v>
      </c>
      <c r="J62" s="53" t="s">
        <v>742</v>
      </c>
      <c r="K62" s="53" t="s">
        <v>745</v>
      </c>
      <c r="L62" s="53"/>
      <c r="M62" s="53"/>
      <c r="N62" s="53" t="s">
        <v>746</v>
      </c>
      <c r="O62" s="53"/>
      <c r="P62" s="53" t="s">
        <v>744</v>
      </c>
      <c r="Q62" s="53" t="s">
        <v>221</v>
      </c>
      <c r="R62" s="53"/>
      <c r="S62" s="53"/>
      <c r="T62" s="53" t="s">
        <v>739</v>
      </c>
      <c r="U62" s="53"/>
      <c r="V62" s="53" t="s">
        <v>747</v>
      </c>
      <c r="W62" s="53" t="s">
        <v>740</v>
      </c>
      <c r="X62" s="50" t="s">
        <v>221</v>
      </c>
      <c r="Y62" s="50" t="s">
        <v>127</v>
      </c>
    </row>
    <row r="63" spans="2:25">
      <c r="B63" s="50" cm="1">
        <f t="array" ref="B63" xml:space="preserve"> INDEX(韻母表[韻序], MATCH(TRUE, EXACT($C63, 韻母表[十五音]), 0))</f>
        <v>34</v>
      </c>
      <c r="C63" s="50" t="s">
        <v>128</v>
      </c>
      <c r="D63" s="50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ĩ</v>
      </c>
      <c r="E63" s="50" t="str" cm="1">
        <f t="array" ref="E63" xml:space="preserve"> INDEX(韻母表[台羅拼音], MATCH(TRUE, EXACT($C63, 韻母表[十五音]), 0))</f>
        <v>inn</v>
      </c>
      <c r="F63" s="53"/>
      <c r="G63" s="53"/>
      <c r="H63" s="53"/>
      <c r="I63" s="53" t="s">
        <v>718</v>
      </c>
      <c r="J63" s="53" t="s">
        <v>719</v>
      </c>
      <c r="K63" s="53" t="s">
        <v>721</v>
      </c>
      <c r="L63" s="53"/>
      <c r="M63" s="53" t="s">
        <v>722</v>
      </c>
      <c r="N63" s="53" t="s">
        <v>723</v>
      </c>
      <c r="O63" s="53"/>
      <c r="P63" s="53" t="s">
        <v>720</v>
      </c>
      <c r="Q63" s="53" t="s">
        <v>222</v>
      </c>
      <c r="R63" s="53"/>
      <c r="S63" s="53"/>
      <c r="T63" s="53"/>
      <c r="U63" s="53"/>
      <c r="V63" s="53" t="s">
        <v>724</v>
      </c>
      <c r="W63" s="53" t="s">
        <v>717</v>
      </c>
      <c r="X63" s="50" t="s">
        <v>222</v>
      </c>
      <c r="Y63" s="50" t="s">
        <v>128</v>
      </c>
    </row>
    <row r="64" spans="2:25">
      <c r="B64" s="50" cm="1">
        <f t="array" ref="B64" xml:space="preserve"> INDEX(韻母表[韻序], MATCH(TRUE, EXACT($C64, 韻母表[十五音]), 0))</f>
        <v>36</v>
      </c>
      <c r="C64" s="50" t="s">
        <v>132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ɪã</v>
      </c>
      <c r="E64" s="50" t="str" cm="1">
        <f t="array" ref="E64" xml:space="preserve"> INDEX(韻母表[台羅拼音], MATCH(TRUE, EXACT($C64, 韻母表[十五音]), 0))</f>
        <v>iann</v>
      </c>
      <c r="F64" s="53"/>
      <c r="G64" s="53"/>
      <c r="H64" s="53" t="s">
        <v>604</v>
      </c>
      <c r="I64" s="53" t="s">
        <v>603</v>
      </c>
      <c r="J64" s="53"/>
      <c r="K64" s="53" t="s">
        <v>606</v>
      </c>
      <c r="L64" s="53"/>
      <c r="M64" s="53" t="s">
        <v>607</v>
      </c>
      <c r="N64" s="53" t="s">
        <v>608</v>
      </c>
      <c r="O64" s="53"/>
      <c r="P64" s="53" t="s">
        <v>605</v>
      </c>
      <c r="Q64" s="53" t="s">
        <v>305</v>
      </c>
      <c r="R64" s="53"/>
      <c r="S64" s="53"/>
      <c r="T64" s="53"/>
      <c r="U64" s="53"/>
      <c r="V64" s="53" t="s">
        <v>609</v>
      </c>
      <c r="W64" s="53" t="s">
        <v>602</v>
      </c>
      <c r="X64" s="50" t="s">
        <v>305</v>
      </c>
      <c r="Y64" s="50" t="s">
        <v>132</v>
      </c>
    </row>
    <row r="65" spans="2:25">
      <c r="B65" s="50" cm="1">
        <f t="array" ref="B65" xml:space="preserve"> INDEX(韻母表[韻序], MATCH(TRUE, EXACT($C65, 韻母表[十五音]), 0))</f>
        <v>36</v>
      </c>
      <c r="C65" s="50" t="s">
        <v>133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ɪãh</v>
      </c>
      <c r="E65" s="50" t="str" cm="1">
        <f t="array" ref="E65" xml:space="preserve"> INDEX(韻母表[台羅拼音], MATCH(TRUE, EXACT($C65, 韻母表[十五音]), 0))</f>
        <v>iannh</v>
      </c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 t="s">
        <v>610</v>
      </c>
      <c r="X65" s="50" t="s">
        <v>225</v>
      </c>
      <c r="Y65" s="50" t="s">
        <v>133</v>
      </c>
    </row>
    <row r="66" spans="2:25">
      <c r="B66" s="50" cm="1">
        <f t="array" ref="B66" xml:space="preserve"> INDEX(韻母表[韻序], MATCH(TRUE, EXACT($C66, 韻母表[十五音]), 0))</f>
        <v>37</v>
      </c>
      <c r="C66" s="50" t="s">
        <v>134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uã</v>
      </c>
      <c r="E66" s="50" t="str" cm="1">
        <f t="array" ref="E66" xml:space="preserve"> INDEX(韻母表[台羅拼音], MATCH(TRUE, EXACT($C66, 韻母表[十五音]), 0))</f>
        <v>uann</v>
      </c>
      <c r="F66" s="53"/>
      <c r="G66" s="53"/>
      <c r="H66" s="53" t="s">
        <v>968</v>
      </c>
      <c r="I66" s="53" t="s">
        <v>966</v>
      </c>
      <c r="J66" s="53" t="s">
        <v>967</v>
      </c>
      <c r="K66" s="53" t="s">
        <v>971</v>
      </c>
      <c r="L66" s="53" t="s">
        <v>969</v>
      </c>
      <c r="M66" s="53" t="s">
        <v>972</v>
      </c>
      <c r="N66" s="53"/>
      <c r="O66" s="53"/>
      <c r="P66" s="53" t="s">
        <v>970</v>
      </c>
      <c r="Q66" s="53" t="s">
        <v>226</v>
      </c>
      <c r="R66" s="53"/>
      <c r="S66" s="53"/>
      <c r="T66" s="53"/>
      <c r="U66" s="53"/>
      <c r="V66" s="53" t="s">
        <v>973</v>
      </c>
      <c r="W66" s="53" t="s">
        <v>965</v>
      </c>
      <c r="X66" s="50" t="s">
        <v>226</v>
      </c>
      <c r="Y66" s="50" t="s">
        <v>134</v>
      </c>
    </row>
    <row r="67" spans="2:25">
      <c r="B67" s="50" cm="1">
        <f t="array" ref="B67" xml:space="preserve"> INDEX(韻母表[韻序], MATCH(TRUE, EXACT($C67, 韻母表[十五音]), 0))</f>
        <v>38</v>
      </c>
      <c r="C67" s="50" t="s">
        <v>136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ŋ̍</v>
      </c>
      <c r="E67" s="50" t="str" cm="1">
        <f t="array" ref="E67" xml:space="preserve"> INDEX(韻母表[台羅拼音], MATCH(TRUE, EXACT($C67, 韻母表[十五音]), 0))</f>
        <v>ng</v>
      </c>
      <c r="F67" s="53"/>
      <c r="G67" s="53" t="s">
        <v>819</v>
      </c>
      <c r="H67" s="53" t="s">
        <v>820</v>
      </c>
      <c r="I67" s="53" t="s">
        <v>816</v>
      </c>
      <c r="J67" s="53" t="s">
        <v>817</v>
      </c>
      <c r="K67" s="53" t="s">
        <v>822</v>
      </c>
      <c r="L67" s="53"/>
      <c r="M67" s="53" t="s">
        <v>823</v>
      </c>
      <c r="N67" s="53" t="s">
        <v>824</v>
      </c>
      <c r="O67" s="53"/>
      <c r="P67" s="53" t="s">
        <v>821</v>
      </c>
      <c r="Q67" s="53" t="s">
        <v>52</v>
      </c>
      <c r="R67" s="53"/>
      <c r="S67" s="53" t="s">
        <v>818</v>
      </c>
      <c r="T67" s="53"/>
      <c r="U67" s="53"/>
      <c r="V67" s="53" t="s">
        <v>825</v>
      </c>
      <c r="W67" s="53" t="s">
        <v>815</v>
      </c>
      <c r="X67" s="50" t="s">
        <v>52</v>
      </c>
      <c r="Y67" s="50" t="s">
        <v>136</v>
      </c>
    </row>
    <row r="68" spans="2:25">
      <c r="B68" s="50" cm="1">
        <f t="array" ref="B68" xml:space="preserve"> INDEX(韻母表[韻序], MATCH(TRUE, EXACT($C68, 韻母表[十五音]), 0))</f>
        <v>38</v>
      </c>
      <c r="C68" s="50" t="s">
        <v>137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ŋ̍h</v>
      </c>
      <c r="E68" s="50" t="str" cm="1">
        <f t="array" ref="E68" xml:space="preserve"> INDEX(韻母表[台羅拼音], MATCH(TRUE, EXACT($C68, 韻母表[十五音]), 0))</f>
        <v>ngh</v>
      </c>
      <c r="F68" s="53"/>
      <c r="G68" s="53"/>
      <c r="H68" s="53"/>
      <c r="I68" s="53"/>
      <c r="J68" s="53"/>
      <c r="K68" s="53"/>
      <c r="L68" s="53" t="s">
        <v>828</v>
      </c>
      <c r="M68" s="53"/>
      <c r="N68" s="53"/>
      <c r="O68" s="53"/>
      <c r="P68" s="53" t="s">
        <v>829</v>
      </c>
      <c r="Q68" s="53"/>
      <c r="R68" s="53"/>
      <c r="S68" s="53"/>
      <c r="T68" s="53"/>
      <c r="U68" s="53"/>
      <c r="V68" s="53" t="s">
        <v>830</v>
      </c>
      <c r="W68" s="53" t="s">
        <v>827</v>
      </c>
      <c r="X68" s="50" t="s">
        <v>826</v>
      </c>
      <c r="Y68" s="50" t="s">
        <v>137</v>
      </c>
    </row>
    <row r="69" spans="2:25">
      <c r="B69" s="50" cm="1">
        <f t="array" ref="B69" xml:space="preserve"> INDEX(韻母表[韻序], MATCH(TRUE, EXACT($C69, 韻母表[十五音]), 0))</f>
        <v>39</v>
      </c>
      <c r="C69" s="50" t="s">
        <v>139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eʔ</v>
      </c>
      <c r="E69" s="50" t="str" cm="1">
        <f t="array" ref="E69" xml:space="preserve"> INDEX(韻母表[台羅拼音], MATCH(TRUE, EXACT($C69, 韻母表[十五音]), 0))</f>
        <v>eh</v>
      </c>
      <c r="F69" s="53" t="s">
        <v>502</v>
      </c>
      <c r="G69" s="53" t="s">
        <v>504</v>
      </c>
      <c r="H69" s="53" t="s">
        <v>506</v>
      </c>
      <c r="I69" s="53" t="s">
        <v>500</v>
      </c>
      <c r="J69" s="53" t="s">
        <v>501</v>
      </c>
      <c r="K69" s="53" t="s">
        <v>508</v>
      </c>
      <c r="L69" s="53"/>
      <c r="M69" s="53" t="s">
        <v>509</v>
      </c>
      <c r="N69" s="53" t="s">
        <v>510</v>
      </c>
      <c r="O69" s="53"/>
      <c r="P69" s="53" t="s">
        <v>507</v>
      </c>
      <c r="Q69" s="53" t="s">
        <v>227</v>
      </c>
      <c r="R69" s="53" t="s">
        <v>498</v>
      </c>
      <c r="S69" s="53" t="s">
        <v>503</v>
      </c>
      <c r="T69" s="53"/>
      <c r="U69" s="53" t="s">
        <v>505</v>
      </c>
      <c r="V69" s="53" t="s">
        <v>511</v>
      </c>
      <c r="W69" s="53" t="s">
        <v>499</v>
      </c>
      <c r="X69" s="50" t="s">
        <v>227</v>
      </c>
      <c r="Y69" s="50" t="s">
        <v>139</v>
      </c>
    </row>
    <row r="70" spans="2:25">
      <c r="B70" s="50" cm="1">
        <f t="array" ref="B70" xml:space="preserve"> INDEX(韻母表[韻序], MATCH(TRUE, EXACT($C70, 韻母表[十五音]), 0))</f>
        <v>40</v>
      </c>
      <c r="C70" s="50" t="s">
        <v>140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ãɪ</v>
      </c>
      <c r="E70" s="50" t="str" cm="1">
        <f t="array" ref="E70" xml:space="preserve"> INDEX(韻母表[台羅拼音], MATCH(TRUE, EXACT($C70, 韻母表[十五音]), 0))</f>
        <v>ainn</v>
      </c>
      <c r="F70" s="53"/>
      <c r="G70" s="53"/>
      <c r="H70" s="53"/>
      <c r="I70" s="53" t="s">
        <v>374</v>
      </c>
      <c r="J70" s="53" t="s">
        <v>375</v>
      </c>
      <c r="K70" s="53" t="s">
        <v>377</v>
      </c>
      <c r="L70" s="53" t="s">
        <v>376</v>
      </c>
      <c r="M70" s="53"/>
      <c r="N70" s="53" t="s">
        <v>378</v>
      </c>
      <c r="O70" s="53"/>
      <c r="P70" s="53"/>
      <c r="Q70" s="53" t="s">
        <v>228</v>
      </c>
      <c r="R70" s="53"/>
      <c r="S70" s="53"/>
      <c r="T70" s="53"/>
      <c r="U70" s="53"/>
      <c r="V70" s="53"/>
      <c r="W70" s="53" t="s">
        <v>373</v>
      </c>
      <c r="X70" s="50" t="s">
        <v>228</v>
      </c>
      <c r="Y70" s="50" t="s">
        <v>140</v>
      </c>
    </row>
    <row r="71" spans="2:25">
      <c r="B71" s="50" cm="1">
        <f t="array" ref="B71" xml:space="preserve"> INDEX(韻母表[韻序], MATCH(TRUE, EXACT($C71, 韻母表[十五音]), 0))</f>
        <v>41</v>
      </c>
      <c r="C71" s="50" t="s">
        <v>142</v>
      </c>
      <c r="D71" s="96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õu</v>
      </c>
      <c r="E71" s="50" t="str" cm="1">
        <f t="array" ref="E71" xml:space="preserve"> INDEX(韻母表[台羅拼音], MATCH(TRUE, EXACT($C71, 韻母表[十五音]), 0))</f>
        <v>onn</v>
      </c>
      <c r="F71" s="53"/>
      <c r="G71" s="53"/>
      <c r="H71" s="53"/>
      <c r="I71" s="53" t="s">
        <v>883</v>
      </c>
      <c r="J71" s="53"/>
      <c r="K71" s="53"/>
      <c r="L71" s="53"/>
      <c r="M71" s="53"/>
      <c r="N71" s="53"/>
      <c r="O71" s="53"/>
      <c r="P71" s="53"/>
      <c r="Q71" s="53" t="s">
        <v>229</v>
      </c>
      <c r="R71" s="53"/>
      <c r="S71" s="53"/>
      <c r="T71" s="53"/>
      <c r="U71" s="53"/>
      <c r="V71" s="53"/>
      <c r="W71" s="53" t="s">
        <v>882</v>
      </c>
      <c r="X71" s="50" t="s">
        <v>229</v>
      </c>
      <c r="Y71" s="50" t="s">
        <v>142</v>
      </c>
    </row>
    <row r="72" spans="2:25">
      <c r="B72" s="50" cm="1">
        <f t="array" ref="B72" xml:space="preserve"> INDEX(韻母表[韻序], MATCH(TRUE, EXACT($C72, 韻母表[十五音]), 0))</f>
        <v>42</v>
      </c>
      <c r="C72" s="50" t="s">
        <v>144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m̩</v>
      </c>
      <c r="E72" s="50" t="str" cm="1">
        <f t="array" ref="E72" xml:space="preserve"> INDEX(韻母表[台羅拼音], MATCH(TRUE, EXACT($C72, 韻母表[十五音]), 0))</f>
        <v>m</v>
      </c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 t="s">
        <v>44</v>
      </c>
      <c r="R72" s="53"/>
      <c r="S72" s="53"/>
      <c r="T72" s="53"/>
      <c r="U72" s="53"/>
      <c r="V72" s="53"/>
      <c r="W72" s="53" t="s">
        <v>812</v>
      </c>
      <c r="X72" s="50" t="s">
        <v>44</v>
      </c>
      <c r="Y72" s="50" t="s">
        <v>144</v>
      </c>
    </row>
    <row r="73" spans="2:25">
      <c r="B73" s="50" cm="1">
        <f t="array" ref="B73" xml:space="preserve"> INDEX(韻母表[韻序], MATCH(TRUE, EXACT($C73, 韻母表[十五音]), 0))</f>
        <v>42</v>
      </c>
      <c r="C73" s="50" t="s">
        <v>145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m̩h</v>
      </c>
      <c r="E73" s="50" t="str" cm="1">
        <f t="array" ref="E73" xml:space="preserve"> INDEX(韻母表[台羅拼音], MATCH(TRUE, EXACT($C73, 韻母表[十五音]), 0))</f>
        <v>mh</v>
      </c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 t="s">
        <v>814</v>
      </c>
      <c r="X73" s="50" t="s">
        <v>813</v>
      </c>
      <c r="Y73" s="50" t="s">
        <v>145</v>
      </c>
    </row>
    <row r="74" spans="2:25">
      <c r="B74" s="50" cm="1">
        <f t="array" ref="B74" xml:space="preserve"> INDEX(韻母表[韻序], MATCH(TRUE, EXACT($C74, 韻母表[十五音]), 0))</f>
        <v>43</v>
      </c>
      <c r="C74" s="50" t="s">
        <v>146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uaŋ</v>
      </c>
      <c r="E74" s="50" t="str" cm="1">
        <f t="array" ref="E74" xml:space="preserve"> INDEX(韻母表[台羅拼音], MATCH(TRUE, EXACT($C74, 韻母表[十五音]), 0))</f>
        <v>uang</v>
      </c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 t="s">
        <v>230</v>
      </c>
      <c r="R74" s="53"/>
      <c r="S74" s="53"/>
      <c r="T74" s="53"/>
      <c r="U74" s="53"/>
      <c r="V74" s="53" t="s">
        <v>964</v>
      </c>
      <c r="W74" s="53"/>
      <c r="X74" s="50" t="s">
        <v>230</v>
      </c>
      <c r="Y74" s="50" t="s">
        <v>146</v>
      </c>
    </row>
    <row r="75" spans="2:25">
      <c r="B75" s="50" cm="1">
        <f t="array" ref="B75" xml:space="preserve"> INDEX(韻母表[韻序], MATCH(TRUE, EXACT($C75, 韻母表[十五音]), 0))</f>
        <v>44</v>
      </c>
      <c r="C75" s="50" t="s">
        <v>148</v>
      </c>
      <c r="D75" s="50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uãi</v>
      </c>
      <c r="E75" s="50" t="str" cm="1">
        <f t="array" ref="E75" xml:space="preserve"> INDEX(韻母表[台羅拼音], MATCH(TRUE, EXACT($C75, 韻母表[十五音]), 0))</f>
        <v>uainn</v>
      </c>
      <c r="F75" s="53"/>
      <c r="G75" s="53"/>
      <c r="H75" s="53"/>
      <c r="I75" s="53" t="s">
        <v>948</v>
      </c>
      <c r="J75" s="53"/>
      <c r="K75" s="53"/>
      <c r="L75" s="53"/>
      <c r="M75" s="53"/>
      <c r="N75" s="53" t="s">
        <v>950</v>
      </c>
      <c r="O75" s="53"/>
      <c r="P75" s="53" t="s">
        <v>949</v>
      </c>
      <c r="Q75" s="53" t="s">
        <v>232</v>
      </c>
      <c r="R75" s="53"/>
      <c r="S75" s="53"/>
      <c r="T75" s="53"/>
      <c r="U75" s="53"/>
      <c r="V75" s="53"/>
      <c r="W75" s="53" t="s">
        <v>947</v>
      </c>
      <c r="X75" s="50" t="s">
        <v>232</v>
      </c>
      <c r="Y75" s="50" t="s">
        <v>148</v>
      </c>
    </row>
    <row r="76" spans="2:25">
      <c r="B76" s="50" cm="1">
        <f t="array" ref="B76" xml:space="preserve"> INDEX(韻母表[韻序], MATCH(TRUE, EXACT($C76, 韻母表[十五音]), 0))</f>
        <v>46</v>
      </c>
      <c r="C76" s="50" t="s">
        <v>152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ɪãʊ</v>
      </c>
      <c r="E76" s="50" t="str" cm="1">
        <f t="array" ref="E76" xml:space="preserve"> INDEX(韻母表[台羅拼音], MATCH(TRUE, EXACT($C76, 韻母表[十五音]), 0))</f>
        <v>iaunn</v>
      </c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 t="s">
        <v>235</v>
      </c>
      <c r="R76" s="53"/>
      <c r="S76" s="53"/>
      <c r="T76" s="53"/>
      <c r="U76" s="53"/>
      <c r="V76" s="53"/>
      <c r="W76" s="53"/>
      <c r="X76" s="50" t="s">
        <v>235</v>
      </c>
      <c r="Y76" s="50" t="s">
        <v>152</v>
      </c>
    </row>
    <row r="77" spans="2:25">
      <c r="B77" s="50" cm="1">
        <f t="array" ref="B77" xml:space="preserve"> INDEX(韻母表[韻序], MATCH(TRUE, EXACT($C77, 韻母表[十五音]), 0))</f>
        <v>47</v>
      </c>
      <c r="C77" s="50" t="s">
        <v>154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ɔm</v>
      </c>
      <c r="E77" s="50" t="str" cm="1">
        <f t="array" ref="E77" xml:space="preserve"> INDEX(韻母表[台羅拼音], MATCH(TRUE, EXACT($C77, 韻母表[十五音]), 0))</f>
        <v>om</v>
      </c>
      <c r="F77" s="53"/>
      <c r="G77" s="53"/>
      <c r="H77" s="53"/>
      <c r="I77" s="53"/>
      <c r="J77" s="53"/>
      <c r="K77" s="53" t="s">
        <v>868</v>
      </c>
      <c r="L77" s="53"/>
      <c r="M77" s="53"/>
      <c r="N77" s="53"/>
      <c r="O77" s="53"/>
      <c r="P77" s="53" t="s">
        <v>867</v>
      </c>
      <c r="Q77" s="53" t="s">
        <v>236</v>
      </c>
      <c r="R77" s="53"/>
      <c r="S77" s="53"/>
      <c r="T77" s="53"/>
      <c r="U77" s="53"/>
      <c r="V77" s="53"/>
      <c r="W77" s="53"/>
      <c r="X77" s="50" t="s">
        <v>236</v>
      </c>
      <c r="Y77" s="50" t="s">
        <v>154</v>
      </c>
    </row>
    <row r="78" spans="2:25">
      <c r="B78" s="50" cm="1">
        <f t="array" ref="B78" xml:space="preserve"> INDEX(韻母表[韻序], MATCH(TRUE, EXACT($C78, 韻母表[十五音]), 0))</f>
        <v>49</v>
      </c>
      <c r="C78" s="50" t="s">
        <v>159</v>
      </c>
      <c r="D78" s="96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>ɔ̃ʔ</v>
      </c>
      <c r="E78" s="50" t="str" cm="1">
        <f t="array" ref="E78" xml:space="preserve"> INDEX(韻母表[台羅拼音], MATCH(TRUE, EXACT($C78, 韻母表[十五音]), 0))</f>
        <v>onnh</v>
      </c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 t="s">
        <v>238</v>
      </c>
      <c r="R78" s="53"/>
      <c r="S78" s="53"/>
      <c r="T78" s="53"/>
      <c r="U78" s="53"/>
      <c r="V78" s="53"/>
      <c r="W78" s="53" t="s">
        <v>884</v>
      </c>
      <c r="X78" s="50" t="s">
        <v>238</v>
      </c>
      <c r="Y78" s="50" t="s">
        <v>159</v>
      </c>
    </row>
    <row r="79" spans="2:25">
      <c r="B79" s="50" cm="1">
        <f t="array" ref="B79" xml:space="preserve"> INDEX(韻母表[韻序], MATCH(TRUE, EXACT($C79, 韻母表[十五音]), 0))</f>
        <v>50</v>
      </c>
      <c r="C79" s="50" t="s">
        <v>160</v>
      </c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>ɪũ</v>
      </c>
      <c r="E79" s="50" t="str" cm="1">
        <f t="array" ref="E79" xml:space="preserve"> INDEX(韻母表[台羅拼音], MATCH(TRUE, EXACT($C79, 韻母表[十五音]), 0))</f>
        <v>iunn</v>
      </c>
      <c r="F79" s="53"/>
      <c r="G79" s="53"/>
      <c r="H79" s="53"/>
      <c r="I79" s="53" t="s">
        <v>804</v>
      </c>
      <c r="J79" s="53" t="s">
        <v>805</v>
      </c>
      <c r="K79" s="53" t="s">
        <v>807</v>
      </c>
      <c r="L79" s="53"/>
      <c r="M79" s="53"/>
      <c r="N79" s="53" t="s">
        <v>808</v>
      </c>
      <c r="O79" s="53"/>
      <c r="P79" s="53" t="s">
        <v>806</v>
      </c>
      <c r="Q79" s="53" t="s">
        <v>239</v>
      </c>
      <c r="R79" s="53"/>
      <c r="S79" s="53"/>
      <c r="T79" s="53"/>
      <c r="U79" s="53"/>
      <c r="V79" s="53" t="s">
        <v>809</v>
      </c>
      <c r="W79" s="53" t="s">
        <v>803</v>
      </c>
      <c r="X79" s="50" t="s">
        <v>239</v>
      </c>
      <c r="Y79" s="50" t="s">
        <v>160</v>
      </c>
    </row>
    <row r="80" spans="2:25">
      <c r="B80" s="50" cm="1">
        <f t="array" ref="B80" xml:space="preserve"> INDEX(韻母表[韻序], MATCH(TRUE, EXACT($C80, 韻母表[十五音]), 0))</f>
        <v>50</v>
      </c>
      <c r="C80" s="50" t="s">
        <v>161</v>
      </c>
      <c r="D80" s="50" t="str" cm="1">
        <f t="array" ref="D80" xml:space="preserve"> IF( INDEX(韻母表[國際音標2], MATCH(TRUE, EXACT($C80, 韻母表[十五音]), 0))&lt;&gt;"",  INDEX(韻母表[國際音標2], MATCH(TRUE, EXACT($C80, 韻母表[十五音]), 0)),  INDEX(韻母表[國際音標], MATCH(TRUE, EXACT($C80, 韻母表[十五音]), 0)))</f>
        <v>ɪũʔ</v>
      </c>
      <c r="E80" s="50" t="str" cm="1">
        <f t="array" ref="E80" xml:space="preserve"> INDEX(韻母表[台羅拼音], MATCH(TRUE, EXACT($C80, 韻母表[十五音]), 0))</f>
        <v>iunnh</v>
      </c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 t="s">
        <v>810</v>
      </c>
      <c r="R80" s="53"/>
      <c r="S80" s="53"/>
      <c r="T80" s="53"/>
      <c r="U80" s="53"/>
      <c r="V80" s="53"/>
      <c r="W80" s="53" t="s">
        <v>811</v>
      </c>
      <c r="X80" s="50" t="s">
        <v>810</v>
      </c>
      <c r="Y80" s="50" t="s">
        <v>161</v>
      </c>
    </row>
    <row r="81" spans="2:25" ht="7.5" customHeight="1">
      <c r="B81" s="50"/>
      <c r="C81" s="50"/>
      <c r="D81" s="50"/>
      <c r="E81" s="50"/>
      <c r="X81" s="50"/>
      <c r="Y81" s="50"/>
    </row>
    <row r="82" spans="2:25">
      <c r="B82" s="50"/>
      <c r="C82" s="51"/>
      <c r="D82" s="51"/>
      <c r="E82" s="51"/>
      <c r="F82" s="49" t="s">
        <v>47</v>
      </c>
      <c r="G82" s="52" t="s">
        <v>48</v>
      </c>
      <c r="H82" s="49" t="s">
        <v>41</v>
      </c>
      <c r="I82" s="49" t="s">
        <v>49</v>
      </c>
      <c r="J82" s="49" t="s">
        <v>50</v>
      </c>
      <c r="K82" s="49" t="s">
        <v>45</v>
      </c>
      <c r="L82" s="49" t="s">
        <v>42</v>
      </c>
      <c r="M82" s="49" t="s">
        <v>46</v>
      </c>
      <c r="N82" s="49" t="s">
        <v>54</v>
      </c>
      <c r="O82" s="49" t="s">
        <v>60</v>
      </c>
      <c r="P82" s="49" t="s">
        <v>58</v>
      </c>
      <c r="Q82" s="49" t="s">
        <v>327</v>
      </c>
      <c r="R82" s="49" t="s">
        <v>43</v>
      </c>
      <c r="S82" s="52" t="s">
        <v>44</v>
      </c>
      <c r="T82" s="49" t="s">
        <v>51</v>
      </c>
      <c r="U82" s="52" t="s">
        <v>52</v>
      </c>
      <c r="V82" s="49" t="s">
        <v>56</v>
      </c>
      <c r="W82" s="49" t="s">
        <v>53</v>
      </c>
      <c r="X82" s="51"/>
      <c r="Y82" s="51"/>
    </row>
    <row r="83" spans="2:25">
      <c r="B83" s="50"/>
      <c r="C83" s="51"/>
      <c r="D83" s="51"/>
      <c r="E83" s="51"/>
      <c r="F83" s="49" t="str">
        <f xml:space="preserve"> _xlfn.XLOOKUP(F$4, 聲母表[台羅拼音], 聲母表[十五音])</f>
        <v>柳</v>
      </c>
      <c r="G83" s="52" t="str">
        <f xml:space="preserve"> _xlfn.XLOOKUP(G$4, 聲母表[台羅拼音], 聲母表[十五音])</f>
        <v>柳</v>
      </c>
      <c r="H83" s="49" t="str">
        <f xml:space="preserve"> _xlfn.XLOOKUP(H$4, 聲母表[台羅拼音], 聲母表[十五音])</f>
        <v>邊</v>
      </c>
      <c r="I83" s="49" t="str">
        <f xml:space="preserve"> _xlfn.XLOOKUP(I$4, 聲母表[台羅拼音], 聲母表[十五音])</f>
        <v>求</v>
      </c>
      <c r="J83" s="49" t="str">
        <f xml:space="preserve"> _xlfn.XLOOKUP(J$4, 聲母表[台羅拼音], 聲母表[十五音])</f>
        <v>去</v>
      </c>
      <c r="K83" s="49" t="str">
        <f xml:space="preserve"> _xlfn.XLOOKUP(K$4, 聲母表[台羅拼音], 聲母表[十五音])</f>
        <v>地</v>
      </c>
      <c r="L83" s="49" t="str">
        <f xml:space="preserve"> _xlfn.XLOOKUP(L$4, 聲母表[台羅拼音], 聲母表[十五音])</f>
        <v>頗</v>
      </c>
      <c r="M83" s="49" t="str">
        <f xml:space="preserve"> _xlfn.XLOOKUP(M$4, 聲母表[台羅拼音], 聲母表[十五音])</f>
        <v>他</v>
      </c>
      <c r="N83" s="49" t="str">
        <f xml:space="preserve"> _xlfn.XLOOKUP(N$4, 聲母表[台羅拼音], 聲母表[十五音])</f>
        <v>曾</v>
      </c>
      <c r="O83" s="49" t="str">
        <f xml:space="preserve"> _xlfn.XLOOKUP(O$4, 聲母表[台羅拼音], 聲母表[十五音])</f>
        <v>入</v>
      </c>
      <c r="P83" s="49" t="str">
        <f xml:space="preserve"> _xlfn.XLOOKUP(P$4, 聲母表[台羅拼音], 聲母表[十五音])</f>
        <v>時</v>
      </c>
      <c r="Q83" s="49" t="str">
        <f xml:space="preserve"> _xlfn.XLOOKUP(Q$4, 聲母表[台羅拼音], 聲母表[十五音])</f>
        <v>英</v>
      </c>
      <c r="R83" s="49" t="str">
        <f xml:space="preserve"> _xlfn.XLOOKUP(R$4, 聲母表[台羅拼音], 聲母表[十五音])</f>
        <v>門</v>
      </c>
      <c r="S83" s="52" t="str">
        <f xml:space="preserve"> _xlfn.XLOOKUP(S$4, 聲母表[台羅拼音], 聲母表[十五音])</f>
        <v>門</v>
      </c>
      <c r="T83" s="49" t="str">
        <f xml:space="preserve"> _xlfn.XLOOKUP(T$4, 聲母表[台羅拼音], 聲母表[十五音])</f>
        <v>語</v>
      </c>
      <c r="U83" s="52" t="str">
        <f xml:space="preserve"> _xlfn.XLOOKUP(U$4, 聲母表[台羅拼音], 聲母表[十五音])</f>
        <v>語</v>
      </c>
      <c r="V83" s="49" t="str">
        <f xml:space="preserve"> _xlfn.XLOOKUP(V$4, 聲母表[台羅拼音], 聲母表[十五音])</f>
        <v>出</v>
      </c>
      <c r="W83" s="49" t="str">
        <f xml:space="preserve"> _xlfn.XLOOKUP(W$4, 聲母表[台羅拼音], 聲母表[十五音])</f>
        <v>喜</v>
      </c>
      <c r="X83" s="51"/>
      <c r="Y83" s="51"/>
    </row>
  </sheetData>
  <sortState xmlns:xlrd2="http://schemas.microsoft.com/office/spreadsheetml/2017/richdata2" ref="B6:Y80">
    <sortCondition ref="B6:B80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735A7-A696-418F-922F-4B8C378CF4A0}">
  <dimension ref="A1:Z83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L9" sqref="L9"/>
    </sheetView>
  </sheetViews>
  <sheetFormatPr defaultRowHeight="16.5"/>
  <cols>
    <col min="1" max="1" width="5.5" customWidth="1"/>
    <col min="3" max="3" width="12.875" style="1" customWidth="1"/>
    <col min="4" max="4" width="9.625" style="2" customWidth="1"/>
    <col min="5" max="26" width="11" customWidth="1"/>
  </cols>
  <sheetData>
    <row r="1" spans="1:26" ht="44.25">
      <c r="A1" s="33"/>
      <c r="B1" s="33"/>
      <c r="C1" s="33"/>
      <c r="D1" s="35" t="s">
        <v>325</v>
      </c>
      <c r="E1" s="4" t="s">
        <v>18</v>
      </c>
      <c r="F1" s="4" t="s">
        <v>19</v>
      </c>
      <c r="G1" s="4" t="s">
        <v>20</v>
      </c>
      <c r="H1" s="5" t="s">
        <v>21</v>
      </c>
      <c r="I1" s="6" t="s">
        <v>22</v>
      </c>
      <c r="J1" s="4" t="s">
        <v>23</v>
      </c>
      <c r="K1" s="4" t="s">
        <v>24</v>
      </c>
      <c r="L1" s="5" t="s">
        <v>25</v>
      </c>
      <c r="M1" s="6" t="s">
        <v>26</v>
      </c>
      <c r="N1" s="4" t="s">
        <v>27</v>
      </c>
      <c r="O1" s="4" t="s">
        <v>28</v>
      </c>
      <c r="P1" s="5" t="s">
        <v>29</v>
      </c>
      <c r="Q1" s="6" t="s">
        <v>30</v>
      </c>
      <c r="R1" s="4" t="s">
        <v>31</v>
      </c>
      <c r="S1" s="7" t="s">
        <v>32</v>
      </c>
      <c r="T1" s="4" t="s">
        <v>33</v>
      </c>
      <c r="U1" s="7" t="s">
        <v>34</v>
      </c>
      <c r="V1" s="4" t="s">
        <v>35</v>
      </c>
      <c r="W1" s="7" t="s">
        <v>36</v>
      </c>
      <c r="X1" s="4" t="s">
        <v>37</v>
      </c>
      <c r="Y1" s="5" t="s">
        <v>38</v>
      </c>
      <c r="Z1" s="5" t="s">
        <v>39</v>
      </c>
    </row>
    <row r="2" spans="1:26" ht="29.25">
      <c r="A2" s="33"/>
      <c r="B2" s="33"/>
      <c r="C2" s="33"/>
      <c r="D2" s="35" t="s">
        <v>0</v>
      </c>
      <c r="E2" s="8" t="s">
        <v>1</v>
      </c>
      <c r="F2" s="8" t="s">
        <v>2</v>
      </c>
      <c r="G2" s="8" t="s">
        <v>3</v>
      </c>
      <c r="H2" s="9" t="s">
        <v>4</v>
      </c>
      <c r="I2" s="10" t="s">
        <v>4</v>
      </c>
      <c r="J2" s="8" t="s">
        <v>5</v>
      </c>
      <c r="K2" s="8" t="s">
        <v>6</v>
      </c>
      <c r="L2" s="9" t="s">
        <v>7</v>
      </c>
      <c r="M2" s="10" t="s">
        <v>7</v>
      </c>
      <c r="N2" s="8" t="s">
        <v>8</v>
      </c>
      <c r="O2" s="8" t="s">
        <v>9</v>
      </c>
      <c r="P2" s="9" t="s">
        <v>10</v>
      </c>
      <c r="Q2" s="10" t="s">
        <v>10</v>
      </c>
      <c r="R2" s="8" t="s">
        <v>11</v>
      </c>
      <c r="S2" s="11" t="s">
        <v>12</v>
      </c>
      <c r="T2" s="8" t="s">
        <v>12</v>
      </c>
      <c r="U2" s="11" t="s">
        <v>13</v>
      </c>
      <c r="V2" s="8" t="s">
        <v>13</v>
      </c>
      <c r="W2" s="11" t="s">
        <v>14</v>
      </c>
      <c r="X2" s="8" t="s">
        <v>14</v>
      </c>
      <c r="Y2" s="9" t="s">
        <v>15</v>
      </c>
      <c r="Z2" s="9" t="s">
        <v>16</v>
      </c>
    </row>
    <row r="3" spans="1:26" ht="29.25">
      <c r="A3" s="3"/>
      <c r="B3" s="34"/>
      <c r="C3" s="34"/>
      <c r="D3" s="35" t="s">
        <v>326</v>
      </c>
      <c r="E3" s="12" t="s">
        <v>327</v>
      </c>
      <c r="F3" s="12" t="s">
        <v>41</v>
      </c>
      <c r="G3" s="12" t="s">
        <v>42</v>
      </c>
      <c r="H3" s="13" t="s">
        <v>43</v>
      </c>
      <c r="I3" s="14" t="s">
        <v>44</v>
      </c>
      <c r="J3" s="12" t="s">
        <v>45</v>
      </c>
      <c r="K3" s="12" t="s">
        <v>46</v>
      </c>
      <c r="L3" s="13" t="s">
        <v>47</v>
      </c>
      <c r="M3" s="14" t="s">
        <v>48</v>
      </c>
      <c r="N3" s="12" t="s">
        <v>49</v>
      </c>
      <c r="O3" s="12" t="s">
        <v>50</v>
      </c>
      <c r="P3" s="13" t="s">
        <v>51</v>
      </c>
      <c r="Q3" s="14" t="s">
        <v>52</v>
      </c>
      <c r="R3" s="12" t="s">
        <v>53</v>
      </c>
      <c r="S3" s="15" t="s">
        <v>54</v>
      </c>
      <c r="T3" s="12" t="s">
        <v>55</v>
      </c>
      <c r="U3" s="15" t="s">
        <v>56</v>
      </c>
      <c r="V3" s="12" t="s">
        <v>57</v>
      </c>
      <c r="W3" s="15" t="s">
        <v>58</v>
      </c>
      <c r="X3" s="12" t="s">
        <v>59</v>
      </c>
      <c r="Y3" s="13" t="s">
        <v>60</v>
      </c>
      <c r="Z3" s="13" t="s">
        <v>61</v>
      </c>
    </row>
    <row r="4" spans="1:26" ht="9.75" customHeight="1">
      <c r="A4" s="36"/>
      <c r="B4" s="37"/>
      <c r="C4" s="37"/>
      <c r="D4" s="38"/>
      <c r="E4" s="39"/>
      <c r="F4" s="39"/>
      <c r="G4" s="39"/>
      <c r="H4" s="39"/>
      <c r="I4" s="40"/>
      <c r="J4" s="39"/>
      <c r="K4" s="39"/>
      <c r="L4" s="39"/>
      <c r="M4" s="40"/>
      <c r="N4" s="39"/>
      <c r="O4" s="39"/>
      <c r="P4" s="39"/>
      <c r="Q4" s="40"/>
      <c r="R4" s="39"/>
      <c r="S4" s="39"/>
      <c r="T4" s="39"/>
      <c r="U4" s="39"/>
      <c r="V4" s="39"/>
      <c r="W4" s="39"/>
      <c r="X4" s="39"/>
      <c r="Y4" s="39"/>
      <c r="Z4" s="39"/>
    </row>
    <row r="5" spans="1:26" ht="44.25">
      <c r="A5" s="16">
        <v>55</v>
      </c>
      <c r="B5" s="4" t="s">
        <v>294</v>
      </c>
      <c r="C5" s="17" t="s">
        <v>116</v>
      </c>
      <c r="D5" s="18" t="s">
        <v>212</v>
      </c>
      <c r="E5" s="31" t="str">
        <f t="shared" ref="E5:N14" si="0">IF($D5="", "", _xlfn.CONCAT(E$3, $D5))</f>
        <v>Øa</v>
      </c>
      <c r="F5" s="31" t="str">
        <f t="shared" si="0"/>
        <v>pa</v>
      </c>
      <c r="G5" s="31" t="str">
        <f t="shared" si="0"/>
        <v>pha</v>
      </c>
      <c r="H5" s="31" t="str">
        <f t="shared" si="0"/>
        <v>ba</v>
      </c>
      <c r="I5" s="31" t="str">
        <f t="shared" si="0"/>
        <v>ma</v>
      </c>
      <c r="J5" s="31" t="str">
        <f t="shared" si="0"/>
        <v>ta</v>
      </c>
      <c r="K5" s="31" t="str">
        <f t="shared" si="0"/>
        <v>tha</v>
      </c>
      <c r="L5" s="31" t="str">
        <f t="shared" si="0"/>
        <v>la</v>
      </c>
      <c r="M5" s="31" t="str">
        <f t="shared" si="0"/>
        <v>na</v>
      </c>
      <c r="N5" s="31" t="str">
        <f t="shared" si="0"/>
        <v>ka</v>
      </c>
      <c r="O5" s="31" t="str">
        <f t="shared" ref="O5:Z14" si="1">IF($D5="", "", _xlfn.CONCAT(O$3, $D5))</f>
        <v>kha</v>
      </c>
      <c r="P5" s="31" t="str">
        <f t="shared" si="1"/>
        <v>ga</v>
      </c>
      <c r="Q5" s="31" t="str">
        <f t="shared" si="1"/>
        <v>nga</v>
      </c>
      <c r="R5" s="31" t="str">
        <f t="shared" si="1"/>
        <v>ha</v>
      </c>
      <c r="S5" s="31" t="str">
        <f t="shared" si="1"/>
        <v>tsa</v>
      </c>
      <c r="T5" s="31" t="str">
        <f t="shared" si="1"/>
        <v>tsia</v>
      </c>
      <c r="U5" s="31" t="str">
        <f t="shared" si="1"/>
        <v>tsha</v>
      </c>
      <c r="V5" s="31" t="str">
        <f t="shared" si="1"/>
        <v>tshia</v>
      </c>
      <c r="W5" s="31" t="str">
        <f t="shared" si="1"/>
        <v>sa</v>
      </c>
      <c r="X5" s="31" t="str">
        <f t="shared" si="1"/>
        <v>sia</v>
      </c>
      <c r="Y5" s="31" t="str">
        <f t="shared" si="1"/>
        <v>ja</v>
      </c>
      <c r="Z5" s="31" t="str">
        <f t="shared" si="1"/>
        <v>jia</v>
      </c>
    </row>
    <row r="6" spans="1:26" ht="44.25">
      <c r="A6" s="16">
        <v>56</v>
      </c>
      <c r="B6" s="4" t="s">
        <v>295</v>
      </c>
      <c r="C6" s="17" t="s">
        <v>117</v>
      </c>
      <c r="D6" s="18" t="s">
        <v>213</v>
      </c>
      <c r="E6" s="31" t="str">
        <f t="shared" si="0"/>
        <v>Øah</v>
      </c>
      <c r="F6" s="31" t="str">
        <f t="shared" si="0"/>
        <v>pah</v>
      </c>
      <c r="G6" s="31" t="str">
        <f t="shared" si="0"/>
        <v>phah</v>
      </c>
      <c r="H6" s="31" t="str">
        <f t="shared" si="0"/>
        <v>bah</v>
      </c>
      <c r="I6" s="31" t="str">
        <f t="shared" si="0"/>
        <v>mah</v>
      </c>
      <c r="J6" s="31" t="str">
        <f t="shared" si="0"/>
        <v>tah</v>
      </c>
      <c r="K6" s="31" t="str">
        <f t="shared" si="0"/>
        <v>thah</v>
      </c>
      <c r="L6" s="31" t="str">
        <f t="shared" si="0"/>
        <v>lah</v>
      </c>
      <c r="M6" s="31" t="str">
        <f t="shared" si="0"/>
        <v>nah</v>
      </c>
      <c r="N6" s="31" t="str">
        <f t="shared" si="0"/>
        <v>kah</v>
      </c>
      <c r="O6" s="31" t="str">
        <f t="shared" si="1"/>
        <v>khah</v>
      </c>
      <c r="P6" s="31" t="str">
        <f t="shared" si="1"/>
        <v>gah</v>
      </c>
      <c r="Q6" s="31" t="str">
        <f t="shared" si="1"/>
        <v>ngah</v>
      </c>
      <c r="R6" s="31" t="str">
        <f t="shared" si="1"/>
        <v>hah</v>
      </c>
      <c r="S6" s="31" t="str">
        <f t="shared" si="1"/>
        <v>tsah</v>
      </c>
      <c r="T6" s="31" t="str">
        <f t="shared" si="1"/>
        <v>tsiah</v>
      </c>
      <c r="U6" s="31" t="str">
        <f t="shared" si="1"/>
        <v>tshah</v>
      </c>
      <c r="V6" s="31" t="str">
        <f t="shared" si="1"/>
        <v>tshiah</v>
      </c>
      <c r="W6" s="31" t="str">
        <f t="shared" si="1"/>
        <v>sah</v>
      </c>
      <c r="X6" s="31" t="str">
        <f t="shared" si="1"/>
        <v>siah</v>
      </c>
      <c r="Y6" s="31" t="str">
        <f t="shared" si="1"/>
        <v>jah</v>
      </c>
      <c r="Z6" s="31" t="str">
        <f t="shared" si="1"/>
        <v>jiah</v>
      </c>
    </row>
    <row r="7" spans="1:26" ht="44.25">
      <c r="A7" s="16">
        <v>31</v>
      </c>
      <c r="B7" s="4" t="s">
        <v>270</v>
      </c>
      <c r="C7" s="17" t="s">
        <v>92</v>
      </c>
      <c r="D7" s="18" t="s">
        <v>189</v>
      </c>
      <c r="E7" s="31" t="str">
        <f t="shared" si="0"/>
        <v>Øai</v>
      </c>
      <c r="F7" s="31" t="str">
        <f t="shared" si="0"/>
        <v>pai</v>
      </c>
      <c r="G7" s="31" t="str">
        <f t="shared" si="0"/>
        <v>phai</v>
      </c>
      <c r="H7" s="31" t="str">
        <f t="shared" si="0"/>
        <v>bai</v>
      </c>
      <c r="I7" s="31" t="str">
        <f t="shared" si="0"/>
        <v>mai</v>
      </c>
      <c r="J7" s="31" t="str">
        <f t="shared" si="0"/>
        <v>tai</v>
      </c>
      <c r="K7" s="31" t="str">
        <f t="shared" si="0"/>
        <v>thai</v>
      </c>
      <c r="L7" s="31" t="str">
        <f t="shared" si="0"/>
        <v>lai</v>
      </c>
      <c r="M7" s="31" t="str">
        <f t="shared" si="0"/>
        <v>nai</v>
      </c>
      <c r="N7" s="31" t="str">
        <f t="shared" si="0"/>
        <v>kai</v>
      </c>
      <c r="O7" s="31" t="str">
        <f t="shared" si="1"/>
        <v>khai</v>
      </c>
      <c r="P7" s="31" t="str">
        <f t="shared" si="1"/>
        <v>gai</v>
      </c>
      <c r="Q7" s="31" t="str">
        <f t="shared" si="1"/>
        <v>ngai</v>
      </c>
      <c r="R7" s="31" t="str">
        <f t="shared" si="1"/>
        <v>hai</v>
      </c>
      <c r="S7" s="31" t="str">
        <f t="shared" si="1"/>
        <v>tsai</v>
      </c>
      <c r="T7" s="31" t="str">
        <f t="shared" si="1"/>
        <v>tsiai</v>
      </c>
      <c r="U7" s="31" t="str">
        <f t="shared" si="1"/>
        <v>tshai</v>
      </c>
      <c r="V7" s="31" t="str">
        <f t="shared" si="1"/>
        <v>tshiai</v>
      </c>
      <c r="W7" s="31" t="str">
        <f t="shared" si="1"/>
        <v>sai</v>
      </c>
      <c r="X7" s="31" t="str">
        <f t="shared" si="1"/>
        <v>siai</v>
      </c>
      <c r="Y7" s="31" t="str">
        <f t="shared" si="1"/>
        <v>jai</v>
      </c>
      <c r="Z7" s="31" t="str">
        <f t="shared" si="1"/>
        <v>jiai</v>
      </c>
    </row>
    <row r="8" spans="1:26" ht="44.25">
      <c r="A8" s="16">
        <v>79</v>
      </c>
      <c r="B8" s="4" t="s">
        <v>310</v>
      </c>
      <c r="C8" s="17" t="s">
        <v>140</v>
      </c>
      <c r="D8" s="18" t="s">
        <v>228</v>
      </c>
      <c r="E8" s="31" t="str">
        <f t="shared" si="0"/>
        <v>Øainn</v>
      </c>
      <c r="F8" s="31" t="str">
        <f t="shared" si="0"/>
        <v>painn</v>
      </c>
      <c r="G8" s="31" t="str">
        <f t="shared" si="0"/>
        <v>phainn</v>
      </c>
      <c r="H8" s="31" t="str">
        <f t="shared" si="0"/>
        <v>bainn</v>
      </c>
      <c r="I8" s="31" t="str">
        <f t="shared" si="0"/>
        <v>mainn</v>
      </c>
      <c r="J8" s="31" t="str">
        <f t="shared" si="0"/>
        <v>tainn</v>
      </c>
      <c r="K8" s="31" t="str">
        <f t="shared" si="0"/>
        <v>thainn</v>
      </c>
      <c r="L8" s="31" t="str">
        <f t="shared" si="0"/>
        <v>lainn</v>
      </c>
      <c r="M8" s="31" t="str">
        <f t="shared" si="0"/>
        <v>nainn</v>
      </c>
      <c r="N8" s="31" t="str">
        <f t="shared" si="0"/>
        <v>kainn</v>
      </c>
      <c r="O8" s="31" t="str">
        <f t="shared" si="1"/>
        <v>khainn</v>
      </c>
      <c r="P8" s="31" t="str">
        <f t="shared" si="1"/>
        <v>gainn</v>
      </c>
      <c r="Q8" s="31" t="str">
        <f t="shared" si="1"/>
        <v>ngainn</v>
      </c>
      <c r="R8" s="31" t="str">
        <f t="shared" si="1"/>
        <v>hainn</v>
      </c>
      <c r="S8" s="31" t="str">
        <f t="shared" si="1"/>
        <v>tsainn</v>
      </c>
      <c r="T8" s="31" t="str">
        <f t="shared" si="1"/>
        <v>tsiainn</v>
      </c>
      <c r="U8" s="31" t="str">
        <f t="shared" si="1"/>
        <v>tshainn</v>
      </c>
      <c r="V8" s="31" t="str">
        <f t="shared" si="1"/>
        <v>tshiainn</v>
      </c>
      <c r="W8" s="31" t="str">
        <f t="shared" si="1"/>
        <v>sainn</v>
      </c>
      <c r="X8" s="31" t="str">
        <f t="shared" si="1"/>
        <v>siainn</v>
      </c>
      <c r="Y8" s="31" t="str">
        <f t="shared" si="1"/>
        <v>jainn</v>
      </c>
      <c r="Z8" s="31" t="str">
        <f t="shared" si="1"/>
        <v>jiainn</v>
      </c>
    </row>
    <row r="9" spans="1:26" ht="44.25">
      <c r="A9" s="16">
        <v>42</v>
      </c>
      <c r="B9" s="4" t="s">
        <v>281</v>
      </c>
      <c r="C9" s="17" t="s">
        <v>103</v>
      </c>
      <c r="D9" s="18" t="s">
        <v>199</v>
      </c>
      <c r="E9" s="31" t="str">
        <f t="shared" si="0"/>
        <v>Øak</v>
      </c>
      <c r="F9" s="31" t="str">
        <f t="shared" si="0"/>
        <v>pak</v>
      </c>
      <c r="G9" s="31" t="str">
        <f t="shared" si="0"/>
        <v>phak</v>
      </c>
      <c r="H9" s="31" t="str">
        <f t="shared" si="0"/>
        <v>bak</v>
      </c>
      <c r="I9" s="31" t="str">
        <f t="shared" si="0"/>
        <v>mak</v>
      </c>
      <c r="J9" s="31" t="str">
        <f t="shared" si="0"/>
        <v>tak</v>
      </c>
      <c r="K9" s="31" t="str">
        <f t="shared" si="0"/>
        <v>thak</v>
      </c>
      <c r="L9" s="31" t="str">
        <f t="shared" si="0"/>
        <v>lak</v>
      </c>
      <c r="M9" s="31" t="str">
        <f t="shared" si="0"/>
        <v>nak</v>
      </c>
      <c r="N9" s="31" t="str">
        <f t="shared" si="0"/>
        <v>kak</v>
      </c>
      <c r="O9" s="31" t="str">
        <f t="shared" si="1"/>
        <v>khak</v>
      </c>
      <c r="P9" s="31" t="str">
        <f t="shared" si="1"/>
        <v>gak</v>
      </c>
      <c r="Q9" s="31" t="str">
        <f t="shared" si="1"/>
        <v>ngak</v>
      </c>
      <c r="R9" s="31" t="str">
        <f t="shared" si="1"/>
        <v>hak</v>
      </c>
      <c r="S9" s="31" t="str">
        <f t="shared" si="1"/>
        <v>tsak</v>
      </c>
      <c r="T9" s="31" t="str">
        <f t="shared" si="1"/>
        <v>tsiak</v>
      </c>
      <c r="U9" s="31" t="str">
        <f t="shared" si="1"/>
        <v>tshak</v>
      </c>
      <c r="V9" s="31" t="str">
        <f t="shared" si="1"/>
        <v>tshiak</v>
      </c>
      <c r="W9" s="31" t="str">
        <f t="shared" si="1"/>
        <v>sak</v>
      </c>
      <c r="X9" s="31" t="str">
        <f t="shared" si="1"/>
        <v>siak</v>
      </c>
      <c r="Y9" s="31" t="str">
        <f t="shared" si="1"/>
        <v>jak</v>
      </c>
      <c r="Z9" s="31" t="str">
        <f t="shared" si="1"/>
        <v>jiak</v>
      </c>
    </row>
    <row r="10" spans="1:26" ht="44.25">
      <c r="A10" s="16">
        <v>37</v>
      </c>
      <c r="B10" s="4" t="s">
        <v>276</v>
      </c>
      <c r="C10" s="17" t="s">
        <v>98</v>
      </c>
      <c r="D10" s="18" t="s">
        <v>194</v>
      </c>
      <c r="E10" s="31" t="str">
        <f t="shared" si="0"/>
        <v>Øam</v>
      </c>
      <c r="F10" s="31" t="str">
        <f t="shared" si="0"/>
        <v>pam</v>
      </c>
      <c r="G10" s="31" t="str">
        <f t="shared" si="0"/>
        <v>pham</v>
      </c>
      <c r="H10" s="31" t="str">
        <f t="shared" si="0"/>
        <v>bam</v>
      </c>
      <c r="I10" s="31" t="str">
        <f t="shared" si="0"/>
        <v>mam</v>
      </c>
      <c r="J10" s="31" t="str">
        <f t="shared" si="0"/>
        <v>tam</v>
      </c>
      <c r="K10" s="31" t="str">
        <f t="shared" si="0"/>
        <v>tham</v>
      </c>
      <c r="L10" s="31" t="str">
        <f t="shared" si="0"/>
        <v>lam</v>
      </c>
      <c r="M10" s="31" t="str">
        <f t="shared" si="0"/>
        <v>nam</v>
      </c>
      <c r="N10" s="31" t="str">
        <f t="shared" si="0"/>
        <v>kam</v>
      </c>
      <c r="O10" s="31" t="str">
        <f t="shared" si="1"/>
        <v>kham</v>
      </c>
      <c r="P10" s="31" t="str">
        <f t="shared" si="1"/>
        <v>gam</v>
      </c>
      <c r="Q10" s="31" t="str">
        <f t="shared" si="1"/>
        <v>ngam</v>
      </c>
      <c r="R10" s="31" t="str">
        <f t="shared" si="1"/>
        <v>ham</v>
      </c>
      <c r="S10" s="31" t="str">
        <f t="shared" si="1"/>
        <v>tsam</v>
      </c>
      <c r="T10" s="31" t="str">
        <f t="shared" si="1"/>
        <v>tsiam</v>
      </c>
      <c r="U10" s="31" t="str">
        <f t="shared" si="1"/>
        <v>tsham</v>
      </c>
      <c r="V10" s="31" t="str">
        <f t="shared" si="1"/>
        <v>tshiam</v>
      </c>
      <c r="W10" s="31" t="str">
        <f t="shared" si="1"/>
        <v>sam</v>
      </c>
      <c r="X10" s="31" t="str">
        <f t="shared" si="1"/>
        <v>siam</v>
      </c>
      <c r="Y10" s="31" t="str">
        <f t="shared" si="1"/>
        <v>jam</v>
      </c>
      <c r="Z10" s="31" t="str">
        <f t="shared" si="1"/>
        <v>jiam</v>
      </c>
    </row>
    <row r="11" spans="1:26" ht="44.25">
      <c r="A11" s="16">
        <v>11</v>
      </c>
      <c r="B11" s="4" t="s">
        <v>251</v>
      </c>
      <c r="C11" s="17" t="s">
        <v>72</v>
      </c>
      <c r="D11" s="18" t="s">
        <v>171</v>
      </c>
      <c r="E11" s="31" t="str">
        <f t="shared" si="0"/>
        <v>Øan</v>
      </c>
      <c r="F11" s="31" t="str">
        <f t="shared" si="0"/>
        <v>pan</v>
      </c>
      <c r="G11" s="31" t="str">
        <f t="shared" si="0"/>
        <v>phan</v>
      </c>
      <c r="H11" s="31" t="str">
        <f t="shared" si="0"/>
        <v>ban</v>
      </c>
      <c r="I11" s="31" t="str">
        <f t="shared" si="0"/>
        <v>man</v>
      </c>
      <c r="J11" s="31" t="str">
        <f t="shared" si="0"/>
        <v>tan</v>
      </c>
      <c r="K11" s="31" t="str">
        <f t="shared" si="0"/>
        <v>than</v>
      </c>
      <c r="L11" s="31" t="str">
        <f t="shared" si="0"/>
        <v>lan</v>
      </c>
      <c r="M11" s="31" t="str">
        <f t="shared" si="0"/>
        <v>nan</v>
      </c>
      <c r="N11" s="31" t="str">
        <f t="shared" si="0"/>
        <v>kan</v>
      </c>
      <c r="O11" s="31" t="str">
        <f t="shared" si="1"/>
        <v>khan</v>
      </c>
      <c r="P11" s="31" t="str">
        <f t="shared" si="1"/>
        <v>gan</v>
      </c>
      <c r="Q11" s="31" t="str">
        <f t="shared" si="1"/>
        <v>ngan</v>
      </c>
      <c r="R11" s="31" t="str">
        <f t="shared" si="1"/>
        <v>han</v>
      </c>
      <c r="S11" s="31" t="str">
        <f t="shared" si="1"/>
        <v>tsan</v>
      </c>
      <c r="T11" s="31" t="str">
        <f t="shared" si="1"/>
        <v>tsian</v>
      </c>
      <c r="U11" s="31" t="str">
        <f t="shared" si="1"/>
        <v>tshan</v>
      </c>
      <c r="V11" s="31" t="str">
        <f t="shared" si="1"/>
        <v>tshian</v>
      </c>
      <c r="W11" s="31" t="str">
        <f t="shared" si="1"/>
        <v>san</v>
      </c>
      <c r="X11" s="31" t="str">
        <f t="shared" si="1"/>
        <v>sian</v>
      </c>
      <c r="Y11" s="31" t="str">
        <f t="shared" si="1"/>
        <v>jan</v>
      </c>
      <c r="Z11" s="31" t="str">
        <f t="shared" si="1"/>
        <v>jian</v>
      </c>
    </row>
    <row r="12" spans="1:26" ht="44.25">
      <c r="A12" s="16">
        <v>41</v>
      </c>
      <c r="B12" s="4" t="s">
        <v>280</v>
      </c>
      <c r="C12" s="17" t="s">
        <v>102</v>
      </c>
      <c r="D12" s="18" t="s">
        <v>198</v>
      </c>
      <c r="E12" s="31" t="str">
        <f t="shared" si="0"/>
        <v>Øang</v>
      </c>
      <c r="F12" s="31" t="str">
        <f t="shared" si="0"/>
        <v>pang</v>
      </c>
      <c r="G12" s="31" t="str">
        <f t="shared" si="0"/>
        <v>phang</v>
      </c>
      <c r="H12" s="31" t="str">
        <f t="shared" si="0"/>
        <v>bang</v>
      </c>
      <c r="I12" s="31" t="str">
        <f t="shared" si="0"/>
        <v>mang</v>
      </c>
      <c r="J12" s="31" t="str">
        <f t="shared" si="0"/>
        <v>tang</v>
      </c>
      <c r="K12" s="31" t="str">
        <f t="shared" si="0"/>
        <v>thang</v>
      </c>
      <c r="L12" s="31" t="str">
        <f t="shared" si="0"/>
        <v>lang</v>
      </c>
      <c r="M12" s="31" t="str">
        <f t="shared" si="0"/>
        <v>nang</v>
      </c>
      <c r="N12" s="31" t="str">
        <f t="shared" si="0"/>
        <v>kang</v>
      </c>
      <c r="O12" s="31" t="str">
        <f t="shared" si="1"/>
        <v>khang</v>
      </c>
      <c r="P12" s="31" t="str">
        <f t="shared" si="1"/>
        <v>gang</v>
      </c>
      <c r="Q12" s="31" t="str">
        <f t="shared" si="1"/>
        <v>ngang</v>
      </c>
      <c r="R12" s="31" t="str">
        <f t="shared" si="1"/>
        <v>hang</v>
      </c>
      <c r="S12" s="31" t="str">
        <f t="shared" si="1"/>
        <v>tsang</v>
      </c>
      <c r="T12" s="31" t="str">
        <f t="shared" si="1"/>
        <v>tsiang</v>
      </c>
      <c r="U12" s="31" t="str">
        <f t="shared" si="1"/>
        <v>tshang</v>
      </c>
      <c r="V12" s="31" t="str">
        <f t="shared" si="1"/>
        <v>tshiang</v>
      </c>
      <c r="W12" s="31" t="str">
        <f t="shared" si="1"/>
        <v>sang</v>
      </c>
      <c r="X12" s="31" t="str">
        <f t="shared" si="1"/>
        <v>siang</v>
      </c>
      <c r="Y12" s="31" t="str">
        <f t="shared" si="1"/>
        <v>jang</v>
      </c>
      <c r="Z12" s="31" t="str">
        <f t="shared" si="1"/>
        <v>jiang</v>
      </c>
    </row>
    <row r="13" spans="1:26" ht="44.25">
      <c r="A13" s="16">
        <v>51</v>
      </c>
      <c r="B13" s="4" t="s">
        <v>290</v>
      </c>
      <c r="C13" s="17" t="s">
        <v>112</v>
      </c>
      <c r="D13" s="18" t="s">
        <v>208</v>
      </c>
      <c r="E13" s="31" t="str">
        <f t="shared" si="0"/>
        <v>Øann</v>
      </c>
      <c r="F13" s="31" t="str">
        <f t="shared" si="0"/>
        <v>pann</v>
      </c>
      <c r="G13" s="31" t="str">
        <f t="shared" si="0"/>
        <v>phann</v>
      </c>
      <c r="H13" s="31" t="str">
        <f t="shared" si="0"/>
        <v>bann</v>
      </c>
      <c r="I13" s="31" t="str">
        <f t="shared" si="0"/>
        <v>mann</v>
      </c>
      <c r="J13" s="31" t="str">
        <f t="shared" si="0"/>
        <v>tann</v>
      </c>
      <c r="K13" s="31" t="str">
        <f t="shared" si="0"/>
        <v>thann</v>
      </c>
      <c r="L13" s="31" t="str">
        <f t="shared" si="0"/>
        <v>lann</v>
      </c>
      <c r="M13" s="31" t="str">
        <f t="shared" si="0"/>
        <v>nann</v>
      </c>
      <c r="N13" s="31" t="str">
        <f t="shared" si="0"/>
        <v>kann</v>
      </c>
      <c r="O13" s="31" t="str">
        <f t="shared" si="1"/>
        <v>khann</v>
      </c>
      <c r="P13" s="31" t="str">
        <f t="shared" si="1"/>
        <v>gann</v>
      </c>
      <c r="Q13" s="31" t="str">
        <f t="shared" si="1"/>
        <v>ngann</v>
      </c>
      <c r="R13" s="31" t="str">
        <f t="shared" si="1"/>
        <v>hann</v>
      </c>
      <c r="S13" s="31" t="str">
        <f t="shared" si="1"/>
        <v>tsann</v>
      </c>
      <c r="T13" s="31" t="str">
        <f t="shared" si="1"/>
        <v>tsiann</v>
      </c>
      <c r="U13" s="31" t="str">
        <f t="shared" si="1"/>
        <v>tshann</v>
      </c>
      <c r="V13" s="31" t="str">
        <f t="shared" si="1"/>
        <v>tshiann</v>
      </c>
      <c r="W13" s="31" t="str">
        <f t="shared" si="1"/>
        <v>sann</v>
      </c>
      <c r="X13" s="31" t="str">
        <f t="shared" si="1"/>
        <v>siann</v>
      </c>
      <c r="Y13" s="31" t="str">
        <f t="shared" si="1"/>
        <v>jann</v>
      </c>
      <c r="Z13" s="31" t="str">
        <f t="shared" si="1"/>
        <v>jiann</v>
      </c>
    </row>
    <row r="14" spans="1:26" ht="44.25">
      <c r="A14" s="16">
        <v>52</v>
      </c>
      <c r="B14" s="28" t="s">
        <v>291</v>
      </c>
      <c r="C14" s="17" t="s">
        <v>113</v>
      </c>
      <c r="D14" s="18" t="s">
        <v>209</v>
      </c>
      <c r="E14" s="31" t="str">
        <f t="shared" si="0"/>
        <v>Øannh</v>
      </c>
      <c r="F14" s="31" t="str">
        <f t="shared" si="0"/>
        <v>pannh</v>
      </c>
      <c r="G14" s="31" t="str">
        <f t="shared" si="0"/>
        <v>phannh</v>
      </c>
      <c r="H14" s="31" t="str">
        <f t="shared" si="0"/>
        <v>bannh</v>
      </c>
      <c r="I14" s="31" t="str">
        <f t="shared" si="0"/>
        <v>mannh</v>
      </c>
      <c r="J14" s="31" t="str">
        <f t="shared" si="0"/>
        <v>tannh</v>
      </c>
      <c r="K14" s="31" t="str">
        <f t="shared" si="0"/>
        <v>thannh</v>
      </c>
      <c r="L14" s="31" t="str">
        <f t="shared" si="0"/>
        <v>lannh</v>
      </c>
      <c r="M14" s="31" t="str">
        <f t="shared" si="0"/>
        <v>nannh</v>
      </c>
      <c r="N14" s="31" t="str">
        <f t="shared" si="0"/>
        <v>kannh</v>
      </c>
      <c r="O14" s="31" t="str">
        <f t="shared" si="1"/>
        <v>khannh</v>
      </c>
      <c r="P14" s="31" t="str">
        <f t="shared" si="1"/>
        <v>gannh</v>
      </c>
      <c r="Q14" s="31" t="str">
        <f t="shared" si="1"/>
        <v>ngannh</v>
      </c>
      <c r="R14" s="31" t="str">
        <f t="shared" si="1"/>
        <v>hannh</v>
      </c>
      <c r="S14" s="31" t="str">
        <f t="shared" si="1"/>
        <v>tsannh</v>
      </c>
      <c r="T14" s="31" t="str">
        <f t="shared" si="1"/>
        <v>tsiannh</v>
      </c>
      <c r="U14" s="31" t="str">
        <f t="shared" si="1"/>
        <v>tshannh</v>
      </c>
      <c r="V14" s="31" t="str">
        <f t="shared" si="1"/>
        <v>tshiannh</v>
      </c>
      <c r="W14" s="31" t="str">
        <f t="shared" si="1"/>
        <v>sannh</v>
      </c>
      <c r="X14" s="31" t="str">
        <f t="shared" si="1"/>
        <v>siannh</v>
      </c>
      <c r="Y14" s="31" t="str">
        <f t="shared" si="1"/>
        <v>jannh</v>
      </c>
      <c r="Z14" s="31" t="str">
        <f t="shared" si="1"/>
        <v>jiannh</v>
      </c>
    </row>
    <row r="15" spans="1:26" ht="44.25">
      <c r="A15" s="16">
        <v>38</v>
      </c>
      <c r="B15" s="4" t="s">
        <v>277</v>
      </c>
      <c r="C15" s="17" t="s">
        <v>99</v>
      </c>
      <c r="D15" s="18" t="s">
        <v>195</v>
      </c>
      <c r="E15" s="31" t="str">
        <f t="shared" ref="E15:N24" si="2">IF($D15="", "", _xlfn.CONCAT(E$3, $D15))</f>
        <v>Øap</v>
      </c>
      <c r="F15" s="31" t="str">
        <f t="shared" si="2"/>
        <v>pap</v>
      </c>
      <c r="G15" s="31" t="str">
        <f t="shared" si="2"/>
        <v>phap</v>
      </c>
      <c r="H15" s="31" t="str">
        <f t="shared" si="2"/>
        <v>bap</v>
      </c>
      <c r="I15" s="31" t="str">
        <f t="shared" si="2"/>
        <v>map</v>
      </c>
      <c r="J15" s="31" t="str">
        <f t="shared" si="2"/>
        <v>tap</v>
      </c>
      <c r="K15" s="31" t="str">
        <f t="shared" si="2"/>
        <v>thap</v>
      </c>
      <c r="L15" s="31" t="str">
        <f t="shared" si="2"/>
        <v>lap</v>
      </c>
      <c r="M15" s="31" t="str">
        <f t="shared" si="2"/>
        <v>nap</v>
      </c>
      <c r="N15" s="31" t="str">
        <f t="shared" si="2"/>
        <v>kap</v>
      </c>
      <c r="O15" s="31" t="str">
        <f t="shared" ref="O15:Z24" si="3">IF($D15="", "", _xlfn.CONCAT(O$3, $D15))</f>
        <v>khap</v>
      </c>
      <c r="P15" s="31" t="str">
        <f t="shared" si="3"/>
        <v>gap</v>
      </c>
      <c r="Q15" s="31" t="str">
        <f t="shared" si="3"/>
        <v>ngap</v>
      </c>
      <c r="R15" s="31" t="str">
        <f t="shared" si="3"/>
        <v>hap</v>
      </c>
      <c r="S15" s="31" t="str">
        <f t="shared" si="3"/>
        <v>tsap</v>
      </c>
      <c r="T15" s="31" t="str">
        <f t="shared" si="3"/>
        <v>tsiap</v>
      </c>
      <c r="U15" s="31" t="str">
        <f t="shared" si="3"/>
        <v>tshap</v>
      </c>
      <c r="V15" s="31" t="str">
        <f t="shared" si="3"/>
        <v>tshiap</v>
      </c>
      <c r="W15" s="31" t="str">
        <f t="shared" si="3"/>
        <v>sap</v>
      </c>
      <c r="X15" s="31" t="str">
        <f t="shared" si="3"/>
        <v>siap</v>
      </c>
      <c r="Y15" s="31" t="str">
        <f t="shared" si="3"/>
        <v>jap</v>
      </c>
      <c r="Z15" s="31" t="str">
        <f t="shared" si="3"/>
        <v>jiap</v>
      </c>
    </row>
    <row r="16" spans="1:26" ht="44.25">
      <c r="A16" s="16">
        <v>12</v>
      </c>
      <c r="B16" s="4" t="s">
        <v>245</v>
      </c>
      <c r="C16" s="17" t="s">
        <v>73</v>
      </c>
      <c r="D16" s="18" t="s">
        <v>172</v>
      </c>
      <c r="E16" s="31" t="str">
        <f t="shared" si="2"/>
        <v>Øat</v>
      </c>
      <c r="F16" s="31" t="str">
        <f t="shared" si="2"/>
        <v>pat</v>
      </c>
      <c r="G16" s="31" t="str">
        <f t="shared" si="2"/>
        <v>phat</v>
      </c>
      <c r="H16" s="31" t="str">
        <f t="shared" si="2"/>
        <v>bat</v>
      </c>
      <c r="I16" s="31" t="str">
        <f t="shared" si="2"/>
        <v>mat</v>
      </c>
      <c r="J16" s="31" t="str">
        <f t="shared" si="2"/>
        <v>tat</v>
      </c>
      <c r="K16" s="31" t="str">
        <f t="shared" si="2"/>
        <v>that</v>
      </c>
      <c r="L16" s="31" t="str">
        <f t="shared" si="2"/>
        <v>lat</v>
      </c>
      <c r="M16" s="31" t="str">
        <f t="shared" si="2"/>
        <v>nat</v>
      </c>
      <c r="N16" s="31" t="str">
        <f t="shared" si="2"/>
        <v>kat</v>
      </c>
      <c r="O16" s="31" t="str">
        <f t="shared" si="3"/>
        <v>khat</v>
      </c>
      <c r="P16" s="31" t="str">
        <f t="shared" si="3"/>
        <v>gat</v>
      </c>
      <c r="Q16" s="31" t="str">
        <f t="shared" si="3"/>
        <v>ngat</v>
      </c>
      <c r="R16" s="31" t="str">
        <f t="shared" si="3"/>
        <v>hat</v>
      </c>
      <c r="S16" s="31" t="str">
        <f t="shared" si="3"/>
        <v>tsat</v>
      </c>
      <c r="T16" s="31" t="str">
        <f t="shared" si="3"/>
        <v>tsiat</v>
      </c>
      <c r="U16" s="31" t="str">
        <f t="shared" si="3"/>
        <v>tshat</v>
      </c>
      <c r="V16" s="31" t="str">
        <f t="shared" si="3"/>
        <v>tshiat</v>
      </c>
      <c r="W16" s="31" t="str">
        <f t="shared" si="3"/>
        <v>sat</v>
      </c>
      <c r="X16" s="31" t="str">
        <f t="shared" si="3"/>
        <v>siat</v>
      </c>
      <c r="Y16" s="31" t="str">
        <f t="shared" si="3"/>
        <v>jat</v>
      </c>
      <c r="Z16" s="31" t="str">
        <f t="shared" si="3"/>
        <v>jiat</v>
      </c>
    </row>
    <row r="17" spans="1:26" ht="44.25">
      <c r="A17" s="16">
        <v>45</v>
      </c>
      <c r="B17" s="4" t="s">
        <v>284</v>
      </c>
      <c r="C17" s="17" t="s">
        <v>106</v>
      </c>
      <c r="D17" s="18" t="s">
        <v>202</v>
      </c>
      <c r="E17" s="31" t="str">
        <f t="shared" si="2"/>
        <v>Øau</v>
      </c>
      <c r="F17" s="31" t="str">
        <f t="shared" si="2"/>
        <v>pau</v>
      </c>
      <c r="G17" s="31" t="str">
        <f t="shared" si="2"/>
        <v>phau</v>
      </c>
      <c r="H17" s="31" t="str">
        <f t="shared" si="2"/>
        <v>bau</v>
      </c>
      <c r="I17" s="31" t="str">
        <f t="shared" si="2"/>
        <v>mau</v>
      </c>
      <c r="J17" s="31" t="str">
        <f t="shared" si="2"/>
        <v>tau</v>
      </c>
      <c r="K17" s="31" t="str">
        <f t="shared" si="2"/>
        <v>thau</v>
      </c>
      <c r="L17" s="31" t="str">
        <f t="shared" si="2"/>
        <v>lau</v>
      </c>
      <c r="M17" s="31" t="str">
        <f t="shared" si="2"/>
        <v>nau</v>
      </c>
      <c r="N17" s="31" t="str">
        <f t="shared" si="2"/>
        <v>kau</v>
      </c>
      <c r="O17" s="31" t="str">
        <f t="shared" si="3"/>
        <v>khau</v>
      </c>
      <c r="P17" s="31" t="str">
        <f t="shared" si="3"/>
        <v>gau</v>
      </c>
      <c r="Q17" s="31" t="str">
        <f t="shared" si="3"/>
        <v>ngau</v>
      </c>
      <c r="R17" s="31" t="str">
        <f t="shared" si="3"/>
        <v>hau</v>
      </c>
      <c r="S17" s="31" t="str">
        <f t="shared" si="3"/>
        <v>tsau</v>
      </c>
      <c r="T17" s="31" t="str">
        <f t="shared" si="3"/>
        <v>tsiau</v>
      </c>
      <c r="U17" s="31" t="str">
        <f t="shared" si="3"/>
        <v>tshau</v>
      </c>
      <c r="V17" s="31" t="str">
        <f t="shared" si="3"/>
        <v>tshiau</v>
      </c>
      <c r="W17" s="31" t="str">
        <f t="shared" si="3"/>
        <v>sau</v>
      </c>
      <c r="X17" s="31" t="str">
        <f t="shared" si="3"/>
        <v>siau</v>
      </c>
      <c r="Y17" s="31" t="str">
        <f t="shared" si="3"/>
        <v>jau</v>
      </c>
      <c r="Z17" s="31" t="str">
        <f t="shared" si="3"/>
        <v>jiau</v>
      </c>
    </row>
    <row r="18" spans="1:26" ht="44.25">
      <c r="A18" s="16">
        <v>46</v>
      </c>
      <c r="B18" s="4" t="s">
        <v>285</v>
      </c>
      <c r="C18" s="17" t="s">
        <v>107</v>
      </c>
      <c r="D18" s="18" t="s">
        <v>203</v>
      </c>
      <c r="E18" s="31" t="str">
        <f t="shared" si="2"/>
        <v>Øauh</v>
      </c>
      <c r="F18" s="31" t="str">
        <f t="shared" si="2"/>
        <v>pauh</v>
      </c>
      <c r="G18" s="31" t="str">
        <f t="shared" si="2"/>
        <v>phauh</v>
      </c>
      <c r="H18" s="31" t="str">
        <f t="shared" si="2"/>
        <v>bauh</v>
      </c>
      <c r="I18" s="31" t="str">
        <f t="shared" si="2"/>
        <v>mauh</v>
      </c>
      <c r="J18" s="31" t="str">
        <f t="shared" si="2"/>
        <v>tauh</v>
      </c>
      <c r="K18" s="31" t="str">
        <f t="shared" si="2"/>
        <v>thauh</v>
      </c>
      <c r="L18" s="31" t="str">
        <f t="shared" si="2"/>
        <v>lauh</v>
      </c>
      <c r="M18" s="31" t="str">
        <f t="shared" si="2"/>
        <v>nauh</v>
      </c>
      <c r="N18" s="31" t="str">
        <f t="shared" si="2"/>
        <v>kauh</v>
      </c>
      <c r="O18" s="31" t="str">
        <f t="shared" si="3"/>
        <v>khauh</v>
      </c>
      <c r="P18" s="31" t="str">
        <f t="shared" si="3"/>
        <v>gauh</v>
      </c>
      <c r="Q18" s="31" t="str">
        <f t="shared" si="3"/>
        <v>ngauh</v>
      </c>
      <c r="R18" s="31" t="str">
        <f t="shared" si="3"/>
        <v>hauh</v>
      </c>
      <c r="S18" s="31" t="str">
        <f t="shared" si="3"/>
        <v>tsauh</v>
      </c>
      <c r="T18" s="31" t="str">
        <f t="shared" si="3"/>
        <v>tsiauh</v>
      </c>
      <c r="U18" s="31" t="str">
        <f t="shared" si="3"/>
        <v>tshauh</v>
      </c>
      <c r="V18" s="31" t="str">
        <f t="shared" si="3"/>
        <v>tshiauh</v>
      </c>
      <c r="W18" s="31" t="str">
        <f t="shared" si="3"/>
        <v>sauh</v>
      </c>
      <c r="X18" s="31" t="str">
        <f t="shared" si="3"/>
        <v>siauh</v>
      </c>
      <c r="Y18" s="31" t="str">
        <f t="shared" si="3"/>
        <v>jauh</v>
      </c>
      <c r="Z18" s="31" t="str">
        <f t="shared" si="3"/>
        <v>jiauh</v>
      </c>
    </row>
    <row r="19" spans="1:26" ht="32.25">
      <c r="A19" s="16">
        <v>95</v>
      </c>
      <c r="B19" s="30" t="s">
        <v>322</v>
      </c>
      <c r="C19" s="17" t="s">
        <v>156</v>
      </c>
      <c r="D19" s="18" t="s">
        <v>237</v>
      </c>
      <c r="E19" s="31" t="str">
        <f t="shared" si="2"/>
        <v>Øaunn</v>
      </c>
      <c r="F19" s="31" t="str">
        <f t="shared" si="2"/>
        <v>paunn</v>
      </c>
      <c r="G19" s="31" t="str">
        <f t="shared" si="2"/>
        <v>phaunn</v>
      </c>
      <c r="H19" s="31" t="str">
        <f t="shared" si="2"/>
        <v>baunn</v>
      </c>
      <c r="I19" s="31" t="str">
        <f t="shared" si="2"/>
        <v>maunn</v>
      </c>
      <c r="J19" s="31" t="str">
        <f t="shared" si="2"/>
        <v>taunn</v>
      </c>
      <c r="K19" s="31" t="str">
        <f t="shared" si="2"/>
        <v>thaunn</v>
      </c>
      <c r="L19" s="31" t="str">
        <f t="shared" si="2"/>
        <v>launn</v>
      </c>
      <c r="M19" s="31" t="str">
        <f t="shared" si="2"/>
        <v>naunn</v>
      </c>
      <c r="N19" s="31" t="str">
        <f t="shared" si="2"/>
        <v>kaunn</v>
      </c>
      <c r="O19" s="31" t="str">
        <f t="shared" si="3"/>
        <v>khaunn</v>
      </c>
      <c r="P19" s="31" t="str">
        <f t="shared" si="3"/>
        <v>gaunn</v>
      </c>
      <c r="Q19" s="31" t="str">
        <f t="shared" si="3"/>
        <v>ngaunn</v>
      </c>
      <c r="R19" s="31" t="str">
        <f t="shared" si="3"/>
        <v>haunn</v>
      </c>
      <c r="S19" s="31" t="str">
        <f t="shared" si="3"/>
        <v>tsaunn</v>
      </c>
      <c r="T19" s="31" t="str">
        <f t="shared" si="3"/>
        <v>tsiaunn</v>
      </c>
      <c r="U19" s="31" t="str">
        <f t="shared" si="3"/>
        <v>tshaunn</v>
      </c>
      <c r="V19" s="31" t="str">
        <f t="shared" si="3"/>
        <v>tshiaunn</v>
      </c>
      <c r="W19" s="31" t="str">
        <f t="shared" si="3"/>
        <v>saunn</v>
      </c>
      <c r="X19" s="31" t="str">
        <f t="shared" si="3"/>
        <v>siaunn</v>
      </c>
      <c r="Y19" s="31" t="str">
        <f t="shared" si="3"/>
        <v>jaunn</v>
      </c>
      <c r="Z19" s="31" t="str">
        <f t="shared" si="3"/>
        <v>jiaunn</v>
      </c>
    </row>
    <row r="20" spans="1:26" ht="44.25">
      <c r="A20" s="16">
        <v>25</v>
      </c>
      <c r="B20" s="19" t="s">
        <v>265</v>
      </c>
      <c r="C20" s="20" t="s">
        <v>86</v>
      </c>
      <c r="D20" s="21" t="s">
        <v>184</v>
      </c>
      <c r="E20" s="31" t="str">
        <f t="shared" si="2"/>
        <v>Øe</v>
      </c>
      <c r="F20" s="31" t="str">
        <f t="shared" si="2"/>
        <v>pe</v>
      </c>
      <c r="G20" s="31" t="str">
        <f t="shared" si="2"/>
        <v>phe</v>
      </c>
      <c r="H20" s="31" t="str">
        <f t="shared" si="2"/>
        <v>be</v>
      </c>
      <c r="I20" s="31" t="str">
        <f t="shared" si="2"/>
        <v>me</v>
      </c>
      <c r="J20" s="31" t="str">
        <f t="shared" si="2"/>
        <v>te</v>
      </c>
      <c r="K20" s="31" t="str">
        <f t="shared" si="2"/>
        <v>the</v>
      </c>
      <c r="L20" s="31" t="str">
        <f t="shared" si="2"/>
        <v>le</v>
      </c>
      <c r="M20" s="31" t="str">
        <f t="shared" si="2"/>
        <v>ne</v>
      </c>
      <c r="N20" s="31" t="str">
        <f t="shared" si="2"/>
        <v>ke</v>
      </c>
      <c r="O20" s="31" t="str">
        <f t="shared" si="3"/>
        <v>khe</v>
      </c>
      <c r="P20" s="31" t="str">
        <f t="shared" si="3"/>
        <v>ge</v>
      </c>
      <c r="Q20" s="31" t="str">
        <f t="shared" si="3"/>
        <v>nge</v>
      </c>
      <c r="R20" s="31" t="str">
        <f t="shared" si="3"/>
        <v>he</v>
      </c>
      <c r="S20" s="31" t="str">
        <f t="shared" si="3"/>
        <v>tse</v>
      </c>
      <c r="T20" s="31" t="str">
        <f t="shared" si="3"/>
        <v>tsie</v>
      </c>
      <c r="U20" s="31" t="str">
        <f t="shared" si="3"/>
        <v>tshe</v>
      </c>
      <c r="V20" s="31" t="str">
        <f t="shared" si="3"/>
        <v>tshie</v>
      </c>
      <c r="W20" s="31" t="str">
        <f t="shared" si="3"/>
        <v>se</v>
      </c>
      <c r="X20" s="31" t="str">
        <f t="shared" si="3"/>
        <v>sie</v>
      </c>
      <c r="Y20" s="31" t="str">
        <f t="shared" si="3"/>
        <v>je</v>
      </c>
      <c r="Z20" s="31" t="str">
        <f t="shared" si="3"/>
        <v>jie</v>
      </c>
    </row>
    <row r="21" spans="1:26" ht="44.25">
      <c r="A21" s="16">
        <v>77</v>
      </c>
      <c r="B21" s="4" t="s">
        <v>308</v>
      </c>
      <c r="C21" s="17" t="s">
        <v>138</v>
      </c>
      <c r="D21" s="18" t="s">
        <v>184</v>
      </c>
      <c r="E21" s="31" t="str">
        <f t="shared" si="2"/>
        <v>Øe</v>
      </c>
      <c r="F21" s="31" t="str">
        <f t="shared" si="2"/>
        <v>pe</v>
      </c>
      <c r="G21" s="31" t="str">
        <f t="shared" si="2"/>
        <v>phe</v>
      </c>
      <c r="H21" s="31" t="str">
        <f t="shared" si="2"/>
        <v>be</v>
      </c>
      <c r="I21" s="31" t="str">
        <f t="shared" si="2"/>
        <v>me</v>
      </c>
      <c r="J21" s="31" t="str">
        <f t="shared" si="2"/>
        <v>te</v>
      </c>
      <c r="K21" s="31" t="str">
        <f t="shared" si="2"/>
        <v>the</v>
      </c>
      <c r="L21" s="31" t="str">
        <f t="shared" si="2"/>
        <v>le</v>
      </c>
      <c r="M21" s="31" t="str">
        <f t="shared" si="2"/>
        <v>ne</v>
      </c>
      <c r="N21" s="31" t="str">
        <f t="shared" si="2"/>
        <v>ke</v>
      </c>
      <c r="O21" s="31" t="str">
        <f t="shared" si="3"/>
        <v>khe</v>
      </c>
      <c r="P21" s="31" t="str">
        <f t="shared" si="3"/>
        <v>ge</v>
      </c>
      <c r="Q21" s="31" t="str">
        <f t="shared" si="3"/>
        <v>nge</v>
      </c>
      <c r="R21" s="31" t="str">
        <f t="shared" si="3"/>
        <v>he</v>
      </c>
      <c r="S21" s="31" t="str">
        <f t="shared" si="3"/>
        <v>tse</v>
      </c>
      <c r="T21" s="31" t="str">
        <f t="shared" si="3"/>
        <v>tsie</v>
      </c>
      <c r="U21" s="31" t="str">
        <f t="shared" si="3"/>
        <v>tshe</v>
      </c>
      <c r="V21" s="31" t="str">
        <f t="shared" si="3"/>
        <v>tshie</v>
      </c>
      <c r="W21" s="31" t="str">
        <f t="shared" si="3"/>
        <v>se</v>
      </c>
      <c r="X21" s="31" t="str">
        <f t="shared" si="3"/>
        <v>sie</v>
      </c>
      <c r="Y21" s="31" t="str">
        <f t="shared" si="3"/>
        <v>je</v>
      </c>
      <c r="Z21" s="31" t="str">
        <f t="shared" si="3"/>
        <v>jie</v>
      </c>
    </row>
    <row r="22" spans="1:26" ht="44.25">
      <c r="A22" s="16">
        <v>9</v>
      </c>
      <c r="B22" s="19" t="s">
        <v>249</v>
      </c>
      <c r="C22" s="20" t="s">
        <v>70</v>
      </c>
      <c r="D22" s="21" t="s">
        <v>169</v>
      </c>
      <c r="E22" s="31" t="str">
        <f t="shared" si="2"/>
        <v>Øee</v>
      </c>
      <c r="F22" s="31" t="str">
        <f t="shared" si="2"/>
        <v>pee</v>
      </c>
      <c r="G22" s="31" t="str">
        <f t="shared" si="2"/>
        <v>phee</v>
      </c>
      <c r="H22" s="31" t="str">
        <f t="shared" si="2"/>
        <v>bee</v>
      </c>
      <c r="I22" s="31" t="str">
        <f t="shared" si="2"/>
        <v>mee</v>
      </c>
      <c r="J22" s="31" t="str">
        <f t="shared" si="2"/>
        <v>tee</v>
      </c>
      <c r="K22" s="31" t="str">
        <f t="shared" si="2"/>
        <v>thee</v>
      </c>
      <c r="L22" s="31" t="str">
        <f t="shared" si="2"/>
        <v>lee</v>
      </c>
      <c r="M22" s="31" t="str">
        <f t="shared" si="2"/>
        <v>nee</v>
      </c>
      <c r="N22" s="31" t="str">
        <f t="shared" si="2"/>
        <v>kee</v>
      </c>
      <c r="O22" s="31" t="str">
        <f t="shared" si="3"/>
        <v>khee</v>
      </c>
      <c r="P22" s="31" t="str">
        <f t="shared" si="3"/>
        <v>gee</v>
      </c>
      <c r="Q22" s="31" t="str">
        <f t="shared" si="3"/>
        <v>ngee</v>
      </c>
      <c r="R22" s="31" t="str">
        <f t="shared" si="3"/>
        <v>hee</v>
      </c>
      <c r="S22" s="31" t="str">
        <f t="shared" si="3"/>
        <v>tsee</v>
      </c>
      <c r="T22" s="31" t="str">
        <f t="shared" si="3"/>
        <v>tsiee</v>
      </c>
      <c r="U22" s="31" t="str">
        <f t="shared" si="3"/>
        <v>tshee</v>
      </c>
      <c r="V22" s="31" t="str">
        <f t="shared" si="3"/>
        <v>tshiee</v>
      </c>
      <c r="W22" s="31" t="str">
        <f t="shared" si="3"/>
        <v>see</v>
      </c>
      <c r="X22" s="31" t="str">
        <f t="shared" si="3"/>
        <v>siee</v>
      </c>
      <c r="Y22" s="31" t="str">
        <f t="shared" si="3"/>
        <v>jee</v>
      </c>
      <c r="Z22" s="31" t="str">
        <f t="shared" si="3"/>
        <v>jiee</v>
      </c>
    </row>
    <row r="23" spans="1:26" ht="44.25">
      <c r="A23" s="16">
        <v>10</v>
      </c>
      <c r="B23" s="19" t="s">
        <v>250</v>
      </c>
      <c r="C23" s="20" t="s">
        <v>71</v>
      </c>
      <c r="D23" s="21" t="s">
        <v>170</v>
      </c>
      <c r="E23" s="31" t="str">
        <f t="shared" si="2"/>
        <v>Øeeh</v>
      </c>
      <c r="F23" s="31" t="str">
        <f t="shared" si="2"/>
        <v>peeh</v>
      </c>
      <c r="G23" s="31" t="str">
        <f t="shared" si="2"/>
        <v>pheeh</v>
      </c>
      <c r="H23" s="31" t="str">
        <f t="shared" si="2"/>
        <v>beeh</v>
      </c>
      <c r="I23" s="31" t="str">
        <f t="shared" si="2"/>
        <v>meeh</v>
      </c>
      <c r="J23" s="31" t="str">
        <f t="shared" si="2"/>
        <v>teeh</v>
      </c>
      <c r="K23" s="31" t="str">
        <f t="shared" si="2"/>
        <v>theeh</v>
      </c>
      <c r="L23" s="31" t="str">
        <f t="shared" si="2"/>
        <v>leeh</v>
      </c>
      <c r="M23" s="31" t="str">
        <f t="shared" si="2"/>
        <v>neeh</v>
      </c>
      <c r="N23" s="31" t="str">
        <f t="shared" si="2"/>
        <v>keeh</v>
      </c>
      <c r="O23" s="31" t="str">
        <f t="shared" si="3"/>
        <v>kheeh</v>
      </c>
      <c r="P23" s="31" t="str">
        <f t="shared" si="3"/>
        <v>geeh</v>
      </c>
      <c r="Q23" s="31" t="str">
        <f t="shared" si="3"/>
        <v>ngeeh</v>
      </c>
      <c r="R23" s="31" t="str">
        <f t="shared" si="3"/>
        <v>heeh</v>
      </c>
      <c r="S23" s="31" t="str">
        <f t="shared" si="3"/>
        <v>tseeh</v>
      </c>
      <c r="T23" s="31" t="str">
        <f t="shared" si="3"/>
        <v>tsieeh</v>
      </c>
      <c r="U23" s="31" t="str">
        <f t="shared" si="3"/>
        <v>tsheeh</v>
      </c>
      <c r="V23" s="31" t="str">
        <f t="shared" si="3"/>
        <v>tshieeh</v>
      </c>
      <c r="W23" s="31" t="str">
        <f t="shared" si="3"/>
        <v>seeh</v>
      </c>
      <c r="X23" s="31" t="str">
        <f t="shared" si="3"/>
        <v>sieeh</v>
      </c>
      <c r="Y23" s="31" t="str">
        <f t="shared" si="3"/>
        <v>jeeh</v>
      </c>
      <c r="Z23" s="31" t="str">
        <f t="shared" si="3"/>
        <v>jieeh</v>
      </c>
    </row>
    <row r="24" spans="1:26" ht="44.25">
      <c r="A24" s="16">
        <v>78</v>
      </c>
      <c r="B24" s="4" t="s">
        <v>309</v>
      </c>
      <c r="C24" s="17" t="s">
        <v>139</v>
      </c>
      <c r="D24" s="18" t="s">
        <v>227</v>
      </c>
      <c r="E24" s="31" t="str">
        <f t="shared" si="2"/>
        <v>Øeh</v>
      </c>
      <c r="F24" s="31" t="str">
        <f t="shared" si="2"/>
        <v>peh</v>
      </c>
      <c r="G24" s="31" t="str">
        <f t="shared" si="2"/>
        <v>pheh</v>
      </c>
      <c r="H24" s="31" t="str">
        <f t="shared" si="2"/>
        <v>beh</v>
      </c>
      <c r="I24" s="31" t="str">
        <f t="shared" si="2"/>
        <v>meh</v>
      </c>
      <c r="J24" s="31" t="str">
        <f t="shared" si="2"/>
        <v>teh</v>
      </c>
      <c r="K24" s="31" t="str">
        <f t="shared" si="2"/>
        <v>theh</v>
      </c>
      <c r="L24" s="31" t="str">
        <f t="shared" si="2"/>
        <v>leh</v>
      </c>
      <c r="M24" s="31" t="str">
        <f t="shared" si="2"/>
        <v>neh</v>
      </c>
      <c r="N24" s="31" t="str">
        <f t="shared" si="2"/>
        <v>keh</v>
      </c>
      <c r="O24" s="31" t="str">
        <f t="shared" si="3"/>
        <v>kheh</v>
      </c>
      <c r="P24" s="31" t="str">
        <f t="shared" si="3"/>
        <v>geh</v>
      </c>
      <c r="Q24" s="31" t="str">
        <f t="shared" si="3"/>
        <v>ngeh</v>
      </c>
      <c r="R24" s="31" t="str">
        <f t="shared" si="3"/>
        <v>heh</v>
      </c>
      <c r="S24" s="31" t="str">
        <f t="shared" si="3"/>
        <v>tseh</v>
      </c>
      <c r="T24" s="31" t="str">
        <f t="shared" si="3"/>
        <v>tsieh</v>
      </c>
      <c r="U24" s="31" t="str">
        <f t="shared" si="3"/>
        <v>tsheh</v>
      </c>
      <c r="V24" s="31" t="str">
        <f t="shared" si="3"/>
        <v>tshieh</v>
      </c>
      <c r="W24" s="31" t="str">
        <f t="shared" si="3"/>
        <v>seh</v>
      </c>
      <c r="X24" s="31" t="str">
        <f t="shared" si="3"/>
        <v>sieh</v>
      </c>
      <c r="Y24" s="31" t="str">
        <f t="shared" si="3"/>
        <v>jeh</v>
      </c>
      <c r="Z24" s="31" t="str">
        <f t="shared" si="3"/>
        <v>jieh</v>
      </c>
    </row>
    <row r="25" spans="1:26" ht="44.25">
      <c r="A25" s="16">
        <v>61</v>
      </c>
      <c r="B25" s="4" t="s">
        <v>298</v>
      </c>
      <c r="C25" s="17" t="s">
        <v>122</v>
      </c>
      <c r="D25" s="18" t="s">
        <v>217</v>
      </c>
      <c r="E25" s="31" t="str">
        <f t="shared" ref="E25:N34" si="4">IF($D25="", "", _xlfn.CONCAT(E$3, $D25))</f>
        <v>Øenn</v>
      </c>
      <c r="F25" s="31" t="str">
        <f t="shared" si="4"/>
        <v>penn</v>
      </c>
      <c r="G25" s="31" t="str">
        <f t="shared" si="4"/>
        <v>phenn</v>
      </c>
      <c r="H25" s="31" t="str">
        <f t="shared" si="4"/>
        <v>benn</v>
      </c>
      <c r="I25" s="31" t="str">
        <f t="shared" si="4"/>
        <v>menn</v>
      </c>
      <c r="J25" s="31" t="str">
        <f t="shared" si="4"/>
        <v>tenn</v>
      </c>
      <c r="K25" s="31" t="str">
        <f t="shared" si="4"/>
        <v>thenn</v>
      </c>
      <c r="L25" s="31" t="str">
        <f t="shared" si="4"/>
        <v>lenn</v>
      </c>
      <c r="M25" s="31" t="str">
        <f t="shared" si="4"/>
        <v>nenn</v>
      </c>
      <c r="N25" s="31" t="str">
        <f t="shared" si="4"/>
        <v>kenn</v>
      </c>
      <c r="O25" s="31" t="str">
        <f t="shared" ref="O25:Z34" si="5">IF($D25="", "", _xlfn.CONCAT(O$3, $D25))</f>
        <v>khenn</v>
      </c>
      <c r="P25" s="31" t="str">
        <f t="shared" si="5"/>
        <v>genn</v>
      </c>
      <c r="Q25" s="31" t="str">
        <f t="shared" si="5"/>
        <v>ngenn</v>
      </c>
      <c r="R25" s="31" t="str">
        <f t="shared" si="5"/>
        <v>henn</v>
      </c>
      <c r="S25" s="31" t="str">
        <f t="shared" si="5"/>
        <v>tsenn</v>
      </c>
      <c r="T25" s="31" t="str">
        <f t="shared" si="5"/>
        <v>tsienn</v>
      </c>
      <c r="U25" s="31" t="str">
        <f t="shared" si="5"/>
        <v>tshenn</v>
      </c>
      <c r="V25" s="31" t="str">
        <f t="shared" si="5"/>
        <v>tshienn</v>
      </c>
      <c r="W25" s="31" t="str">
        <f t="shared" si="5"/>
        <v>senn</v>
      </c>
      <c r="X25" s="31" t="str">
        <f t="shared" si="5"/>
        <v>sienn</v>
      </c>
      <c r="Y25" s="31" t="str">
        <f t="shared" si="5"/>
        <v>jenn</v>
      </c>
      <c r="Z25" s="31" t="str">
        <f t="shared" si="5"/>
        <v>jienn</v>
      </c>
    </row>
    <row r="26" spans="1:26" ht="44.25">
      <c r="A26" s="16">
        <v>62</v>
      </c>
      <c r="B26" s="4" t="s">
        <v>299</v>
      </c>
      <c r="C26" s="17" t="s">
        <v>123</v>
      </c>
      <c r="D26" s="18" t="s">
        <v>218</v>
      </c>
      <c r="E26" s="31" t="str">
        <f t="shared" si="4"/>
        <v>Øennh</v>
      </c>
      <c r="F26" s="31" t="str">
        <f t="shared" si="4"/>
        <v>pennh</v>
      </c>
      <c r="G26" s="31" t="str">
        <f t="shared" si="4"/>
        <v>phennh</v>
      </c>
      <c r="H26" s="31" t="str">
        <f t="shared" si="4"/>
        <v>bennh</v>
      </c>
      <c r="I26" s="31" t="str">
        <f t="shared" si="4"/>
        <v>mennh</v>
      </c>
      <c r="J26" s="31" t="str">
        <f t="shared" si="4"/>
        <v>tennh</v>
      </c>
      <c r="K26" s="31" t="str">
        <f t="shared" si="4"/>
        <v>thennh</v>
      </c>
      <c r="L26" s="31" t="str">
        <f t="shared" si="4"/>
        <v>lennh</v>
      </c>
      <c r="M26" s="31" t="str">
        <f t="shared" si="4"/>
        <v>nennh</v>
      </c>
      <c r="N26" s="31" t="str">
        <f t="shared" si="4"/>
        <v>kennh</v>
      </c>
      <c r="O26" s="31" t="str">
        <f t="shared" si="5"/>
        <v>khennh</v>
      </c>
      <c r="P26" s="31" t="str">
        <f t="shared" si="5"/>
        <v>gennh</v>
      </c>
      <c r="Q26" s="31" t="str">
        <f t="shared" si="5"/>
        <v>ngennh</v>
      </c>
      <c r="R26" s="31" t="str">
        <f t="shared" si="5"/>
        <v>hennh</v>
      </c>
      <c r="S26" s="31" t="str">
        <f t="shared" si="5"/>
        <v>tsennh</v>
      </c>
      <c r="T26" s="31" t="str">
        <f t="shared" si="5"/>
        <v>tsiennh</v>
      </c>
      <c r="U26" s="31" t="str">
        <f t="shared" si="5"/>
        <v>tshennh</v>
      </c>
      <c r="V26" s="31" t="str">
        <f t="shared" si="5"/>
        <v>tshiennh</v>
      </c>
      <c r="W26" s="31" t="str">
        <f t="shared" si="5"/>
        <v>sennh</v>
      </c>
      <c r="X26" s="31" t="str">
        <f t="shared" si="5"/>
        <v>siennh</v>
      </c>
      <c r="Y26" s="31" t="str">
        <f t="shared" si="5"/>
        <v>jennh</v>
      </c>
      <c r="Z26" s="31" t="str">
        <f t="shared" si="5"/>
        <v>jiennh</v>
      </c>
    </row>
    <row r="27" spans="1:26" ht="44.25">
      <c r="A27" s="16">
        <v>57</v>
      </c>
      <c r="B27" s="4" t="s">
        <v>246</v>
      </c>
      <c r="C27" s="17" t="s">
        <v>118</v>
      </c>
      <c r="D27" s="18" t="s">
        <v>214</v>
      </c>
      <c r="E27" s="31" t="str">
        <f t="shared" si="4"/>
        <v>Øi</v>
      </c>
      <c r="F27" s="31" t="str">
        <f t="shared" si="4"/>
        <v>pi</v>
      </c>
      <c r="G27" s="31" t="str">
        <f t="shared" si="4"/>
        <v>phi</v>
      </c>
      <c r="H27" s="31" t="str">
        <f t="shared" si="4"/>
        <v>bi</v>
      </c>
      <c r="I27" s="31" t="str">
        <f t="shared" si="4"/>
        <v>mi</v>
      </c>
      <c r="J27" s="31" t="str">
        <f t="shared" si="4"/>
        <v>ti</v>
      </c>
      <c r="K27" s="31" t="str">
        <f t="shared" si="4"/>
        <v>thi</v>
      </c>
      <c r="L27" s="31" t="str">
        <f t="shared" si="4"/>
        <v>li</v>
      </c>
      <c r="M27" s="31" t="str">
        <f t="shared" si="4"/>
        <v>ni</v>
      </c>
      <c r="N27" s="31" t="str">
        <f t="shared" si="4"/>
        <v>ki</v>
      </c>
      <c r="O27" s="31" t="str">
        <f t="shared" si="5"/>
        <v>khi</v>
      </c>
      <c r="P27" s="31" t="str">
        <f t="shared" si="5"/>
        <v>gi</v>
      </c>
      <c r="Q27" s="31" t="str">
        <f t="shared" si="5"/>
        <v>ngi</v>
      </c>
      <c r="R27" s="31" t="str">
        <f t="shared" si="5"/>
        <v>hi</v>
      </c>
      <c r="S27" s="31" t="str">
        <f t="shared" si="5"/>
        <v>tsi</v>
      </c>
      <c r="T27" s="31" t="str">
        <f t="shared" si="5"/>
        <v>tsii</v>
      </c>
      <c r="U27" s="31" t="str">
        <f t="shared" si="5"/>
        <v>tshi</v>
      </c>
      <c r="V27" s="31" t="str">
        <f t="shared" si="5"/>
        <v>tshii</v>
      </c>
      <c r="W27" s="31" t="str">
        <f t="shared" si="5"/>
        <v>si</v>
      </c>
      <c r="X27" s="31" t="str">
        <f t="shared" si="5"/>
        <v>sii</v>
      </c>
      <c r="Y27" s="31" t="str">
        <f t="shared" si="5"/>
        <v>ji</v>
      </c>
      <c r="Z27" s="31" t="str">
        <f t="shared" si="5"/>
        <v>jii</v>
      </c>
    </row>
    <row r="28" spans="1:26" ht="44.25">
      <c r="A28" s="16">
        <v>47</v>
      </c>
      <c r="B28" s="4" t="s">
        <v>286</v>
      </c>
      <c r="C28" s="17" t="s">
        <v>108</v>
      </c>
      <c r="D28" s="18" t="s">
        <v>204</v>
      </c>
      <c r="E28" s="31" t="str">
        <f t="shared" si="4"/>
        <v>Øia</v>
      </c>
      <c r="F28" s="31" t="str">
        <f t="shared" si="4"/>
        <v>pia</v>
      </c>
      <c r="G28" s="31" t="str">
        <f t="shared" si="4"/>
        <v>phia</v>
      </c>
      <c r="H28" s="31" t="str">
        <f t="shared" si="4"/>
        <v>bia</v>
      </c>
      <c r="I28" s="31" t="str">
        <f t="shared" si="4"/>
        <v>mia</v>
      </c>
      <c r="J28" s="31" t="str">
        <f t="shared" si="4"/>
        <v>tia</v>
      </c>
      <c r="K28" s="31" t="str">
        <f t="shared" si="4"/>
        <v>thia</v>
      </c>
      <c r="L28" s="31" t="str">
        <f t="shared" si="4"/>
        <v>lia</v>
      </c>
      <c r="M28" s="31" t="str">
        <f t="shared" si="4"/>
        <v>nia</v>
      </c>
      <c r="N28" s="31" t="str">
        <f t="shared" si="4"/>
        <v>kia</v>
      </c>
      <c r="O28" s="31" t="str">
        <f t="shared" si="5"/>
        <v>khia</v>
      </c>
      <c r="P28" s="31" t="str">
        <f t="shared" si="5"/>
        <v>gia</v>
      </c>
      <c r="Q28" s="31" t="str">
        <f t="shared" si="5"/>
        <v>ngia</v>
      </c>
      <c r="R28" s="31" t="str">
        <f t="shared" si="5"/>
        <v>hia</v>
      </c>
      <c r="S28" s="31" t="str">
        <f t="shared" si="5"/>
        <v>tsia</v>
      </c>
      <c r="T28" s="31" t="str">
        <f t="shared" si="5"/>
        <v>tsiia</v>
      </c>
      <c r="U28" s="31" t="str">
        <f t="shared" si="5"/>
        <v>tshia</v>
      </c>
      <c r="V28" s="31" t="str">
        <f t="shared" si="5"/>
        <v>tshiia</v>
      </c>
      <c r="W28" s="31" t="str">
        <f t="shared" si="5"/>
        <v>sia</v>
      </c>
      <c r="X28" s="31" t="str">
        <f t="shared" si="5"/>
        <v>siia</v>
      </c>
      <c r="Y28" s="31" t="str">
        <f t="shared" si="5"/>
        <v>jia</v>
      </c>
      <c r="Z28" s="31" t="str">
        <f t="shared" si="5"/>
        <v>jiia</v>
      </c>
    </row>
    <row r="29" spans="1:26" ht="44.25">
      <c r="A29" s="16">
        <v>48</v>
      </c>
      <c r="B29" s="4" t="s">
        <v>287</v>
      </c>
      <c r="C29" s="17" t="s">
        <v>109</v>
      </c>
      <c r="D29" s="18" t="s">
        <v>205</v>
      </c>
      <c r="E29" s="31" t="str">
        <f t="shared" si="4"/>
        <v>Øiah</v>
      </c>
      <c r="F29" s="31" t="str">
        <f t="shared" si="4"/>
        <v>piah</v>
      </c>
      <c r="G29" s="31" t="str">
        <f t="shared" si="4"/>
        <v>phiah</v>
      </c>
      <c r="H29" s="31" t="str">
        <f t="shared" si="4"/>
        <v>biah</v>
      </c>
      <c r="I29" s="31" t="str">
        <f t="shared" si="4"/>
        <v>miah</v>
      </c>
      <c r="J29" s="31" t="str">
        <f t="shared" si="4"/>
        <v>tiah</v>
      </c>
      <c r="K29" s="31" t="str">
        <f t="shared" si="4"/>
        <v>thiah</v>
      </c>
      <c r="L29" s="31" t="str">
        <f t="shared" si="4"/>
        <v>liah</v>
      </c>
      <c r="M29" s="31" t="str">
        <f t="shared" si="4"/>
        <v>niah</v>
      </c>
      <c r="N29" s="31" t="str">
        <f t="shared" si="4"/>
        <v>kiah</v>
      </c>
      <c r="O29" s="31" t="str">
        <f t="shared" si="5"/>
        <v>khiah</v>
      </c>
      <c r="P29" s="31" t="str">
        <f t="shared" si="5"/>
        <v>giah</v>
      </c>
      <c r="Q29" s="31" t="str">
        <f t="shared" si="5"/>
        <v>ngiah</v>
      </c>
      <c r="R29" s="31" t="str">
        <f t="shared" si="5"/>
        <v>hiah</v>
      </c>
      <c r="S29" s="31" t="str">
        <f t="shared" si="5"/>
        <v>tsiah</v>
      </c>
      <c r="T29" s="31" t="str">
        <f t="shared" si="5"/>
        <v>tsiiah</v>
      </c>
      <c r="U29" s="31" t="str">
        <f t="shared" si="5"/>
        <v>tshiah</v>
      </c>
      <c r="V29" s="31" t="str">
        <f t="shared" si="5"/>
        <v>tshiiah</v>
      </c>
      <c r="W29" s="31" t="str">
        <f t="shared" si="5"/>
        <v>siah</v>
      </c>
      <c r="X29" s="31" t="str">
        <f t="shared" si="5"/>
        <v>siiah</v>
      </c>
      <c r="Y29" s="31" t="str">
        <f t="shared" si="5"/>
        <v>jiah</v>
      </c>
      <c r="Z29" s="31" t="str">
        <f t="shared" si="5"/>
        <v>jiiah</v>
      </c>
    </row>
    <row r="30" spans="1:26" ht="44.25">
      <c r="A30" s="16">
        <v>36</v>
      </c>
      <c r="B30" s="4" t="s">
        <v>275</v>
      </c>
      <c r="C30" s="17" t="s">
        <v>97</v>
      </c>
      <c r="D30" s="18" t="s">
        <v>193</v>
      </c>
      <c r="E30" s="31" t="str">
        <f t="shared" si="4"/>
        <v>Øiak</v>
      </c>
      <c r="F30" s="31" t="str">
        <f t="shared" si="4"/>
        <v>piak</v>
      </c>
      <c r="G30" s="31" t="str">
        <f t="shared" si="4"/>
        <v>phiak</v>
      </c>
      <c r="H30" s="31" t="str">
        <f t="shared" si="4"/>
        <v>biak</v>
      </c>
      <c r="I30" s="31" t="str">
        <f t="shared" si="4"/>
        <v>miak</v>
      </c>
      <c r="J30" s="31" t="str">
        <f t="shared" si="4"/>
        <v>tiak</v>
      </c>
      <c r="K30" s="31" t="str">
        <f t="shared" si="4"/>
        <v>thiak</v>
      </c>
      <c r="L30" s="31" t="str">
        <f t="shared" si="4"/>
        <v>liak</v>
      </c>
      <c r="M30" s="31" t="str">
        <f t="shared" si="4"/>
        <v>niak</v>
      </c>
      <c r="N30" s="31" t="str">
        <f t="shared" si="4"/>
        <v>kiak</v>
      </c>
      <c r="O30" s="31" t="str">
        <f t="shared" si="5"/>
        <v>khiak</v>
      </c>
      <c r="P30" s="31" t="str">
        <f t="shared" si="5"/>
        <v>giak</v>
      </c>
      <c r="Q30" s="31" t="str">
        <f t="shared" si="5"/>
        <v>ngiak</v>
      </c>
      <c r="R30" s="31" t="str">
        <f t="shared" si="5"/>
        <v>hiak</v>
      </c>
      <c r="S30" s="31" t="str">
        <f t="shared" si="5"/>
        <v>tsiak</v>
      </c>
      <c r="T30" s="31" t="str">
        <f t="shared" si="5"/>
        <v>tsiiak</v>
      </c>
      <c r="U30" s="31" t="str">
        <f t="shared" si="5"/>
        <v>tshiak</v>
      </c>
      <c r="V30" s="31" t="str">
        <f t="shared" si="5"/>
        <v>tshiiak</v>
      </c>
      <c r="W30" s="31" t="str">
        <f t="shared" si="5"/>
        <v>siak</v>
      </c>
      <c r="X30" s="31" t="str">
        <f t="shared" si="5"/>
        <v>siiak</v>
      </c>
      <c r="Y30" s="31" t="str">
        <f t="shared" si="5"/>
        <v>jiak</v>
      </c>
      <c r="Z30" s="31" t="str">
        <f t="shared" si="5"/>
        <v>jiiak</v>
      </c>
    </row>
    <row r="31" spans="1:26" ht="44.25">
      <c r="A31" s="16">
        <v>43</v>
      </c>
      <c r="B31" s="4" t="s">
        <v>282</v>
      </c>
      <c r="C31" s="17" t="s">
        <v>104</v>
      </c>
      <c r="D31" s="18" t="s">
        <v>200</v>
      </c>
      <c r="E31" s="31" t="str">
        <f t="shared" si="4"/>
        <v>Øiam</v>
      </c>
      <c r="F31" s="31" t="str">
        <f t="shared" si="4"/>
        <v>piam</v>
      </c>
      <c r="G31" s="31" t="str">
        <f t="shared" si="4"/>
        <v>phiam</v>
      </c>
      <c r="H31" s="31" t="str">
        <f t="shared" si="4"/>
        <v>biam</v>
      </c>
      <c r="I31" s="31" t="str">
        <f t="shared" si="4"/>
        <v>miam</v>
      </c>
      <c r="J31" s="31" t="str">
        <f t="shared" si="4"/>
        <v>tiam</v>
      </c>
      <c r="K31" s="31" t="str">
        <f t="shared" si="4"/>
        <v>thiam</v>
      </c>
      <c r="L31" s="31" t="str">
        <f t="shared" si="4"/>
        <v>liam</v>
      </c>
      <c r="M31" s="31" t="str">
        <f t="shared" si="4"/>
        <v>niam</v>
      </c>
      <c r="N31" s="31" t="str">
        <f t="shared" si="4"/>
        <v>kiam</v>
      </c>
      <c r="O31" s="31" t="str">
        <f t="shared" si="5"/>
        <v>khiam</v>
      </c>
      <c r="P31" s="31" t="str">
        <f t="shared" si="5"/>
        <v>giam</v>
      </c>
      <c r="Q31" s="31" t="str">
        <f t="shared" si="5"/>
        <v>ngiam</v>
      </c>
      <c r="R31" s="31" t="str">
        <f t="shared" si="5"/>
        <v>hiam</v>
      </c>
      <c r="S31" s="31" t="str">
        <f t="shared" si="5"/>
        <v>tsiam</v>
      </c>
      <c r="T31" s="31" t="str">
        <f t="shared" si="5"/>
        <v>tsiiam</v>
      </c>
      <c r="U31" s="31" t="str">
        <f t="shared" si="5"/>
        <v>tshiam</v>
      </c>
      <c r="V31" s="31" t="str">
        <f t="shared" si="5"/>
        <v>tshiiam</v>
      </c>
      <c r="W31" s="31" t="str">
        <f t="shared" si="5"/>
        <v>siam</v>
      </c>
      <c r="X31" s="31" t="str">
        <f t="shared" si="5"/>
        <v>siiam</v>
      </c>
      <c r="Y31" s="31" t="str">
        <f t="shared" si="5"/>
        <v>jiam</v>
      </c>
      <c r="Z31" s="31" t="str">
        <f t="shared" si="5"/>
        <v>jiiam</v>
      </c>
    </row>
    <row r="32" spans="1:26" ht="44.25">
      <c r="A32" s="16">
        <v>3</v>
      </c>
      <c r="B32" s="4" t="s">
        <v>241</v>
      </c>
      <c r="C32" s="17" t="s">
        <v>64</v>
      </c>
      <c r="D32" s="18" t="s">
        <v>164</v>
      </c>
      <c r="E32" s="31" t="str">
        <f t="shared" si="4"/>
        <v>Øian</v>
      </c>
      <c r="F32" s="31" t="str">
        <f t="shared" si="4"/>
        <v>pian</v>
      </c>
      <c r="G32" s="31" t="str">
        <f t="shared" si="4"/>
        <v>phian</v>
      </c>
      <c r="H32" s="31" t="str">
        <f t="shared" si="4"/>
        <v>bian</v>
      </c>
      <c r="I32" s="31" t="str">
        <f t="shared" si="4"/>
        <v>mian</v>
      </c>
      <c r="J32" s="31" t="str">
        <f t="shared" si="4"/>
        <v>tian</v>
      </c>
      <c r="K32" s="31" t="str">
        <f t="shared" si="4"/>
        <v>thian</v>
      </c>
      <c r="L32" s="31" t="str">
        <f t="shared" si="4"/>
        <v>lian</v>
      </c>
      <c r="M32" s="31" t="str">
        <f t="shared" si="4"/>
        <v>nian</v>
      </c>
      <c r="N32" s="31" t="str">
        <f t="shared" si="4"/>
        <v>kian</v>
      </c>
      <c r="O32" s="31" t="str">
        <f t="shared" si="5"/>
        <v>khian</v>
      </c>
      <c r="P32" s="31" t="str">
        <f t="shared" si="5"/>
        <v>gian</v>
      </c>
      <c r="Q32" s="31" t="str">
        <f t="shared" si="5"/>
        <v>ngian</v>
      </c>
      <c r="R32" s="31" t="str">
        <f t="shared" si="5"/>
        <v>hian</v>
      </c>
      <c r="S32" s="31" t="str">
        <f t="shared" si="5"/>
        <v>tsian</v>
      </c>
      <c r="T32" s="31" t="str">
        <f t="shared" si="5"/>
        <v>tsiian</v>
      </c>
      <c r="U32" s="31" t="str">
        <f t="shared" si="5"/>
        <v>tshian</v>
      </c>
      <c r="V32" s="31" t="str">
        <f t="shared" si="5"/>
        <v>tshiian</v>
      </c>
      <c r="W32" s="31" t="str">
        <f t="shared" si="5"/>
        <v>sian</v>
      </c>
      <c r="X32" s="31" t="str">
        <f t="shared" si="5"/>
        <v>siian</v>
      </c>
      <c r="Y32" s="31" t="str">
        <f t="shared" si="5"/>
        <v>jian</v>
      </c>
      <c r="Z32" s="31" t="str">
        <f t="shared" si="5"/>
        <v>jiian</v>
      </c>
    </row>
    <row r="33" spans="1:26" ht="44.25">
      <c r="A33" s="16">
        <v>35</v>
      </c>
      <c r="B33" s="4" t="s">
        <v>274</v>
      </c>
      <c r="C33" s="17" t="s">
        <v>96</v>
      </c>
      <c r="D33" s="18" t="s">
        <v>192</v>
      </c>
      <c r="E33" s="31" t="str">
        <f t="shared" si="4"/>
        <v>Øiang</v>
      </c>
      <c r="F33" s="31" t="str">
        <f t="shared" si="4"/>
        <v>piang</v>
      </c>
      <c r="G33" s="31" t="str">
        <f t="shared" si="4"/>
        <v>phiang</v>
      </c>
      <c r="H33" s="31" t="str">
        <f t="shared" si="4"/>
        <v>biang</v>
      </c>
      <c r="I33" s="31" t="str">
        <f t="shared" si="4"/>
        <v>miang</v>
      </c>
      <c r="J33" s="31" t="str">
        <f t="shared" si="4"/>
        <v>tiang</v>
      </c>
      <c r="K33" s="31" t="str">
        <f t="shared" si="4"/>
        <v>thiang</v>
      </c>
      <c r="L33" s="31" t="str">
        <f t="shared" si="4"/>
        <v>liang</v>
      </c>
      <c r="M33" s="31" t="str">
        <f t="shared" si="4"/>
        <v>niang</v>
      </c>
      <c r="N33" s="31" t="str">
        <f t="shared" si="4"/>
        <v>kiang</v>
      </c>
      <c r="O33" s="31" t="str">
        <f t="shared" si="5"/>
        <v>khiang</v>
      </c>
      <c r="P33" s="31" t="str">
        <f t="shared" si="5"/>
        <v>giang</v>
      </c>
      <c r="Q33" s="31" t="str">
        <f t="shared" si="5"/>
        <v>ngiang</v>
      </c>
      <c r="R33" s="31" t="str">
        <f t="shared" si="5"/>
        <v>hiang</v>
      </c>
      <c r="S33" s="31" t="str">
        <f t="shared" si="5"/>
        <v>tsiang</v>
      </c>
      <c r="T33" s="31" t="str">
        <f t="shared" si="5"/>
        <v>tsiiang</v>
      </c>
      <c r="U33" s="31" t="str">
        <f t="shared" si="5"/>
        <v>tshiang</v>
      </c>
      <c r="V33" s="31" t="str">
        <f t="shared" si="5"/>
        <v>tshiiang</v>
      </c>
      <c r="W33" s="31" t="str">
        <f t="shared" si="5"/>
        <v>siang</v>
      </c>
      <c r="X33" s="31" t="str">
        <f t="shared" si="5"/>
        <v>siiang</v>
      </c>
      <c r="Y33" s="31" t="str">
        <f t="shared" si="5"/>
        <v>jiang</v>
      </c>
      <c r="Z33" s="31" t="str">
        <f t="shared" si="5"/>
        <v>jiiang</v>
      </c>
    </row>
    <row r="34" spans="1:26" ht="44.25">
      <c r="A34" s="16">
        <v>71</v>
      </c>
      <c r="B34" s="4" t="s">
        <v>304</v>
      </c>
      <c r="C34" s="17" t="s">
        <v>132</v>
      </c>
      <c r="D34" s="18" t="s">
        <v>306</v>
      </c>
      <c r="E34" s="31" t="str">
        <f t="shared" si="4"/>
        <v>Øiann</v>
      </c>
      <c r="F34" s="31" t="str">
        <f t="shared" si="4"/>
        <v>piann</v>
      </c>
      <c r="G34" s="31" t="str">
        <f t="shared" si="4"/>
        <v>phiann</v>
      </c>
      <c r="H34" s="31" t="str">
        <f t="shared" si="4"/>
        <v>biann</v>
      </c>
      <c r="I34" s="31" t="str">
        <f t="shared" si="4"/>
        <v>miann</v>
      </c>
      <c r="J34" s="31" t="str">
        <f t="shared" si="4"/>
        <v>tiann</v>
      </c>
      <c r="K34" s="31" t="str">
        <f t="shared" si="4"/>
        <v>thiann</v>
      </c>
      <c r="L34" s="31" t="str">
        <f t="shared" si="4"/>
        <v>liann</v>
      </c>
      <c r="M34" s="31" t="str">
        <f t="shared" si="4"/>
        <v>niann</v>
      </c>
      <c r="N34" s="31" t="str">
        <f t="shared" si="4"/>
        <v>kiann</v>
      </c>
      <c r="O34" s="31" t="str">
        <f t="shared" si="5"/>
        <v>khiann</v>
      </c>
      <c r="P34" s="31" t="str">
        <f t="shared" si="5"/>
        <v>giann</v>
      </c>
      <c r="Q34" s="31" t="str">
        <f t="shared" si="5"/>
        <v>ngiann</v>
      </c>
      <c r="R34" s="31" t="str">
        <f t="shared" si="5"/>
        <v>hiann</v>
      </c>
      <c r="S34" s="31" t="str">
        <f t="shared" si="5"/>
        <v>tsiann</v>
      </c>
      <c r="T34" s="31" t="str">
        <f t="shared" si="5"/>
        <v>tsiiann</v>
      </c>
      <c r="U34" s="31" t="str">
        <f t="shared" si="5"/>
        <v>tshiann</v>
      </c>
      <c r="V34" s="31" t="str">
        <f t="shared" si="5"/>
        <v>tshiiann</v>
      </c>
      <c r="W34" s="31" t="str">
        <f t="shared" si="5"/>
        <v>siann</v>
      </c>
      <c r="X34" s="31" t="str">
        <f t="shared" si="5"/>
        <v>siiann</v>
      </c>
      <c r="Y34" s="31" t="str">
        <f t="shared" si="5"/>
        <v>jiann</v>
      </c>
      <c r="Z34" s="31" t="str">
        <f t="shared" si="5"/>
        <v>jiiann</v>
      </c>
    </row>
    <row r="35" spans="1:26" ht="44.25">
      <c r="A35" s="16">
        <v>44</v>
      </c>
      <c r="B35" s="4" t="s">
        <v>283</v>
      </c>
      <c r="C35" s="17" t="s">
        <v>105</v>
      </c>
      <c r="D35" s="18" t="s">
        <v>201</v>
      </c>
      <c r="E35" s="31" t="str">
        <f t="shared" ref="E35:N44" si="6">IF($D35="", "", _xlfn.CONCAT(E$3, $D35))</f>
        <v>Øiap</v>
      </c>
      <c r="F35" s="31" t="str">
        <f t="shared" si="6"/>
        <v>piap</v>
      </c>
      <c r="G35" s="31" t="str">
        <f t="shared" si="6"/>
        <v>phiap</v>
      </c>
      <c r="H35" s="31" t="str">
        <f t="shared" si="6"/>
        <v>biap</v>
      </c>
      <c r="I35" s="31" t="str">
        <f t="shared" si="6"/>
        <v>miap</v>
      </c>
      <c r="J35" s="31" t="str">
        <f t="shared" si="6"/>
        <v>tiap</v>
      </c>
      <c r="K35" s="31" t="str">
        <f t="shared" si="6"/>
        <v>thiap</v>
      </c>
      <c r="L35" s="31" t="str">
        <f t="shared" si="6"/>
        <v>liap</v>
      </c>
      <c r="M35" s="31" t="str">
        <f t="shared" si="6"/>
        <v>niap</v>
      </c>
      <c r="N35" s="31" t="str">
        <f t="shared" si="6"/>
        <v>kiap</v>
      </c>
      <c r="O35" s="31" t="str">
        <f t="shared" ref="O35:Z44" si="7">IF($D35="", "", _xlfn.CONCAT(O$3, $D35))</f>
        <v>khiap</v>
      </c>
      <c r="P35" s="31" t="str">
        <f t="shared" si="7"/>
        <v>giap</v>
      </c>
      <c r="Q35" s="31" t="str">
        <f t="shared" si="7"/>
        <v>ngiap</v>
      </c>
      <c r="R35" s="31" t="str">
        <f t="shared" si="7"/>
        <v>hiap</v>
      </c>
      <c r="S35" s="31" t="str">
        <f t="shared" si="7"/>
        <v>tsiap</v>
      </c>
      <c r="T35" s="31" t="str">
        <f t="shared" si="7"/>
        <v>tsiiap</v>
      </c>
      <c r="U35" s="31" t="str">
        <f t="shared" si="7"/>
        <v>tshiap</v>
      </c>
      <c r="V35" s="31" t="str">
        <f t="shared" si="7"/>
        <v>tshiiap</v>
      </c>
      <c r="W35" s="31" t="str">
        <f t="shared" si="7"/>
        <v>siap</v>
      </c>
      <c r="X35" s="31" t="str">
        <f t="shared" si="7"/>
        <v>siiap</v>
      </c>
      <c r="Y35" s="31" t="str">
        <f t="shared" si="7"/>
        <v>jiap</v>
      </c>
      <c r="Z35" s="31" t="str">
        <f t="shared" si="7"/>
        <v>jiiap</v>
      </c>
    </row>
    <row r="36" spans="1:26" ht="44.25">
      <c r="A36" s="16">
        <v>4</v>
      </c>
      <c r="B36" s="4" t="s">
        <v>243</v>
      </c>
      <c r="C36" s="17" t="s">
        <v>65</v>
      </c>
      <c r="D36" s="18" t="s">
        <v>165</v>
      </c>
      <c r="E36" s="31" t="str">
        <f t="shared" si="6"/>
        <v>Øiat</v>
      </c>
      <c r="F36" s="31" t="str">
        <f t="shared" si="6"/>
        <v>piat</v>
      </c>
      <c r="G36" s="31" t="str">
        <f t="shared" si="6"/>
        <v>phiat</v>
      </c>
      <c r="H36" s="31" t="str">
        <f t="shared" si="6"/>
        <v>biat</v>
      </c>
      <c r="I36" s="31" t="str">
        <f t="shared" si="6"/>
        <v>miat</v>
      </c>
      <c r="J36" s="31" t="str">
        <f t="shared" si="6"/>
        <v>tiat</v>
      </c>
      <c r="K36" s="31" t="str">
        <f t="shared" si="6"/>
        <v>thiat</v>
      </c>
      <c r="L36" s="31" t="str">
        <f t="shared" si="6"/>
        <v>liat</v>
      </c>
      <c r="M36" s="31" t="str">
        <f t="shared" si="6"/>
        <v>niat</v>
      </c>
      <c r="N36" s="31" t="str">
        <f t="shared" si="6"/>
        <v>kiat</v>
      </c>
      <c r="O36" s="31" t="str">
        <f t="shared" si="7"/>
        <v>khiat</v>
      </c>
      <c r="P36" s="31" t="str">
        <f t="shared" si="7"/>
        <v>giat</v>
      </c>
      <c r="Q36" s="31" t="str">
        <f t="shared" si="7"/>
        <v>ngiat</v>
      </c>
      <c r="R36" s="31" t="str">
        <f t="shared" si="7"/>
        <v>hiat</v>
      </c>
      <c r="S36" s="31" t="str">
        <f t="shared" si="7"/>
        <v>tsiat</v>
      </c>
      <c r="T36" s="31" t="str">
        <f t="shared" si="7"/>
        <v>tsiiat</v>
      </c>
      <c r="U36" s="31" t="str">
        <f t="shared" si="7"/>
        <v>tshiat</v>
      </c>
      <c r="V36" s="31" t="str">
        <f t="shared" si="7"/>
        <v>tshiiat</v>
      </c>
      <c r="W36" s="31" t="str">
        <f t="shared" si="7"/>
        <v>siat</v>
      </c>
      <c r="X36" s="31" t="str">
        <f t="shared" si="7"/>
        <v>siiat</v>
      </c>
      <c r="Y36" s="31" t="str">
        <f t="shared" si="7"/>
        <v>jiat</v>
      </c>
      <c r="Z36" s="31" t="str">
        <f t="shared" si="7"/>
        <v>jiiat</v>
      </c>
    </row>
    <row r="37" spans="1:26" ht="44.25">
      <c r="A37" s="16">
        <v>23</v>
      </c>
      <c r="B37" s="4" t="s">
        <v>263</v>
      </c>
      <c r="C37" s="17" t="s">
        <v>84</v>
      </c>
      <c r="D37" s="18" t="s">
        <v>182</v>
      </c>
      <c r="E37" s="31" t="str">
        <f t="shared" si="6"/>
        <v>Øiau</v>
      </c>
      <c r="F37" s="31" t="str">
        <f t="shared" si="6"/>
        <v>piau</v>
      </c>
      <c r="G37" s="31" t="str">
        <f t="shared" si="6"/>
        <v>phiau</v>
      </c>
      <c r="H37" s="31" t="str">
        <f t="shared" si="6"/>
        <v>biau</v>
      </c>
      <c r="I37" s="31" t="str">
        <f t="shared" si="6"/>
        <v>miau</v>
      </c>
      <c r="J37" s="31" t="str">
        <f t="shared" si="6"/>
        <v>tiau</v>
      </c>
      <c r="K37" s="31" t="str">
        <f t="shared" si="6"/>
        <v>thiau</v>
      </c>
      <c r="L37" s="31" t="str">
        <f t="shared" si="6"/>
        <v>liau</v>
      </c>
      <c r="M37" s="31" t="str">
        <f t="shared" si="6"/>
        <v>niau</v>
      </c>
      <c r="N37" s="31" t="str">
        <f t="shared" si="6"/>
        <v>kiau</v>
      </c>
      <c r="O37" s="31" t="str">
        <f t="shared" si="7"/>
        <v>khiau</v>
      </c>
      <c r="P37" s="31" t="str">
        <f t="shared" si="7"/>
        <v>giau</v>
      </c>
      <c r="Q37" s="31" t="str">
        <f t="shared" si="7"/>
        <v>ngiau</v>
      </c>
      <c r="R37" s="31" t="str">
        <f t="shared" si="7"/>
        <v>hiau</v>
      </c>
      <c r="S37" s="31" t="str">
        <f t="shared" si="7"/>
        <v>tsiau</v>
      </c>
      <c r="T37" s="31" t="str">
        <f t="shared" si="7"/>
        <v>tsiiau</v>
      </c>
      <c r="U37" s="31" t="str">
        <f t="shared" si="7"/>
        <v>tshiau</v>
      </c>
      <c r="V37" s="31" t="str">
        <f t="shared" si="7"/>
        <v>tshiiau</v>
      </c>
      <c r="W37" s="31" t="str">
        <f t="shared" si="7"/>
        <v>siau</v>
      </c>
      <c r="X37" s="31" t="str">
        <f t="shared" si="7"/>
        <v>siiau</v>
      </c>
      <c r="Y37" s="31" t="str">
        <f t="shared" si="7"/>
        <v>jiau</v>
      </c>
      <c r="Z37" s="31" t="str">
        <f t="shared" si="7"/>
        <v>jiiau</v>
      </c>
    </row>
    <row r="38" spans="1:26" ht="44.25">
      <c r="A38" s="16">
        <v>24</v>
      </c>
      <c r="B38" s="25" t="s">
        <v>264</v>
      </c>
      <c r="C38" s="26" t="s">
        <v>85</v>
      </c>
      <c r="D38" s="27" t="s">
        <v>183</v>
      </c>
      <c r="E38" s="31" t="str">
        <f t="shared" si="6"/>
        <v>Øiauh</v>
      </c>
      <c r="F38" s="31" t="str">
        <f t="shared" si="6"/>
        <v>piauh</v>
      </c>
      <c r="G38" s="31" t="str">
        <f t="shared" si="6"/>
        <v>phiauh</v>
      </c>
      <c r="H38" s="31" t="str">
        <f t="shared" si="6"/>
        <v>biauh</v>
      </c>
      <c r="I38" s="31" t="str">
        <f t="shared" si="6"/>
        <v>miauh</v>
      </c>
      <c r="J38" s="31" t="str">
        <f t="shared" si="6"/>
        <v>tiauh</v>
      </c>
      <c r="K38" s="31" t="str">
        <f t="shared" si="6"/>
        <v>thiauh</v>
      </c>
      <c r="L38" s="31" t="str">
        <f t="shared" si="6"/>
        <v>liauh</v>
      </c>
      <c r="M38" s="31" t="str">
        <f t="shared" si="6"/>
        <v>niauh</v>
      </c>
      <c r="N38" s="31" t="str">
        <f t="shared" si="6"/>
        <v>kiauh</v>
      </c>
      <c r="O38" s="31" t="str">
        <f t="shared" si="7"/>
        <v>khiauh</v>
      </c>
      <c r="P38" s="31" t="str">
        <f t="shared" si="7"/>
        <v>giauh</v>
      </c>
      <c r="Q38" s="31" t="str">
        <f t="shared" si="7"/>
        <v>ngiauh</v>
      </c>
      <c r="R38" s="31" t="str">
        <f t="shared" si="7"/>
        <v>hiauh</v>
      </c>
      <c r="S38" s="31" t="str">
        <f t="shared" si="7"/>
        <v>tsiauh</v>
      </c>
      <c r="T38" s="31" t="str">
        <f t="shared" si="7"/>
        <v>tsiiauh</v>
      </c>
      <c r="U38" s="31" t="str">
        <f t="shared" si="7"/>
        <v>tshiauh</v>
      </c>
      <c r="V38" s="31" t="str">
        <f t="shared" si="7"/>
        <v>tshiiauh</v>
      </c>
      <c r="W38" s="31" t="str">
        <f t="shared" si="7"/>
        <v>siauh</v>
      </c>
      <c r="X38" s="31" t="str">
        <f t="shared" si="7"/>
        <v>siiauh</v>
      </c>
      <c r="Y38" s="31" t="str">
        <f t="shared" si="7"/>
        <v>jiauh</v>
      </c>
      <c r="Z38" s="31" t="str">
        <f t="shared" si="7"/>
        <v>jiiauh</v>
      </c>
    </row>
    <row r="39" spans="1:26" ht="44.25">
      <c r="A39" s="16">
        <v>91</v>
      </c>
      <c r="B39" s="4" t="s">
        <v>316</v>
      </c>
      <c r="C39" s="26" t="s">
        <v>152</v>
      </c>
      <c r="D39" s="27" t="s">
        <v>235</v>
      </c>
      <c r="E39" s="31" t="str">
        <f t="shared" si="6"/>
        <v>Øiaunn</v>
      </c>
      <c r="F39" s="31" t="str">
        <f t="shared" si="6"/>
        <v>piaunn</v>
      </c>
      <c r="G39" s="31" t="str">
        <f t="shared" si="6"/>
        <v>phiaunn</v>
      </c>
      <c r="H39" s="31" t="str">
        <f t="shared" si="6"/>
        <v>biaunn</v>
      </c>
      <c r="I39" s="31" t="str">
        <f t="shared" si="6"/>
        <v>miaunn</v>
      </c>
      <c r="J39" s="31" t="str">
        <f t="shared" si="6"/>
        <v>tiaunn</v>
      </c>
      <c r="K39" s="31" t="str">
        <f t="shared" si="6"/>
        <v>thiaunn</v>
      </c>
      <c r="L39" s="31" t="str">
        <f t="shared" si="6"/>
        <v>liaunn</v>
      </c>
      <c r="M39" s="31" t="str">
        <f t="shared" si="6"/>
        <v>niaunn</v>
      </c>
      <c r="N39" s="31" t="str">
        <f t="shared" si="6"/>
        <v>kiaunn</v>
      </c>
      <c r="O39" s="31" t="str">
        <f t="shared" si="7"/>
        <v>khiaunn</v>
      </c>
      <c r="P39" s="31" t="str">
        <f t="shared" si="7"/>
        <v>giaunn</v>
      </c>
      <c r="Q39" s="31" t="str">
        <f t="shared" si="7"/>
        <v>ngiaunn</v>
      </c>
      <c r="R39" s="31" t="str">
        <f t="shared" si="7"/>
        <v>hiaunn</v>
      </c>
      <c r="S39" s="31" t="str">
        <f t="shared" si="7"/>
        <v>tsiaunn</v>
      </c>
      <c r="T39" s="31" t="str">
        <f t="shared" si="7"/>
        <v>tsiiaunn</v>
      </c>
      <c r="U39" s="31" t="str">
        <f t="shared" si="7"/>
        <v>tshiaunn</v>
      </c>
      <c r="V39" s="31" t="str">
        <f t="shared" si="7"/>
        <v>tshiiaunn</v>
      </c>
      <c r="W39" s="31" t="str">
        <f t="shared" si="7"/>
        <v>siaunn</v>
      </c>
      <c r="X39" s="31" t="str">
        <f t="shared" si="7"/>
        <v>siiaunn</v>
      </c>
      <c r="Y39" s="31" t="str">
        <f t="shared" si="7"/>
        <v>jiaunn</v>
      </c>
      <c r="Z39" s="31" t="str">
        <f t="shared" si="7"/>
        <v>jiiaunn</v>
      </c>
    </row>
    <row r="40" spans="1:26" ht="44.25">
      <c r="A40" s="16">
        <v>92</v>
      </c>
      <c r="B40" s="4" t="s">
        <v>318</v>
      </c>
      <c r="C40" s="26" t="s">
        <v>153</v>
      </c>
      <c r="D40" s="27" t="s">
        <v>317</v>
      </c>
      <c r="E40" s="31" t="str">
        <f t="shared" si="6"/>
        <v>Øiaunnh</v>
      </c>
      <c r="F40" s="31" t="str">
        <f t="shared" si="6"/>
        <v>piaunnh</v>
      </c>
      <c r="G40" s="31" t="str">
        <f t="shared" si="6"/>
        <v>phiaunnh</v>
      </c>
      <c r="H40" s="31" t="str">
        <f t="shared" si="6"/>
        <v>biaunnh</v>
      </c>
      <c r="I40" s="31" t="str">
        <f t="shared" si="6"/>
        <v>miaunnh</v>
      </c>
      <c r="J40" s="31" t="str">
        <f t="shared" si="6"/>
        <v>tiaunnh</v>
      </c>
      <c r="K40" s="31" t="str">
        <f t="shared" si="6"/>
        <v>thiaunnh</v>
      </c>
      <c r="L40" s="31" t="str">
        <f t="shared" si="6"/>
        <v>liaunnh</v>
      </c>
      <c r="M40" s="31" t="str">
        <f t="shared" si="6"/>
        <v>niaunnh</v>
      </c>
      <c r="N40" s="31" t="str">
        <f t="shared" si="6"/>
        <v>kiaunnh</v>
      </c>
      <c r="O40" s="31" t="str">
        <f t="shared" si="7"/>
        <v>khiaunnh</v>
      </c>
      <c r="P40" s="31" t="str">
        <f t="shared" si="7"/>
        <v>giaunnh</v>
      </c>
      <c r="Q40" s="31" t="str">
        <f t="shared" si="7"/>
        <v>ngiaunnh</v>
      </c>
      <c r="R40" s="31" t="str">
        <f t="shared" si="7"/>
        <v>hiaunnh</v>
      </c>
      <c r="S40" s="31" t="str">
        <f t="shared" si="7"/>
        <v>tsiaunnh</v>
      </c>
      <c r="T40" s="31" t="str">
        <f t="shared" si="7"/>
        <v>tsiiaunnh</v>
      </c>
      <c r="U40" s="31" t="str">
        <f t="shared" si="7"/>
        <v>tshiaunnh</v>
      </c>
      <c r="V40" s="31" t="str">
        <f t="shared" si="7"/>
        <v>tshiiaunnh</v>
      </c>
      <c r="W40" s="31" t="str">
        <f t="shared" si="7"/>
        <v>siaunnh</v>
      </c>
      <c r="X40" s="31" t="str">
        <f t="shared" si="7"/>
        <v>siiaunnh</v>
      </c>
      <c r="Y40" s="31" t="str">
        <f t="shared" si="7"/>
        <v>jiaunnh</v>
      </c>
      <c r="Z40" s="31" t="str">
        <f t="shared" si="7"/>
        <v>jiiaunnh</v>
      </c>
    </row>
    <row r="41" spans="1:26" ht="44.25">
      <c r="A41" s="16">
        <v>58</v>
      </c>
      <c r="B41" s="4" t="s">
        <v>296</v>
      </c>
      <c r="C41" s="17" t="s">
        <v>119</v>
      </c>
      <c r="D41" s="18" t="s">
        <v>215</v>
      </c>
      <c r="E41" s="31" t="str">
        <f t="shared" si="6"/>
        <v>Øih</v>
      </c>
      <c r="F41" s="31" t="str">
        <f t="shared" si="6"/>
        <v>pih</v>
      </c>
      <c r="G41" s="31" t="str">
        <f t="shared" si="6"/>
        <v>phih</v>
      </c>
      <c r="H41" s="31" t="str">
        <f t="shared" si="6"/>
        <v>bih</v>
      </c>
      <c r="I41" s="31" t="str">
        <f t="shared" si="6"/>
        <v>mih</v>
      </c>
      <c r="J41" s="31" t="str">
        <f t="shared" si="6"/>
        <v>tih</v>
      </c>
      <c r="K41" s="31" t="str">
        <f t="shared" si="6"/>
        <v>thih</v>
      </c>
      <c r="L41" s="31" t="str">
        <f t="shared" si="6"/>
        <v>lih</v>
      </c>
      <c r="M41" s="31" t="str">
        <f t="shared" si="6"/>
        <v>nih</v>
      </c>
      <c r="N41" s="31" t="str">
        <f t="shared" si="6"/>
        <v>kih</v>
      </c>
      <c r="O41" s="31" t="str">
        <f t="shared" si="7"/>
        <v>khih</v>
      </c>
      <c r="P41" s="31" t="str">
        <f t="shared" si="7"/>
        <v>gih</v>
      </c>
      <c r="Q41" s="31" t="str">
        <f t="shared" si="7"/>
        <v>ngih</v>
      </c>
      <c r="R41" s="31" t="str">
        <f t="shared" si="7"/>
        <v>hih</v>
      </c>
      <c r="S41" s="31" t="str">
        <f t="shared" si="7"/>
        <v>tsih</v>
      </c>
      <c r="T41" s="31" t="str">
        <f t="shared" si="7"/>
        <v>tsiih</v>
      </c>
      <c r="U41" s="31" t="str">
        <f t="shared" si="7"/>
        <v>tshih</v>
      </c>
      <c r="V41" s="31" t="str">
        <f t="shared" si="7"/>
        <v>tshiih</v>
      </c>
      <c r="W41" s="31" t="str">
        <f t="shared" si="7"/>
        <v>sih</v>
      </c>
      <c r="X41" s="31" t="str">
        <f t="shared" si="7"/>
        <v>siih</v>
      </c>
      <c r="Y41" s="31" t="str">
        <f t="shared" si="7"/>
        <v>jih</v>
      </c>
      <c r="Z41" s="31" t="str">
        <f t="shared" si="7"/>
        <v>jiih</v>
      </c>
    </row>
    <row r="42" spans="1:26" ht="44.25">
      <c r="A42" s="16">
        <v>18</v>
      </c>
      <c r="B42" s="4" t="s">
        <v>35</v>
      </c>
      <c r="C42" s="17" t="s">
        <v>79</v>
      </c>
      <c r="D42" s="18" t="s">
        <v>178</v>
      </c>
      <c r="E42" s="31" t="str">
        <f t="shared" si="6"/>
        <v>Øik</v>
      </c>
      <c r="F42" s="31" t="str">
        <f t="shared" si="6"/>
        <v>pik</v>
      </c>
      <c r="G42" s="31" t="str">
        <f t="shared" si="6"/>
        <v>phik</v>
      </c>
      <c r="H42" s="31" t="str">
        <f t="shared" si="6"/>
        <v>bik</v>
      </c>
      <c r="I42" s="31" t="str">
        <f t="shared" si="6"/>
        <v>mik</v>
      </c>
      <c r="J42" s="31" t="str">
        <f t="shared" si="6"/>
        <v>tik</v>
      </c>
      <c r="K42" s="31" t="str">
        <f t="shared" si="6"/>
        <v>thik</v>
      </c>
      <c r="L42" s="31" t="str">
        <f t="shared" si="6"/>
        <v>lik</v>
      </c>
      <c r="M42" s="31" t="str">
        <f t="shared" si="6"/>
        <v>nik</v>
      </c>
      <c r="N42" s="31" t="str">
        <f t="shared" si="6"/>
        <v>kik</v>
      </c>
      <c r="O42" s="31" t="str">
        <f t="shared" si="7"/>
        <v>khik</v>
      </c>
      <c r="P42" s="31" t="str">
        <f t="shared" si="7"/>
        <v>gik</v>
      </c>
      <c r="Q42" s="31" t="str">
        <f t="shared" si="7"/>
        <v>ngik</v>
      </c>
      <c r="R42" s="31" t="str">
        <f t="shared" si="7"/>
        <v>hik</v>
      </c>
      <c r="S42" s="31" t="str">
        <f t="shared" si="7"/>
        <v>tsik</v>
      </c>
      <c r="T42" s="31" t="str">
        <f t="shared" si="7"/>
        <v>tsiik</v>
      </c>
      <c r="U42" s="31" t="str">
        <f t="shared" si="7"/>
        <v>tshik</v>
      </c>
      <c r="V42" s="31" t="str">
        <f t="shared" si="7"/>
        <v>tshiik</v>
      </c>
      <c r="W42" s="31" t="str">
        <f t="shared" si="7"/>
        <v>sik</v>
      </c>
      <c r="X42" s="31" t="str">
        <f t="shared" si="7"/>
        <v>siik</v>
      </c>
      <c r="Y42" s="31" t="str">
        <f t="shared" si="7"/>
        <v>jik</v>
      </c>
      <c r="Z42" s="31" t="str">
        <f t="shared" si="7"/>
        <v>jiik</v>
      </c>
    </row>
    <row r="43" spans="1:26" ht="44.25">
      <c r="A43" s="16">
        <v>5</v>
      </c>
      <c r="B43" s="4" t="s">
        <v>244</v>
      </c>
      <c r="C43" s="17" t="s">
        <v>66</v>
      </c>
      <c r="D43" s="18" t="s">
        <v>166</v>
      </c>
      <c r="E43" s="31" t="str">
        <f t="shared" si="6"/>
        <v>Øim</v>
      </c>
      <c r="F43" s="31" t="str">
        <f t="shared" si="6"/>
        <v>pim</v>
      </c>
      <c r="G43" s="31" t="str">
        <f t="shared" si="6"/>
        <v>phim</v>
      </c>
      <c r="H43" s="31" t="str">
        <f t="shared" si="6"/>
        <v>bim</v>
      </c>
      <c r="I43" s="31" t="str">
        <f t="shared" si="6"/>
        <v>mim</v>
      </c>
      <c r="J43" s="31" t="str">
        <f t="shared" si="6"/>
        <v>tim</v>
      </c>
      <c r="K43" s="31" t="str">
        <f t="shared" si="6"/>
        <v>thim</v>
      </c>
      <c r="L43" s="31" t="str">
        <f t="shared" si="6"/>
        <v>lim</v>
      </c>
      <c r="M43" s="31" t="str">
        <f t="shared" si="6"/>
        <v>nim</v>
      </c>
      <c r="N43" s="31" t="str">
        <f t="shared" si="6"/>
        <v>kim</v>
      </c>
      <c r="O43" s="31" t="str">
        <f t="shared" si="7"/>
        <v>khim</v>
      </c>
      <c r="P43" s="31" t="str">
        <f t="shared" si="7"/>
        <v>gim</v>
      </c>
      <c r="Q43" s="31" t="str">
        <f t="shared" si="7"/>
        <v>ngim</v>
      </c>
      <c r="R43" s="31" t="str">
        <f t="shared" si="7"/>
        <v>him</v>
      </c>
      <c r="S43" s="31" t="str">
        <f t="shared" si="7"/>
        <v>tsim</v>
      </c>
      <c r="T43" s="31" t="str">
        <f t="shared" si="7"/>
        <v>tsiim</v>
      </c>
      <c r="U43" s="31" t="str">
        <f t="shared" si="7"/>
        <v>tshim</v>
      </c>
      <c r="V43" s="31" t="str">
        <f t="shared" si="7"/>
        <v>tshiim</v>
      </c>
      <c r="W43" s="31" t="str">
        <f t="shared" si="7"/>
        <v>sim</v>
      </c>
      <c r="X43" s="31" t="str">
        <f t="shared" si="7"/>
        <v>siim</v>
      </c>
      <c r="Y43" s="31" t="str">
        <f t="shared" si="7"/>
        <v>jim</v>
      </c>
      <c r="Z43" s="31" t="str">
        <f t="shared" si="7"/>
        <v>jiim</v>
      </c>
    </row>
    <row r="44" spans="1:26" ht="44.25">
      <c r="A44" s="16">
        <v>33</v>
      </c>
      <c r="B44" s="4" t="s">
        <v>271</v>
      </c>
      <c r="C44" s="17" t="s">
        <v>94</v>
      </c>
      <c r="D44" s="18" t="s">
        <v>190</v>
      </c>
      <c r="E44" s="31" t="str">
        <f t="shared" si="6"/>
        <v>Øin</v>
      </c>
      <c r="F44" s="31" t="str">
        <f t="shared" si="6"/>
        <v>pin</v>
      </c>
      <c r="G44" s="31" t="str">
        <f t="shared" si="6"/>
        <v>phin</v>
      </c>
      <c r="H44" s="31" t="str">
        <f t="shared" si="6"/>
        <v>bin</v>
      </c>
      <c r="I44" s="31" t="str">
        <f t="shared" si="6"/>
        <v>min</v>
      </c>
      <c r="J44" s="31" t="str">
        <f t="shared" si="6"/>
        <v>tin</v>
      </c>
      <c r="K44" s="31" t="str">
        <f t="shared" si="6"/>
        <v>thin</v>
      </c>
      <c r="L44" s="31" t="str">
        <f t="shared" si="6"/>
        <v>lin</v>
      </c>
      <c r="M44" s="31" t="str">
        <f t="shared" si="6"/>
        <v>nin</v>
      </c>
      <c r="N44" s="31" t="str">
        <f t="shared" si="6"/>
        <v>kin</v>
      </c>
      <c r="O44" s="31" t="str">
        <f t="shared" si="7"/>
        <v>khin</v>
      </c>
      <c r="P44" s="31" t="str">
        <f t="shared" si="7"/>
        <v>gin</v>
      </c>
      <c r="Q44" s="31" t="str">
        <f t="shared" si="7"/>
        <v>ngin</v>
      </c>
      <c r="R44" s="31" t="str">
        <f t="shared" si="7"/>
        <v>hin</v>
      </c>
      <c r="S44" s="31" t="str">
        <f t="shared" si="7"/>
        <v>tsin</v>
      </c>
      <c r="T44" s="31" t="str">
        <f t="shared" si="7"/>
        <v>tsiin</v>
      </c>
      <c r="U44" s="31" t="str">
        <f t="shared" si="7"/>
        <v>tshin</v>
      </c>
      <c r="V44" s="31" t="str">
        <f t="shared" si="7"/>
        <v>tshiin</v>
      </c>
      <c r="W44" s="31" t="str">
        <f t="shared" si="7"/>
        <v>sin</v>
      </c>
      <c r="X44" s="31" t="str">
        <f t="shared" si="7"/>
        <v>siin</v>
      </c>
      <c r="Y44" s="31" t="str">
        <f t="shared" si="7"/>
        <v>jin</v>
      </c>
      <c r="Z44" s="31" t="str">
        <f t="shared" si="7"/>
        <v>jiin</v>
      </c>
    </row>
    <row r="45" spans="1:26" ht="44.25">
      <c r="A45" s="16">
        <v>17</v>
      </c>
      <c r="B45" s="4" t="s">
        <v>259</v>
      </c>
      <c r="C45" s="17" t="s">
        <v>78</v>
      </c>
      <c r="D45" s="18" t="s">
        <v>177</v>
      </c>
      <c r="E45" s="31" t="str">
        <f t="shared" ref="E45:N54" si="8">IF($D45="", "", _xlfn.CONCAT(E$3, $D45))</f>
        <v>Øing</v>
      </c>
      <c r="F45" s="31" t="str">
        <f t="shared" si="8"/>
        <v>ping</v>
      </c>
      <c r="G45" s="31" t="str">
        <f t="shared" si="8"/>
        <v>phing</v>
      </c>
      <c r="H45" s="31" t="str">
        <f t="shared" si="8"/>
        <v>bing</v>
      </c>
      <c r="I45" s="31" t="str">
        <f t="shared" si="8"/>
        <v>ming</v>
      </c>
      <c r="J45" s="31" t="str">
        <f t="shared" si="8"/>
        <v>ting</v>
      </c>
      <c r="K45" s="31" t="str">
        <f t="shared" si="8"/>
        <v>thing</v>
      </c>
      <c r="L45" s="31" t="str">
        <f t="shared" si="8"/>
        <v>ling</v>
      </c>
      <c r="M45" s="31" t="str">
        <f t="shared" si="8"/>
        <v>ning</v>
      </c>
      <c r="N45" s="31" t="str">
        <f t="shared" si="8"/>
        <v>king</v>
      </c>
      <c r="O45" s="31" t="str">
        <f t="shared" ref="O45:Z54" si="9">IF($D45="", "", _xlfn.CONCAT(O$3, $D45))</f>
        <v>khing</v>
      </c>
      <c r="P45" s="31" t="str">
        <f t="shared" si="9"/>
        <v>ging</v>
      </c>
      <c r="Q45" s="31" t="str">
        <f t="shared" si="9"/>
        <v>nging</v>
      </c>
      <c r="R45" s="31" t="str">
        <f t="shared" si="9"/>
        <v>hing</v>
      </c>
      <c r="S45" s="31" t="str">
        <f t="shared" si="9"/>
        <v>tsing</v>
      </c>
      <c r="T45" s="31" t="str">
        <f t="shared" si="9"/>
        <v>tsiing</v>
      </c>
      <c r="U45" s="31" t="str">
        <f t="shared" si="9"/>
        <v>tshing</v>
      </c>
      <c r="V45" s="31" t="str">
        <f t="shared" si="9"/>
        <v>tshiing</v>
      </c>
      <c r="W45" s="31" t="str">
        <f t="shared" si="9"/>
        <v>sing</v>
      </c>
      <c r="X45" s="31" t="str">
        <f t="shared" si="9"/>
        <v>siing</v>
      </c>
      <c r="Y45" s="31" t="str">
        <f t="shared" si="9"/>
        <v>jing</v>
      </c>
      <c r="Z45" s="31" t="str">
        <f t="shared" si="9"/>
        <v>jiing</v>
      </c>
    </row>
    <row r="46" spans="1:26" ht="44.25">
      <c r="A46" s="16">
        <v>67</v>
      </c>
      <c r="B46" s="4" t="s">
        <v>302</v>
      </c>
      <c r="C46" s="17" t="s">
        <v>128</v>
      </c>
      <c r="D46" s="18" t="s">
        <v>222</v>
      </c>
      <c r="E46" s="31" t="str">
        <f t="shared" si="8"/>
        <v>Øinn</v>
      </c>
      <c r="F46" s="31" t="str">
        <f t="shared" si="8"/>
        <v>pinn</v>
      </c>
      <c r="G46" s="31" t="str">
        <f t="shared" si="8"/>
        <v>phinn</v>
      </c>
      <c r="H46" s="31" t="str">
        <f t="shared" si="8"/>
        <v>binn</v>
      </c>
      <c r="I46" s="31" t="str">
        <f t="shared" si="8"/>
        <v>minn</v>
      </c>
      <c r="J46" s="31" t="str">
        <f t="shared" si="8"/>
        <v>tinn</v>
      </c>
      <c r="K46" s="31" t="str">
        <f t="shared" si="8"/>
        <v>thinn</v>
      </c>
      <c r="L46" s="31" t="str">
        <f t="shared" si="8"/>
        <v>linn</v>
      </c>
      <c r="M46" s="31" t="str">
        <f t="shared" si="8"/>
        <v>ninn</v>
      </c>
      <c r="N46" s="31" t="str">
        <f t="shared" si="8"/>
        <v>kinn</v>
      </c>
      <c r="O46" s="31" t="str">
        <f t="shared" si="9"/>
        <v>khinn</v>
      </c>
      <c r="P46" s="31" t="str">
        <f t="shared" si="9"/>
        <v>ginn</v>
      </c>
      <c r="Q46" s="31" t="str">
        <f t="shared" si="9"/>
        <v>nginn</v>
      </c>
      <c r="R46" s="31" t="str">
        <f t="shared" si="9"/>
        <v>hinn</v>
      </c>
      <c r="S46" s="31" t="str">
        <f t="shared" si="9"/>
        <v>tsinn</v>
      </c>
      <c r="T46" s="31" t="str">
        <f t="shared" si="9"/>
        <v>tsiinn</v>
      </c>
      <c r="U46" s="31" t="str">
        <f t="shared" si="9"/>
        <v>tshinn</v>
      </c>
      <c r="V46" s="31" t="str">
        <f t="shared" si="9"/>
        <v>tshiinn</v>
      </c>
      <c r="W46" s="31" t="str">
        <f t="shared" si="9"/>
        <v>sinn</v>
      </c>
      <c r="X46" s="31" t="str">
        <f t="shared" si="9"/>
        <v>siinn</v>
      </c>
      <c r="Y46" s="31" t="str">
        <f t="shared" si="9"/>
        <v>jinn</v>
      </c>
      <c r="Z46" s="31" t="str">
        <f t="shared" si="9"/>
        <v>jiinn</v>
      </c>
    </row>
    <row r="47" spans="1:26" ht="44.25">
      <c r="A47" s="16">
        <v>65</v>
      </c>
      <c r="B47" s="4" t="s">
        <v>300</v>
      </c>
      <c r="C47" s="17" t="s">
        <v>126</v>
      </c>
      <c r="D47" s="18" t="s">
        <v>220</v>
      </c>
      <c r="E47" s="31" t="str">
        <f t="shared" si="8"/>
        <v>Øio</v>
      </c>
      <c r="F47" s="31" t="str">
        <f t="shared" si="8"/>
        <v>pio</v>
      </c>
      <c r="G47" s="31" t="str">
        <f t="shared" si="8"/>
        <v>phio</v>
      </c>
      <c r="H47" s="31" t="str">
        <f t="shared" si="8"/>
        <v>bio</v>
      </c>
      <c r="I47" s="31" t="str">
        <f t="shared" si="8"/>
        <v>mio</v>
      </c>
      <c r="J47" s="31" t="str">
        <f t="shared" si="8"/>
        <v>tio</v>
      </c>
      <c r="K47" s="31" t="str">
        <f t="shared" si="8"/>
        <v>thio</v>
      </c>
      <c r="L47" s="31" t="str">
        <f t="shared" si="8"/>
        <v>lio</v>
      </c>
      <c r="M47" s="31" t="str">
        <f t="shared" si="8"/>
        <v>nio</v>
      </c>
      <c r="N47" s="31" t="str">
        <f t="shared" si="8"/>
        <v>kio</v>
      </c>
      <c r="O47" s="31" t="str">
        <f t="shared" si="9"/>
        <v>khio</v>
      </c>
      <c r="P47" s="31" t="str">
        <f t="shared" si="9"/>
        <v>gio</v>
      </c>
      <c r="Q47" s="31" t="str">
        <f t="shared" si="9"/>
        <v>ngio</v>
      </c>
      <c r="R47" s="31" t="str">
        <f t="shared" si="9"/>
        <v>hio</v>
      </c>
      <c r="S47" s="31" t="str">
        <f t="shared" si="9"/>
        <v>tsio</v>
      </c>
      <c r="T47" s="31" t="str">
        <f t="shared" si="9"/>
        <v>tsiio</v>
      </c>
      <c r="U47" s="31" t="str">
        <f t="shared" si="9"/>
        <v>tshio</v>
      </c>
      <c r="V47" s="31" t="str">
        <f t="shared" si="9"/>
        <v>tshiio</v>
      </c>
      <c r="W47" s="31" t="str">
        <f t="shared" si="9"/>
        <v>sio</v>
      </c>
      <c r="X47" s="31" t="str">
        <f t="shared" si="9"/>
        <v>siio</v>
      </c>
      <c r="Y47" s="31" t="str">
        <f t="shared" si="9"/>
        <v>jio</v>
      </c>
      <c r="Z47" s="31" t="str">
        <f t="shared" si="9"/>
        <v>jiio</v>
      </c>
    </row>
    <row r="48" spans="1:26" ht="44.25">
      <c r="A48" s="16">
        <v>66</v>
      </c>
      <c r="B48" s="4" t="s">
        <v>301</v>
      </c>
      <c r="C48" s="17" t="s">
        <v>127</v>
      </c>
      <c r="D48" s="18" t="s">
        <v>221</v>
      </c>
      <c r="E48" s="31" t="str">
        <f t="shared" si="8"/>
        <v>Øioh</v>
      </c>
      <c r="F48" s="31" t="str">
        <f t="shared" si="8"/>
        <v>pioh</v>
      </c>
      <c r="G48" s="31" t="str">
        <f t="shared" si="8"/>
        <v>phioh</v>
      </c>
      <c r="H48" s="31" t="str">
        <f t="shared" si="8"/>
        <v>bioh</v>
      </c>
      <c r="I48" s="31" t="str">
        <f t="shared" si="8"/>
        <v>mioh</v>
      </c>
      <c r="J48" s="31" t="str">
        <f t="shared" si="8"/>
        <v>tioh</v>
      </c>
      <c r="K48" s="31" t="str">
        <f t="shared" si="8"/>
        <v>thioh</v>
      </c>
      <c r="L48" s="31" t="str">
        <f t="shared" si="8"/>
        <v>lioh</v>
      </c>
      <c r="M48" s="31" t="str">
        <f t="shared" si="8"/>
        <v>nioh</v>
      </c>
      <c r="N48" s="31" t="str">
        <f t="shared" si="8"/>
        <v>kioh</v>
      </c>
      <c r="O48" s="31" t="str">
        <f t="shared" si="9"/>
        <v>khioh</v>
      </c>
      <c r="P48" s="31" t="str">
        <f t="shared" si="9"/>
        <v>gioh</v>
      </c>
      <c r="Q48" s="31" t="str">
        <f t="shared" si="9"/>
        <v>ngioh</v>
      </c>
      <c r="R48" s="31" t="str">
        <f t="shared" si="9"/>
        <v>hioh</v>
      </c>
      <c r="S48" s="31" t="str">
        <f t="shared" si="9"/>
        <v>tsioh</v>
      </c>
      <c r="T48" s="31" t="str">
        <f t="shared" si="9"/>
        <v>tsiioh</v>
      </c>
      <c r="U48" s="31" t="str">
        <f t="shared" si="9"/>
        <v>tshioh</v>
      </c>
      <c r="V48" s="31" t="str">
        <f t="shared" si="9"/>
        <v>tshiioh</v>
      </c>
      <c r="W48" s="31" t="str">
        <f t="shared" si="9"/>
        <v>sioh</v>
      </c>
      <c r="X48" s="31" t="str">
        <f t="shared" si="9"/>
        <v>siioh</v>
      </c>
      <c r="Y48" s="31" t="str">
        <f t="shared" si="9"/>
        <v>jioh</v>
      </c>
      <c r="Z48" s="31" t="str">
        <f t="shared" si="9"/>
        <v>jiioh</v>
      </c>
    </row>
    <row r="49" spans="1:26" ht="44.25">
      <c r="A49" s="16">
        <v>28</v>
      </c>
      <c r="B49" s="4" t="s">
        <v>267</v>
      </c>
      <c r="C49" s="17" t="s">
        <v>89</v>
      </c>
      <c r="D49" s="18" t="s">
        <v>186</v>
      </c>
      <c r="E49" s="31" t="str">
        <f t="shared" si="8"/>
        <v>Øiok</v>
      </c>
      <c r="F49" s="31" t="str">
        <f t="shared" si="8"/>
        <v>piok</v>
      </c>
      <c r="G49" s="31" t="str">
        <f t="shared" si="8"/>
        <v>phiok</v>
      </c>
      <c r="H49" s="31" t="str">
        <f t="shared" si="8"/>
        <v>biok</v>
      </c>
      <c r="I49" s="31" t="str">
        <f t="shared" si="8"/>
        <v>miok</v>
      </c>
      <c r="J49" s="31" t="str">
        <f t="shared" si="8"/>
        <v>tiok</v>
      </c>
      <c r="K49" s="31" t="str">
        <f t="shared" si="8"/>
        <v>thiok</v>
      </c>
      <c r="L49" s="31" t="str">
        <f t="shared" si="8"/>
        <v>liok</v>
      </c>
      <c r="M49" s="31" t="str">
        <f t="shared" si="8"/>
        <v>niok</v>
      </c>
      <c r="N49" s="31" t="str">
        <f t="shared" si="8"/>
        <v>kiok</v>
      </c>
      <c r="O49" s="31" t="str">
        <f t="shared" si="9"/>
        <v>khiok</v>
      </c>
      <c r="P49" s="31" t="str">
        <f t="shared" si="9"/>
        <v>giok</v>
      </c>
      <c r="Q49" s="31" t="str">
        <f t="shared" si="9"/>
        <v>ngiok</v>
      </c>
      <c r="R49" s="31" t="str">
        <f t="shared" si="9"/>
        <v>hiok</v>
      </c>
      <c r="S49" s="31" t="str">
        <f t="shared" si="9"/>
        <v>tsiok</v>
      </c>
      <c r="T49" s="31" t="str">
        <f t="shared" si="9"/>
        <v>tsiiok</v>
      </c>
      <c r="U49" s="31" t="str">
        <f t="shared" si="9"/>
        <v>tshiok</v>
      </c>
      <c r="V49" s="31" t="str">
        <f t="shared" si="9"/>
        <v>tshiiok</v>
      </c>
      <c r="W49" s="31" t="str">
        <f t="shared" si="9"/>
        <v>siok</v>
      </c>
      <c r="X49" s="31" t="str">
        <f t="shared" si="9"/>
        <v>siiok</v>
      </c>
      <c r="Y49" s="31" t="str">
        <f t="shared" si="9"/>
        <v>jiok</v>
      </c>
      <c r="Z49" s="31" t="str">
        <f t="shared" si="9"/>
        <v>jiiok</v>
      </c>
    </row>
    <row r="50" spans="1:26" ht="44.25">
      <c r="A50" s="16">
        <v>27</v>
      </c>
      <c r="B50" s="4" t="s">
        <v>266</v>
      </c>
      <c r="C50" s="17" t="s">
        <v>88</v>
      </c>
      <c r="D50" s="18" t="s">
        <v>185</v>
      </c>
      <c r="E50" s="31" t="str">
        <f t="shared" si="8"/>
        <v>Øiong</v>
      </c>
      <c r="F50" s="31" t="str">
        <f t="shared" si="8"/>
        <v>piong</v>
      </c>
      <c r="G50" s="31" t="str">
        <f t="shared" si="8"/>
        <v>phiong</v>
      </c>
      <c r="H50" s="31" t="str">
        <f t="shared" si="8"/>
        <v>biong</v>
      </c>
      <c r="I50" s="31" t="str">
        <f t="shared" si="8"/>
        <v>miong</v>
      </c>
      <c r="J50" s="31" t="str">
        <f t="shared" si="8"/>
        <v>tiong</v>
      </c>
      <c r="K50" s="31" t="str">
        <f t="shared" si="8"/>
        <v>thiong</v>
      </c>
      <c r="L50" s="31" t="str">
        <f t="shared" si="8"/>
        <v>liong</v>
      </c>
      <c r="M50" s="31" t="str">
        <f t="shared" si="8"/>
        <v>niong</v>
      </c>
      <c r="N50" s="31" t="str">
        <f t="shared" si="8"/>
        <v>kiong</v>
      </c>
      <c r="O50" s="31" t="str">
        <f t="shared" si="9"/>
        <v>khiong</v>
      </c>
      <c r="P50" s="31" t="str">
        <f t="shared" si="9"/>
        <v>giong</v>
      </c>
      <c r="Q50" s="31" t="str">
        <f t="shared" si="9"/>
        <v>ngiong</v>
      </c>
      <c r="R50" s="31" t="str">
        <f t="shared" si="9"/>
        <v>hiong</v>
      </c>
      <c r="S50" s="31" t="str">
        <f t="shared" si="9"/>
        <v>tsiong</v>
      </c>
      <c r="T50" s="31" t="str">
        <f t="shared" si="9"/>
        <v>tsiiong</v>
      </c>
      <c r="U50" s="31" t="str">
        <f t="shared" si="9"/>
        <v>tshiong</v>
      </c>
      <c r="V50" s="31" t="str">
        <f t="shared" si="9"/>
        <v>tshiiong</v>
      </c>
      <c r="W50" s="31" t="str">
        <f t="shared" si="9"/>
        <v>siong</v>
      </c>
      <c r="X50" s="31" t="str">
        <f t="shared" si="9"/>
        <v>siiong</v>
      </c>
      <c r="Y50" s="31" t="str">
        <f t="shared" si="9"/>
        <v>jiong</v>
      </c>
      <c r="Z50" s="31" t="str">
        <f t="shared" si="9"/>
        <v>jiiong</v>
      </c>
    </row>
    <row r="51" spans="1:26" ht="44.25">
      <c r="A51" s="16">
        <v>69</v>
      </c>
      <c r="B51" s="29" t="s">
        <v>303</v>
      </c>
      <c r="C51" s="26" t="s">
        <v>130</v>
      </c>
      <c r="D51" s="27" t="s">
        <v>224</v>
      </c>
      <c r="E51" s="31" t="str">
        <f t="shared" si="8"/>
        <v>Øionn</v>
      </c>
      <c r="F51" s="31" t="str">
        <f t="shared" si="8"/>
        <v>pionn</v>
      </c>
      <c r="G51" s="31" t="str">
        <f t="shared" si="8"/>
        <v>phionn</v>
      </c>
      <c r="H51" s="31" t="str">
        <f t="shared" si="8"/>
        <v>bionn</v>
      </c>
      <c r="I51" s="31" t="str">
        <f t="shared" si="8"/>
        <v>mionn</v>
      </c>
      <c r="J51" s="31" t="str">
        <f t="shared" si="8"/>
        <v>tionn</v>
      </c>
      <c r="K51" s="31" t="str">
        <f t="shared" si="8"/>
        <v>thionn</v>
      </c>
      <c r="L51" s="31" t="str">
        <f t="shared" si="8"/>
        <v>lionn</v>
      </c>
      <c r="M51" s="31" t="str">
        <f t="shared" si="8"/>
        <v>nionn</v>
      </c>
      <c r="N51" s="31" t="str">
        <f t="shared" si="8"/>
        <v>kionn</v>
      </c>
      <c r="O51" s="31" t="str">
        <f t="shared" si="9"/>
        <v>khionn</v>
      </c>
      <c r="P51" s="31" t="str">
        <f t="shared" si="9"/>
        <v>gionn</v>
      </c>
      <c r="Q51" s="31" t="str">
        <f t="shared" si="9"/>
        <v>ngionn</v>
      </c>
      <c r="R51" s="31" t="str">
        <f t="shared" si="9"/>
        <v>hionn</v>
      </c>
      <c r="S51" s="31" t="str">
        <f t="shared" si="9"/>
        <v>tsionn</v>
      </c>
      <c r="T51" s="31" t="str">
        <f t="shared" si="9"/>
        <v>tsiionn</v>
      </c>
      <c r="U51" s="31" t="str">
        <f t="shared" si="9"/>
        <v>tshionn</v>
      </c>
      <c r="V51" s="31" t="str">
        <f t="shared" si="9"/>
        <v>tshiionn</v>
      </c>
      <c r="W51" s="31" t="str">
        <f t="shared" si="9"/>
        <v>sionn</v>
      </c>
      <c r="X51" s="31" t="str">
        <f t="shared" si="9"/>
        <v>siionn</v>
      </c>
      <c r="Y51" s="31" t="str">
        <f t="shared" si="9"/>
        <v>jionn</v>
      </c>
      <c r="Z51" s="31" t="str">
        <f t="shared" si="9"/>
        <v>jiionn</v>
      </c>
    </row>
    <row r="52" spans="1:26" ht="44.25">
      <c r="A52" s="16">
        <v>6</v>
      </c>
      <c r="B52" s="4" t="s">
        <v>247</v>
      </c>
      <c r="C52" s="17" t="s">
        <v>67</v>
      </c>
      <c r="D52" s="18" t="s">
        <v>167</v>
      </c>
      <c r="E52" s="31" t="str">
        <f t="shared" si="8"/>
        <v>Øip</v>
      </c>
      <c r="F52" s="31" t="str">
        <f t="shared" si="8"/>
        <v>pip</v>
      </c>
      <c r="G52" s="31" t="str">
        <f t="shared" si="8"/>
        <v>phip</v>
      </c>
      <c r="H52" s="31" t="str">
        <f t="shared" si="8"/>
        <v>bip</v>
      </c>
      <c r="I52" s="31" t="str">
        <f t="shared" si="8"/>
        <v>mip</v>
      </c>
      <c r="J52" s="31" t="str">
        <f t="shared" si="8"/>
        <v>tip</v>
      </c>
      <c r="K52" s="31" t="str">
        <f t="shared" si="8"/>
        <v>thip</v>
      </c>
      <c r="L52" s="31" t="str">
        <f t="shared" si="8"/>
        <v>lip</v>
      </c>
      <c r="M52" s="31" t="str">
        <f t="shared" si="8"/>
        <v>nip</v>
      </c>
      <c r="N52" s="31" t="str">
        <f t="shared" si="8"/>
        <v>kip</v>
      </c>
      <c r="O52" s="31" t="str">
        <f t="shared" si="9"/>
        <v>khip</v>
      </c>
      <c r="P52" s="31" t="str">
        <f t="shared" si="9"/>
        <v>gip</v>
      </c>
      <c r="Q52" s="31" t="str">
        <f t="shared" si="9"/>
        <v>ngip</v>
      </c>
      <c r="R52" s="31" t="str">
        <f t="shared" si="9"/>
        <v>hip</v>
      </c>
      <c r="S52" s="31" t="str">
        <f t="shared" si="9"/>
        <v>tsip</v>
      </c>
      <c r="T52" s="31" t="str">
        <f t="shared" si="9"/>
        <v>tsiip</v>
      </c>
      <c r="U52" s="31" t="str">
        <f t="shared" si="9"/>
        <v>tship</v>
      </c>
      <c r="V52" s="31" t="str">
        <f t="shared" si="9"/>
        <v>tshiip</v>
      </c>
      <c r="W52" s="31" t="str">
        <f t="shared" si="9"/>
        <v>sip</v>
      </c>
      <c r="X52" s="31" t="str">
        <f t="shared" si="9"/>
        <v>siip</v>
      </c>
      <c r="Y52" s="31" t="str">
        <f t="shared" si="9"/>
        <v>jip</v>
      </c>
      <c r="Z52" s="31" t="str">
        <f t="shared" si="9"/>
        <v>jiip</v>
      </c>
    </row>
    <row r="53" spans="1:26" ht="44.25">
      <c r="A53" s="16">
        <v>34</v>
      </c>
      <c r="B53" s="4" t="s">
        <v>272</v>
      </c>
      <c r="C53" s="17" t="s">
        <v>95</v>
      </c>
      <c r="D53" s="18" t="s">
        <v>191</v>
      </c>
      <c r="E53" s="31" t="str">
        <f t="shared" si="8"/>
        <v>Øit</v>
      </c>
      <c r="F53" s="31" t="str">
        <f t="shared" si="8"/>
        <v>pit</v>
      </c>
      <c r="G53" s="31" t="str">
        <f t="shared" si="8"/>
        <v>phit</v>
      </c>
      <c r="H53" s="31" t="str">
        <f t="shared" si="8"/>
        <v>bit</v>
      </c>
      <c r="I53" s="31" t="str">
        <f t="shared" si="8"/>
        <v>mit</v>
      </c>
      <c r="J53" s="31" t="str">
        <f t="shared" si="8"/>
        <v>tit</v>
      </c>
      <c r="K53" s="31" t="str">
        <f t="shared" si="8"/>
        <v>thit</v>
      </c>
      <c r="L53" s="31" t="str">
        <f t="shared" si="8"/>
        <v>lit</v>
      </c>
      <c r="M53" s="31" t="str">
        <f t="shared" si="8"/>
        <v>nit</v>
      </c>
      <c r="N53" s="31" t="str">
        <f t="shared" si="8"/>
        <v>kit</v>
      </c>
      <c r="O53" s="31" t="str">
        <f t="shared" si="9"/>
        <v>khit</v>
      </c>
      <c r="P53" s="31" t="str">
        <f t="shared" si="9"/>
        <v>git</v>
      </c>
      <c r="Q53" s="31" t="str">
        <f t="shared" si="9"/>
        <v>ngit</v>
      </c>
      <c r="R53" s="31" t="str">
        <f t="shared" si="9"/>
        <v>hit</v>
      </c>
      <c r="S53" s="31" t="str">
        <f t="shared" si="9"/>
        <v>tsit</v>
      </c>
      <c r="T53" s="31" t="str">
        <f t="shared" si="9"/>
        <v>tsiit</v>
      </c>
      <c r="U53" s="31" t="str">
        <f t="shared" si="9"/>
        <v>tshit</v>
      </c>
      <c r="V53" s="31" t="str">
        <f t="shared" si="9"/>
        <v>tshiit</v>
      </c>
      <c r="W53" s="31" t="str">
        <f t="shared" si="9"/>
        <v>sit</v>
      </c>
      <c r="X53" s="31" t="str">
        <f t="shared" si="9"/>
        <v>siit</v>
      </c>
      <c r="Y53" s="31" t="str">
        <f t="shared" si="9"/>
        <v>jit</v>
      </c>
      <c r="Z53" s="31" t="str">
        <f t="shared" si="9"/>
        <v>jiit</v>
      </c>
    </row>
    <row r="54" spans="1:26" ht="44.25">
      <c r="A54" s="16">
        <v>59</v>
      </c>
      <c r="B54" s="4" t="s">
        <v>297</v>
      </c>
      <c r="C54" s="17" t="s">
        <v>120</v>
      </c>
      <c r="D54" s="18" t="s">
        <v>216</v>
      </c>
      <c r="E54" s="31" t="str">
        <f t="shared" si="8"/>
        <v>Øiu</v>
      </c>
      <c r="F54" s="31" t="str">
        <f t="shared" si="8"/>
        <v>piu</v>
      </c>
      <c r="G54" s="31" t="str">
        <f t="shared" si="8"/>
        <v>phiu</v>
      </c>
      <c r="H54" s="31" t="str">
        <f t="shared" si="8"/>
        <v>biu</v>
      </c>
      <c r="I54" s="31" t="str">
        <f t="shared" si="8"/>
        <v>miu</v>
      </c>
      <c r="J54" s="31" t="str">
        <f t="shared" si="8"/>
        <v>tiu</v>
      </c>
      <c r="K54" s="31" t="str">
        <f t="shared" si="8"/>
        <v>thiu</v>
      </c>
      <c r="L54" s="31" t="str">
        <f t="shared" si="8"/>
        <v>liu</v>
      </c>
      <c r="M54" s="31" t="str">
        <f t="shared" si="8"/>
        <v>niu</v>
      </c>
      <c r="N54" s="31" t="str">
        <f t="shared" si="8"/>
        <v>kiu</v>
      </c>
      <c r="O54" s="31" t="str">
        <f t="shared" si="9"/>
        <v>khiu</v>
      </c>
      <c r="P54" s="31" t="str">
        <f t="shared" si="9"/>
        <v>giu</v>
      </c>
      <c r="Q54" s="31" t="str">
        <f t="shared" si="9"/>
        <v>ngiu</v>
      </c>
      <c r="R54" s="31" t="str">
        <f t="shared" si="9"/>
        <v>hiu</v>
      </c>
      <c r="S54" s="31" t="str">
        <f t="shared" si="9"/>
        <v>tsiu</v>
      </c>
      <c r="T54" s="31" t="str">
        <f t="shared" si="9"/>
        <v>tsiiu</v>
      </c>
      <c r="U54" s="31" t="str">
        <f t="shared" si="9"/>
        <v>tshiu</v>
      </c>
      <c r="V54" s="31" t="str">
        <f t="shared" si="9"/>
        <v>tshiiu</v>
      </c>
      <c r="W54" s="31" t="str">
        <f t="shared" si="9"/>
        <v>siu</v>
      </c>
      <c r="X54" s="31" t="str">
        <f t="shared" si="9"/>
        <v>siiu</v>
      </c>
      <c r="Y54" s="31" t="str">
        <f t="shared" si="9"/>
        <v>jiu</v>
      </c>
      <c r="Z54" s="31" t="str">
        <f t="shared" si="9"/>
        <v>jiiu</v>
      </c>
    </row>
    <row r="55" spans="1:26" ht="44.25">
      <c r="A55" s="16">
        <v>99</v>
      </c>
      <c r="B55" s="4" t="s">
        <v>303</v>
      </c>
      <c r="C55" s="17" t="s">
        <v>160</v>
      </c>
      <c r="D55" s="18" t="s">
        <v>239</v>
      </c>
      <c r="E55" s="31" t="str">
        <f t="shared" ref="E55:N64" si="10">IF($D55="", "", _xlfn.CONCAT(E$3, $D55))</f>
        <v>Øiunn</v>
      </c>
      <c r="F55" s="31" t="str">
        <f t="shared" si="10"/>
        <v>piunn</v>
      </c>
      <c r="G55" s="31" t="str">
        <f t="shared" si="10"/>
        <v>phiunn</v>
      </c>
      <c r="H55" s="31" t="str">
        <f t="shared" si="10"/>
        <v>biunn</v>
      </c>
      <c r="I55" s="31" t="str">
        <f t="shared" si="10"/>
        <v>miunn</v>
      </c>
      <c r="J55" s="31" t="str">
        <f t="shared" si="10"/>
        <v>tiunn</v>
      </c>
      <c r="K55" s="31" t="str">
        <f t="shared" si="10"/>
        <v>thiunn</v>
      </c>
      <c r="L55" s="31" t="str">
        <f t="shared" si="10"/>
        <v>liunn</v>
      </c>
      <c r="M55" s="31" t="str">
        <f t="shared" si="10"/>
        <v>niunn</v>
      </c>
      <c r="N55" s="31" t="str">
        <f t="shared" si="10"/>
        <v>kiunn</v>
      </c>
      <c r="O55" s="31" t="str">
        <f t="shared" ref="O55:Z64" si="11">IF($D55="", "", _xlfn.CONCAT(O$3, $D55))</f>
        <v>khiunn</v>
      </c>
      <c r="P55" s="31" t="str">
        <f t="shared" si="11"/>
        <v>giunn</v>
      </c>
      <c r="Q55" s="31" t="str">
        <f t="shared" si="11"/>
        <v>ngiunn</v>
      </c>
      <c r="R55" s="31" t="str">
        <f t="shared" si="11"/>
        <v>hiunn</v>
      </c>
      <c r="S55" s="31" t="str">
        <f t="shared" si="11"/>
        <v>tsiunn</v>
      </c>
      <c r="T55" s="31" t="str">
        <f t="shared" si="11"/>
        <v>tsiiunn</v>
      </c>
      <c r="U55" s="31" t="str">
        <f t="shared" si="11"/>
        <v>tshiunn</v>
      </c>
      <c r="V55" s="31" t="str">
        <f t="shared" si="11"/>
        <v>tshiiunn</v>
      </c>
      <c r="W55" s="31" t="str">
        <f t="shared" si="11"/>
        <v>siunn</v>
      </c>
      <c r="X55" s="31" t="str">
        <f t="shared" si="11"/>
        <v>siiunn</v>
      </c>
      <c r="Y55" s="31" t="str">
        <f t="shared" si="11"/>
        <v>jiunn</v>
      </c>
      <c r="Z55" s="31" t="str">
        <f t="shared" si="11"/>
        <v>jiiunn</v>
      </c>
    </row>
    <row r="56" spans="1:26" ht="44.25">
      <c r="A56" s="16">
        <v>83</v>
      </c>
      <c r="B56" s="4" t="s">
        <v>311</v>
      </c>
      <c r="C56" s="17" t="s">
        <v>144</v>
      </c>
      <c r="D56" s="18" t="s">
        <v>44</v>
      </c>
      <c r="E56" s="31" t="str">
        <f t="shared" si="10"/>
        <v>Øm</v>
      </c>
      <c r="F56" s="31" t="str">
        <f t="shared" si="10"/>
        <v>pm</v>
      </c>
      <c r="G56" s="31" t="str">
        <f t="shared" si="10"/>
        <v>phm</v>
      </c>
      <c r="H56" s="31" t="str">
        <f t="shared" si="10"/>
        <v>bm</v>
      </c>
      <c r="I56" s="31" t="str">
        <f t="shared" si="10"/>
        <v>mm</v>
      </c>
      <c r="J56" s="31" t="str">
        <f t="shared" si="10"/>
        <v>tm</v>
      </c>
      <c r="K56" s="31" t="str">
        <f t="shared" si="10"/>
        <v>thm</v>
      </c>
      <c r="L56" s="31" t="str">
        <f t="shared" si="10"/>
        <v>lm</v>
      </c>
      <c r="M56" s="31" t="str">
        <f t="shared" si="10"/>
        <v>nm</v>
      </c>
      <c r="N56" s="31" t="str">
        <f t="shared" si="10"/>
        <v>km</v>
      </c>
      <c r="O56" s="31" t="str">
        <f t="shared" si="11"/>
        <v>khm</v>
      </c>
      <c r="P56" s="31" t="str">
        <f t="shared" si="11"/>
        <v>gm</v>
      </c>
      <c r="Q56" s="31" t="str">
        <f t="shared" si="11"/>
        <v>ngm</v>
      </c>
      <c r="R56" s="31" t="str">
        <f t="shared" si="11"/>
        <v>hm</v>
      </c>
      <c r="S56" s="31" t="str">
        <f t="shared" si="11"/>
        <v>tsm</v>
      </c>
      <c r="T56" s="31" t="str">
        <f t="shared" si="11"/>
        <v>tsim</v>
      </c>
      <c r="U56" s="31" t="str">
        <f t="shared" si="11"/>
        <v>tshm</v>
      </c>
      <c r="V56" s="31" t="str">
        <f t="shared" si="11"/>
        <v>tshim</v>
      </c>
      <c r="W56" s="31" t="str">
        <f t="shared" si="11"/>
        <v>sm</v>
      </c>
      <c r="X56" s="31" t="str">
        <f t="shared" si="11"/>
        <v>sim</v>
      </c>
      <c r="Y56" s="31" t="str">
        <f t="shared" si="11"/>
        <v>jm</v>
      </c>
      <c r="Z56" s="31" t="str">
        <f t="shared" si="11"/>
        <v>jim</v>
      </c>
    </row>
    <row r="57" spans="1:26" ht="44.25">
      <c r="A57" s="16">
        <v>75</v>
      </c>
      <c r="B57" s="4" t="s">
        <v>273</v>
      </c>
      <c r="C57" s="17" t="s">
        <v>136</v>
      </c>
      <c r="D57" s="18" t="s">
        <v>52</v>
      </c>
      <c r="E57" s="31" t="str">
        <f t="shared" si="10"/>
        <v>Øng</v>
      </c>
      <c r="F57" s="31" t="str">
        <f t="shared" si="10"/>
        <v>png</v>
      </c>
      <c r="G57" s="31" t="str">
        <f t="shared" si="10"/>
        <v>phng</v>
      </c>
      <c r="H57" s="31" t="str">
        <f t="shared" si="10"/>
        <v>bng</v>
      </c>
      <c r="I57" s="31" t="str">
        <f t="shared" si="10"/>
        <v>mng</v>
      </c>
      <c r="J57" s="31" t="str">
        <f t="shared" si="10"/>
        <v>tng</v>
      </c>
      <c r="K57" s="31" t="str">
        <f t="shared" si="10"/>
        <v>thng</v>
      </c>
      <c r="L57" s="31" t="str">
        <f t="shared" si="10"/>
        <v>lng</v>
      </c>
      <c r="M57" s="31" t="str">
        <f t="shared" si="10"/>
        <v>nng</v>
      </c>
      <c r="N57" s="31" t="str">
        <f t="shared" si="10"/>
        <v>kng</v>
      </c>
      <c r="O57" s="31" t="str">
        <f t="shared" si="11"/>
        <v>khng</v>
      </c>
      <c r="P57" s="31" t="str">
        <f t="shared" si="11"/>
        <v>gng</v>
      </c>
      <c r="Q57" s="31" t="str">
        <f t="shared" si="11"/>
        <v>ngng</v>
      </c>
      <c r="R57" s="31" t="str">
        <f t="shared" si="11"/>
        <v>hng</v>
      </c>
      <c r="S57" s="31" t="str">
        <f t="shared" si="11"/>
        <v>tsng</v>
      </c>
      <c r="T57" s="31" t="str">
        <f t="shared" si="11"/>
        <v>tsing</v>
      </c>
      <c r="U57" s="31" t="str">
        <f t="shared" si="11"/>
        <v>tshng</v>
      </c>
      <c r="V57" s="31" t="str">
        <f t="shared" si="11"/>
        <v>tshing</v>
      </c>
      <c r="W57" s="31" t="str">
        <f t="shared" si="11"/>
        <v>sng</v>
      </c>
      <c r="X57" s="31" t="str">
        <f t="shared" si="11"/>
        <v>sing</v>
      </c>
      <c r="Y57" s="31" t="str">
        <f t="shared" si="11"/>
        <v>jng</v>
      </c>
      <c r="Z57" s="31" t="str">
        <f t="shared" si="11"/>
        <v>jing</v>
      </c>
    </row>
    <row r="58" spans="1:26" ht="44.25">
      <c r="A58" s="16">
        <v>29</v>
      </c>
      <c r="B58" s="4" t="s">
        <v>268</v>
      </c>
      <c r="C58" s="17" t="s">
        <v>90</v>
      </c>
      <c r="D58" s="18" t="s">
        <v>187</v>
      </c>
      <c r="E58" s="31" t="str">
        <f t="shared" si="10"/>
        <v>Øo</v>
      </c>
      <c r="F58" s="31" t="str">
        <f t="shared" si="10"/>
        <v>po</v>
      </c>
      <c r="G58" s="31" t="str">
        <f t="shared" si="10"/>
        <v>pho</v>
      </c>
      <c r="H58" s="31" t="str">
        <f t="shared" si="10"/>
        <v>bo</v>
      </c>
      <c r="I58" s="31" t="str">
        <f t="shared" si="10"/>
        <v>mo</v>
      </c>
      <c r="J58" s="31" t="str">
        <f t="shared" si="10"/>
        <v>to</v>
      </c>
      <c r="K58" s="31" t="str">
        <f t="shared" si="10"/>
        <v>tho</v>
      </c>
      <c r="L58" s="31" t="str">
        <f t="shared" si="10"/>
        <v>lo</v>
      </c>
      <c r="M58" s="31" t="str">
        <f t="shared" si="10"/>
        <v>no</v>
      </c>
      <c r="N58" s="31" t="str">
        <f t="shared" si="10"/>
        <v>ko</v>
      </c>
      <c r="O58" s="31" t="str">
        <f t="shared" si="11"/>
        <v>kho</v>
      </c>
      <c r="P58" s="31" t="str">
        <f t="shared" si="11"/>
        <v>go</v>
      </c>
      <c r="Q58" s="31" t="str">
        <f t="shared" si="11"/>
        <v>ngo</v>
      </c>
      <c r="R58" s="31" t="str">
        <f t="shared" si="11"/>
        <v>ho</v>
      </c>
      <c r="S58" s="31" t="str">
        <f t="shared" si="11"/>
        <v>tso</v>
      </c>
      <c r="T58" s="31" t="str">
        <f t="shared" si="11"/>
        <v>tsio</v>
      </c>
      <c r="U58" s="31" t="str">
        <f t="shared" si="11"/>
        <v>tsho</v>
      </c>
      <c r="V58" s="31" t="str">
        <f t="shared" si="11"/>
        <v>tshio</v>
      </c>
      <c r="W58" s="31" t="str">
        <f t="shared" si="11"/>
        <v>so</v>
      </c>
      <c r="X58" s="31" t="str">
        <f t="shared" si="11"/>
        <v>sio</v>
      </c>
      <c r="Y58" s="31" t="str">
        <f t="shared" si="11"/>
        <v>jo</v>
      </c>
      <c r="Z58" s="31" t="str">
        <f t="shared" si="11"/>
        <v>jio</v>
      </c>
    </row>
    <row r="59" spans="1:26" ht="44.25">
      <c r="A59" s="16">
        <v>30</v>
      </c>
      <c r="B59" s="4" t="s">
        <v>269</v>
      </c>
      <c r="C59" s="17" t="s">
        <v>91</v>
      </c>
      <c r="D59" s="18" t="s">
        <v>188</v>
      </c>
      <c r="E59" s="31" t="str">
        <f t="shared" si="10"/>
        <v>Øoh</v>
      </c>
      <c r="F59" s="31" t="str">
        <f t="shared" si="10"/>
        <v>poh</v>
      </c>
      <c r="G59" s="31" t="str">
        <f t="shared" si="10"/>
        <v>phoh</v>
      </c>
      <c r="H59" s="31" t="str">
        <f t="shared" si="10"/>
        <v>boh</v>
      </c>
      <c r="I59" s="31" t="str">
        <f t="shared" si="10"/>
        <v>moh</v>
      </c>
      <c r="J59" s="31" t="str">
        <f t="shared" si="10"/>
        <v>toh</v>
      </c>
      <c r="K59" s="31" t="str">
        <f t="shared" si="10"/>
        <v>thoh</v>
      </c>
      <c r="L59" s="31" t="str">
        <f t="shared" si="10"/>
        <v>loh</v>
      </c>
      <c r="M59" s="31" t="str">
        <f t="shared" si="10"/>
        <v>noh</v>
      </c>
      <c r="N59" s="31" t="str">
        <f t="shared" si="10"/>
        <v>koh</v>
      </c>
      <c r="O59" s="31" t="str">
        <f t="shared" si="11"/>
        <v>khoh</v>
      </c>
      <c r="P59" s="31" t="str">
        <f t="shared" si="11"/>
        <v>goh</v>
      </c>
      <c r="Q59" s="31" t="str">
        <f t="shared" si="11"/>
        <v>ngoh</v>
      </c>
      <c r="R59" s="31" t="str">
        <f t="shared" si="11"/>
        <v>hoh</v>
      </c>
      <c r="S59" s="31" t="str">
        <f t="shared" si="11"/>
        <v>tsoh</v>
      </c>
      <c r="T59" s="31" t="str">
        <f t="shared" si="11"/>
        <v>tsioh</v>
      </c>
      <c r="U59" s="31" t="str">
        <f t="shared" si="11"/>
        <v>tshoh</v>
      </c>
      <c r="V59" s="31" t="str">
        <f t="shared" si="11"/>
        <v>tshioh</v>
      </c>
      <c r="W59" s="31" t="str">
        <f t="shared" si="11"/>
        <v>soh</v>
      </c>
      <c r="X59" s="31" t="str">
        <f t="shared" si="11"/>
        <v>sioh</v>
      </c>
      <c r="Y59" s="31" t="str">
        <f t="shared" si="11"/>
        <v>joh</v>
      </c>
      <c r="Z59" s="31" t="str">
        <f t="shared" si="11"/>
        <v>jioh</v>
      </c>
    </row>
    <row r="60" spans="1:26" ht="44.25">
      <c r="A60" s="16">
        <v>14</v>
      </c>
      <c r="B60" s="4" t="s">
        <v>256</v>
      </c>
      <c r="C60" s="17" t="s">
        <v>75</v>
      </c>
      <c r="D60" s="18" t="s">
        <v>174</v>
      </c>
      <c r="E60" s="31" t="str">
        <f t="shared" si="10"/>
        <v>Øok</v>
      </c>
      <c r="F60" s="31" t="str">
        <f t="shared" si="10"/>
        <v>pok</v>
      </c>
      <c r="G60" s="31" t="str">
        <f t="shared" si="10"/>
        <v>phok</v>
      </c>
      <c r="H60" s="31" t="str">
        <f t="shared" si="10"/>
        <v>bok</v>
      </c>
      <c r="I60" s="31" t="str">
        <f t="shared" si="10"/>
        <v>mok</v>
      </c>
      <c r="J60" s="31" t="str">
        <f t="shared" si="10"/>
        <v>tok</v>
      </c>
      <c r="K60" s="31" t="str">
        <f t="shared" si="10"/>
        <v>thok</v>
      </c>
      <c r="L60" s="31" t="str">
        <f t="shared" si="10"/>
        <v>lok</v>
      </c>
      <c r="M60" s="31" t="str">
        <f t="shared" si="10"/>
        <v>nok</v>
      </c>
      <c r="N60" s="31" t="str">
        <f t="shared" si="10"/>
        <v>kok</v>
      </c>
      <c r="O60" s="31" t="str">
        <f t="shared" si="11"/>
        <v>khok</v>
      </c>
      <c r="P60" s="31" t="str">
        <f t="shared" si="11"/>
        <v>gok</v>
      </c>
      <c r="Q60" s="31" t="str">
        <f t="shared" si="11"/>
        <v>ngok</v>
      </c>
      <c r="R60" s="31" t="str">
        <f t="shared" si="11"/>
        <v>hok</v>
      </c>
      <c r="S60" s="31" t="str">
        <f t="shared" si="11"/>
        <v>tsok</v>
      </c>
      <c r="T60" s="31" t="str">
        <f t="shared" si="11"/>
        <v>tsiok</v>
      </c>
      <c r="U60" s="31" t="str">
        <f t="shared" si="11"/>
        <v>tshok</v>
      </c>
      <c r="V60" s="31" t="str">
        <f t="shared" si="11"/>
        <v>tshiok</v>
      </c>
      <c r="W60" s="31" t="str">
        <f t="shared" si="11"/>
        <v>sok</v>
      </c>
      <c r="X60" s="31" t="str">
        <f t="shared" si="11"/>
        <v>siok</v>
      </c>
      <c r="Y60" s="31" t="str">
        <f t="shared" si="11"/>
        <v>jok</v>
      </c>
      <c r="Z60" s="31" t="str">
        <f t="shared" si="11"/>
        <v>jiok</v>
      </c>
    </row>
    <row r="61" spans="1:26" ht="44.25">
      <c r="A61" s="16">
        <v>93</v>
      </c>
      <c r="B61" s="4" t="s">
        <v>319</v>
      </c>
      <c r="C61" s="17" t="s">
        <v>154</v>
      </c>
      <c r="D61" s="18" t="s">
        <v>236</v>
      </c>
      <c r="E61" s="31" t="str">
        <f t="shared" si="10"/>
        <v>Øom</v>
      </c>
      <c r="F61" s="31" t="str">
        <f t="shared" si="10"/>
        <v>pom</v>
      </c>
      <c r="G61" s="31" t="str">
        <f t="shared" si="10"/>
        <v>phom</v>
      </c>
      <c r="H61" s="31" t="str">
        <f t="shared" si="10"/>
        <v>bom</v>
      </c>
      <c r="I61" s="31" t="str">
        <f t="shared" si="10"/>
        <v>mom</v>
      </c>
      <c r="J61" s="31" t="str">
        <f t="shared" si="10"/>
        <v>tom</v>
      </c>
      <c r="K61" s="31" t="str">
        <f t="shared" si="10"/>
        <v>thom</v>
      </c>
      <c r="L61" s="31" t="str">
        <f t="shared" si="10"/>
        <v>lom</v>
      </c>
      <c r="M61" s="31" t="str">
        <f t="shared" si="10"/>
        <v>nom</v>
      </c>
      <c r="N61" s="31" t="str">
        <f t="shared" si="10"/>
        <v>kom</v>
      </c>
      <c r="O61" s="31" t="str">
        <f t="shared" si="11"/>
        <v>khom</v>
      </c>
      <c r="P61" s="31" t="str">
        <f t="shared" si="11"/>
        <v>gom</v>
      </c>
      <c r="Q61" s="31" t="str">
        <f t="shared" si="11"/>
        <v>ngom</v>
      </c>
      <c r="R61" s="31" t="str">
        <f t="shared" si="11"/>
        <v>hom</v>
      </c>
      <c r="S61" s="31" t="str">
        <f t="shared" si="11"/>
        <v>tsom</v>
      </c>
      <c r="T61" s="31" t="str">
        <f t="shared" si="11"/>
        <v>tsiom</v>
      </c>
      <c r="U61" s="31" t="str">
        <f t="shared" si="11"/>
        <v>tshom</v>
      </c>
      <c r="V61" s="31" t="str">
        <f t="shared" si="11"/>
        <v>tshiom</v>
      </c>
      <c r="W61" s="31" t="str">
        <f t="shared" si="11"/>
        <v>som</v>
      </c>
      <c r="X61" s="31" t="str">
        <f t="shared" si="11"/>
        <v>siom</v>
      </c>
      <c r="Y61" s="31" t="str">
        <f t="shared" si="11"/>
        <v>jom</v>
      </c>
      <c r="Z61" s="31" t="str">
        <f t="shared" si="11"/>
        <v>jiom</v>
      </c>
    </row>
    <row r="62" spans="1:26" ht="44.25">
      <c r="A62" s="16">
        <v>13</v>
      </c>
      <c r="B62" s="4" t="s">
        <v>255</v>
      </c>
      <c r="C62" s="17" t="s">
        <v>74</v>
      </c>
      <c r="D62" s="18" t="s">
        <v>173</v>
      </c>
      <c r="E62" s="31" t="str">
        <f t="shared" si="10"/>
        <v>Øong</v>
      </c>
      <c r="F62" s="31" t="str">
        <f t="shared" si="10"/>
        <v>pong</v>
      </c>
      <c r="G62" s="31" t="str">
        <f t="shared" si="10"/>
        <v>phong</v>
      </c>
      <c r="H62" s="31" t="str">
        <f t="shared" si="10"/>
        <v>bong</v>
      </c>
      <c r="I62" s="31" t="str">
        <f t="shared" si="10"/>
        <v>mong</v>
      </c>
      <c r="J62" s="31" t="str">
        <f t="shared" si="10"/>
        <v>tong</v>
      </c>
      <c r="K62" s="31" t="str">
        <f t="shared" si="10"/>
        <v>thong</v>
      </c>
      <c r="L62" s="31" t="str">
        <f t="shared" si="10"/>
        <v>long</v>
      </c>
      <c r="M62" s="31" t="str">
        <f t="shared" si="10"/>
        <v>nong</v>
      </c>
      <c r="N62" s="31" t="str">
        <f t="shared" si="10"/>
        <v>kong</v>
      </c>
      <c r="O62" s="31" t="str">
        <f t="shared" si="11"/>
        <v>khong</v>
      </c>
      <c r="P62" s="31" t="str">
        <f t="shared" si="11"/>
        <v>gong</v>
      </c>
      <c r="Q62" s="31" t="str">
        <f t="shared" si="11"/>
        <v>ngong</v>
      </c>
      <c r="R62" s="31" t="str">
        <f t="shared" si="11"/>
        <v>hong</v>
      </c>
      <c r="S62" s="31" t="str">
        <f t="shared" si="11"/>
        <v>tsong</v>
      </c>
      <c r="T62" s="31" t="str">
        <f t="shared" si="11"/>
        <v>tsiong</v>
      </c>
      <c r="U62" s="31" t="str">
        <f t="shared" si="11"/>
        <v>tshong</v>
      </c>
      <c r="V62" s="31" t="str">
        <f t="shared" si="11"/>
        <v>tshiong</v>
      </c>
      <c r="W62" s="31" t="str">
        <f t="shared" si="11"/>
        <v>song</v>
      </c>
      <c r="X62" s="31" t="str">
        <f t="shared" si="11"/>
        <v>siong</v>
      </c>
      <c r="Y62" s="31" t="str">
        <f t="shared" si="11"/>
        <v>jong</v>
      </c>
      <c r="Z62" s="31" t="str">
        <f t="shared" si="11"/>
        <v>jiong</v>
      </c>
    </row>
    <row r="63" spans="1:26" ht="44.25">
      <c r="A63" s="16">
        <v>81</v>
      </c>
      <c r="B63" s="25"/>
      <c r="C63" s="26" t="s">
        <v>142</v>
      </c>
      <c r="D63" s="27" t="s">
        <v>229</v>
      </c>
      <c r="E63" s="31" t="str">
        <f t="shared" si="10"/>
        <v>Øonn</v>
      </c>
      <c r="F63" s="31" t="str">
        <f t="shared" si="10"/>
        <v>ponn</v>
      </c>
      <c r="G63" s="31" t="str">
        <f t="shared" si="10"/>
        <v>phonn</v>
      </c>
      <c r="H63" s="31" t="str">
        <f t="shared" si="10"/>
        <v>bonn</v>
      </c>
      <c r="I63" s="31" t="str">
        <f t="shared" si="10"/>
        <v>monn</v>
      </c>
      <c r="J63" s="31" t="str">
        <f t="shared" si="10"/>
        <v>tonn</v>
      </c>
      <c r="K63" s="31" t="str">
        <f t="shared" si="10"/>
        <v>thonn</v>
      </c>
      <c r="L63" s="31" t="str">
        <f t="shared" si="10"/>
        <v>lonn</v>
      </c>
      <c r="M63" s="31" t="str">
        <f t="shared" si="10"/>
        <v>nonn</v>
      </c>
      <c r="N63" s="31" t="str">
        <f t="shared" si="10"/>
        <v>konn</v>
      </c>
      <c r="O63" s="31" t="str">
        <f t="shared" si="11"/>
        <v>khonn</v>
      </c>
      <c r="P63" s="31" t="str">
        <f t="shared" si="11"/>
        <v>gonn</v>
      </c>
      <c r="Q63" s="31" t="str">
        <f t="shared" si="11"/>
        <v>ngonn</v>
      </c>
      <c r="R63" s="31" t="str">
        <f t="shared" si="11"/>
        <v>honn</v>
      </c>
      <c r="S63" s="31" t="str">
        <f t="shared" si="11"/>
        <v>tsonn</v>
      </c>
      <c r="T63" s="31" t="str">
        <f t="shared" si="11"/>
        <v>tsionn</v>
      </c>
      <c r="U63" s="31" t="str">
        <f t="shared" si="11"/>
        <v>tshonn</v>
      </c>
      <c r="V63" s="31" t="str">
        <f t="shared" si="11"/>
        <v>tshionn</v>
      </c>
      <c r="W63" s="31" t="str">
        <f t="shared" si="11"/>
        <v>sonn</v>
      </c>
      <c r="X63" s="31" t="str">
        <f t="shared" si="11"/>
        <v>sionn</v>
      </c>
      <c r="Y63" s="31" t="str">
        <f t="shared" si="11"/>
        <v>jonn</v>
      </c>
      <c r="Z63" s="31" t="str">
        <f t="shared" si="11"/>
        <v>jionn</v>
      </c>
    </row>
    <row r="64" spans="1:26" ht="44.25">
      <c r="A64" s="16">
        <v>21</v>
      </c>
      <c r="B64" s="4" t="s">
        <v>262</v>
      </c>
      <c r="C64" s="17" t="s">
        <v>82</v>
      </c>
      <c r="D64" s="18" t="s">
        <v>181</v>
      </c>
      <c r="E64" s="31" t="str">
        <f t="shared" si="10"/>
        <v>Øoo</v>
      </c>
      <c r="F64" s="31" t="str">
        <f t="shared" si="10"/>
        <v>poo</v>
      </c>
      <c r="G64" s="31" t="str">
        <f t="shared" si="10"/>
        <v>phoo</v>
      </c>
      <c r="H64" s="31" t="str">
        <f t="shared" si="10"/>
        <v>boo</v>
      </c>
      <c r="I64" s="31" t="str">
        <f t="shared" si="10"/>
        <v>moo</v>
      </c>
      <c r="J64" s="31" t="str">
        <f t="shared" si="10"/>
        <v>too</v>
      </c>
      <c r="K64" s="31" t="str">
        <f t="shared" si="10"/>
        <v>thoo</v>
      </c>
      <c r="L64" s="31" t="str">
        <f t="shared" si="10"/>
        <v>loo</v>
      </c>
      <c r="M64" s="31" t="str">
        <f t="shared" si="10"/>
        <v>noo</v>
      </c>
      <c r="N64" s="31" t="str">
        <f t="shared" si="10"/>
        <v>koo</v>
      </c>
      <c r="O64" s="31" t="str">
        <f t="shared" si="11"/>
        <v>khoo</v>
      </c>
      <c r="P64" s="31" t="str">
        <f t="shared" si="11"/>
        <v>goo</v>
      </c>
      <c r="Q64" s="31" t="str">
        <f t="shared" si="11"/>
        <v>ngoo</v>
      </c>
      <c r="R64" s="31" t="str">
        <f t="shared" si="11"/>
        <v>hoo</v>
      </c>
      <c r="S64" s="31" t="str">
        <f t="shared" si="11"/>
        <v>tsoo</v>
      </c>
      <c r="T64" s="31" t="str">
        <f t="shared" si="11"/>
        <v>tsioo</v>
      </c>
      <c r="U64" s="31" t="str">
        <f t="shared" si="11"/>
        <v>tshoo</v>
      </c>
      <c r="V64" s="31" t="str">
        <f t="shared" si="11"/>
        <v>tshioo</v>
      </c>
      <c r="W64" s="31" t="str">
        <f t="shared" si="11"/>
        <v>soo</v>
      </c>
      <c r="X64" s="31" t="str">
        <f t="shared" si="11"/>
        <v>sioo</v>
      </c>
      <c r="Y64" s="31" t="str">
        <f t="shared" si="11"/>
        <v>joo</v>
      </c>
      <c r="Z64" s="31" t="str">
        <f t="shared" si="11"/>
        <v>jioo</v>
      </c>
    </row>
    <row r="65" spans="1:26" ht="44.25">
      <c r="A65" s="16">
        <v>22</v>
      </c>
      <c r="B65" s="4" t="s">
        <v>252</v>
      </c>
      <c r="C65" s="17" t="s">
        <v>83</v>
      </c>
      <c r="D65" s="18" t="s">
        <v>254</v>
      </c>
      <c r="E65" s="31" t="str">
        <f t="shared" ref="E65:N74" si="12">IF($D65="", "", _xlfn.CONCAT(E$3, $D65))</f>
        <v>Øooh</v>
      </c>
      <c r="F65" s="31" t="str">
        <f t="shared" si="12"/>
        <v>pooh</v>
      </c>
      <c r="G65" s="31" t="str">
        <f t="shared" si="12"/>
        <v>phooh</v>
      </c>
      <c r="H65" s="31" t="str">
        <f t="shared" si="12"/>
        <v>booh</v>
      </c>
      <c r="I65" s="31" t="str">
        <f t="shared" si="12"/>
        <v>mooh</v>
      </c>
      <c r="J65" s="31" t="str">
        <f t="shared" si="12"/>
        <v>tooh</v>
      </c>
      <c r="K65" s="31" t="str">
        <f t="shared" si="12"/>
        <v>thooh</v>
      </c>
      <c r="L65" s="31" t="str">
        <f t="shared" si="12"/>
        <v>looh</v>
      </c>
      <c r="M65" s="31" t="str">
        <f t="shared" si="12"/>
        <v>nooh</v>
      </c>
      <c r="N65" s="31" t="str">
        <f t="shared" si="12"/>
        <v>kooh</v>
      </c>
      <c r="O65" s="31" t="str">
        <f t="shared" ref="O65:Z74" si="13">IF($D65="", "", _xlfn.CONCAT(O$3, $D65))</f>
        <v>khooh</v>
      </c>
      <c r="P65" s="31" t="str">
        <f t="shared" si="13"/>
        <v>gooh</v>
      </c>
      <c r="Q65" s="31" t="str">
        <f t="shared" si="13"/>
        <v>ngooh</v>
      </c>
      <c r="R65" s="31" t="str">
        <f t="shared" si="13"/>
        <v>hooh</v>
      </c>
      <c r="S65" s="31" t="str">
        <f t="shared" si="13"/>
        <v>tsooh</v>
      </c>
      <c r="T65" s="31" t="str">
        <f t="shared" si="13"/>
        <v>tsiooh</v>
      </c>
      <c r="U65" s="31" t="str">
        <f t="shared" si="13"/>
        <v>tshooh</v>
      </c>
      <c r="V65" s="31" t="str">
        <f t="shared" si="13"/>
        <v>tshiooh</v>
      </c>
      <c r="W65" s="31" t="str">
        <f t="shared" si="13"/>
        <v>sooh</v>
      </c>
      <c r="X65" s="31" t="str">
        <f t="shared" si="13"/>
        <v>siooh</v>
      </c>
      <c r="Y65" s="31" t="str">
        <f t="shared" si="13"/>
        <v>jooh</v>
      </c>
      <c r="Z65" s="31" t="str">
        <f t="shared" si="13"/>
        <v>jiooh</v>
      </c>
    </row>
    <row r="66" spans="1:26" ht="44.25">
      <c r="A66" s="16">
        <v>94</v>
      </c>
      <c r="B66" s="4" t="s">
        <v>320</v>
      </c>
      <c r="C66" s="26" t="s">
        <v>155</v>
      </c>
      <c r="D66" s="27" t="s">
        <v>321</v>
      </c>
      <c r="E66" s="31" t="str">
        <f t="shared" si="12"/>
        <v>Øop</v>
      </c>
      <c r="F66" s="31" t="str">
        <f t="shared" si="12"/>
        <v>pop</v>
      </c>
      <c r="G66" s="31" t="str">
        <f t="shared" si="12"/>
        <v>phop</v>
      </c>
      <c r="H66" s="31" t="str">
        <f t="shared" si="12"/>
        <v>bop</v>
      </c>
      <c r="I66" s="31" t="str">
        <f t="shared" si="12"/>
        <v>mop</v>
      </c>
      <c r="J66" s="31" t="str">
        <f t="shared" si="12"/>
        <v>top</v>
      </c>
      <c r="K66" s="31" t="str">
        <f t="shared" si="12"/>
        <v>thop</v>
      </c>
      <c r="L66" s="31" t="str">
        <f t="shared" si="12"/>
        <v>lop</v>
      </c>
      <c r="M66" s="31" t="str">
        <f t="shared" si="12"/>
        <v>nop</v>
      </c>
      <c r="N66" s="31" t="str">
        <f t="shared" si="12"/>
        <v>kop</v>
      </c>
      <c r="O66" s="31" t="str">
        <f t="shared" si="13"/>
        <v>khop</v>
      </c>
      <c r="P66" s="31" t="str">
        <f t="shared" si="13"/>
        <v>gop</v>
      </c>
      <c r="Q66" s="31" t="str">
        <f t="shared" si="13"/>
        <v>ngop</v>
      </c>
      <c r="R66" s="31" t="str">
        <f t="shared" si="13"/>
        <v>hop</v>
      </c>
      <c r="S66" s="31" t="str">
        <f t="shared" si="13"/>
        <v>tsop</v>
      </c>
      <c r="T66" s="31" t="str">
        <f t="shared" si="13"/>
        <v>tsiop</v>
      </c>
      <c r="U66" s="31" t="str">
        <f t="shared" si="13"/>
        <v>tshop</v>
      </c>
      <c r="V66" s="31" t="str">
        <f t="shared" si="13"/>
        <v>tshiop</v>
      </c>
      <c r="W66" s="31" t="str">
        <f t="shared" si="13"/>
        <v>sop</v>
      </c>
      <c r="X66" s="31" t="str">
        <f t="shared" si="13"/>
        <v>siop</v>
      </c>
      <c r="Y66" s="31" t="str">
        <f t="shared" si="13"/>
        <v>jop</v>
      </c>
      <c r="Z66" s="31" t="str">
        <f t="shared" si="13"/>
        <v>jiop</v>
      </c>
    </row>
    <row r="67" spans="1:26" ht="44.25">
      <c r="A67" s="16">
        <v>53</v>
      </c>
      <c r="B67" s="4" t="s">
        <v>292</v>
      </c>
      <c r="C67" s="17" t="s">
        <v>114</v>
      </c>
      <c r="D67" s="18" t="s">
        <v>210</v>
      </c>
      <c r="E67" s="31" t="str">
        <f t="shared" si="12"/>
        <v>Øu</v>
      </c>
      <c r="F67" s="31" t="str">
        <f t="shared" si="12"/>
        <v>pu</v>
      </c>
      <c r="G67" s="31" t="str">
        <f t="shared" si="12"/>
        <v>phu</v>
      </c>
      <c r="H67" s="31" t="str">
        <f t="shared" si="12"/>
        <v>bu</v>
      </c>
      <c r="I67" s="31" t="str">
        <f t="shared" si="12"/>
        <v>mu</v>
      </c>
      <c r="J67" s="31" t="str">
        <f t="shared" si="12"/>
        <v>tu</v>
      </c>
      <c r="K67" s="31" t="str">
        <f t="shared" si="12"/>
        <v>thu</v>
      </c>
      <c r="L67" s="31" t="str">
        <f t="shared" si="12"/>
        <v>lu</v>
      </c>
      <c r="M67" s="31" t="str">
        <f t="shared" si="12"/>
        <v>nu</v>
      </c>
      <c r="N67" s="31" t="str">
        <f t="shared" si="12"/>
        <v>ku</v>
      </c>
      <c r="O67" s="31" t="str">
        <f t="shared" si="13"/>
        <v>khu</v>
      </c>
      <c r="P67" s="31" t="str">
        <f t="shared" si="13"/>
        <v>gu</v>
      </c>
      <c r="Q67" s="31" t="str">
        <f t="shared" si="13"/>
        <v>ngu</v>
      </c>
      <c r="R67" s="31" t="str">
        <f t="shared" si="13"/>
        <v>hu</v>
      </c>
      <c r="S67" s="31" t="str">
        <f t="shared" si="13"/>
        <v>tsu</v>
      </c>
      <c r="T67" s="31" t="str">
        <f t="shared" si="13"/>
        <v>tsiu</v>
      </c>
      <c r="U67" s="31" t="str">
        <f t="shared" si="13"/>
        <v>tshu</v>
      </c>
      <c r="V67" s="31" t="str">
        <f t="shared" si="13"/>
        <v>tshiu</v>
      </c>
      <c r="W67" s="31" t="str">
        <f t="shared" si="13"/>
        <v>su</v>
      </c>
      <c r="X67" s="31" t="str">
        <f t="shared" si="13"/>
        <v>siu</v>
      </c>
      <c r="Y67" s="31" t="str">
        <f t="shared" si="13"/>
        <v>ju</v>
      </c>
      <c r="Z67" s="31" t="str">
        <f t="shared" si="13"/>
        <v>jiu</v>
      </c>
    </row>
    <row r="68" spans="1:26" ht="44.25">
      <c r="A68" s="16">
        <v>39</v>
      </c>
      <c r="B68" s="4" t="s">
        <v>278</v>
      </c>
      <c r="C68" s="17" t="s">
        <v>100</v>
      </c>
      <c r="D68" s="18" t="s">
        <v>196</v>
      </c>
      <c r="E68" s="31" t="str">
        <f t="shared" si="12"/>
        <v>Øua</v>
      </c>
      <c r="F68" s="31" t="str">
        <f t="shared" si="12"/>
        <v>pua</v>
      </c>
      <c r="G68" s="31" t="str">
        <f t="shared" si="12"/>
        <v>phua</v>
      </c>
      <c r="H68" s="31" t="str">
        <f t="shared" si="12"/>
        <v>bua</v>
      </c>
      <c r="I68" s="31" t="str">
        <f t="shared" si="12"/>
        <v>mua</v>
      </c>
      <c r="J68" s="31" t="str">
        <f t="shared" si="12"/>
        <v>tua</v>
      </c>
      <c r="K68" s="31" t="str">
        <f t="shared" si="12"/>
        <v>thua</v>
      </c>
      <c r="L68" s="31" t="str">
        <f t="shared" si="12"/>
        <v>lua</v>
      </c>
      <c r="M68" s="31" t="str">
        <f t="shared" si="12"/>
        <v>nua</v>
      </c>
      <c r="N68" s="31" t="str">
        <f t="shared" si="12"/>
        <v>kua</v>
      </c>
      <c r="O68" s="31" t="str">
        <f t="shared" si="13"/>
        <v>khua</v>
      </c>
      <c r="P68" s="31" t="str">
        <f t="shared" si="13"/>
        <v>gua</v>
      </c>
      <c r="Q68" s="31" t="str">
        <f t="shared" si="13"/>
        <v>ngua</v>
      </c>
      <c r="R68" s="31" t="str">
        <f t="shared" si="13"/>
        <v>hua</v>
      </c>
      <c r="S68" s="31" t="str">
        <f t="shared" si="13"/>
        <v>tsua</v>
      </c>
      <c r="T68" s="31" t="str">
        <f t="shared" si="13"/>
        <v>tsiua</v>
      </c>
      <c r="U68" s="31" t="str">
        <f t="shared" si="13"/>
        <v>tshua</v>
      </c>
      <c r="V68" s="31" t="str">
        <f t="shared" si="13"/>
        <v>tshiua</v>
      </c>
      <c r="W68" s="31" t="str">
        <f t="shared" si="13"/>
        <v>sua</v>
      </c>
      <c r="X68" s="31" t="str">
        <f t="shared" si="13"/>
        <v>siua</v>
      </c>
      <c r="Y68" s="31" t="str">
        <f t="shared" si="13"/>
        <v>jua</v>
      </c>
      <c r="Z68" s="31" t="str">
        <f t="shared" si="13"/>
        <v>jiua</v>
      </c>
    </row>
    <row r="69" spans="1:26" ht="44.25">
      <c r="A69" s="16">
        <v>40</v>
      </c>
      <c r="B69" s="4" t="s">
        <v>279</v>
      </c>
      <c r="C69" s="17" t="s">
        <v>101</v>
      </c>
      <c r="D69" s="18" t="s">
        <v>197</v>
      </c>
      <c r="E69" s="31" t="str">
        <f t="shared" si="12"/>
        <v>Øuah</v>
      </c>
      <c r="F69" s="31" t="str">
        <f t="shared" si="12"/>
        <v>puah</v>
      </c>
      <c r="G69" s="31" t="str">
        <f t="shared" si="12"/>
        <v>phuah</v>
      </c>
      <c r="H69" s="31" t="str">
        <f t="shared" si="12"/>
        <v>buah</v>
      </c>
      <c r="I69" s="31" t="str">
        <f t="shared" si="12"/>
        <v>muah</v>
      </c>
      <c r="J69" s="31" t="str">
        <f t="shared" si="12"/>
        <v>tuah</v>
      </c>
      <c r="K69" s="31" t="str">
        <f t="shared" si="12"/>
        <v>thuah</v>
      </c>
      <c r="L69" s="31" t="str">
        <f t="shared" si="12"/>
        <v>luah</v>
      </c>
      <c r="M69" s="31" t="str">
        <f t="shared" si="12"/>
        <v>nuah</v>
      </c>
      <c r="N69" s="31" t="str">
        <f t="shared" si="12"/>
        <v>kuah</v>
      </c>
      <c r="O69" s="31" t="str">
        <f t="shared" si="13"/>
        <v>khuah</v>
      </c>
      <c r="P69" s="31" t="str">
        <f t="shared" si="13"/>
        <v>guah</v>
      </c>
      <c r="Q69" s="31" t="str">
        <f t="shared" si="13"/>
        <v>nguah</v>
      </c>
      <c r="R69" s="31" t="str">
        <f t="shared" si="13"/>
        <v>huah</v>
      </c>
      <c r="S69" s="31" t="str">
        <f t="shared" si="13"/>
        <v>tsuah</v>
      </c>
      <c r="T69" s="31" t="str">
        <f t="shared" si="13"/>
        <v>tsiuah</v>
      </c>
      <c r="U69" s="31" t="str">
        <f t="shared" si="13"/>
        <v>tshuah</v>
      </c>
      <c r="V69" s="31" t="str">
        <f t="shared" si="13"/>
        <v>tshiuah</v>
      </c>
      <c r="W69" s="31" t="str">
        <f t="shared" si="13"/>
        <v>suah</v>
      </c>
      <c r="X69" s="31" t="str">
        <f t="shared" si="13"/>
        <v>siuah</v>
      </c>
      <c r="Y69" s="31" t="str">
        <f t="shared" si="13"/>
        <v>juah</v>
      </c>
      <c r="Z69" s="31" t="str">
        <f t="shared" si="13"/>
        <v>jiuah</v>
      </c>
    </row>
    <row r="70" spans="1:26" ht="44.25">
      <c r="A70" s="16">
        <v>15</v>
      </c>
      <c r="B70" s="4" t="s">
        <v>257</v>
      </c>
      <c r="C70" s="17" t="s">
        <v>76</v>
      </c>
      <c r="D70" s="18" t="s">
        <v>175</v>
      </c>
      <c r="E70" s="31" t="str">
        <f t="shared" si="12"/>
        <v>Øuai</v>
      </c>
      <c r="F70" s="31" t="str">
        <f t="shared" si="12"/>
        <v>puai</v>
      </c>
      <c r="G70" s="31" t="str">
        <f t="shared" si="12"/>
        <v>phuai</v>
      </c>
      <c r="H70" s="31" t="str">
        <f t="shared" si="12"/>
        <v>buai</v>
      </c>
      <c r="I70" s="31" t="str">
        <f t="shared" si="12"/>
        <v>muai</v>
      </c>
      <c r="J70" s="31" t="str">
        <f t="shared" si="12"/>
        <v>tuai</v>
      </c>
      <c r="K70" s="31" t="str">
        <f t="shared" si="12"/>
        <v>thuai</v>
      </c>
      <c r="L70" s="31" t="str">
        <f t="shared" si="12"/>
        <v>luai</v>
      </c>
      <c r="M70" s="31" t="str">
        <f t="shared" si="12"/>
        <v>nuai</v>
      </c>
      <c r="N70" s="31" t="str">
        <f t="shared" si="12"/>
        <v>kuai</v>
      </c>
      <c r="O70" s="31" t="str">
        <f t="shared" si="13"/>
        <v>khuai</v>
      </c>
      <c r="P70" s="31" t="str">
        <f t="shared" si="13"/>
        <v>guai</v>
      </c>
      <c r="Q70" s="31" t="str">
        <f t="shared" si="13"/>
        <v>nguai</v>
      </c>
      <c r="R70" s="31" t="str">
        <f t="shared" si="13"/>
        <v>huai</v>
      </c>
      <c r="S70" s="31" t="str">
        <f t="shared" si="13"/>
        <v>tsuai</v>
      </c>
      <c r="T70" s="31" t="str">
        <f t="shared" si="13"/>
        <v>tsiuai</v>
      </c>
      <c r="U70" s="31" t="str">
        <f t="shared" si="13"/>
        <v>tshuai</v>
      </c>
      <c r="V70" s="31" t="str">
        <f t="shared" si="13"/>
        <v>tshiuai</v>
      </c>
      <c r="W70" s="31" t="str">
        <f t="shared" si="13"/>
        <v>suai</v>
      </c>
      <c r="X70" s="31" t="str">
        <f t="shared" si="13"/>
        <v>siuai</v>
      </c>
      <c r="Y70" s="31" t="str">
        <f t="shared" si="13"/>
        <v>juai</v>
      </c>
      <c r="Z70" s="31" t="str">
        <f t="shared" si="13"/>
        <v>jiuai</v>
      </c>
    </row>
    <row r="71" spans="1:26" ht="44.25">
      <c r="A71" s="16">
        <v>16</v>
      </c>
      <c r="B71" s="22" t="s">
        <v>258</v>
      </c>
      <c r="C71" s="23" t="s">
        <v>77</v>
      </c>
      <c r="D71" s="24" t="s">
        <v>176</v>
      </c>
      <c r="E71" s="31" t="str">
        <f t="shared" si="12"/>
        <v>Øuaih</v>
      </c>
      <c r="F71" s="31" t="str">
        <f t="shared" si="12"/>
        <v>puaih</v>
      </c>
      <c r="G71" s="31" t="str">
        <f t="shared" si="12"/>
        <v>phuaih</v>
      </c>
      <c r="H71" s="31" t="str">
        <f t="shared" si="12"/>
        <v>buaih</v>
      </c>
      <c r="I71" s="31" t="str">
        <f t="shared" si="12"/>
        <v>muaih</v>
      </c>
      <c r="J71" s="31" t="str">
        <f t="shared" si="12"/>
        <v>tuaih</v>
      </c>
      <c r="K71" s="31" t="str">
        <f t="shared" si="12"/>
        <v>thuaih</v>
      </c>
      <c r="L71" s="31" t="str">
        <f t="shared" si="12"/>
        <v>luaih</v>
      </c>
      <c r="M71" s="31" t="str">
        <f t="shared" si="12"/>
        <v>nuaih</v>
      </c>
      <c r="N71" s="31" t="str">
        <f t="shared" si="12"/>
        <v>kuaih</v>
      </c>
      <c r="O71" s="31" t="str">
        <f t="shared" si="13"/>
        <v>khuaih</v>
      </c>
      <c r="P71" s="31" t="str">
        <f t="shared" si="13"/>
        <v>guaih</v>
      </c>
      <c r="Q71" s="31" t="str">
        <f t="shared" si="13"/>
        <v>nguaih</v>
      </c>
      <c r="R71" s="31" t="str">
        <f t="shared" si="13"/>
        <v>huaih</v>
      </c>
      <c r="S71" s="31" t="str">
        <f t="shared" si="13"/>
        <v>tsuaih</v>
      </c>
      <c r="T71" s="31" t="str">
        <f t="shared" si="13"/>
        <v>tsiuaih</v>
      </c>
      <c r="U71" s="31" t="str">
        <f t="shared" si="13"/>
        <v>tshuaih</v>
      </c>
      <c r="V71" s="31" t="str">
        <f t="shared" si="13"/>
        <v>tshiuaih</v>
      </c>
      <c r="W71" s="31" t="str">
        <f t="shared" si="13"/>
        <v>suaih</v>
      </c>
      <c r="X71" s="31" t="str">
        <f t="shared" si="13"/>
        <v>siuaih</v>
      </c>
      <c r="Y71" s="31" t="str">
        <f t="shared" si="13"/>
        <v>juaih</v>
      </c>
      <c r="Z71" s="31" t="str">
        <f t="shared" si="13"/>
        <v>jiuaih</v>
      </c>
    </row>
    <row r="72" spans="1:26" ht="44.25">
      <c r="A72" s="16">
        <v>19</v>
      </c>
      <c r="B72" s="4" t="s">
        <v>260</v>
      </c>
      <c r="C72" s="17" t="s">
        <v>80</v>
      </c>
      <c r="D72" s="18" t="s">
        <v>179</v>
      </c>
      <c r="E72" s="31" t="str">
        <f t="shared" si="12"/>
        <v>Øuan</v>
      </c>
      <c r="F72" s="31" t="str">
        <f t="shared" si="12"/>
        <v>puan</v>
      </c>
      <c r="G72" s="31" t="str">
        <f t="shared" si="12"/>
        <v>phuan</v>
      </c>
      <c r="H72" s="31" t="str">
        <f t="shared" si="12"/>
        <v>buan</v>
      </c>
      <c r="I72" s="31" t="str">
        <f t="shared" si="12"/>
        <v>muan</v>
      </c>
      <c r="J72" s="31" t="str">
        <f t="shared" si="12"/>
        <v>tuan</v>
      </c>
      <c r="K72" s="31" t="str">
        <f t="shared" si="12"/>
        <v>thuan</v>
      </c>
      <c r="L72" s="31" t="str">
        <f t="shared" si="12"/>
        <v>luan</v>
      </c>
      <c r="M72" s="31" t="str">
        <f t="shared" si="12"/>
        <v>nuan</v>
      </c>
      <c r="N72" s="31" t="str">
        <f t="shared" si="12"/>
        <v>kuan</v>
      </c>
      <c r="O72" s="31" t="str">
        <f t="shared" si="13"/>
        <v>khuan</v>
      </c>
      <c r="P72" s="31" t="str">
        <f t="shared" si="13"/>
        <v>guan</v>
      </c>
      <c r="Q72" s="31" t="str">
        <f t="shared" si="13"/>
        <v>nguan</v>
      </c>
      <c r="R72" s="31" t="str">
        <f t="shared" si="13"/>
        <v>huan</v>
      </c>
      <c r="S72" s="31" t="str">
        <f t="shared" si="13"/>
        <v>tsuan</v>
      </c>
      <c r="T72" s="31" t="str">
        <f t="shared" si="13"/>
        <v>tsiuan</v>
      </c>
      <c r="U72" s="31" t="str">
        <f t="shared" si="13"/>
        <v>tshuan</v>
      </c>
      <c r="V72" s="31" t="str">
        <f t="shared" si="13"/>
        <v>tshiuan</v>
      </c>
      <c r="W72" s="31" t="str">
        <f t="shared" si="13"/>
        <v>suan</v>
      </c>
      <c r="X72" s="31" t="str">
        <f t="shared" si="13"/>
        <v>siuan</v>
      </c>
      <c r="Y72" s="31" t="str">
        <f t="shared" si="13"/>
        <v>juan</v>
      </c>
      <c r="Z72" s="31" t="str">
        <f t="shared" si="13"/>
        <v>jiuan</v>
      </c>
    </row>
    <row r="73" spans="1:26" ht="44.25">
      <c r="A73" s="16">
        <v>85</v>
      </c>
      <c r="B73" s="4" t="s">
        <v>312</v>
      </c>
      <c r="C73" s="17" t="s">
        <v>146</v>
      </c>
      <c r="D73" s="18" t="s">
        <v>230</v>
      </c>
      <c r="E73" s="31" t="str">
        <f t="shared" si="12"/>
        <v>Øuang</v>
      </c>
      <c r="F73" s="31" t="str">
        <f t="shared" si="12"/>
        <v>puang</v>
      </c>
      <c r="G73" s="31" t="str">
        <f t="shared" si="12"/>
        <v>phuang</v>
      </c>
      <c r="H73" s="31" t="str">
        <f t="shared" si="12"/>
        <v>buang</v>
      </c>
      <c r="I73" s="31" t="str">
        <f t="shared" si="12"/>
        <v>muang</v>
      </c>
      <c r="J73" s="31" t="str">
        <f t="shared" si="12"/>
        <v>tuang</v>
      </c>
      <c r="K73" s="31" t="str">
        <f t="shared" si="12"/>
        <v>thuang</v>
      </c>
      <c r="L73" s="31" t="str">
        <f t="shared" si="12"/>
        <v>luang</v>
      </c>
      <c r="M73" s="31" t="str">
        <f t="shared" si="12"/>
        <v>nuang</v>
      </c>
      <c r="N73" s="31" t="str">
        <f t="shared" si="12"/>
        <v>kuang</v>
      </c>
      <c r="O73" s="31" t="str">
        <f t="shared" si="13"/>
        <v>khuang</v>
      </c>
      <c r="P73" s="31" t="str">
        <f t="shared" si="13"/>
        <v>guang</v>
      </c>
      <c r="Q73" s="31" t="str">
        <f t="shared" si="13"/>
        <v>nguang</v>
      </c>
      <c r="R73" s="31" t="str">
        <f t="shared" si="13"/>
        <v>huang</v>
      </c>
      <c r="S73" s="31" t="str">
        <f t="shared" si="13"/>
        <v>tsuang</v>
      </c>
      <c r="T73" s="31" t="str">
        <f t="shared" si="13"/>
        <v>tsiuang</v>
      </c>
      <c r="U73" s="31" t="str">
        <f t="shared" si="13"/>
        <v>tshuang</v>
      </c>
      <c r="V73" s="31" t="str">
        <f t="shared" si="13"/>
        <v>tshiuang</v>
      </c>
      <c r="W73" s="31" t="str">
        <f t="shared" si="13"/>
        <v>suang</v>
      </c>
      <c r="X73" s="31" t="str">
        <f t="shared" si="13"/>
        <v>siuang</v>
      </c>
      <c r="Y73" s="31" t="str">
        <f t="shared" si="13"/>
        <v>juang</v>
      </c>
      <c r="Z73" s="31" t="str">
        <f t="shared" si="13"/>
        <v>jiuang</v>
      </c>
    </row>
    <row r="74" spans="1:26" ht="44.25">
      <c r="A74" s="16">
        <v>73</v>
      </c>
      <c r="B74" s="4" t="s">
        <v>307</v>
      </c>
      <c r="C74" s="17" t="s">
        <v>134</v>
      </c>
      <c r="D74" s="18" t="s">
        <v>226</v>
      </c>
      <c r="E74" s="31" t="str">
        <f t="shared" si="12"/>
        <v>Øuann</v>
      </c>
      <c r="F74" s="31" t="str">
        <f t="shared" si="12"/>
        <v>puann</v>
      </c>
      <c r="G74" s="31" t="str">
        <f t="shared" si="12"/>
        <v>phuann</v>
      </c>
      <c r="H74" s="31" t="str">
        <f t="shared" si="12"/>
        <v>buann</v>
      </c>
      <c r="I74" s="31" t="str">
        <f t="shared" si="12"/>
        <v>muann</v>
      </c>
      <c r="J74" s="31" t="str">
        <f t="shared" si="12"/>
        <v>tuann</v>
      </c>
      <c r="K74" s="31" t="str">
        <f t="shared" si="12"/>
        <v>thuann</v>
      </c>
      <c r="L74" s="31" t="str">
        <f t="shared" si="12"/>
        <v>luann</v>
      </c>
      <c r="M74" s="31" t="str">
        <f t="shared" si="12"/>
        <v>nuann</v>
      </c>
      <c r="N74" s="31" t="str">
        <f t="shared" si="12"/>
        <v>kuann</v>
      </c>
      <c r="O74" s="31" t="str">
        <f t="shared" si="13"/>
        <v>khuann</v>
      </c>
      <c r="P74" s="31" t="str">
        <f t="shared" si="13"/>
        <v>guann</v>
      </c>
      <c r="Q74" s="31" t="str">
        <f t="shared" si="13"/>
        <v>nguann</v>
      </c>
      <c r="R74" s="31" t="str">
        <f t="shared" si="13"/>
        <v>huann</v>
      </c>
      <c r="S74" s="31" t="str">
        <f t="shared" si="13"/>
        <v>tsuann</v>
      </c>
      <c r="T74" s="31" t="str">
        <f t="shared" si="13"/>
        <v>tsiuann</v>
      </c>
      <c r="U74" s="31" t="str">
        <f t="shared" si="13"/>
        <v>tshuann</v>
      </c>
      <c r="V74" s="31" t="str">
        <f t="shared" si="13"/>
        <v>tshiuann</v>
      </c>
      <c r="W74" s="31" t="str">
        <f t="shared" si="13"/>
        <v>suann</v>
      </c>
      <c r="X74" s="31" t="str">
        <f t="shared" si="13"/>
        <v>siuann</v>
      </c>
      <c r="Y74" s="31" t="str">
        <f t="shared" si="13"/>
        <v>juann</v>
      </c>
      <c r="Z74" s="31" t="str">
        <f t="shared" si="13"/>
        <v>jiuann</v>
      </c>
    </row>
    <row r="75" spans="1:26" ht="44.25">
      <c r="A75" s="16">
        <v>20</v>
      </c>
      <c r="B75" s="4" t="s">
        <v>261</v>
      </c>
      <c r="C75" s="17" t="s">
        <v>81</v>
      </c>
      <c r="D75" s="18" t="s">
        <v>180</v>
      </c>
      <c r="E75" s="31" t="str">
        <f t="shared" ref="E75:N83" si="14">IF($D75="", "", _xlfn.CONCAT(E$3, $D75))</f>
        <v>Øuat</v>
      </c>
      <c r="F75" s="31" t="str">
        <f t="shared" si="14"/>
        <v>puat</v>
      </c>
      <c r="G75" s="31" t="str">
        <f t="shared" si="14"/>
        <v>phuat</v>
      </c>
      <c r="H75" s="31" t="str">
        <f t="shared" si="14"/>
        <v>buat</v>
      </c>
      <c r="I75" s="31" t="str">
        <f t="shared" si="14"/>
        <v>muat</v>
      </c>
      <c r="J75" s="31" t="str">
        <f t="shared" si="14"/>
        <v>tuat</v>
      </c>
      <c r="K75" s="31" t="str">
        <f t="shared" si="14"/>
        <v>thuat</v>
      </c>
      <c r="L75" s="31" t="str">
        <f t="shared" si="14"/>
        <v>luat</v>
      </c>
      <c r="M75" s="31" t="str">
        <f t="shared" si="14"/>
        <v>nuat</v>
      </c>
      <c r="N75" s="31" t="str">
        <f t="shared" si="14"/>
        <v>kuat</v>
      </c>
      <c r="O75" s="31" t="str">
        <f t="shared" ref="O75:Z83" si="15">IF($D75="", "", _xlfn.CONCAT(O$3, $D75))</f>
        <v>khuat</v>
      </c>
      <c r="P75" s="31" t="str">
        <f t="shared" si="15"/>
        <v>guat</v>
      </c>
      <c r="Q75" s="31" t="str">
        <f t="shared" si="15"/>
        <v>nguat</v>
      </c>
      <c r="R75" s="31" t="str">
        <f t="shared" si="15"/>
        <v>huat</v>
      </c>
      <c r="S75" s="31" t="str">
        <f t="shared" si="15"/>
        <v>tsuat</v>
      </c>
      <c r="T75" s="31" t="str">
        <f t="shared" si="15"/>
        <v>tsiuat</v>
      </c>
      <c r="U75" s="31" t="str">
        <f t="shared" si="15"/>
        <v>tshuat</v>
      </c>
      <c r="V75" s="31" t="str">
        <f t="shared" si="15"/>
        <v>tshiuat</v>
      </c>
      <c r="W75" s="31" t="str">
        <f t="shared" si="15"/>
        <v>suat</v>
      </c>
      <c r="X75" s="31" t="str">
        <f t="shared" si="15"/>
        <v>siuat</v>
      </c>
      <c r="Y75" s="31" t="str">
        <f t="shared" si="15"/>
        <v>juat</v>
      </c>
      <c r="Z75" s="31" t="str">
        <f t="shared" si="15"/>
        <v>jiuat</v>
      </c>
    </row>
    <row r="76" spans="1:26" ht="44.25">
      <c r="A76" s="16">
        <v>49</v>
      </c>
      <c r="B76" s="4" t="s">
        <v>288</v>
      </c>
      <c r="C76" s="17" t="s">
        <v>110</v>
      </c>
      <c r="D76" s="18" t="s">
        <v>206</v>
      </c>
      <c r="E76" s="31" t="str">
        <f t="shared" si="14"/>
        <v>Øue</v>
      </c>
      <c r="F76" s="31" t="str">
        <f t="shared" si="14"/>
        <v>pue</v>
      </c>
      <c r="G76" s="31" t="str">
        <f t="shared" si="14"/>
        <v>phue</v>
      </c>
      <c r="H76" s="31" t="str">
        <f t="shared" si="14"/>
        <v>bue</v>
      </c>
      <c r="I76" s="31" t="str">
        <f t="shared" si="14"/>
        <v>mue</v>
      </c>
      <c r="J76" s="31" t="str">
        <f t="shared" si="14"/>
        <v>tue</v>
      </c>
      <c r="K76" s="31" t="str">
        <f t="shared" si="14"/>
        <v>thue</v>
      </c>
      <c r="L76" s="31" t="str">
        <f t="shared" si="14"/>
        <v>lue</v>
      </c>
      <c r="M76" s="31" t="str">
        <f t="shared" si="14"/>
        <v>nue</v>
      </c>
      <c r="N76" s="31" t="str">
        <f t="shared" si="14"/>
        <v>kue</v>
      </c>
      <c r="O76" s="31" t="str">
        <f t="shared" si="15"/>
        <v>khue</v>
      </c>
      <c r="P76" s="31" t="str">
        <f t="shared" si="15"/>
        <v>gue</v>
      </c>
      <c r="Q76" s="31" t="str">
        <f t="shared" si="15"/>
        <v>ngue</v>
      </c>
      <c r="R76" s="31" t="str">
        <f t="shared" si="15"/>
        <v>hue</v>
      </c>
      <c r="S76" s="31" t="str">
        <f t="shared" si="15"/>
        <v>tsue</v>
      </c>
      <c r="T76" s="31" t="str">
        <f t="shared" si="15"/>
        <v>tsiue</v>
      </c>
      <c r="U76" s="31" t="str">
        <f t="shared" si="15"/>
        <v>tshue</v>
      </c>
      <c r="V76" s="31" t="str">
        <f t="shared" si="15"/>
        <v>tshiue</v>
      </c>
      <c r="W76" s="31" t="str">
        <f t="shared" si="15"/>
        <v>sue</v>
      </c>
      <c r="X76" s="31" t="str">
        <f t="shared" si="15"/>
        <v>siue</v>
      </c>
      <c r="Y76" s="31" t="str">
        <f t="shared" si="15"/>
        <v>jue</v>
      </c>
      <c r="Z76" s="31" t="str">
        <f t="shared" si="15"/>
        <v>jiue</v>
      </c>
    </row>
    <row r="77" spans="1:26" ht="44.25">
      <c r="A77" s="16">
        <v>50</v>
      </c>
      <c r="B77" s="4" t="s">
        <v>289</v>
      </c>
      <c r="C77" s="17" t="s">
        <v>111</v>
      </c>
      <c r="D77" s="18" t="s">
        <v>207</v>
      </c>
      <c r="E77" s="31" t="str">
        <f t="shared" si="14"/>
        <v>Øueh</v>
      </c>
      <c r="F77" s="31" t="str">
        <f t="shared" si="14"/>
        <v>pueh</v>
      </c>
      <c r="G77" s="31" t="str">
        <f t="shared" si="14"/>
        <v>phueh</v>
      </c>
      <c r="H77" s="31" t="str">
        <f t="shared" si="14"/>
        <v>bueh</v>
      </c>
      <c r="I77" s="31" t="str">
        <f t="shared" si="14"/>
        <v>mueh</v>
      </c>
      <c r="J77" s="31" t="str">
        <f t="shared" si="14"/>
        <v>tueh</v>
      </c>
      <c r="K77" s="31" t="str">
        <f t="shared" si="14"/>
        <v>thueh</v>
      </c>
      <c r="L77" s="31" t="str">
        <f t="shared" si="14"/>
        <v>lueh</v>
      </c>
      <c r="M77" s="31" t="str">
        <f t="shared" si="14"/>
        <v>nueh</v>
      </c>
      <c r="N77" s="31" t="str">
        <f t="shared" si="14"/>
        <v>kueh</v>
      </c>
      <c r="O77" s="31" t="str">
        <f t="shared" si="15"/>
        <v>khueh</v>
      </c>
      <c r="P77" s="31" t="str">
        <f t="shared" si="15"/>
        <v>gueh</v>
      </c>
      <c r="Q77" s="31" t="str">
        <f t="shared" si="15"/>
        <v>ngueh</v>
      </c>
      <c r="R77" s="31" t="str">
        <f t="shared" si="15"/>
        <v>hueh</v>
      </c>
      <c r="S77" s="31" t="str">
        <f t="shared" si="15"/>
        <v>tsueh</v>
      </c>
      <c r="T77" s="31" t="str">
        <f t="shared" si="15"/>
        <v>tsiueh</v>
      </c>
      <c r="U77" s="31" t="str">
        <f t="shared" si="15"/>
        <v>tshueh</v>
      </c>
      <c r="V77" s="31" t="str">
        <f t="shared" si="15"/>
        <v>tshiueh</v>
      </c>
      <c r="W77" s="31" t="str">
        <f t="shared" si="15"/>
        <v>sueh</v>
      </c>
      <c r="X77" s="31" t="str">
        <f t="shared" si="15"/>
        <v>siueh</v>
      </c>
      <c r="Y77" s="31" t="str">
        <f t="shared" si="15"/>
        <v>jueh</v>
      </c>
      <c r="Z77" s="31" t="str">
        <f t="shared" si="15"/>
        <v>jiueh</v>
      </c>
    </row>
    <row r="78" spans="1:26" ht="44.25">
      <c r="A78" s="16">
        <v>89</v>
      </c>
      <c r="B78" s="29" t="s">
        <v>313</v>
      </c>
      <c r="C78" s="26" t="s">
        <v>150</v>
      </c>
      <c r="D78" s="27" t="s">
        <v>234</v>
      </c>
      <c r="E78" s="31" t="str">
        <f t="shared" si="14"/>
        <v>Øuenn</v>
      </c>
      <c r="F78" s="31" t="str">
        <f t="shared" si="14"/>
        <v>puenn</v>
      </c>
      <c r="G78" s="31" t="str">
        <f t="shared" si="14"/>
        <v>phuenn</v>
      </c>
      <c r="H78" s="31" t="str">
        <f t="shared" si="14"/>
        <v>buenn</v>
      </c>
      <c r="I78" s="31" t="str">
        <f t="shared" si="14"/>
        <v>muenn</v>
      </c>
      <c r="J78" s="31" t="str">
        <f t="shared" si="14"/>
        <v>tuenn</v>
      </c>
      <c r="K78" s="31" t="str">
        <f t="shared" si="14"/>
        <v>thuenn</v>
      </c>
      <c r="L78" s="31" t="str">
        <f t="shared" si="14"/>
        <v>luenn</v>
      </c>
      <c r="M78" s="31" t="str">
        <f t="shared" si="14"/>
        <v>nuenn</v>
      </c>
      <c r="N78" s="31" t="str">
        <f t="shared" si="14"/>
        <v>kuenn</v>
      </c>
      <c r="O78" s="31" t="str">
        <f t="shared" si="15"/>
        <v>khuenn</v>
      </c>
      <c r="P78" s="31" t="str">
        <f t="shared" si="15"/>
        <v>guenn</v>
      </c>
      <c r="Q78" s="31" t="str">
        <f t="shared" si="15"/>
        <v>nguenn</v>
      </c>
      <c r="R78" s="31" t="str">
        <f t="shared" si="15"/>
        <v>huenn</v>
      </c>
      <c r="S78" s="31" t="str">
        <f t="shared" si="15"/>
        <v>tsuenn</v>
      </c>
      <c r="T78" s="31" t="str">
        <f t="shared" si="15"/>
        <v>tsiuenn</v>
      </c>
      <c r="U78" s="31" t="str">
        <f t="shared" si="15"/>
        <v>tshuenn</v>
      </c>
      <c r="V78" s="31" t="str">
        <f t="shared" si="15"/>
        <v>tshiuenn</v>
      </c>
      <c r="W78" s="31" t="str">
        <f t="shared" si="15"/>
        <v>suenn</v>
      </c>
      <c r="X78" s="31" t="str">
        <f t="shared" si="15"/>
        <v>siuenn</v>
      </c>
      <c r="Y78" s="31" t="str">
        <f t="shared" si="15"/>
        <v>juenn</v>
      </c>
      <c r="Z78" s="31" t="str">
        <f t="shared" si="15"/>
        <v>jiuenn</v>
      </c>
    </row>
    <row r="79" spans="1:26" ht="44.25">
      <c r="A79" s="16">
        <v>90</v>
      </c>
      <c r="B79" s="29" t="s">
        <v>314</v>
      </c>
      <c r="C79" s="26" t="s">
        <v>151</v>
      </c>
      <c r="D79" s="27" t="s">
        <v>315</v>
      </c>
      <c r="E79" s="31" t="str">
        <f t="shared" si="14"/>
        <v>Øuennh</v>
      </c>
      <c r="F79" s="31" t="str">
        <f t="shared" si="14"/>
        <v>puennh</v>
      </c>
      <c r="G79" s="31" t="str">
        <f t="shared" si="14"/>
        <v>phuennh</v>
      </c>
      <c r="H79" s="31" t="str">
        <f t="shared" si="14"/>
        <v>buennh</v>
      </c>
      <c r="I79" s="31" t="str">
        <f t="shared" si="14"/>
        <v>muennh</v>
      </c>
      <c r="J79" s="31" t="str">
        <f t="shared" si="14"/>
        <v>tuennh</v>
      </c>
      <c r="K79" s="31" t="str">
        <f t="shared" si="14"/>
        <v>thuennh</v>
      </c>
      <c r="L79" s="31" t="str">
        <f t="shared" si="14"/>
        <v>luennh</v>
      </c>
      <c r="M79" s="31" t="str">
        <f t="shared" si="14"/>
        <v>nuennh</v>
      </c>
      <c r="N79" s="31" t="str">
        <f t="shared" si="14"/>
        <v>kuennh</v>
      </c>
      <c r="O79" s="31" t="str">
        <f t="shared" si="15"/>
        <v>khuennh</v>
      </c>
      <c r="P79" s="31" t="str">
        <f t="shared" si="15"/>
        <v>guennh</v>
      </c>
      <c r="Q79" s="31" t="str">
        <f t="shared" si="15"/>
        <v>nguennh</v>
      </c>
      <c r="R79" s="31" t="str">
        <f t="shared" si="15"/>
        <v>huennh</v>
      </c>
      <c r="S79" s="31" t="str">
        <f t="shared" si="15"/>
        <v>tsuennh</v>
      </c>
      <c r="T79" s="31" t="str">
        <f t="shared" si="15"/>
        <v>tsiuennh</v>
      </c>
      <c r="U79" s="31" t="str">
        <f t="shared" si="15"/>
        <v>tshuennh</v>
      </c>
      <c r="V79" s="31" t="str">
        <f t="shared" si="15"/>
        <v>tshiuennh</v>
      </c>
      <c r="W79" s="31" t="str">
        <f t="shared" si="15"/>
        <v>suennh</v>
      </c>
      <c r="X79" s="31" t="str">
        <f t="shared" si="15"/>
        <v>siuennh</v>
      </c>
      <c r="Y79" s="31" t="str">
        <f t="shared" si="15"/>
        <v>juennh</v>
      </c>
      <c r="Z79" s="31" t="str">
        <f t="shared" si="15"/>
        <v>jiuennh</v>
      </c>
    </row>
    <row r="80" spans="1:26" ht="44.25">
      <c r="A80" s="16">
        <v>54</v>
      </c>
      <c r="B80" s="4" t="s">
        <v>293</v>
      </c>
      <c r="C80" s="17" t="s">
        <v>115</v>
      </c>
      <c r="D80" s="18" t="s">
        <v>211</v>
      </c>
      <c r="E80" s="31" t="str">
        <f t="shared" si="14"/>
        <v>Øuh</v>
      </c>
      <c r="F80" s="31" t="str">
        <f t="shared" si="14"/>
        <v>puh</v>
      </c>
      <c r="G80" s="31" t="str">
        <f t="shared" si="14"/>
        <v>phuh</v>
      </c>
      <c r="H80" s="31" t="str">
        <f t="shared" si="14"/>
        <v>buh</v>
      </c>
      <c r="I80" s="31" t="str">
        <f t="shared" si="14"/>
        <v>muh</v>
      </c>
      <c r="J80" s="31" t="str">
        <f t="shared" si="14"/>
        <v>tuh</v>
      </c>
      <c r="K80" s="31" t="str">
        <f t="shared" si="14"/>
        <v>thuh</v>
      </c>
      <c r="L80" s="31" t="str">
        <f t="shared" si="14"/>
        <v>luh</v>
      </c>
      <c r="M80" s="31" t="str">
        <f t="shared" si="14"/>
        <v>nuh</v>
      </c>
      <c r="N80" s="31" t="str">
        <f t="shared" si="14"/>
        <v>kuh</v>
      </c>
      <c r="O80" s="31" t="str">
        <f t="shared" si="15"/>
        <v>khuh</v>
      </c>
      <c r="P80" s="31" t="str">
        <f t="shared" si="15"/>
        <v>guh</v>
      </c>
      <c r="Q80" s="31" t="str">
        <f t="shared" si="15"/>
        <v>nguh</v>
      </c>
      <c r="R80" s="31" t="str">
        <f t="shared" si="15"/>
        <v>huh</v>
      </c>
      <c r="S80" s="31" t="str">
        <f t="shared" si="15"/>
        <v>tsuh</v>
      </c>
      <c r="T80" s="31" t="str">
        <f t="shared" si="15"/>
        <v>tsiuh</v>
      </c>
      <c r="U80" s="31" t="str">
        <f t="shared" si="15"/>
        <v>tshuh</v>
      </c>
      <c r="V80" s="31" t="str">
        <f t="shared" si="15"/>
        <v>tshiuh</v>
      </c>
      <c r="W80" s="31" t="str">
        <f t="shared" si="15"/>
        <v>suh</v>
      </c>
      <c r="X80" s="31" t="str">
        <f t="shared" si="15"/>
        <v>siuh</v>
      </c>
      <c r="Y80" s="31" t="str">
        <f t="shared" si="15"/>
        <v>juh</v>
      </c>
      <c r="Z80" s="31" t="str">
        <f t="shared" si="15"/>
        <v>jiuh</v>
      </c>
    </row>
    <row r="81" spans="1:26" ht="44.25">
      <c r="A81" s="16">
        <v>7</v>
      </c>
      <c r="B81" s="4" t="s">
        <v>248</v>
      </c>
      <c r="C81" s="17" t="s">
        <v>68</v>
      </c>
      <c r="D81" s="18" t="s">
        <v>168</v>
      </c>
      <c r="E81" s="31" t="str">
        <f t="shared" si="14"/>
        <v>Øui</v>
      </c>
      <c r="F81" s="31" t="str">
        <f t="shared" si="14"/>
        <v>pui</v>
      </c>
      <c r="G81" s="31" t="str">
        <f t="shared" si="14"/>
        <v>phui</v>
      </c>
      <c r="H81" s="31" t="str">
        <f t="shared" si="14"/>
        <v>bui</v>
      </c>
      <c r="I81" s="31" t="str">
        <f t="shared" si="14"/>
        <v>mui</v>
      </c>
      <c r="J81" s="31" t="str">
        <f t="shared" si="14"/>
        <v>tui</v>
      </c>
      <c r="K81" s="31" t="str">
        <f t="shared" si="14"/>
        <v>thui</v>
      </c>
      <c r="L81" s="31" t="str">
        <f t="shared" si="14"/>
        <v>lui</v>
      </c>
      <c r="M81" s="31" t="str">
        <f t="shared" si="14"/>
        <v>nui</v>
      </c>
      <c r="N81" s="31" t="str">
        <f t="shared" si="14"/>
        <v>kui</v>
      </c>
      <c r="O81" s="31" t="str">
        <f t="shared" si="15"/>
        <v>khui</v>
      </c>
      <c r="P81" s="31" t="str">
        <f t="shared" si="15"/>
        <v>gui</v>
      </c>
      <c r="Q81" s="31" t="str">
        <f t="shared" si="15"/>
        <v>ngui</v>
      </c>
      <c r="R81" s="31" t="str">
        <f t="shared" si="15"/>
        <v>hui</v>
      </c>
      <c r="S81" s="31" t="str">
        <f t="shared" si="15"/>
        <v>tsui</v>
      </c>
      <c r="T81" s="31" t="str">
        <f t="shared" si="15"/>
        <v>tsiui</v>
      </c>
      <c r="U81" s="31" t="str">
        <f t="shared" si="15"/>
        <v>tshui</v>
      </c>
      <c r="V81" s="31" t="str">
        <f t="shared" si="15"/>
        <v>tshiui</v>
      </c>
      <c r="W81" s="31" t="str">
        <f t="shared" si="15"/>
        <v>sui</v>
      </c>
      <c r="X81" s="31" t="str">
        <f t="shared" si="15"/>
        <v>siui</v>
      </c>
      <c r="Y81" s="31" t="str">
        <f t="shared" si="15"/>
        <v>jui</v>
      </c>
      <c r="Z81" s="31" t="str">
        <f t="shared" si="15"/>
        <v>jiui</v>
      </c>
    </row>
    <row r="82" spans="1:26" ht="44.25">
      <c r="A82" s="16">
        <v>1</v>
      </c>
      <c r="B82" s="4" t="s">
        <v>240</v>
      </c>
      <c r="C82" s="17" t="s">
        <v>62</v>
      </c>
      <c r="D82" s="18" t="s">
        <v>162</v>
      </c>
      <c r="E82" s="31" t="str">
        <f t="shared" si="14"/>
        <v>Øun</v>
      </c>
      <c r="F82" s="31" t="str">
        <f t="shared" si="14"/>
        <v>pun</v>
      </c>
      <c r="G82" s="31" t="str">
        <f t="shared" si="14"/>
        <v>phun</v>
      </c>
      <c r="H82" s="31" t="str">
        <f t="shared" si="14"/>
        <v>bun</v>
      </c>
      <c r="I82" s="31" t="str">
        <f t="shared" si="14"/>
        <v>mun</v>
      </c>
      <c r="J82" s="31" t="str">
        <f t="shared" si="14"/>
        <v>tun</v>
      </c>
      <c r="K82" s="31" t="str">
        <f t="shared" si="14"/>
        <v>thun</v>
      </c>
      <c r="L82" s="31" t="str">
        <f t="shared" si="14"/>
        <v>lun</v>
      </c>
      <c r="M82" s="31" t="str">
        <f t="shared" si="14"/>
        <v>nun</v>
      </c>
      <c r="N82" s="31" t="str">
        <f t="shared" si="14"/>
        <v>kun</v>
      </c>
      <c r="O82" s="31" t="str">
        <f t="shared" si="15"/>
        <v>khun</v>
      </c>
      <c r="P82" s="31" t="str">
        <f t="shared" si="15"/>
        <v>gun</v>
      </c>
      <c r="Q82" s="31" t="str">
        <f t="shared" si="15"/>
        <v>ngun</v>
      </c>
      <c r="R82" s="31" t="str">
        <f t="shared" si="15"/>
        <v>hun</v>
      </c>
      <c r="S82" s="31" t="str">
        <f t="shared" si="15"/>
        <v>tsun</v>
      </c>
      <c r="T82" s="31" t="str">
        <f t="shared" si="15"/>
        <v>tsiun</v>
      </c>
      <c r="U82" s="31" t="str">
        <f t="shared" si="15"/>
        <v>tshun</v>
      </c>
      <c r="V82" s="31" t="str">
        <f t="shared" si="15"/>
        <v>tshiun</v>
      </c>
      <c r="W82" s="31" t="str">
        <f t="shared" si="15"/>
        <v>sun</v>
      </c>
      <c r="X82" s="31" t="str">
        <f t="shared" si="15"/>
        <v>siun</v>
      </c>
      <c r="Y82" s="31" t="str">
        <f t="shared" si="15"/>
        <v>jun</v>
      </c>
      <c r="Z82" s="31" t="str">
        <f t="shared" si="15"/>
        <v>jiun</v>
      </c>
    </row>
    <row r="83" spans="1:26" ht="44.25">
      <c r="A83" s="16">
        <v>2</v>
      </c>
      <c r="B83" s="4" t="s">
        <v>242</v>
      </c>
      <c r="C83" s="17" t="s">
        <v>63</v>
      </c>
      <c r="D83" s="18" t="s">
        <v>163</v>
      </c>
      <c r="E83" s="31" t="str">
        <f t="shared" si="14"/>
        <v>Øut</v>
      </c>
      <c r="F83" s="31" t="str">
        <f t="shared" si="14"/>
        <v>put</v>
      </c>
      <c r="G83" s="31" t="str">
        <f t="shared" si="14"/>
        <v>phut</v>
      </c>
      <c r="H83" s="31" t="str">
        <f t="shared" si="14"/>
        <v>but</v>
      </c>
      <c r="I83" s="31" t="str">
        <f t="shared" si="14"/>
        <v>mut</v>
      </c>
      <c r="J83" s="31" t="str">
        <f t="shared" si="14"/>
        <v>tut</v>
      </c>
      <c r="K83" s="31" t="str">
        <f t="shared" si="14"/>
        <v>thut</v>
      </c>
      <c r="L83" s="31" t="str">
        <f t="shared" si="14"/>
        <v>lut</v>
      </c>
      <c r="M83" s="31" t="str">
        <f t="shared" si="14"/>
        <v>nut</v>
      </c>
      <c r="N83" s="31" t="str">
        <f t="shared" si="14"/>
        <v>kut</v>
      </c>
      <c r="O83" s="31" t="str">
        <f t="shared" si="15"/>
        <v>khut</v>
      </c>
      <c r="P83" s="31" t="str">
        <f t="shared" si="15"/>
        <v>gut</v>
      </c>
      <c r="Q83" s="31" t="str">
        <f t="shared" si="15"/>
        <v>ngut</v>
      </c>
      <c r="R83" s="31" t="str">
        <f t="shared" si="15"/>
        <v>hut</v>
      </c>
      <c r="S83" s="31" t="str">
        <f t="shared" si="15"/>
        <v>tsut</v>
      </c>
      <c r="T83" s="31" t="str">
        <f t="shared" si="15"/>
        <v>tsiut</v>
      </c>
      <c r="U83" s="31" t="str">
        <f t="shared" si="15"/>
        <v>tshut</v>
      </c>
      <c r="V83" s="31" t="str">
        <f t="shared" si="15"/>
        <v>tshiut</v>
      </c>
      <c r="W83" s="31" t="str">
        <f t="shared" si="15"/>
        <v>sut</v>
      </c>
      <c r="X83" s="31" t="str">
        <f t="shared" si="15"/>
        <v>siut</v>
      </c>
      <c r="Y83" s="31" t="str">
        <f t="shared" si="15"/>
        <v>jut</v>
      </c>
      <c r="Z83" s="31" t="str">
        <f t="shared" si="15"/>
        <v>jiut</v>
      </c>
    </row>
  </sheetData>
  <sortState xmlns:xlrd2="http://schemas.microsoft.com/office/spreadsheetml/2017/richdata2" ref="A5:Z83">
    <sortCondition ref="D5:D83"/>
  </sortState>
  <phoneticPr fontId="2" type="noConversion"/>
  <conditionalFormatting sqref="E5:Z83">
    <cfRule type="expression" dxfId="0" priority="2">
      <formula>E5=""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6DC20-E2C0-4283-A3A5-F96BEC7340DC}">
  <dimension ref="B1:Y79"/>
  <sheetViews>
    <sheetView workbookViewId="0">
      <pane xSplit="5" ySplit="2" topLeftCell="F3" activePane="bottomRight" state="frozen"/>
      <selection pane="topRight" activeCell="C1" sqref="C1"/>
      <selection pane="bottomLeft" activeCell="A3" sqref="A3"/>
      <selection pane="bottomRight" activeCell="E3" sqref="E3"/>
    </sheetView>
  </sheetViews>
  <sheetFormatPr defaultRowHeight="22.5"/>
  <cols>
    <col min="1" max="1" width="1" style="41" customWidth="1"/>
    <col min="2" max="2" width="9" style="41"/>
    <col min="3" max="4" width="9.625" style="41" customWidth="1"/>
    <col min="5" max="23" width="9" style="41"/>
    <col min="24" max="25" width="9.625" style="41" customWidth="1"/>
    <col min="26" max="16384" width="9" style="41"/>
  </cols>
  <sheetData>
    <row r="1" spans="2:25">
      <c r="C1" s="50"/>
      <c r="D1" s="50"/>
      <c r="E1" s="50"/>
      <c r="F1" s="49" t="str">
        <f xml:space="preserve"> _xlfn.XLOOKUP(音節表【台羅拼音序】!F2, 聲母表[台羅拼音], 聲母表[十五音])</f>
        <v>英</v>
      </c>
      <c r="G1" s="49" t="str">
        <f xml:space="preserve"> _xlfn.XLOOKUP(音節表【台羅拼音序】!G2, 聲母表[台羅拼音], 聲母表[十五音])</f>
        <v>門</v>
      </c>
      <c r="H1" s="49" t="str">
        <f xml:space="preserve"> _xlfn.XLOOKUP(音節表【台羅拼音序】!H2, 聲母表[台羅拼音], 聲母表[十五音])</f>
        <v>語</v>
      </c>
      <c r="I1" s="49" t="str">
        <f xml:space="preserve"> _xlfn.XLOOKUP(音節表【台羅拼音序】!I2, 聲母表[台羅拼音], 聲母表[十五音])</f>
        <v>喜</v>
      </c>
      <c r="J1" s="49" t="str">
        <f xml:space="preserve"> _xlfn.XLOOKUP(音節表【台羅拼音序】!J2, 聲母表[台羅拼音], 聲母表[十五音])</f>
        <v>入</v>
      </c>
      <c r="K1" s="49" t="str">
        <f xml:space="preserve"> _xlfn.XLOOKUP(音節表【台羅拼音序】!K2, 聲母表[台羅拼音], 聲母表[十五音])</f>
        <v>求</v>
      </c>
      <c r="L1" s="49" t="str">
        <f xml:space="preserve"> _xlfn.XLOOKUP(音節表【台羅拼音序】!L2, 聲母表[台羅拼音], 聲母表[十五音])</f>
        <v>去</v>
      </c>
      <c r="M1" s="49" t="str">
        <f xml:space="preserve"> _xlfn.XLOOKUP(音節表【台羅拼音序】!M2, 聲母表[台羅拼音], 聲母表[十五音])</f>
        <v>柳</v>
      </c>
      <c r="N1" s="49" t="str">
        <f xml:space="preserve"> _xlfn.XLOOKUP(音節表【台羅拼音序】!N2, 聲母表[台羅拼音], 聲母表[十五音])</f>
        <v>門</v>
      </c>
      <c r="O1" s="49" t="str">
        <f xml:space="preserve"> _xlfn.XLOOKUP(音節表【台羅拼音序】!O2, 聲母表[台羅拼音], 聲母表[十五音])</f>
        <v>柳</v>
      </c>
      <c r="P1" s="49" t="str">
        <f xml:space="preserve"> _xlfn.XLOOKUP(音節表【台羅拼音序】!P2, 聲母表[台羅拼音], 聲母表[十五音])</f>
        <v>語</v>
      </c>
      <c r="Q1" s="49" t="str">
        <f xml:space="preserve"> _xlfn.XLOOKUP(音節表【台羅拼音序】!Q2, 聲母表[台羅拼音], 聲母表[十五音])</f>
        <v>邊</v>
      </c>
      <c r="R1" s="49" t="str">
        <f xml:space="preserve"> _xlfn.XLOOKUP(音節表【台羅拼音序】!R2, 聲母表[台羅拼音], 聲母表[十五音])</f>
        <v>頗</v>
      </c>
      <c r="S1" s="49" t="str">
        <f xml:space="preserve"> _xlfn.XLOOKUP(音節表【台羅拼音序】!S2, 聲母表[台羅拼音], 聲母表[十五音])</f>
        <v>時</v>
      </c>
      <c r="T1" s="49" t="str">
        <f xml:space="preserve"> _xlfn.XLOOKUP(音節表【台羅拼音序】!T2, 聲母表[台羅拼音], 聲母表[十五音])</f>
        <v>地</v>
      </c>
      <c r="U1" s="49" t="str">
        <f xml:space="preserve"> _xlfn.XLOOKUP(音節表【台羅拼音序】!U2, 聲母表[台羅拼音], 聲母表[十五音])</f>
        <v>他</v>
      </c>
      <c r="V1" s="49" t="str">
        <f xml:space="preserve"> _xlfn.XLOOKUP(音節表【台羅拼音序】!V2, 聲母表[台羅拼音], 聲母表[十五音])</f>
        <v>曾</v>
      </c>
      <c r="W1" s="49" t="str">
        <f xml:space="preserve"> _xlfn.XLOOKUP(音節表【台羅拼音序】!W2, 聲母表[台羅拼音], 聲母表[十五音])</f>
        <v>出</v>
      </c>
      <c r="X1" s="50"/>
      <c r="Y1" s="50"/>
    </row>
    <row r="2" spans="2:25">
      <c r="B2" s="41" t="s">
        <v>1389</v>
      </c>
      <c r="C2" s="50" t="s">
        <v>1390</v>
      </c>
      <c r="D2" s="50" t="s">
        <v>1392</v>
      </c>
      <c r="E2" s="50" t="s">
        <v>326</v>
      </c>
      <c r="F2" s="49" t="s">
        <v>327</v>
      </c>
      <c r="G2" s="49" t="s">
        <v>43</v>
      </c>
      <c r="H2" s="49" t="s">
        <v>51</v>
      </c>
      <c r="I2" s="49" t="s">
        <v>53</v>
      </c>
      <c r="J2" s="49" t="s">
        <v>60</v>
      </c>
      <c r="K2" s="49" t="s">
        <v>49</v>
      </c>
      <c r="L2" s="49" t="s">
        <v>50</v>
      </c>
      <c r="M2" s="49" t="s">
        <v>47</v>
      </c>
      <c r="N2" s="49" t="s">
        <v>44</v>
      </c>
      <c r="O2" s="49" t="s">
        <v>48</v>
      </c>
      <c r="P2" s="49" t="s">
        <v>52</v>
      </c>
      <c r="Q2" s="49" t="s">
        <v>41</v>
      </c>
      <c r="R2" s="49" t="s">
        <v>42</v>
      </c>
      <c r="S2" s="49" t="s">
        <v>58</v>
      </c>
      <c r="T2" s="49" t="s">
        <v>45</v>
      </c>
      <c r="U2" s="49" t="s">
        <v>46</v>
      </c>
      <c r="V2" s="49" t="s">
        <v>54</v>
      </c>
      <c r="W2" s="49" t="s">
        <v>56</v>
      </c>
      <c r="X2" s="50"/>
      <c r="Y2" s="50"/>
    </row>
    <row r="3" spans="2:25">
      <c r="B3" s="41" cm="1">
        <f t="array" ref="B3" xml:space="preserve"> INDEX(韻母表[韻序], MATCH(TRUE, EXACT($C3, 韻母表[十五音]), 0))</f>
        <v>28</v>
      </c>
      <c r="C3" s="50" t="str">
        <f xml:space="preserve"> _xlfn.XLOOKUP(E3, 韻母表[台羅拼音], 韻母表[十五音])</f>
        <v>膠（舒）</v>
      </c>
      <c r="D3" s="50" t="str" cm="1">
        <f t="array" ref="D3" xml:space="preserve"> IF( INDEX(韻母表[國際音標2], MATCH(TRUE, EXACT($C3, 韻母表[十五音]), 0))&lt;&gt;"",  INDEX(韻母表[國際音標2], MATCH(TRUE, EXACT($C3, 韻母表[十五音]), 0)),  INDEX(韻母表[國際音標], MATCH(TRUE, EXACT($C3, 韻母表[十五音]), 0)))</f>
        <v>a</v>
      </c>
      <c r="E3" s="50" t="s">
        <v>212</v>
      </c>
      <c r="F3" s="41" t="s">
        <v>212</v>
      </c>
      <c r="G3" s="41" t="s">
        <v>328</v>
      </c>
      <c r="H3" s="41" t="s">
        <v>329</v>
      </c>
      <c r="I3" s="41" t="s">
        <v>330</v>
      </c>
      <c r="K3" s="41" t="s">
        <v>331</v>
      </c>
      <c r="L3" s="41" t="s">
        <v>332</v>
      </c>
      <c r="M3" s="41" t="s">
        <v>333</v>
      </c>
      <c r="N3" s="41" t="s">
        <v>334</v>
      </c>
      <c r="O3" s="41" t="s">
        <v>335</v>
      </c>
      <c r="P3" s="41" t="s">
        <v>336</v>
      </c>
      <c r="Q3" s="41" t="s">
        <v>337</v>
      </c>
      <c r="R3" s="41" t="s">
        <v>338</v>
      </c>
      <c r="S3" s="41" t="s">
        <v>339</v>
      </c>
      <c r="T3" s="41" t="s">
        <v>340</v>
      </c>
      <c r="U3" s="41" t="s">
        <v>341</v>
      </c>
      <c r="V3" s="41" t="s">
        <v>342</v>
      </c>
      <c r="W3" s="41" t="s">
        <v>343</v>
      </c>
      <c r="X3" s="50" t="s">
        <v>212</v>
      </c>
      <c r="Y3" s="50" t="s">
        <v>116</v>
      </c>
    </row>
    <row r="4" spans="2:25">
      <c r="B4" s="41" cm="1">
        <f t="array" ref="B4" xml:space="preserve"> INDEX(韻母表[韻序], MATCH(TRUE, EXACT($C4, 韻母表[十五音]), 0))</f>
        <v>28</v>
      </c>
      <c r="C4" s="50" t="str">
        <f xml:space="preserve"> _xlfn.XLOOKUP(E4, 韻母表[台羅拼音], 韻母表[十五音])</f>
        <v>膠（促）</v>
      </c>
      <c r="D4" s="50" t="str" cm="1">
        <f t="array" ref="D4" xml:space="preserve"> IF( INDEX(韻母表[國際音標2], MATCH(TRUE, EXACT($C4, 韻母表[十五音]), 0))&lt;&gt;"",  INDEX(韻母表[國際音標2], MATCH(TRUE, EXACT($C4, 韻母表[十五音]), 0)),  INDEX(韻母表[國際音標], MATCH(TRUE, EXACT($C4, 韻母表[十五音]), 0)))</f>
        <v>aʔ</v>
      </c>
      <c r="E4" s="50" t="s">
        <v>213</v>
      </c>
      <c r="F4" s="41" t="s">
        <v>213</v>
      </c>
      <c r="G4" s="41" t="s">
        <v>344</v>
      </c>
      <c r="I4" s="41" t="s">
        <v>345</v>
      </c>
      <c r="K4" s="41" t="s">
        <v>346</v>
      </c>
      <c r="L4" s="41" t="s">
        <v>347</v>
      </c>
      <c r="M4" s="41" t="s">
        <v>348</v>
      </c>
      <c r="O4" s="41" t="s">
        <v>349</v>
      </c>
      <c r="Q4" s="41" t="s">
        <v>350</v>
      </c>
      <c r="R4" s="41" t="s">
        <v>351</v>
      </c>
      <c r="S4" s="41" t="s">
        <v>352</v>
      </c>
      <c r="T4" s="41" t="s">
        <v>353</v>
      </c>
      <c r="U4" s="41" t="s">
        <v>354</v>
      </c>
      <c r="V4" s="41" t="s">
        <v>355</v>
      </c>
      <c r="W4" s="41" t="s">
        <v>356</v>
      </c>
      <c r="X4" s="50" t="s">
        <v>213</v>
      </c>
      <c r="Y4" s="50" t="s">
        <v>117</v>
      </c>
    </row>
    <row r="5" spans="2:25">
      <c r="B5" s="41" cm="1">
        <f t="array" ref="B5" xml:space="preserve"> INDEX(韻母表[韻序], MATCH(TRUE, EXACT($C5, 韻母表[十五音]), 0))</f>
        <v>16</v>
      </c>
      <c r="C5" s="50" t="str">
        <f xml:space="preserve"> _xlfn.XLOOKUP(E5, 韻母表[台羅拼音], 韻母表[十五音])</f>
        <v>皆（舒）</v>
      </c>
      <c r="D5" s="50" t="str" cm="1">
        <f t="array" ref="D5" xml:space="preserve"> IF( INDEX(韻母表[國際音標2], MATCH(TRUE, EXACT($C5, 韻母表[十五音]), 0))&lt;&gt;"",  INDEX(韻母表[國際音標2], MATCH(TRUE, EXACT($C5, 韻母表[十五音]), 0)),  INDEX(韻母表[國際音標], MATCH(TRUE, EXACT($C5, 韻母表[十五音]), 0)))</f>
        <v>aɪ</v>
      </c>
      <c r="E5" s="50" t="s">
        <v>189</v>
      </c>
      <c r="F5" s="41" t="s">
        <v>189</v>
      </c>
      <c r="G5" s="41" t="s">
        <v>357</v>
      </c>
      <c r="H5" s="41" t="s">
        <v>358</v>
      </c>
      <c r="I5" s="41" t="s">
        <v>359</v>
      </c>
      <c r="K5" s="41" t="s">
        <v>360</v>
      </c>
      <c r="L5" s="41" t="s">
        <v>361</v>
      </c>
      <c r="M5" s="41" t="s">
        <v>362</v>
      </c>
      <c r="N5" s="41" t="s">
        <v>363</v>
      </c>
      <c r="O5" s="41" t="s">
        <v>364</v>
      </c>
      <c r="P5" s="41" t="s">
        <v>365</v>
      </c>
      <c r="Q5" s="41" t="s">
        <v>366</v>
      </c>
      <c r="R5" s="41" t="s">
        <v>367</v>
      </c>
      <c r="S5" s="41" t="s">
        <v>368</v>
      </c>
      <c r="T5" s="41" t="s">
        <v>369</v>
      </c>
      <c r="U5" s="41" t="s">
        <v>370</v>
      </c>
      <c r="V5" s="41" t="s">
        <v>371</v>
      </c>
      <c r="W5" s="41" t="s">
        <v>372</v>
      </c>
      <c r="X5" s="50" t="s">
        <v>189</v>
      </c>
      <c r="Y5" s="50" t="s">
        <v>92</v>
      </c>
    </row>
    <row r="6" spans="2:25">
      <c r="B6" s="41" cm="1">
        <f t="array" ref="B6" xml:space="preserve"> INDEX(韻母表[韻序], MATCH(TRUE, EXACT($C6, 韻母表[十五音]), 0))</f>
        <v>40</v>
      </c>
      <c r="C6" s="50" t="str">
        <f xml:space="preserve"> _xlfn.XLOOKUP(E6, 韻母表[台羅拼音], 韻母表[十五音])</f>
        <v>閒（舒）</v>
      </c>
      <c r="D6" s="50" t="str" cm="1">
        <f t="array" ref="D6" xml:space="preserve"> IF( INDEX(韻母表[國際音標2], MATCH(TRUE, EXACT($C6, 韻母表[十五音]), 0))&lt;&gt;"",  INDEX(韻母表[國際音標2], MATCH(TRUE, EXACT($C6, 韻母表[十五音]), 0)),  INDEX(韻母表[國際音標], MATCH(TRUE, EXACT($C6, 韻母表[十五音]), 0)))</f>
        <v>ãɪ</v>
      </c>
      <c r="E6" s="50" t="s">
        <v>228</v>
      </c>
      <c r="F6" s="41" t="s">
        <v>228</v>
      </c>
      <c r="I6" s="41" t="s">
        <v>373</v>
      </c>
      <c r="K6" s="41" t="s">
        <v>374</v>
      </c>
      <c r="L6" s="41" t="s">
        <v>375</v>
      </c>
      <c r="R6" s="41" t="s">
        <v>376</v>
      </c>
      <c r="T6" s="41" t="s">
        <v>377</v>
      </c>
      <c r="V6" s="41" t="s">
        <v>378</v>
      </c>
      <c r="X6" s="50" t="s">
        <v>228</v>
      </c>
      <c r="Y6" s="50" t="s">
        <v>140</v>
      </c>
    </row>
    <row r="7" spans="2:25">
      <c r="B7" s="41" cm="1">
        <f t="array" ref="B7" xml:space="preserve"> INDEX(韻母表[韻序], MATCH(TRUE, EXACT($C7, 韻母表[十五音]), 0))</f>
        <v>21</v>
      </c>
      <c r="C7" s="50" t="str">
        <f xml:space="preserve"> _xlfn.XLOOKUP(E7, 韻母表[台羅拼音], 韻母表[十五音])</f>
        <v>江（促）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ak̚</v>
      </c>
      <c r="E7" s="50" t="s">
        <v>199</v>
      </c>
      <c r="F7" s="41" t="s">
        <v>199</v>
      </c>
      <c r="G7" s="41" t="s">
        <v>379</v>
      </c>
      <c r="H7" s="41" t="s">
        <v>380</v>
      </c>
      <c r="I7" s="41" t="s">
        <v>381</v>
      </c>
      <c r="K7" s="41" t="s">
        <v>382</v>
      </c>
      <c r="L7" s="41" t="s">
        <v>383</v>
      </c>
      <c r="M7" s="41" t="s">
        <v>384</v>
      </c>
      <c r="Q7" s="41" t="s">
        <v>385</v>
      </c>
      <c r="R7" s="41" t="s">
        <v>386</v>
      </c>
      <c r="S7" s="41" t="s">
        <v>387</v>
      </c>
      <c r="T7" s="41" t="s">
        <v>388</v>
      </c>
      <c r="U7" s="41" t="s">
        <v>389</v>
      </c>
      <c r="V7" s="41" t="s">
        <v>390</v>
      </c>
      <c r="W7" s="41" t="s">
        <v>391</v>
      </c>
      <c r="X7" s="50" t="s">
        <v>199</v>
      </c>
      <c r="Y7" s="50" t="s">
        <v>103</v>
      </c>
    </row>
    <row r="8" spans="2:25">
      <c r="B8" s="41" cm="1">
        <f t="array" ref="B8" xml:space="preserve"> INDEX(韻母表[韻序], MATCH(TRUE, EXACT($C8, 韻母表[十五音]), 0))</f>
        <v>19</v>
      </c>
      <c r="C8" s="50" t="str">
        <f xml:space="preserve"> _xlfn.XLOOKUP(E8, 韻母表[台羅拼音], 韻母表[十五音])</f>
        <v>甘（舒）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am</v>
      </c>
      <c r="E8" s="50" t="s">
        <v>194</v>
      </c>
      <c r="F8" s="41" t="s">
        <v>194</v>
      </c>
      <c r="H8" s="41" t="s">
        <v>392</v>
      </c>
      <c r="I8" s="41" t="s">
        <v>393</v>
      </c>
      <c r="K8" s="41" t="s">
        <v>394</v>
      </c>
      <c r="L8" s="41" t="s">
        <v>395</v>
      </c>
      <c r="M8" s="41" t="s">
        <v>396</v>
      </c>
      <c r="S8" s="41" t="s">
        <v>397</v>
      </c>
      <c r="T8" s="41" t="s">
        <v>398</v>
      </c>
      <c r="U8" s="41" t="s">
        <v>399</v>
      </c>
      <c r="V8" s="41" t="s">
        <v>400</v>
      </c>
      <c r="W8" s="41" t="s">
        <v>401</v>
      </c>
      <c r="X8" s="50" t="s">
        <v>194</v>
      </c>
      <c r="Y8" s="50" t="s">
        <v>98</v>
      </c>
    </row>
    <row r="9" spans="2:25">
      <c r="B9" s="41" cm="1">
        <f t="array" ref="B9" xml:space="preserve"> INDEX(韻母表[韻序], MATCH(TRUE, EXACT($C9, 韻母表[十五音]), 0))</f>
        <v>6</v>
      </c>
      <c r="C9" s="50" t="str">
        <f xml:space="preserve"> _xlfn.XLOOKUP(E9, 韻母表[台羅拼音], 韻母表[十五音])</f>
        <v>干（舒）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an</v>
      </c>
      <c r="E9" s="50" t="s">
        <v>171</v>
      </c>
      <c r="F9" s="41" t="s">
        <v>171</v>
      </c>
      <c r="G9" s="41" t="s">
        <v>402</v>
      </c>
      <c r="H9" s="41" t="s">
        <v>403</v>
      </c>
      <c r="I9" s="41" t="s">
        <v>404</v>
      </c>
      <c r="K9" s="41" t="s">
        <v>405</v>
      </c>
      <c r="L9" s="41" t="s">
        <v>406</v>
      </c>
      <c r="M9" s="41" t="s">
        <v>407</v>
      </c>
      <c r="Q9" s="41" t="s">
        <v>408</v>
      </c>
      <c r="R9" s="41" t="s">
        <v>409</v>
      </c>
      <c r="S9" s="41" t="s">
        <v>410</v>
      </c>
      <c r="T9" s="41" t="s">
        <v>411</v>
      </c>
      <c r="U9" s="41" t="s">
        <v>412</v>
      </c>
      <c r="V9" s="41" t="s">
        <v>413</v>
      </c>
      <c r="W9" s="41" t="s">
        <v>414</v>
      </c>
      <c r="X9" s="50" t="s">
        <v>171</v>
      </c>
      <c r="Y9" s="50" t="s">
        <v>72</v>
      </c>
    </row>
    <row r="10" spans="2:25">
      <c r="B10" s="41" cm="1">
        <f t="array" ref="B10" xml:space="preserve"> INDEX(韻母表[韻序], MATCH(TRUE, EXACT($C10, 韻母表[十五音]), 0))</f>
        <v>21</v>
      </c>
      <c r="C10" s="50" t="str">
        <f xml:space="preserve"> _xlfn.XLOOKUP(E10, 韻母表[台羅拼音], 韻母表[十五音])</f>
        <v>江（舒）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aŋ</v>
      </c>
      <c r="E10" s="50" t="s">
        <v>198</v>
      </c>
      <c r="F10" s="41" t="s">
        <v>198</v>
      </c>
      <c r="G10" s="41" t="s">
        <v>415</v>
      </c>
      <c r="H10" s="41" t="s">
        <v>416</v>
      </c>
      <c r="I10" s="41" t="s">
        <v>417</v>
      </c>
      <c r="K10" s="41" t="s">
        <v>418</v>
      </c>
      <c r="L10" s="41" t="s">
        <v>419</v>
      </c>
      <c r="M10" s="41" t="s">
        <v>420</v>
      </c>
      <c r="Q10" s="41" t="s">
        <v>421</v>
      </c>
      <c r="R10" s="41" t="s">
        <v>422</v>
      </c>
      <c r="S10" s="41" t="s">
        <v>423</v>
      </c>
      <c r="T10" s="41" t="s">
        <v>424</v>
      </c>
      <c r="U10" s="41" t="s">
        <v>425</v>
      </c>
      <c r="V10" s="41" t="s">
        <v>426</v>
      </c>
      <c r="W10" s="41" t="s">
        <v>427</v>
      </c>
      <c r="X10" s="50" t="s">
        <v>198</v>
      </c>
      <c r="Y10" s="50" t="s">
        <v>102</v>
      </c>
    </row>
    <row r="11" spans="2:25">
      <c r="B11" s="41" cm="1">
        <f t="array" ref="B11" xml:space="preserve"> INDEX(韻母表[韻序], MATCH(TRUE, EXACT($C11, 韻母表[十五音]), 0))</f>
        <v>26</v>
      </c>
      <c r="C11" s="50" t="str">
        <f xml:space="preserve"> _xlfn.XLOOKUP(E11, 韻母表[台羅拼音], 韻母表[十五音])</f>
        <v>監（舒）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ã</v>
      </c>
      <c r="E11" s="50" t="s">
        <v>208</v>
      </c>
      <c r="F11" s="41" t="s">
        <v>208</v>
      </c>
      <c r="I11" s="41" t="s">
        <v>428</v>
      </c>
      <c r="K11" s="41" t="s">
        <v>429</v>
      </c>
      <c r="L11" s="41" t="s">
        <v>430</v>
      </c>
      <c r="R11" s="41" t="s">
        <v>431</v>
      </c>
      <c r="S11" s="41" t="s">
        <v>432</v>
      </c>
      <c r="T11" s="41" t="s">
        <v>433</v>
      </c>
      <c r="U11" s="41" t="s">
        <v>434</v>
      </c>
      <c r="V11" s="41" t="s">
        <v>435</v>
      </c>
      <c r="W11" s="41" t="s">
        <v>436</v>
      </c>
      <c r="X11" s="50" t="s">
        <v>208</v>
      </c>
      <c r="Y11" s="50" t="s">
        <v>112</v>
      </c>
    </row>
    <row r="12" spans="2:25">
      <c r="B12" s="41" cm="1">
        <f t="array" ref="B12" xml:space="preserve"> INDEX(韻母表[韻序], MATCH(TRUE, EXACT($C12, 韻母表[十五音]), 0))</f>
        <v>26</v>
      </c>
      <c r="C12" s="50" t="str">
        <f xml:space="preserve"> _xlfn.XLOOKUP(E12, 韻母表[台羅拼音], 韻母表[十五音])</f>
        <v>監（促）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ãʔ</v>
      </c>
      <c r="E12" s="50" t="s">
        <v>209</v>
      </c>
      <c r="I12" s="41" t="s">
        <v>437</v>
      </c>
      <c r="S12" s="41" t="s">
        <v>438</v>
      </c>
      <c r="X12" s="50" t="s">
        <v>209</v>
      </c>
      <c r="Y12" s="50" t="s">
        <v>113</v>
      </c>
    </row>
    <row r="13" spans="2:25">
      <c r="B13" s="41" cm="1">
        <f t="array" ref="B13" xml:space="preserve"> INDEX(韻母表[韻序], MATCH(TRUE, EXACT($C13, 韻母表[十五音]), 0))</f>
        <v>19</v>
      </c>
      <c r="C13" s="50" t="str">
        <f xml:space="preserve"> _xlfn.XLOOKUP(E13, 韻母表[台羅拼音], 韻母表[十五音])</f>
        <v>甘（促）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ap̚</v>
      </c>
      <c r="E13" s="50" t="s">
        <v>195</v>
      </c>
      <c r="F13" s="41" t="s">
        <v>195</v>
      </c>
      <c r="I13" s="41" t="s">
        <v>439</v>
      </c>
      <c r="K13" s="41" t="s">
        <v>440</v>
      </c>
      <c r="L13" s="41" t="s">
        <v>441</v>
      </c>
      <c r="M13" s="41" t="s">
        <v>442</v>
      </c>
      <c r="S13" s="41" t="s">
        <v>443</v>
      </c>
      <c r="T13" s="41" t="s">
        <v>444</v>
      </c>
      <c r="U13" s="41" t="s">
        <v>445</v>
      </c>
      <c r="V13" s="41" t="s">
        <v>446</v>
      </c>
      <c r="W13" s="41" t="s">
        <v>447</v>
      </c>
      <c r="X13" s="50" t="s">
        <v>195</v>
      </c>
      <c r="Y13" s="50" t="s">
        <v>99</v>
      </c>
    </row>
    <row r="14" spans="2:25">
      <c r="B14" s="41" cm="1">
        <f t="array" ref="B14" xml:space="preserve"> INDEX(韻母表[韻序], MATCH(TRUE, EXACT($C14, 韻母表[十五音]), 0))</f>
        <v>6</v>
      </c>
      <c r="C14" s="50" t="str">
        <f xml:space="preserve"> _xlfn.XLOOKUP(E14, 韻母表[台羅拼音], 韻母表[十五音])</f>
        <v>干（促）</v>
      </c>
      <c r="D14" s="50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at̚</v>
      </c>
      <c r="E14" s="50" t="s">
        <v>172</v>
      </c>
      <c r="F14" s="41" t="s">
        <v>172</v>
      </c>
      <c r="G14" s="41" t="s">
        <v>448</v>
      </c>
      <c r="I14" s="41" t="s">
        <v>449</v>
      </c>
      <c r="K14" s="41" t="s">
        <v>450</v>
      </c>
      <c r="L14" s="41" t="s">
        <v>451</v>
      </c>
      <c r="M14" s="41" t="s">
        <v>452</v>
      </c>
      <c r="Q14" s="41" t="s">
        <v>453</v>
      </c>
      <c r="S14" s="41" t="s">
        <v>454</v>
      </c>
      <c r="T14" s="41" t="s">
        <v>455</v>
      </c>
      <c r="U14" s="41" t="s">
        <v>456</v>
      </c>
      <c r="V14" s="41" t="s">
        <v>457</v>
      </c>
      <c r="W14" s="41" t="s">
        <v>458</v>
      </c>
      <c r="X14" s="50" t="s">
        <v>172</v>
      </c>
      <c r="Y14" s="50" t="s">
        <v>73</v>
      </c>
    </row>
    <row r="15" spans="2:25">
      <c r="B15" s="41" cm="1">
        <f t="array" ref="B15" xml:space="preserve"> INDEX(韻母表[韻序], MATCH(TRUE, EXACT($C15, 韻母表[十五音]), 0))</f>
        <v>23</v>
      </c>
      <c r="C15" s="50" t="str">
        <f xml:space="preserve"> _xlfn.XLOOKUP(E15, 韻母表[台羅拼音], 韻母表[十五音])</f>
        <v>交（舒）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aʊ</v>
      </c>
      <c r="E15" s="50" t="s">
        <v>202</v>
      </c>
      <c r="F15" s="41" t="s">
        <v>202</v>
      </c>
      <c r="G15" s="41" t="s">
        <v>459</v>
      </c>
      <c r="H15" s="41" t="s">
        <v>460</v>
      </c>
      <c r="I15" s="41" t="s">
        <v>461</v>
      </c>
      <c r="K15" s="41" t="s">
        <v>462</v>
      </c>
      <c r="L15" s="41" t="s">
        <v>463</v>
      </c>
      <c r="M15" s="41" t="s">
        <v>464</v>
      </c>
      <c r="N15" s="41" t="s">
        <v>465</v>
      </c>
      <c r="O15" s="41" t="s">
        <v>466</v>
      </c>
      <c r="P15" s="41" t="s">
        <v>467</v>
      </c>
      <c r="Q15" s="41" t="s">
        <v>468</v>
      </c>
      <c r="R15" s="41" t="s">
        <v>469</v>
      </c>
      <c r="S15" s="41" t="s">
        <v>470</v>
      </c>
      <c r="T15" s="41" t="s">
        <v>471</v>
      </c>
      <c r="U15" s="41" t="s">
        <v>472</v>
      </c>
      <c r="V15" s="41" t="s">
        <v>473</v>
      </c>
      <c r="W15" s="41" t="s">
        <v>474</v>
      </c>
      <c r="X15" s="50" t="s">
        <v>202</v>
      </c>
      <c r="Y15" s="50" t="s">
        <v>106</v>
      </c>
    </row>
    <row r="16" spans="2:25">
      <c r="B16" s="41" cm="1">
        <f t="array" ref="B16" xml:space="preserve"> INDEX(韻母表[韻序], MATCH(TRUE, EXACT($C16, 韻母表[十五音]), 0))</f>
        <v>23</v>
      </c>
      <c r="C16" s="50" t="str">
        <f xml:space="preserve"> _xlfn.XLOOKUP(E16, 韻母表[台羅拼音], 韻母表[十五音])</f>
        <v>交（促）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auʔ</v>
      </c>
      <c r="E16" s="50" t="s">
        <v>203</v>
      </c>
      <c r="K16" s="41" t="s">
        <v>475</v>
      </c>
      <c r="M16" s="41" t="s">
        <v>476</v>
      </c>
      <c r="N16" s="41" t="s">
        <v>477</v>
      </c>
      <c r="O16" s="41" t="s">
        <v>478</v>
      </c>
      <c r="R16" s="41" t="s">
        <v>479</v>
      </c>
      <c r="T16" s="41" t="s">
        <v>480</v>
      </c>
      <c r="W16" s="41" t="s">
        <v>481</v>
      </c>
      <c r="X16" s="50" t="s">
        <v>203</v>
      </c>
      <c r="Y16" s="50" t="s">
        <v>107</v>
      </c>
    </row>
    <row r="17" spans="2:25">
      <c r="B17" s="41" cm="1">
        <f t="array" ref="B17" xml:space="preserve"> INDEX(韻母表[韻序], MATCH(TRUE, EXACT($C17, 韻母表[十五音]), 0))</f>
        <v>13</v>
      </c>
      <c r="C17" s="50" t="str">
        <f xml:space="preserve"> _xlfn.XLOOKUP(E17, 韻母表[台羅拼音], 韻母表[十五音])</f>
        <v>稽（舒）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ei</v>
      </c>
      <c r="E17" s="50" t="s">
        <v>184</v>
      </c>
      <c r="F17" s="41" t="s">
        <v>184</v>
      </c>
      <c r="G17" s="41" t="s">
        <v>482</v>
      </c>
      <c r="H17" s="41" t="s">
        <v>483</v>
      </c>
      <c r="I17" s="41" t="s">
        <v>484</v>
      </c>
      <c r="K17" s="41" t="s">
        <v>485</v>
      </c>
      <c r="L17" s="41" t="s">
        <v>486</v>
      </c>
      <c r="M17" s="41" t="s">
        <v>487</v>
      </c>
      <c r="N17" s="41" t="s">
        <v>488</v>
      </c>
      <c r="O17" s="41" t="s">
        <v>489</v>
      </c>
      <c r="P17" s="41" t="s">
        <v>490</v>
      </c>
      <c r="Q17" s="41" t="s">
        <v>491</v>
      </c>
      <c r="R17" s="41" t="s">
        <v>492</v>
      </c>
      <c r="S17" s="41" t="s">
        <v>493</v>
      </c>
      <c r="T17" s="41" t="s">
        <v>494</v>
      </c>
      <c r="U17" s="41" t="s">
        <v>495</v>
      </c>
      <c r="V17" s="41" t="s">
        <v>496</v>
      </c>
      <c r="W17" s="41" t="s">
        <v>497</v>
      </c>
      <c r="X17" s="50" t="s">
        <v>184</v>
      </c>
      <c r="Y17" s="50" t="s">
        <v>86</v>
      </c>
    </row>
    <row r="18" spans="2:25">
      <c r="B18" s="41" cm="1">
        <f t="array" ref="B18" xml:space="preserve"> INDEX(韻母表[韻序], MATCH(TRUE, EXACT($C18, 韻母表[十五音]), 0))</f>
        <v>39</v>
      </c>
      <c r="C18" s="50" t="str">
        <f xml:space="preserve"> _xlfn.XLOOKUP(E18, 韻母表[台羅拼音], 韻母表[十五音])</f>
        <v>伽（促）</v>
      </c>
      <c r="D18" s="50" t="str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eʔ</v>
      </c>
      <c r="E18" s="50" t="s">
        <v>227</v>
      </c>
      <c r="F18" s="41" t="s">
        <v>227</v>
      </c>
      <c r="G18" s="41" t="s">
        <v>498</v>
      </c>
      <c r="I18" s="41" t="s">
        <v>499</v>
      </c>
      <c r="K18" s="41" t="s">
        <v>500</v>
      </c>
      <c r="L18" s="41" t="s">
        <v>501</v>
      </c>
      <c r="M18" s="41" t="s">
        <v>502</v>
      </c>
      <c r="N18" s="41" t="s">
        <v>503</v>
      </c>
      <c r="O18" s="41" t="s">
        <v>504</v>
      </c>
      <c r="P18" s="41" t="s">
        <v>505</v>
      </c>
      <c r="Q18" s="41" t="s">
        <v>506</v>
      </c>
      <c r="S18" s="41" t="s">
        <v>507</v>
      </c>
      <c r="T18" s="41" t="s">
        <v>508</v>
      </c>
      <c r="U18" s="41" t="s">
        <v>509</v>
      </c>
      <c r="V18" s="41" t="s">
        <v>510</v>
      </c>
      <c r="W18" s="41" t="s">
        <v>511</v>
      </c>
      <c r="X18" s="50" t="s">
        <v>227</v>
      </c>
      <c r="Y18" s="50" t="s">
        <v>139</v>
      </c>
    </row>
    <row r="19" spans="2:25">
      <c r="B19" s="41" cm="1">
        <f t="array" ref="B19" xml:space="preserve"> INDEX(韻母表[韻序], MATCH(TRUE, EXACT($C19, 韻母表[十五音]), 0))</f>
        <v>31</v>
      </c>
      <c r="C19" s="50" t="str">
        <f xml:space="preserve"> _xlfn.XLOOKUP(E19, 韻母表[台羅拼音], 韻母表[十五音])</f>
        <v>更（舒）</v>
      </c>
      <c r="D19" s="50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ɛ̃</v>
      </c>
      <c r="E19" s="50" t="s">
        <v>217</v>
      </c>
      <c r="F19" s="41" t="s">
        <v>217</v>
      </c>
      <c r="I19" s="41" t="s">
        <v>512</v>
      </c>
      <c r="K19" s="41" t="s">
        <v>513</v>
      </c>
      <c r="L19" s="41" t="s">
        <v>514</v>
      </c>
      <c r="Q19" s="41" t="s">
        <v>515</v>
      </c>
      <c r="R19" s="41" t="s">
        <v>516</v>
      </c>
      <c r="S19" s="41" t="s">
        <v>517</v>
      </c>
      <c r="T19" s="41" t="s">
        <v>518</v>
      </c>
      <c r="U19" s="41" t="s">
        <v>519</v>
      </c>
      <c r="V19" s="41" t="s">
        <v>520</v>
      </c>
      <c r="W19" s="41" t="s">
        <v>521</v>
      </c>
      <c r="X19" s="50" t="s">
        <v>217</v>
      </c>
      <c r="Y19" s="50" t="s">
        <v>122</v>
      </c>
    </row>
    <row r="20" spans="2:25">
      <c r="B20" s="41" cm="1">
        <f t="array" ref="B20" xml:space="preserve"> INDEX(韻母表[韻序], MATCH(TRUE, EXACT($C20, 韻母表[十五音]), 0))</f>
        <v>31</v>
      </c>
      <c r="C20" s="50" t="str">
        <f xml:space="preserve"> _xlfn.XLOOKUP(E20, 韻母表[台羅拼音], 韻母表[十五音])</f>
        <v>更（促）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ɛ̃ʔ</v>
      </c>
      <c r="E20" s="50" t="s">
        <v>218</v>
      </c>
      <c r="I20" s="41" t="s">
        <v>522</v>
      </c>
      <c r="L20" s="41" t="s">
        <v>523</v>
      </c>
      <c r="X20" s="50" t="s">
        <v>218</v>
      </c>
      <c r="Y20" s="50" t="s">
        <v>123</v>
      </c>
    </row>
    <row r="21" spans="2:25">
      <c r="B21" s="41" cm="1">
        <f t="array" ref="B21" xml:space="preserve"> INDEX(韻母表[韻序], MATCH(TRUE, EXACT($C21, 韻母表[十五音]), 0))</f>
        <v>29</v>
      </c>
      <c r="C21" s="50" t="str">
        <f xml:space="preserve"> _xlfn.XLOOKUP(E21, 韻母表[台羅拼音], 韻母表[十五音])</f>
        <v>居（舒）</v>
      </c>
      <c r="D21" s="50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i</v>
      </c>
      <c r="E21" s="50" t="s">
        <v>214</v>
      </c>
      <c r="F21" s="41" t="s">
        <v>214</v>
      </c>
      <c r="G21" s="41" t="s">
        <v>524</v>
      </c>
      <c r="H21" s="41" t="s">
        <v>525</v>
      </c>
      <c r="I21" s="41" t="s">
        <v>526</v>
      </c>
      <c r="J21" s="41" t="s">
        <v>527</v>
      </c>
      <c r="K21" s="41" t="s">
        <v>528</v>
      </c>
      <c r="L21" s="41" t="s">
        <v>529</v>
      </c>
      <c r="M21" s="41" t="s">
        <v>530</v>
      </c>
      <c r="N21" s="41" t="s">
        <v>531</v>
      </c>
      <c r="O21" s="41" t="s">
        <v>532</v>
      </c>
      <c r="Q21" s="41" t="s">
        <v>533</v>
      </c>
      <c r="R21" s="41" t="s">
        <v>534</v>
      </c>
      <c r="S21" s="41" t="s">
        <v>59</v>
      </c>
      <c r="T21" s="41" t="s">
        <v>535</v>
      </c>
      <c r="U21" s="41" t="s">
        <v>536</v>
      </c>
      <c r="V21" s="41" t="s">
        <v>55</v>
      </c>
      <c r="W21" s="41" t="s">
        <v>57</v>
      </c>
      <c r="X21" s="50" t="s">
        <v>214</v>
      </c>
      <c r="Y21" s="50" t="s">
        <v>118</v>
      </c>
    </row>
    <row r="22" spans="2:25">
      <c r="B22" s="41" cm="1">
        <f t="array" ref="B22" xml:space="preserve"> INDEX(韻母表[韻序], MATCH(TRUE, EXACT($C22, 韻母表[十五音]), 0))</f>
        <v>24</v>
      </c>
      <c r="C22" s="50" t="str">
        <f xml:space="preserve"> _xlfn.XLOOKUP(E22, 韻母表[台羅拼音], 韻母表[十五音])</f>
        <v>迦（舒）</v>
      </c>
      <c r="D22" s="50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ɪa</v>
      </c>
      <c r="E22" s="50" t="s">
        <v>204</v>
      </c>
      <c r="F22" s="41" t="s">
        <v>204</v>
      </c>
      <c r="H22" s="41" t="s">
        <v>537</v>
      </c>
      <c r="I22" s="41" t="s">
        <v>538</v>
      </c>
      <c r="J22" s="41" t="s">
        <v>539</v>
      </c>
      <c r="K22" s="41" t="s">
        <v>540</v>
      </c>
      <c r="L22" s="41" t="s">
        <v>541</v>
      </c>
      <c r="N22" s="41" t="s">
        <v>542</v>
      </c>
      <c r="O22" s="41" t="s">
        <v>543</v>
      </c>
      <c r="P22" s="41" t="s">
        <v>544</v>
      </c>
      <c r="S22" s="41" t="s">
        <v>545</v>
      </c>
      <c r="T22" s="41" t="s">
        <v>546</v>
      </c>
      <c r="V22" s="41" t="s">
        <v>547</v>
      </c>
      <c r="W22" s="41" t="s">
        <v>548</v>
      </c>
      <c r="X22" s="50" t="s">
        <v>204</v>
      </c>
      <c r="Y22" s="50" t="s">
        <v>108</v>
      </c>
    </row>
    <row r="23" spans="2:25">
      <c r="B23" s="41" cm="1">
        <f t="array" ref="B23" xml:space="preserve"> INDEX(韻母表[韻序], MATCH(TRUE, EXACT($C23, 韻母表[十五音]), 0))</f>
        <v>24</v>
      </c>
      <c r="C23" s="50" t="str">
        <f xml:space="preserve"> _xlfn.XLOOKUP(E23, 韻母表[台羅拼音], 韻母表[十五音])</f>
        <v>迦（促）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ɪaʔ</v>
      </c>
      <c r="E23" s="50" t="s">
        <v>205</v>
      </c>
      <c r="F23" s="41" t="s">
        <v>205</v>
      </c>
      <c r="H23" s="41" t="s">
        <v>549</v>
      </c>
      <c r="I23" s="41" t="s">
        <v>550</v>
      </c>
      <c r="K23" s="41" t="s">
        <v>551</v>
      </c>
      <c r="L23" s="41" t="s">
        <v>552</v>
      </c>
      <c r="M23" s="41" t="s">
        <v>553</v>
      </c>
      <c r="Q23" s="41" t="s">
        <v>554</v>
      </c>
      <c r="R23" s="41" t="s">
        <v>555</v>
      </c>
      <c r="S23" s="41" t="s">
        <v>556</v>
      </c>
      <c r="T23" s="41" t="s">
        <v>557</v>
      </c>
      <c r="U23" s="41" t="s">
        <v>558</v>
      </c>
      <c r="V23" s="41" t="s">
        <v>559</v>
      </c>
      <c r="W23" s="41" t="s">
        <v>560</v>
      </c>
      <c r="X23" s="50" t="s">
        <v>205</v>
      </c>
      <c r="Y23" s="50" t="s">
        <v>109</v>
      </c>
    </row>
    <row r="24" spans="2:25">
      <c r="B24" s="41" cm="1">
        <f t="array" ref="B24" xml:space="preserve"> INDEX(韻母表[韻序], MATCH(TRUE, EXACT($C24, 韻母表[十五音]), 0))</f>
        <v>18</v>
      </c>
      <c r="C24" s="50" t="str">
        <f xml:space="preserve"> _xlfn.XLOOKUP(E24, 韻母表[台羅拼音], 韻母表[十五音])</f>
        <v>姜（促）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ɪak̚</v>
      </c>
      <c r="E24" s="50" t="s">
        <v>193</v>
      </c>
      <c r="L24" s="41" t="s">
        <v>561</v>
      </c>
      <c r="Q24" s="41" t="s">
        <v>562</v>
      </c>
      <c r="R24" s="41" t="s">
        <v>563</v>
      </c>
      <c r="S24" s="41" t="s">
        <v>564</v>
      </c>
      <c r="T24" s="41" t="s">
        <v>565</v>
      </c>
      <c r="W24" s="41" t="s">
        <v>566</v>
      </c>
      <c r="X24" s="50" t="s">
        <v>193</v>
      </c>
      <c r="Y24" s="50" t="s">
        <v>97</v>
      </c>
    </row>
    <row r="25" spans="2:25">
      <c r="B25" s="41" cm="1">
        <f t="array" ref="B25" xml:space="preserve"> INDEX(韻母表[韻序], MATCH(TRUE, EXACT($C25, 韻母表[十五音]), 0))</f>
        <v>22</v>
      </c>
      <c r="C25" s="50" t="str">
        <f xml:space="preserve"> _xlfn.XLOOKUP(E25, 韻母表[台羅拼音], 韻母表[十五音])</f>
        <v>兼（舒）</v>
      </c>
      <c r="D25" s="50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ɪam</v>
      </c>
      <c r="E25" s="50" t="s">
        <v>200</v>
      </c>
      <c r="F25" s="41" t="s">
        <v>200</v>
      </c>
      <c r="H25" s="41" t="s">
        <v>567</v>
      </c>
      <c r="I25" s="41" t="s">
        <v>568</v>
      </c>
      <c r="J25" s="41" t="s">
        <v>569</v>
      </c>
      <c r="K25" s="41" t="s">
        <v>570</v>
      </c>
      <c r="L25" s="41" t="s">
        <v>571</v>
      </c>
      <c r="M25" s="41" t="s">
        <v>572</v>
      </c>
      <c r="S25" s="41" t="s">
        <v>573</v>
      </c>
      <c r="T25" s="41" t="s">
        <v>574</v>
      </c>
      <c r="U25" s="41" t="s">
        <v>575</v>
      </c>
      <c r="V25" s="41" t="s">
        <v>576</v>
      </c>
      <c r="W25" s="41" t="s">
        <v>577</v>
      </c>
      <c r="X25" s="50" t="s">
        <v>200</v>
      </c>
      <c r="Y25" s="50" t="s">
        <v>104</v>
      </c>
    </row>
    <row r="26" spans="2:25">
      <c r="B26" s="41" cm="1">
        <f t="array" ref="B26" xml:space="preserve"> INDEX(韻母表[韻序], MATCH(TRUE, EXACT($C26, 韻母表[十五音]), 0))</f>
        <v>2</v>
      </c>
      <c r="C26" s="50" t="str">
        <f xml:space="preserve"> _xlfn.XLOOKUP(E26, 韻母表[台羅拼音], 韻母表[十五音])</f>
        <v>堅（舒）</v>
      </c>
      <c r="D26" s="50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ɪan</v>
      </c>
      <c r="E26" s="50" t="s">
        <v>164</v>
      </c>
      <c r="F26" s="41" t="s">
        <v>164</v>
      </c>
      <c r="G26" s="41" t="s">
        <v>578</v>
      </c>
      <c r="H26" s="41" t="s">
        <v>579</v>
      </c>
      <c r="I26" s="41" t="s">
        <v>580</v>
      </c>
      <c r="J26" s="41" t="s">
        <v>581</v>
      </c>
      <c r="K26" s="41" t="s">
        <v>582</v>
      </c>
      <c r="L26" s="41" t="s">
        <v>583</v>
      </c>
      <c r="M26" s="41" t="s">
        <v>584</v>
      </c>
      <c r="Q26" s="41" t="s">
        <v>585</v>
      </c>
      <c r="R26" s="41" t="s">
        <v>586</v>
      </c>
      <c r="S26" s="41" t="s">
        <v>587</v>
      </c>
      <c r="T26" s="41" t="s">
        <v>588</v>
      </c>
      <c r="U26" s="41" t="s">
        <v>589</v>
      </c>
      <c r="V26" s="41" t="s">
        <v>590</v>
      </c>
      <c r="W26" s="41" t="s">
        <v>591</v>
      </c>
      <c r="X26" s="50" t="s">
        <v>164</v>
      </c>
      <c r="Y26" s="50" t="s">
        <v>64</v>
      </c>
    </row>
    <row r="27" spans="2:25">
      <c r="B27" s="41" cm="1">
        <f t="array" ref="B27" xml:space="preserve"> INDEX(韻母表[韻序], MATCH(TRUE, EXACT($C27, 韻母表[十五音]), 0))</f>
        <v>18</v>
      </c>
      <c r="C27" s="50" t="str">
        <f xml:space="preserve"> _xlfn.XLOOKUP(E27, 韻母表[台羅拼音], 韻母表[十五音])</f>
        <v>姜（舒）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ɪaŋ</v>
      </c>
      <c r="E27" s="50" t="s">
        <v>192</v>
      </c>
      <c r="F27" s="41" t="s">
        <v>192</v>
      </c>
      <c r="H27" s="41" t="s">
        <v>592</v>
      </c>
      <c r="I27" s="41" t="s">
        <v>593</v>
      </c>
      <c r="J27" s="41" t="s">
        <v>594</v>
      </c>
      <c r="L27" s="41" t="s">
        <v>595</v>
      </c>
      <c r="M27" s="41" t="s">
        <v>596</v>
      </c>
      <c r="Q27" s="41" t="s">
        <v>597</v>
      </c>
      <c r="R27" s="41" t="s">
        <v>598</v>
      </c>
      <c r="S27" s="41" t="s">
        <v>599</v>
      </c>
      <c r="V27" s="41" t="s">
        <v>600</v>
      </c>
      <c r="W27" s="41" t="s">
        <v>601</v>
      </c>
      <c r="X27" s="50" t="s">
        <v>192</v>
      </c>
      <c r="Y27" s="50" t="s">
        <v>96</v>
      </c>
    </row>
    <row r="28" spans="2:25">
      <c r="B28" s="41" cm="1">
        <f t="array" ref="B28" xml:space="preserve"> INDEX(韻母表[韻序], MATCH(TRUE, EXACT($C28, 韻母表[十五音]), 0))</f>
        <v>36</v>
      </c>
      <c r="C28" s="50" t="str">
        <f xml:space="preserve"> _xlfn.XLOOKUP(E28, 韻母表[台羅拼音], 韻母表[十五音])</f>
        <v>驚（舒）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ɪã</v>
      </c>
      <c r="E28" s="50" t="s">
        <v>305</v>
      </c>
      <c r="F28" s="41" t="s">
        <v>305</v>
      </c>
      <c r="I28" s="41" t="s">
        <v>602</v>
      </c>
      <c r="K28" s="41" t="s">
        <v>603</v>
      </c>
      <c r="Q28" s="41" t="s">
        <v>604</v>
      </c>
      <c r="S28" s="41" t="s">
        <v>605</v>
      </c>
      <c r="T28" s="41" t="s">
        <v>606</v>
      </c>
      <c r="U28" s="41" t="s">
        <v>607</v>
      </c>
      <c r="V28" s="41" t="s">
        <v>608</v>
      </c>
      <c r="W28" s="41" t="s">
        <v>609</v>
      </c>
      <c r="X28" s="50" t="s">
        <v>305</v>
      </c>
      <c r="Y28" s="50" t="s">
        <v>132</v>
      </c>
    </row>
    <row r="29" spans="2:25">
      <c r="B29" s="41" cm="1">
        <f t="array" ref="B29" xml:space="preserve"> INDEX(韻母表[韻序], MATCH(TRUE, EXACT($C29, 韻母表[十五音]), 0))</f>
        <v>36</v>
      </c>
      <c r="C29" s="50" t="str">
        <f xml:space="preserve"> _xlfn.XLOOKUP(E29, 韻母表[台羅拼音], 韻母表[十五音])</f>
        <v>驚（促）</v>
      </c>
      <c r="D29" s="50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ɪãh</v>
      </c>
      <c r="E29" s="50" t="s">
        <v>225</v>
      </c>
      <c r="I29" s="41" t="s">
        <v>610</v>
      </c>
      <c r="X29" s="50" t="s">
        <v>225</v>
      </c>
      <c r="Y29" s="50" t="s">
        <v>133</v>
      </c>
    </row>
    <row r="30" spans="2:25">
      <c r="B30" s="41" cm="1">
        <f t="array" ref="B30" xml:space="preserve"> INDEX(韻母表[韻序], MATCH(TRUE, EXACT($C30, 韻母表[十五音]), 0))</f>
        <v>22</v>
      </c>
      <c r="C30" s="50" t="str">
        <f xml:space="preserve"> _xlfn.XLOOKUP(E30, 韻母表[台羅拼音], 韻母表[十五音])</f>
        <v>兼（促）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ɪap̚</v>
      </c>
      <c r="E30" s="50" t="s">
        <v>201</v>
      </c>
      <c r="F30" s="41" t="s">
        <v>201</v>
      </c>
      <c r="H30" s="41" t="s">
        <v>611</v>
      </c>
      <c r="I30" s="41" t="s">
        <v>612</v>
      </c>
      <c r="J30" s="41" t="s">
        <v>613</v>
      </c>
      <c r="K30" s="41" t="s">
        <v>614</v>
      </c>
      <c r="L30" s="41" t="s">
        <v>615</v>
      </c>
      <c r="M30" s="41" t="s">
        <v>616</v>
      </c>
      <c r="S30" s="41" t="s">
        <v>617</v>
      </c>
      <c r="T30" s="41" t="s">
        <v>618</v>
      </c>
      <c r="U30" s="41" t="s">
        <v>619</v>
      </c>
      <c r="V30" s="41" t="s">
        <v>620</v>
      </c>
      <c r="W30" s="41" t="s">
        <v>621</v>
      </c>
      <c r="X30" s="50" t="s">
        <v>201</v>
      </c>
      <c r="Y30" s="50" t="s">
        <v>105</v>
      </c>
    </row>
    <row r="31" spans="2:25">
      <c r="B31" s="41" cm="1">
        <f t="array" ref="B31" xml:space="preserve"> INDEX(韻母表[韻序], MATCH(TRUE, EXACT($C31, 韻母表[十五音]), 0))</f>
        <v>2</v>
      </c>
      <c r="C31" s="50" t="str">
        <f xml:space="preserve"> _xlfn.XLOOKUP(E31, 韻母表[台羅拼音], 韻母表[十五音])</f>
        <v>堅（促）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ɪat̚</v>
      </c>
      <c r="E31" s="50" t="s">
        <v>165</v>
      </c>
      <c r="F31" s="41" t="s">
        <v>165</v>
      </c>
      <c r="G31" s="41" t="s">
        <v>622</v>
      </c>
      <c r="H31" s="41" t="s">
        <v>623</v>
      </c>
      <c r="I31" s="41" t="s">
        <v>624</v>
      </c>
      <c r="J31" s="41" t="s">
        <v>625</v>
      </c>
      <c r="K31" s="41" t="s">
        <v>626</v>
      </c>
      <c r="L31" s="41" t="s">
        <v>627</v>
      </c>
      <c r="M31" s="41" t="s">
        <v>628</v>
      </c>
      <c r="Q31" s="41" t="s">
        <v>629</v>
      </c>
      <c r="R31" s="41" t="s">
        <v>630</v>
      </c>
      <c r="S31" s="41" t="s">
        <v>631</v>
      </c>
      <c r="T31" s="41" t="s">
        <v>632</v>
      </c>
      <c r="U31" s="41" t="s">
        <v>633</v>
      </c>
      <c r="V31" s="41" t="s">
        <v>634</v>
      </c>
      <c r="W31" s="41" t="s">
        <v>635</v>
      </c>
      <c r="X31" s="50" t="s">
        <v>165</v>
      </c>
      <c r="Y31" s="50" t="s">
        <v>65</v>
      </c>
    </row>
    <row r="32" spans="2:25">
      <c r="B32" s="41" cm="1">
        <f t="array" ref="B32" xml:space="preserve"> INDEX(韻母表[韻序], MATCH(TRUE, EXACT($C32, 韻母表[十五音]), 0))</f>
        <v>12</v>
      </c>
      <c r="C32" s="50" t="str">
        <f xml:space="preserve"> _xlfn.XLOOKUP(E32, 韻母表[台羅拼音], 韻母表[十五音])</f>
        <v>嬌（舒）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ɪaʊ</v>
      </c>
      <c r="E32" s="50" t="s">
        <v>182</v>
      </c>
      <c r="F32" s="41" t="s">
        <v>182</v>
      </c>
      <c r="G32" s="41" t="s">
        <v>636</v>
      </c>
      <c r="H32" s="41" t="s">
        <v>637</v>
      </c>
      <c r="I32" s="41" t="s">
        <v>638</v>
      </c>
      <c r="J32" s="41" t="s">
        <v>639</v>
      </c>
      <c r="K32" s="41" t="s">
        <v>640</v>
      </c>
      <c r="L32" s="41" t="s">
        <v>641</v>
      </c>
      <c r="M32" s="41" t="s">
        <v>642</v>
      </c>
      <c r="N32" s="41" t="s">
        <v>643</v>
      </c>
      <c r="O32" s="41" t="s">
        <v>644</v>
      </c>
      <c r="P32" s="41" t="s">
        <v>645</v>
      </c>
      <c r="Q32" s="41" t="s">
        <v>646</v>
      </c>
      <c r="R32" s="41" t="s">
        <v>647</v>
      </c>
      <c r="S32" s="41" t="s">
        <v>648</v>
      </c>
      <c r="T32" s="41" t="s">
        <v>649</v>
      </c>
      <c r="U32" s="41" t="s">
        <v>650</v>
      </c>
      <c r="V32" s="41" t="s">
        <v>651</v>
      </c>
      <c r="W32" s="41" t="s">
        <v>652</v>
      </c>
      <c r="X32" s="50" t="s">
        <v>182</v>
      </c>
      <c r="Y32" s="50" t="s">
        <v>84</v>
      </c>
    </row>
    <row r="33" spans="2:25">
      <c r="B33" s="41" cm="1">
        <f t="array" ref="B33" xml:space="preserve"> INDEX(韻母表[韻序], MATCH(TRUE, EXACT($C33, 韻母表[十五音]), 0))</f>
        <v>12</v>
      </c>
      <c r="C33" s="50" t="str">
        <f xml:space="preserve"> _xlfn.XLOOKUP(E33, 韻母表[台羅拼音], 韻母表[十五音])</f>
        <v>嬌（促）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ɪaʊʔ</v>
      </c>
      <c r="E33" s="50" t="s">
        <v>183</v>
      </c>
      <c r="I33" s="41" t="s">
        <v>653</v>
      </c>
      <c r="L33" s="41" t="s">
        <v>654</v>
      </c>
      <c r="P33" s="41" t="s">
        <v>655</v>
      </c>
      <c r="X33" s="50" t="s">
        <v>183</v>
      </c>
      <c r="Y33" s="50" t="s">
        <v>85</v>
      </c>
    </row>
    <row r="34" spans="2:25">
      <c r="B34" s="41" cm="1">
        <f t="array" ref="B34" xml:space="preserve"> INDEX(韻母表[韻序], MATCH(TRUE, EXACT($C34, 韻母表[十五音]), 0))</f>
        <v>46</v>
      </c>
      <c r="C34" s="50" t="str">
        <f xml:space="preserve"> _xlfn.XLOOKUP(E34, 韻母表[台羅拼音], 韻母表[十五音])</f>
        <v>嘄（舒）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ɪãʊ</v>
      </c>
      <c r="E34" s="50" t="s">
        <v>235</v>
      </c>
      <c r="F34" s="41" t="s">
        <v>235</v>
      </c>
      <c r="X34" s="50" t="s">
        <v>235</v>
      </c>
      <c r="Y34" s="50" t="s">
        <v>152</v>
      </c>
    </row>
    <row r="35" spans="2:25">
      <c r="B35" s="41" cm="1">
        <f t="array" ref="B35" xml:space="preserve"> INDEX(韻母表[韻序], MATCH(TRUE, EXACT($C35, 韻母表[十五音]), 0))</f>
        <v>29</v>
      </c>
      <c r="C35" s="50" t="str">
        <f xml:space="preserve"> _xlfn.XLOOKUP(E35, 韻母表[台羅拼音], 韻母表[十五音])</f>
        <v>居（促）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iʔ</v>
      </c>
      <c r="E35" s="50" t="s">
        <v>215</v>
      </c>
      <c r="G35" s="41" t="s">
        <v>656</v>
      </c>
      <c r="L35" s="41" t="s">
        <v>657</v>
      </c>
      <c r="N35" s="41" t="s">
        <v>658</v>
      </c>
      <c r="O35" s="41" t="s">
        <v>659</v>
      </c>
      <c r="Q35" s="41" t="s">
        <v>660</v>
      </c>
      <c r="R35" s="41" t="s">
        <v>661</v>
      </c>
      <c r="S35" s="41" t="s">
        <v>662</v>
      </c>
      <c r="T35" s="41" t="s">
        <v>663</v>
      </c>
      <c r="U35" s="41" t="s">
        <v>664</v>
      </c>
      <c r="V35" s="41" t="s">
        <v>665</v>
      </c>
      <c r="W35" s="41" t="s">
        <v>666</v>
      </c>
      <c r="X35" s="50" t="s">
        <v>215</v>
      </c>
      <c r="Y35" s="50" t="s">
        <v>119</v>
      </c>
    </row>
    <row r="36" spans="2:25">
      <c r="B36" s="41" cm="1">
        <f t="array" ref="B36" xml:space="preserve"> INDEX(韻母表[韻序], MATCH(TRUE, EXACT($C36, 韻母表[十五音]), 0))</f>
        <v>9</v>
      </c>
      <c r="C36" s="50" t="str">
        <f xml:space="preserve"> _xlfn.XLOOKUP(E36, 韻母表[台羅拼音], 韻母表[十五音])</f>
        <v>經（促）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ɛk</v>
      </c>
      <c r="E36" s="50" t="s">
        <v>178</v>
      </c>
      <c r="F36" s="41" t="s">
        <v>178</v>
      </c>
      <c r="G36" s="41" t="s">
        <v>667</v>
      </c>
      <c r="H36" s="41" t="s">
        <v>668</v>
      </c>
      <c r="I36" s="41" t="s">
        <v>669</v>
      </c>
      <c r="K36" s="41" t="s">
        <v>670</v>
      </c>
      <c r="M36" s="41" t="s">
        <v>671</v>
      </c>
      <c r="Q36" s="41" t="s">
        <v>672</v>
      </c>
      <c r="R36" s="41" t="s">
        <v>673</v>
      </c>
      <c r="S36" s="41" t="s">
        <v>674</v>
      </c>
      <c r="T36" s="41" t="s">
        <v>675</v>
      </c>
      <c r="U36" s="41" t="s">
        <v>676</v>
      </c>
      <c r="V36" s="41" t="s">
        <v>677</v>
      </c>
      <c r="W36" s="41" t="s">
        <v>678</v>
      </c>
      <c r="X36" s="50" t="s">
        <v>178</v>
      </c>
      <c r="Y36" s="50" t="s">
        <v>79</v>
      </c>
    </row>
    <row r="37" spans="2:25">
      <c r="B37" s="41" cm="1">
        <f t="array" ref="B37" xml:space="preserve"> INDEX(韻母表[韻序], MATCH(TRUE, EXACT($C37, 韻母表[十五音]), 0))</f>
        <v>3</v>
      </c>
      <c r="C37" s="50" t="str">
        <f xml:space="preserve"> _xlfn.XLOOKUP(E37, 韻母表[台羅拼音], 韻母表[十五音])</f>
        <v>金（舒）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im</v>
      </c>
      <c r="E37" s="50" t="s">
        <v>166</v>
      </c>
      <c r="F37" s="41" t="s">
        <v>166</v>
      </c>
      <c r="H37" s="41" t="s">
        <v>679</v>
      </c>
      <c r="I37" s="41" t="s">
        <v>680</v>
      </c>
      <c r="J37" s="41" t="s">
        <v>681</v>
      </c>
      <c r="K37" s="41" t="s">
        <v>682</v>
      </c>
      <c r="L37" s="41" t="s">
        <v>683</v>
      </c>
      <c r="M37" s="41" t="s">
        <v>684</v>
      </c>
      <c r="S37" s="41" t="s">
        <v>685</v>
      </c>
      <c r="T37" s="41" t="s">
        <v>686</v>
      </c>
      <c r="U37" s="41" t="s">
        <v>687</v>
      </c>
      <c r="V37" s="41" t="s">
        <v>688</v>
      </c>
      <c r="W37" s="41" t="s">
        <v>689</v>
      </c>
      <c r="X37" s="50" t="s">
        <v>166</v>
      </c>
      <c r="Y37" s="50" t="s">
        <v>66</v>
      </c>
    </row>
    <row r="38" spans="2:25">
      <c r="B38" s="41" cm="1">
        <f t="array" ref="B38" xml:space="preserve"> INDEX(韻母表[韻序], MATCH(TRUE, EXACT($C38, 韻母表[十五音]), 0))</f>
        <v>17</v>
      </c>
      <c r="C38" s="50" t="str">
        <f xml:space="preserve"> _xlfn.XLOOKUP(E38, 韻母表[台羅拼音], 韻母表[十五音])</f>
        <v>巾（舒）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in</v>
      </c>
      <c r="E38" s="50" t="s">
        <v>190</v>
      </c>
      <c r="F38" s="41" t="s">
        <v>190</v>
      </c>
      <c r="G38" s="41" t="s">
        <v>690</v>
      </c>
      <c r="H38" s="41" t="s">
        <v>691</v>
      </c>
      <c r="I38" s="41" t="s">
        <v>692</v>
      </c>
      <c r="J38" s="41" t="s">
        <v>693</v>
      </c>
      <c r="K38" s="41" t="s">
        <v>694</v>
      </c>
      <c r="L38" s="41" t="s">
        <v>695</v>
      </c>
      <c r="M38" s="41" t="s">
        <v>696</v>
      </c>
      <c r="Q38" s="41" t="s">
        <v>697</v>
      </c>
      <c r="R38" s="41" t="s">
        <v>698</v>
      </c>
      <c r="S38" s="41" t="s">
        <v>699</v>
      </c>
      <c r="T38" s="41" t="s">
        <v>700</v>
      </c>
      <c r="U38" s="41" t="s">
        <v>701</v>
      </c>
      <c r="V38" s="41" t="s">
        <v>702</v>
      </c>
      <c r="W38" s="41" t="s">
        <v>703</v>
      </c>
      <c r="X38" s="50" t="s">
        <v>190</v>
      </c>
      <c r="Y38" s="50" t="s">
        <v>94</v>
      </c>
    </row>
    <row r="39" spans="2:25">
      <c r="B39" s="41" cm="1">
        <f t="array" ref="B39" xml:space="preserve"> INDEX(韻母表[韻序], MATCH(TRUE, EXACT($C39, 韻母表[十五音]), 0))</f>
        <v>9</v>
      </c>
      <c r="C39" s="50" t="str">
        <f xml:space="preserve"> _xlfn.XLOOKUP(E39, 韻母表[台羅拼音], 韻母表[十五音])</f>
        <v>經（舒）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ɛŋ</v>
      </c>
      <c r="E39" s="50" t="s">
        <v>177</v>
      </c>
      <c r="F39" s="41" t="s">
        <v>177</v>
      </c>
      <c r="G39" s="41" t="s">
        <v>704</v>
      </c>
      <c r="H39" s="41" t="s">
        <v>705</v>
      </c>
      <c r="I39" s="41" t="s">
        <v>706</v>
      </c>
      <c r="K39" s="41" t="s">
        <v>707</v>
      </c>
      <c r="L39" s="41" t="s">
        <v>708</v>
      </c>
      <c r="M39" s="41" t="s">
        <v>709</v>
      </c>
      <c r="Q39" s="41" t="s">
        <v>710</v>
      </c>
      <c r="R39" s="41" t="s">
        <v>711</v>
      </c>
      <c r="S39" s="41" t="s">
        <v>712</v>
      </c>
      <c r="T39" s="41" t="s">
        <v>713</v>
      </c>
      <c r="U39" s="41" t="s">
        <v>714</v>
      </c>
      <c r="V39" s="41" t="s">
        <v>715</v>
      </c>
      <c r="W39" s="41" t="s">
        <v>716</v>
      </c>
      <c r="X39" s="50" t="s">
        <v>177</v>
      </c>
      <c r="Y39" s="50" t="s">
        <v>78</v>
      </c>
    </row>
    <row r="40" spans="2:25">
      <c r="B40" s="41" cm="1">
        <f t="array" ref="B40" xml:space="preserve"> INDEX(韻母表[韻序], MATCH(TRUE, EXACT($C40, 韻母表[十五音]), 0))</f>
        <v>34</v>
      </c>
      <c r="C40" s="50" t="str">
        <f xml:space="preserve"> _xlfn.XLOOKUP(E40, 韻母表[台羅拼音], 韻母表[十五音])</f>
        <v>梔（舒）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ĩ</v>
      </c>
      <c r="E40" s="50" t="s">
        <v>222</v>
      </c>
      <c r="F40" s="41" t="s">
        <v>222</v>
      </c>
      <c r="I40" s="41" t="s">
        <v>717</v>
      </c>
      <c r="K40" s="41" t="s">
        <v>718</v>
      </c>
      <c r="L40" s="41" t="s">
        <v>719</v>
      </c>
      <c r="S40" s="41" t="s">
        <v>720</v>
      </c>
      <c r="T40" s="41" t="s">
        <v>721</v>
      </c>
      <c r="U40" s="41" t="s">
        <v>722</v>
      </c>
      <c r="V40" s="41" t="s">
        <v>723</v>
      </c>
      <c r="W40" s="41" t="s">
        <v>724</v>
      </c>
      <c r="X40" s="50" t="s">
        <v>222</v>
      </c>
      <c r="Y40" s="50" t="s">
        <v>128</v>
      </c>
    </row>
    <row r="41" spans="2:25">
      <c r="B41" s="41" cm="1">
        <f t="array" ref="B41" xml:space="preserve"> INDEX(韻母表[韻序], MATCH(TRUE, EXACT($C41, 韻母表[十五音]), 0))</f>
        <v>33</v>
      </c>
      <c r="C41" s="50" t="str">
        <f xml:space="preserve"> _xlfn.XLOOKUP(E41, 韻母表[台羅拼音], 韻母表[十五音])</f>
        <v>茄（舒）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ɪə</v>
      </c>
      <c r="E41" s="50" t="s">
        <v>220</v>
      </c>
      <c r="F41" s="41" t="s">
        <v>220</v>
      </c>
      <c r="G41" s="41" t="s">
        <v>725</v>
      </c>
      <c r="H41" s="41" t="s">
        <v>726</v>
      </c>
      <c r="I41" s="41" t="s">
        <v>727</v>
      </c>
      <c r="J41" s="41" t="s">
        <v>728</v>
      </c>
      <c r="K41" s="41" t="s">
        <v>729</v>
      </c>
      <c r="L41" s="41" t="s">
        <v>730</v>
      </c>
      <c r="M41" s="41" t="s">
        <v>731</v>
      </c>
      <c r="Q41" s="41" t="s">
        <v>732</v>
      </c>
      <c r="R41" s="41" t="s">
        <v>733</v>
      </c>
      <c r="S41" s="41" t="s">
        <v>734</v>
      </c>
      <c r="T41" s="41" t="s">
        <v>735</v>
      </c>
      <c r="U41" s="41" t="s">
        <v>736</v>
      </c>
      <c r="V41" s="41" t="s">
        <v>737</v>
      </c>
      <c r="W41" s="41" t="s">
        <v>738</v>
      </c>
      <c r="X41" s="50" t="s">
        <v>220</v>
      </c>
      <c r="Y41" s="50" t="s">
        <v>126</v>
      </c>
    </row>
    <row r="42" spans="2:25">
      <c r="B42" s="41" cm="1">
        <f t="array" ref="B42" xml:space="preserve"> INDEX(韻母表[韻序], MATCH(TRUE, EXACT($C42, 韻母表[十五音]), 0))</f>
        <v>33</v>
      </c>
      <c r="C42" s="50" t="str">
        <f xml:space="preserve"> _xlfn.XLOOKUP(E42, 韻母表[台羅拼音], 韻母表[十五音])</f>
        <v>茄（促）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ɪəʔ</v>
      </c>
      <c r="E42" s="50" t="s">
        <v>221</v>
      </c>
      <c r="F42" s="41" t="s">
        <v>221</v>
      </c>
      <c r="H42" s="41" t="s">
        <v>739</v>
      </c>
      <c r="I42" s="41" t="s">
        <v>740</v>
      </c>
      <c r="K42" s="41" t="s">
        <v>741</v>
      </c>
      <c r="L42" s="41" t="s">
        <v>742</v>
      </c>
      <c r="M42" s="41" t="s">
        <v>743</v>
      </c>
      <c r="S42" s="41" t="s">
        <v>744</v>
      </c>
      <c r="T42" s="41" t="s">
        <v>745</v>
      </c>
      <c r="V42" s="41" t="s">
        <v>746</v>
      </c>
      <c r="W42" s="41" t="s">
        <v>747</v>
      </c>
      <c r="X42" s="50" t="s">
        <v>221</v>
      </c>
      <c r="Y42" s="50" t="s">
        <v>127</v>
      </c>
    </row>
    <row r="43" spans="2:25">
      <c r="B43" s="41" cm="1">
        <f t="array" ref="B43" xml:space="preserve"> INDEX(韻母表[韻序], MATCH(TRUE, EXACT($C43, 韻母表[十五音]), 0))</f>
        <v>14</v>
      </c>
      <c r="C43" s="50" t="str">
        <f xml:space="preserve"> _xlfn.XLOOKUP(E43, 韻母表[台羅拼音], 韻母表[十五音])</f>
        <v>恭（促）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ɪɔk̚</v>
      </c>
      <c r="E43" s="50" t="s">
        <v>186</v>
      </c>
      <c r="F43" s="41" t="s">
        <v>186</v>
      </c>
      <c r="H43" s="41" t="s">
        <v>748</v>
      </c>
      <c r="I43" s="41" t="s">
        <v>749</v>
      </c>
      <c r="J43" s="41" t="s">
        <v>750</v>
      </c>
      <c r="K43" s="41" t="s">
        <v>751</v>
      </c>
      <c r="L43" s="41" t="s">
        <v>752</v>
      </c>
      <c r="M43" s="41" t="s">
        <v>753</v>
      </c>
      <c r="S43" s="41" t="s">
        <v>754</v>
      </c>
      <c r="T43" s="41" t="s">
        <v>755</v>
      </c>
      <c r="U43" s="41" t="s">
        <v>756</v>
      </c>
      <c r="V43" s="41" t="s">
        <v>757</v>
      </c>
      <c r="W43" s="41" t="s">
        <v>758</v>
      </c>
      <c r="X43" s="50" t="s">
        <v>186</v>
      </c>
      <c r="Y43" s="50" t="s">
        <v>89</v>
      </c>
    </row>
    <row r="44" spans="2:25">
      <c r="B44" s="41" cm="1">
        <f t="array" ref="B44" xml:space="preserve"> INDEX(韻母表[韻序], MATCH(TRUE, EXACT($C44, 韻母表[十五音]), 0))</f>
        <v>14</v>
      </c>
      <c r="C44" s="50" t="str">
        <f xml:space="preserve"> _xlfn.XLOOKUP(E44, 韻母表[台羅拼音], 韻母表[十五音])</f>
        <v>恭（舒）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ɪɔŋ</v>
      </c>
      <c r="E44" s="50" t="s">
        <v>185</v>
      </c>
      <c r="F44" s="41" t="s">
        <v>185</v>
      </c>
      <c r="H44" s="41" t="s">
        <v>759</v>
      </c>
      <c r="I44" s="41" t="s">
        <v>760</v>
      </c>
      <c r="J44" s="41" t="s">
        <v>761</v>
      </c>
      <c r="K44" s="41" t="s">
        <v>762</v>
      </c>
      <c r="L44" s="41" t="s">
        <v>763</v>
      </c>
      <c r="M44" s="41" t="s">
        <v>764</v>
      </c>
      <c r="S44" s="41" t="s">
        <v>765</v>
      </c>
      <c r="T44" s="41" t="s">
        <v>766</v>
      </c>
      <c r="U44" s="41" t="s">
        <v>767</v>
      </c>
      <c r="V44" s="41" t="s">
        <v>768</v>
      </c>
      <c r="W44" s="41" t="s">
        <v>769</v>
      </c>
      <c r="X44" s="50" t="s">
        <v>185</v>
      </c>
      <c r="Y44" s="50" t="s">
        <v>88</v>
      </c>
    </row>
    <row r="45" spans="2:25">
      <c r="B45" s="41" cm="1">
        <f t="array" ref="B45" xml:space="preserve"> INDEX(韻母表[韻序], MATCH(TRUE, EXACT($C45, 韻母表[十五音]), 0))</f>
        <v>3</v>
      </c>
      <c r="C45" s="50" t="str">
        <f xml:space="preserve"> _xlfn.XLOOKUP(E45, 韻母表[台羅拼音], 韻母表[十五音])</f>
        <v>金（促）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ip̚</v>
      </c>
      <c r="E45" s="50" t="s">
        <v>167</v>
      </c>
      <c r="F45" s="41" t="s">
        <v>167</v>
      </c>
      <c r="I45" s="41" t="s">
        <v>770</v>
      </c>
      <c r="J45" s="41" t="s">
        <v>771</v>
      </c>
      <c r="K45" s="41" t="s">
        <v>772</v>
      </c>
      <c r="L45" s="41" t="s">
        <v>773</v>
      </c>
      <c r="M45" s="41" t="s">
        <v>774</v>
      </c>
      <c r="S45" s="41" t="s">
        <v>775</v>
      </c>
      <c r="V45" s="41" t="s">
        <v>776</v>
      </c>
      <c r="W45" s="41" t="s">
        <v>777</v>
      </c>
      <c r="X45" s="50" t="s">
        <v>167</v>
      </c>
      <c r="Y45" s="50" t="s">
        <v>67</v>
      </c>
    </row>
    <row r="46" spans="2:25">
      <c r="B46" s="41" cm="1">
        <f t="array" ref="B46" xml:space="preserve"> INDEX(韻母表[韻序], MATCH(TRUE, EXACT($C46, 韻母表[十五音]), 0))</f>
        <v>17</v>
      </c>
      <c r="C46" s="50" t="str">
        <f xml:space="preserve"> _xlfn.XLOOKUP(E46, 韻母表[台羅拼音], 韻母表[十五音])</f>
        <v>巾（促）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it̚</v>
      </c>
      <c r="E46" s="50" t="s">
        <v>191</v>
      </c>
      <c r="F46" s="41" t="s">
        <v>191</v>
      </c>
      <c r="G46" s="41" t="s">
        <v>778</v>
      </c>
      <c r="I46" s="41" t="s">
        <v>779</v>
      </c>
      <c r="J46" s="41" t="s">
        <v>780</v>
      </c>
      <c r="K46" s="41" t="s">
        <v>781</v>
      </c>
      <c r="L46" s="41" t="s">
        <v>782</v>
      </c>
      <c r="Q46" s="41" t="s">
        <v>783</v>
      </c>
      <c r="R46" s="41" t="s">
        <v>784</v>
      </c>
      <c r="S46" s="41" t="s">
        <v>785</v>
      </c>
      <c r="T46" s="41" t="s">
        <v>786</v>
      </c>
      <c r="V46" s="41" t="s">
        <v>787</v>
      </c>
      <c r="W46" s="41" t="s">
        <v>788</v>
      </c>
      <c r="X46" s="50" t="s">
        <v>191</v>
      </c>
      <c r="Y46" s="50" t="s">
        <v>95</v>
      </c>
    </row>
    <row r="47" spans="2:25">
      <c r="B47" s="41" cm="1">
        <f t="array" ref="B47" xml:space="preserve"> INDEX(韻母表[韻序], MATCH(TRUE, EXACT($C47, 韻母表[十五音]), 0))</f>
        <v>30</v>
      </c>
      <c r="C47" s="50" t="str">
        <f xml:space="preserve"> _xlfn.XLOOKUP(E47, 韻母表[台羅拼音], 韻母表[十五音])</f>
        <v>丩（舒）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ɪu</v>
      </c>
      <c r="E47" s="50" t="s">
        <v>216</v>
      </c>
      <c r="F47" s="41" t="s">
        <v>216</v>
      </c>
      <c r="G47" s="41" t="s">
        <v>789</v>
      </c>
      <c r="H47" s="41" t="s">
        <v>790</v>
      </c>
      <c r="I47" s="41" t="s">
        <v>791</v>
      </c>
      <c r="J47" s="41" t="s">
        <v>792</v>
      </c>
      <c r="K47" s="41" t="s">
        <v>793</v>
      </c>
      <c r="L47" s="41" t="s">
        <v>794</v>
      </c>
      <c r="M47" s="41" t="s">
        <v>795</v>
      </c>
      <c r="O47" s="41" t="s">
        <v>796</v>
      </c>
      <c r="Q47" s="41" t="s">
        <v>797</v>
      </c>
      <c r="S47" s="41" t="s">
        <v>798</v>
      </c>
      <c r="T47" s="41" t="s">
        <v>799</v>
      </c>
      <c r="U47" s="41" t="s">
        <v>800</v>
      </c>
      <c r="V47" s="41" t="s">
        <v>801</v>
      </c>
      <c r="W47" s="41" t="s">
        <v>802</v>
      </c>
      <c r="X47" s="50" t="s">
        <v>216</v>
      </c>
      <c r="Y47" s="50" t="s">
        <v>120</v>
      </c>
    </row>
    <row r="48" spans="2:25">
      <c r="B48" s="41" cm="1">
        <f t="array" ref="B48" xml:space="preserve"> INDEX(韻母表[韻序], MATCH(TRUE, EXACT($C48, 韻母表[十五音]), 0))</f>
        <v>50</v>
      </c>
      <c r="C48" s="50" t="str">
        <f xml:space="preserve"> _xlfn.XLOOKUP(E48, 韻母表[台羅拼音], 韻母表[十五音])</f>
        <v>牛（舒）</v>
      </c>
      <c r="D48" s="50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ɪũ</v>
      </c>
      <c r="E48" s="50" t="s">
        <v>239</v>
      </c>
      <c r="F48" s="41" t="s">
        <v>239</v>
      </c>
      <c r="I48" s="41" t="s">
        <v>803</v>
      </c>
      <c r="K48" s="41" t="s">
        <v>804</v>
      </c>
      <c r="L48" s="41" t="s">
        <v>805</v>
      </c>
      <c r="S48" s="41" t="s">
        <v>806</v>
      </c>
      <c r="T48" s="41" t="s">
        <v>807</v>
      </c>
      <c r="V48" s="41" t="s">
        <v>808</v>
      </c>
      <c r="W48" s="41" t="s">
        <v>809</v>
      </c>
      <c r="X48" s="50" t="s">
        <v>239</v>
      </c>
      <c r="Y48" s="50" t="s">
        <v>160</v>
      </c>
    </row>
    <row r="49" spans="2:25">
      <c r="B49" s="41" cm="1">
        <f t="array" ref="B49" xml:space="preserve"> INDEX(韻母表[韻序], MATCH(TRUE, EXACT($C49, 韻母表[十五音]), 0))</f>
        <v>50</v>
      </c>
      <c r="C49" s="50" t="str">
        <f xml:space="preserve"> _xlfn.XLOOKUP(E49, 韻母表[台羅拼音], 韻母表[十五音])</f>
        <v>牛（促）</v>
      </c>
      <c r="D49" s="50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ɪũʔ</v>
      </c>
      <c r="E49" s="50" t="s">
        <v>810</v>
      </c>
      <c r="F49" s="41" t="s">
        <v>810</v>
      </c>
      <c r="I49" s="41" t="s">
        <v>811</v>
      </c>
      <c r="X49" s="50" t="s">
        <v>810</v>
      </c>
      <c r="Y49" s="50" t="s">
        <v>161</v>
      </c>
    </row>
    <row r="50" spans="2:25">
      <c r="B50" s="41" cm="1">
        <f t="array" ref="B50" xml:space="preserve"> INDEX(韻母表[韻序], MATCH(TRUE, EXACT($C50, 韻母表[十五音]), 0))</f>
        <v>42</v>
      </c>
      <c r="C50" s="50" t="str">
        <f xml:space="preserve"> _xlfn.XLOOKUP(E50, 韻母表[台羅拼音], 韻母表[十五音])</f>
        <v>姆（舒）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m̩</v>
      </c>
      <c r="E50" s="50" t="s">
        <v>44</v>
      </c>
      <c r="F50" s="41" t="s">
        <v>44</v>
      </c>
      <c r="I50" s="41" t="s">
        <v>812</v>
      </c>
      <c r="X50" s="50" t="s">
        <v>44</v>
      </c>
      <c r="Y50" s="50" t="s">
        <v>144</v>
      </c>
    </row>
    <row r="51" spans="2:25">
      <c r="B51" s="41" cm="1">
        <f t="array" ref="B51" xml:space="preserve"> INDEX(韻母表[韻序], MATCH(TRUE, EXACT($C51, 韻母表[十五音]), 0))</f>
        <v>42</v>
      </c>
      <c r="C51" s="50" t="str">
        <f xml:space="preserve"> _xlfn.XLOOKUP(E51, 韻母表[台羅拼音], 韻母表[十五音])</f>
        <v>姆（促）</v>
      </c>
      <c r="D51" s="50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m̩h</v>
      </c>
      <c r="E51" s="50" t="s">
        <v>813</v>
      </c>
      <c r="I51" s="41" t="s">
        <v>814</v>
      </c>
      <c r="X51" s="50" t="s">
        <v>813</v>
      </c>
      <c r="Y51" s="50" t="s">
        <v>145</v>
      </c>
    </row>
    <row r="52" spans="2:25">
      <c r="B52" s="41" cm="1">
        <f t="array" ref="B52" xml:space="preserve"> INDEX(韻母表[韻序], MATCH(TRUE, EXACT($C52, 韻母表[十五音]), 0))</f>
        <v>38</v>
      </c>
      <c r="C52" s="50" t="str">
        <f xml:space="preserve"> _xlfn.XLOOKUP(E52, 韻母表[台羅拼音], 韻母表[十五音])</f>
        <v>鋼（舒）</v>
      </c>
      <c r="D52" s="50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ŋ̍</v>
      </c>
      <c r="E52" s="50" t="s">
        <v>52</v>
      </c>
      <c r="F52" s="41" t="s">
        <v>52</v>
      </c>
      <c r="I52" s="41" t="s">
        <v>815</v>
      </c>
      <c r="K52" s="41" t="s">
        <v>816</v>
      </c>
      <c r="L52" s="41" t="s">
        <v>817</v>
      </c>
      <c r="N52" s="41" t="s">
        <v>818</v>
      </c>
      <c r="O52" s="41" t="s">
        <v>819</v>
      </c>
      <c r="Q52" s="41" t="s">
        <v>820</v>
      </c>
      <c r="S52" s="41" t="s">
        <v>821</v>
      </c>
      <c r="T52" s="41" t="s">
        <v>822</v>
      </c>
      <c r="U52" s="41" t="s">
        <v>823</v>
      </c>
      <c r="V52" s="41" t="s">
        <v>824</v>
      </c>
      <c r="W52" s="41" t="s">
        <v>825</v>
      </c>
      <c r="X52" s="50" t="s">
        <v>52</v>
      </c>
      <c r="Y52" s="50" t="s">
        <v>136</v>
      </c>
    </row>
    <row r="53" spans="2:25">
      <c r="B53" s="41" cm="1">
        <f t="array" ref="B53" xml:space="preserve"> INDEX(韻母表[韻序], MATCH(TRUE, EXACT($C53, 韻母表[十五音]), 0))</f>
        <v>38</v>
      </c>
      <c r="C53" s="50" t="str">
        <f xml:space="preserve"> _xlfn.XLOOKUP(E53, 韻母表[台羅拼音], 韻母表[十五音])</f>
        <v>鋼（促）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ŋ̍h</v>
      </c>
      <c r="E53" s="50" t="s">
        <v>826</v>
      </c>
      <c r="I53" s="41" t="s">
        <v>827</v>
      </c>
      <c r="R53" s="41" t="s">
        <v>828</v>
      </c>
      <c r="S53" s="41" t="s">
        <v>829</v>
      </c>
      <c r="W53" s="41" t="s">
        <v>830</v>
      </c>
      <c r="X53" s="50" t="s">
        <v>826</v>
      </c>
      <c r="Y53" s="50" t="e">
        <v>#N/A</v>
      </c>
    </row>
    <row r="54" spans="2:25">
      <c r="B54" s="41" cm="1">
        <f t="array" ref="B54" xml:space="preserve"> INDEX(韻母表[韻序], MATCH(TRUE, EXACT($C54, 韻母表[十五音]), 0))</f>
        <v>15</v>
      </c>
      <c r="C54" s="50" t="str">
        <f xml:space="preserve"> _xlfn.XLOOKUP(E54, 韻母表[台羅拼音], 韻母表[十五音])</f>
        <v>高（舒）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ə</v>
      </c>
      <c r="E54" s="50" t="s">
        <v>187</v>
      </c>
      <c r="F54" s="41" t="s">
        <v>187</v>
      </c>
      <c r="G54" s="41" t="s">
        <v>831</v>
      </c>
      <c r="H54" s="41" t="s">
        <v>832</v>
      </c>
      <c r="I54" s="41" t="s">
        <v>833</v>
      </c>
      <c r="K54" s="41" t="s">
        <v>834</v>
      </c>
      <c r="L54" s="41" t="s">
        <v>835</v>
      </c>
      <c r="M54" s="41" t="s">
        <v>836</v>
      </c>
      <c r="Q54" s="41" t="s">
        <v>837</v>
      </c>
      <c r="R54" s="41" t="s">
        <v>838</v>
      </c>
      <c r="S54" s="41" t="s">
        <v>839</v>
      </c>
      <c r="T54" s="41" t="s">
        <v>840</v>
      </c>
      <c r="U54" s="41" t="s">
        <v>841</v>
      </c>
      <c r="V54" s="41" t="s">
        <v>842</v>
      </c>
      <c r="W54" s="41" t="s">
        <v>843</v>
      </c>
      <c r="X54" s="50" t="s">
        <v>187</v>
      </c>
      <c r="Y54" s="50" t="s">
        <v>90</v>
      </c>
    </row>
    <row r="55" spans="2:25">
      <c r="B55" s="41" cm="1">
        <f t="array" ref="B55" xml:space="preserve"> INDEX(韻母表[韻序], MATCH(TRUE, EXACT($C55, 韻母表[十五音]), 0))</f>
        <v>15</v>
      </c>
      <c r="C55" s="50" t="str">
        <f xml:space="preserve"> _xlfn.XLOOKUP(E55, 韻母表[台羅拼音], 韻母表[十五音])</f>
        <v>高（促）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əʔ</v>
      </c>
      <c r="E55" s="50" t="s">
        <v>188</v>
      </c>
      <c r="F55" s="41" t="s">
        <v>188</v>
      </c>
      <c r="I55" s="41" t="s">
        <v>844</v>
      </c>
      <c r="K55" s="41" t="s">
        <v>845</v>
      </c>
      <c r="M55" s="41" t="s">
        <v>846</v>
      </c>
      <c r="Q55" s="41" t="s">
        <v>847</v>
      </c>
      <c r="R55" s="41" t="s">
        <v>848</v>
      </c>
      <c r="S55" s="41" t="s">
        <v>849</v>
      </c>
      <c r="T55" s="41" t="s">
        <v>850</v>
      </c>
      <c r="U55" s="41" t="s">
        <v>851</v>
      </c>
      <c r="V55" s="41" t="s">
        <v>852</v>
      </c>
      <c r="W55" s="41" t="s">
        <v>853</v>
      </c>
      <c r="X55" s="50" t="s">
        <v>188</v>
      </c>
      <c r="Y55" s="50" t="s">
        <v>91</v>
      </c>
    </row>
    <row r="56" spans="2:25">
      <c r="B56" s="41" cm="1">
        <f t="array" ref="B56" xml:space="preserve"> INDEX(韻母表[韻序], MATCH(TRUE, EXACT($C56, 韻母表[十五音]), 0))</f>
        <v>7</v>
      </c>
      <c r="C56" s="50" t="str">
        <f xml:space="preserve"> _xlfn.XLOOKUP(E56, 韻母表[台羅拼音], 韻母表[十五音])</f>
        <v>公（促）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ɔk̚</v>
      </c>
      <c r="E56" s="50" t="s">
        <v>174</v>
      </c>
      <c r="F56" s="41" t="s">
        <v>174</v>
      </c>
      <c r="G56" s="41" t="s">
        <v>854</v>
      </c>
      <c r="H56" s="41" t="s">
        <v>855</v>
      </c>
      <c r="I56" s="41" t="s">
        <v>856</v>
      </c>
      <c r="K56" s="41" t="s">
        <v>857</v>
      </c>
      <c r="L56" s="41" t="s">
        <v>858</v>
      </c>
      <c r="M56" s="41" t="s">
        <v>859</v>
      </c>
      <c r="Q56" s="41" t="s">
        <v>860</v>
      </c>
      <c r="R56" s="41" t="s">
        <v>861</v>
      </c>
      <c r="S56" s="41" t="s">
        <v>862</v>
      </c>
      <c r="T56" s="41" t="s">
        <v>863</v>
      </c>
      <c r="U56" s="41" t="s">
        <v>864</v>
      </c>
      <c r="V56" s="41" t="s">
        <v>865</v>
      </c>
      <c r="W56" s="41" t="s">
        <v>866</v>
      </c>
      <c r="X56" s="50" t="s">
        <v>174</v>
      </c>
      <c r="Y56" s="50" t="s">
        <v>75</v>
      </c>
    </row>
    <row r="57" spans="2:25">
      <c r="B57" s="41" cm="1">
        <f t="array" ref="B57" xml:space="preserve"> INDEX(韻母表[韻序], MATCH(TRUE, EXACT($C57, 韻母表[十五音]), 0))</f>
        <v>47</v>
      </c>
      <c r="C57" s="50" t="str">
        <f xml:space="preserve"> _xlfn.XLOOKUP(E57, 韻母表[台羅拼音], 韻母表[十五音])</f>
        <v>箴（舒）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ɔm</v>
      </c>
      <c r="E57" s="50" t="s">
        <v>236</v>
      </c>
      <c r="F57" s="41" t="s">
        <v>236</v>
      </c>
      <c r="S57" s="41" t="s">
        <v>867</v>
      </c>
      <c r="T57" s="41" t="s">
        <v>868</v>
      </c>
      <c r="X57" s="50" t="s">
        <v>236</v>
      </c>
      <c r="Y57" s="50" t="s">
        <v>154</v>
      </c>
    </row>
    <row r="58" spans="2:25">
      <c r="B58" s="41" cm="1">
        <f t="array" ref="B58" xml:space="preserve"> INDEX(韻母表[韻序], MATCH(TRUE, EXACT($C58, 韻母表[十五音]), 0))</f>
        <v>7</v>
      </c>
      <c r="C58" s="50" t="str">
        <f xml:space="preserve"> _xlfn.XLOOKUP(E58, 韻母表[台羅拼音], 韻母表[十五音])</f>
        <v>公（舒）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ɔŋ</v>
      </c>
      <c r="E58" s="50" t="s">
        <v>173</v>
      </c>
      <c r="F58" s="41" t="s">
        <v>173</v>
      </c>
      <c r="G58" s="41" t="s">
        <v>869</v>
      </c>
      <c r="H58" s="41" t="s">
        <v>870</v>
      </c>
      <c r="I58" s="41" t="s">
        <v>871</v>
      </c>
      <c r="K58" s="41" t="s">
        <v>872</v>
      </c>
      <c r="L58" s="41" t="s">
        <v>873</v>
      </c>
      <c r="M58" s="41" t="s">
        <v>874</v>
      </c>
      <c r="Q58" s="41" t="s">
        <v>875</v>
      </c>
      <c r="R58" s="41" t="s">
        <v>876</v>
      </c>
      <c r="S58" s="41" t="s">
        <v>877</v>
      </c>
      <c r="T58" s="41" t="s">
        <v>878</v>
      </c>
      <c r="U58" s="41" t="s">
        <v>879</v>
      </c>
      <c r="V58" s="41" t="s">
        <v>880</v>
      </c>
      <c r="W58" s="41" t="s">
        <v>881</v>
      </c>
      <c r="X58" s="50" t="s">
        <v>173</v>
      </c>
      <c r="Y58" s="50" t="s">
        <v>74</v>
      </c>
    </row>
    <row r="59" spans="2:25">
      <c r="B59" s="41" cm="1">
        <f t="array" ref="B59" xml:space="preserve"> INDEX(韻母表[韻序], MATCH(TRUE, EXACT($C59, 韻母表[十五音]), 0))</f>
        <v>41</v>
      </c>
      <c r="C59" s="50" t="str">
        <f xml:space="preserve"> _xlfn.XLOOKUP(E59, 韻母表[台羅拼音], 韻母表[十五音])</f>
        <v>姑（舒）</v>
      </c>
      <c r="D59" s="50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õu</v>
      </c>
      <c r="E59" s="50" t="s">
        <v>229</v>
      </c>
      <c r="F59" s="41" t="s">
        <v>229</v>
      </c>
      <c r="I59" s="41" t="s">
        <v>882</v>
      </c>
      <c r="K59" s="41" t="s">
        <v>883</v>
      </c>
      <c r="X59" s="50" t="s">
        <v>229</v>
      </c>
      <c r="Y59" s="50" t="s">
        <v>142</v>
      </c>
    </row>
    <row r="60" spans="2:25">
      <c r="B60" s="41" cm="1">
        <f t="array" ref="B60" xml:space="preserve"> INDEX(韻母表[韻序], MATCH(TRUE, EXACT($C60, 韻母表[十五音]), 0))</f>
        <v>49</v>
      </c>
      <c r="C60" s="50" t="str">
        <f xml:space="preserve"> _xlfn.XLOOKUP(E60, 韻母表[台羅拼音], 韻母表[十五音])</f>
        <v>扛（促）</v>
      </c>
      <c r="D60" s="50" t="str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ɔ̃ʔ</v>
      </c>
      <c r="E60" s="50" t="s">
        <v>238</v>
      </c>
      <c r="F60" s="41" t="s">
        <v>238</v>
      </c>
      <c r="I60" s="41" t="s">
        <v>884</v>
      </c>
      <c r="X60" s="50" t="s">
        <v>238</v>
      </c>
      <c r="Y60" s="50" t="s">
        <v>159</v>
      </c>
    </row>
    <row r="61" spans="2:25">
      <c r="B61" s="41" cm="1">
        <f t="array" ref="B61" xml:space="preserve"> INDEX(韻母表[韻序], MATCH(TRUE, EXACT($C61, 韻母表[十五音]), 0))</f>
        <v>11</v>
      </c>
      <c r="C61" s="50" t="str">
        <f xml:space="preserve"> _xlfn.XLOOKUP(E61, 韻母表[台羅拼音], 韻母表[十五音])</f>
        <v>沽（舒）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ou</v>
      </c>
      <c r="E61" s="50" t="s">
        <v>181</v>
      </c>
      <c r="F61" s="41" t="s">
        <v>181</v>
      </c>
      <c r="G61" s="41" t="s">
        <v>885</v>
      </c>
      <c r="H61" s="41" t="s">
        <v>886</v>
      </c>
      <c r="I61" s="41" t="s">
        <v>887</v>
      </c>
      <c r="K61" s="41" t="s">
        <v>888</v>
      </c>
      <c r="L61" s="41" t="s">
        <v>889</v>
      </c>
      <c r="M61" s="41" t="s">
        <v>890</v>
      </c>
      <c r="N61" s="41" t="s">
        <v>891</v>
      </c>
      <c r="O61" s="41" t="s">
        <v>892</v>
      </c>
      <c r="P61" s="41" t="s">
        <v>893</v>
      </c>
      <c r="Q61" s="41" t="s">
        <v>894</v>
      </c>
      <c r="R61" s="41" t="s">
        <v>895</v>
      </c>
      <c r="S61" s="41" t="s">
        <v>896</v>
      </c>
      <c r="T61" s="41" t="s">
        <v>897</v>
      </c>
      <c r="U61" s="41" t="s">
        <v>898</v>
      </c>
      <c r="V61" s="41" t="s">
        <v>899</v>
      </c>
      <c r="W61" s="41" t="s">
        <v>900</v>
      </c>
      <c r="X61" s="50" t="s">
        <v>181</v>
      </c>
      <c r="Y61" s="50" t="s">
        <v>82</v>
      </c>
    </row>
    <row r="62" spans="2:25">
      <c r="B62" s="41" cm="1">
        <f t="array" ref="B62" xml:space="preserve"> INDEX(韻母表[韻序], MATCH(TRUE, EXACT($C62, 韻母表[十五音]), 0))</f>
        <v>11</v>
      </c>
      <c r="C62" s="50" t="str">
        <f xml:space="preserve"> _xlfn.XLOOKUP(E62, 韻母表[台羅拼音], 韻母表[十五音])</f>
        <v>沽（促）</v>
      </c>
      <c r="D62" s="50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ɔh</v>
      </c>
      <c r="E62" s="50" t="s">
        <v>253</v>
      </c>
      <c r="N62" s="41" t="s">
        <v>901</v>
      </c>
      <c r="X62" s="50" t="s">
        <v>253</v>
      </c>
      <c r="Y62" s="50" t="s">
        <v>83</v>
      </c>
    </row>
    <row r="63" spans="2:25">
      <c r="B63" s="41" cm="1">
        <f t="array" ref="B63" xml:space="preserve"> INDEX(韻母表[韻序], MATCH(TRUE, EXACT($C63, 韻母表[十五音]), 0))</f>
        <v>27</v>
      </c>
      <c r="C63" s="50" t="str">
        <f xml:space="preserve"> _xlfn.XLOOKUP(E63, 韻母表[台羅拼音], 韻母表[十五音])</f>
        <v>艍（舒）</v>
      </c>
      <c r="D63" s="50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u</v>
      </c>
      <c r="E63" s="50" t="s">
        <v>210</v>
      </c>
      <c r="F63" s="41" t="s">
        <v>210</v>
      </c>
      <c r="G63" s="41" t="s">
        <v>902</v>
      </c>
      <c r="H63" s="41" t="s">
        <v>903</v>
      </c>
      <c r="I63" s="41" t="s">
        <v>904</v>
      </c>
      <c r="J63" s="41" t="s">
        <v>905</v>
      </c>
      <c r="K63" s="41" t="s">
        <v>906</v>
      </c>
      <c r="L63" s="41" t="s">
        <v>907</v>
      </c>
      <c r="M63" s="41" t="s">
        <v>908</v>
      </c>
      <c r="Q63" s="41" t="s">
        <v>909</v>
      </c>
      <c r="R63" s="41" t="s">
        <v>910</v>
      </c>
      <c r="S63" s="41" t="s">
        <v>911</v>
      </c>
      <c r="T63" s="41" t="s">
        <v>912</v>
      </c>
      <c r="U63" s="41" t="s">
        <v>913</v>
      </c>
      <c r="V63" s="41" t="s">
        <v>914</v>
      </c>
      <c r="W63" s="41" t="s">
        <v>915</v>
      </c>
      <c r="X63" s="50" t="s">
        <v>210</v>
      </c>
      <c r="Y63" s="50" t="s">
        <v>114</v>
      </c>
    </row>
    <row r="64" spans="2:25">
      <c r="B64" s="41" cm="1">
        <f t="array" ref="B64" xml:space="preserve"> INDEX(韻母表[韻序], MATCH(TRUE, EXACT($C64, 韻母表[十五音]), 0))</f>
        <v>20</v>
      </c>
      <c r="C64" s="50" t="str">
        <f xml:space="preserve"> _xlfn.XLOOKUP(E64, 韻母表[台羅拼音], 韻母表[十五音])</f>
        <v>瓜（舒）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ua</v>
      </c>
      <c r="E64" s="50" t="s">
        <v>196</v>
      </c>
      <c r="F64" s="41" t="s">
        <v>196</v>
      </c>
      <c r="G64" s="41" t="s">
        <v>916</v>
      </c>
      <c r="H64" s="41" t="s">
        <v>917</v>
      </c>
      <c r="I64" s="41" t="s">
        <v>918</v>
      </c>
      <c r="K64" s="41" t="s">
        <v>919</v>
      </c>
      <c r="L64" s="41" t="s">
        <v>920</v>
      </c>
      <c r="M64" s="41" t="s">
        <v>921</v>
      </c>
      <c r="N64" s="41" t="s">
        <v>922</v>
      </c>
      <c r="O64" s="41" t="s">
        <v>923</v>
      </c>
      <c r="Q64" s="41" t="s">
        <v>924</v>
      </c>
      <c r="R64" s="41" t="s">
        <v>925</v>
      </c>
      <c r="S64" s="41" t="s">
        <v>926</v>
      </c>
      <c r="T64" s="41" t="s">
        <v>927</v>
      </c>
      <c r="U64" s="41" t="s">
        <v>928</v>
      </c>
      <c r="V64" s="41" t="s">
        <v>929</v>
      </c>
      <c r="W64" s="41" t="s">
        <v>930</v>
      </c>
      <c r="X64" s="50" t="s">
        <v>196</v>
      </c>
      <c r="Y64" s="50" t="s">
        <v>100</v>
      </c>
    </row>
    <row r="65" spans="2:25">
      <c r="B65" s="41" cm="1">
        <f t="array" ref="B65" xml:space="preserve"> INDEX(韻母表[韻序], MATCH(TRUE, EXACT($C65, 韻母表[十五音]), 0))</f>
        <v>20</v>
      </c>
      <c r="C65" s="50" t="str">
        <f xml:space="preserve"> _xlfn.XLOOKUP(E65, 韻母表[台羅拼音], 韻母表[十五音])</f>
        <v>瓜（促）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uaʔ</v>
      </c>
      <c r="E65" s="50" t="s">
        <v>197</v>
      </c>
      <c r="F65" s="41" t="s">
        <v>197</v>
      </c>
      <c r="G65" s="41" t="s">
        <v>931</v>
      </c>
      <c r="I65" s="41" t="s">
        <v>932</v>
      </c>
      <c r="J65" s="41" t="s">
        <v>933</v>
      </c>
      <c r="K65" s="41" t="s">
        <v>934</v>
      </c>
      <c r="L65" s="41" t="s">
        <v>935</v>
      </c>
      <c r="M65" s="41" t="s">
        <v>936</v>
      </c>
      <c r="Q65" s="41" t="s">
        <v>937</v>
      </c>
      <c r="R65" s="41" t="s">
        <v>938</v>
      </c>
      <c r="S65" s="41" t="s">
        <v>939</v>
      </c>
      <c r="U65" s="41" t="s">
        <v>940</v>
      </c>
      <c r="V65" s="41" t="s">
        <v>941</v>
      </c>
      <c r="W65" s="41" t="s">
        <v>942</v>
      </c>
      <c r="X65" s="50" t="s">
        <v>197</v>
      </c>
      <c r="Y65" s="50" t="s">
        <v>101</v>
      </c>
    </row>
    <row r="66" spans="2:25">
      <c r="B66" s="41" cm="1">
        <f t="array" ref="B66" xml:space="preserve"> INDEX(韻母表[韻序], MATCH(TRUE, EXACT($C66, 韻母表[十五音]), 0))</f>
        <v>8</v>
      </c>
      <c r="C66" s="50" t="str">
        <f xml:space="preserve"> _xlfn.XLOOKUP(E66, 韻母表[台羅拼音], 韻母表[十五音])</f>
        <v>乖（舒）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uai</v>
      </c>
      <c r="E66" s="50" t="s">
        <v>175</v>
      </c>
      <c r="F66" s="41" t="s">
        <v>175</v>
      </c>
      <c r="I66" s="41" t="s">
        <v>943</v>
      </c>
      <c r="K66" s="41" t="s">
        <v>944</v>
      </c>
      <c r="L66" s="41" t="s">
        <v>945</v>
      </c>
      <c r="S66" s="41" t="s">
        <v>946</v>
      </c>
      <c r="X66" s="50" t="s">
        <v>175</v>
      </c>
      <c r="Y66" s="50" t="s">
        <v>76</v>
      </c>
    </row>
    <row r="67" spans="2:25">
      <c r="B67" s="41" cm="1">
        <f t="array" ref="B67" xml:space="preserve"> INDEX(韻母表[韻序], MATCH(TRUE, EXACT($C67, 韻母表[十五音]), 0))</f>
        <v>44</v>
      </c>
      <c r="C67" s="50" t="str">
        <f xml:space="preserve"> _xlfn.XLOOKUP(E67, 韻母表[台羅拼音], 韻母表[十五音])</f>
        <v>閂（舒）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uãi</v>
      </c>
      <c r="E67" s="50" t="s">
        <v>232</v>
      </c>
      <c r="F67" s="41" t="s">
        <v>232</v>
      </c>
      <c r="I67" s="41" t="s">
        <v>947</v>
      </c>
      <c r="K67" s="41" t="s">
        <v>948</v>
      </c>
      <c r="S67" s="41" t="s">
        <v>949</v>
      </c>
      <c r="V67" s="41" t="s">
        <v>950</v>
      </c>
      <c r="X67" s="50" t="s">
        <v>232</v>
      </c>
      <c r="Y67" s="50" t="s">
        <v>148</v>
      </c>
    </row>
    <row r="68" spans="2:25">
      <c r="B68" s="41" cm="1">
        <f t="array" ref="B68" xml:space="preserve"> INDEX(韻母表[韻序], MATCH(TRUE, EXACT($C68, 韻母表[十五音]), 0))</f>
        <v>10</v>
      </c>
      <c r="C68" s="50" t="str">
        <f xml:space="preserve"> _xlfn.XLOOKUP(E68, 韻母表[台羅拼音], 韻母表[十五音])</f>
        <v>觀（舒）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uan</v>
      </c>
      <c r="E68" s="50" t="s">
        <v>179</v>
      </c>
      <c r="F68" s="41" t="s">
        <v>179</v>
      </c>
      <c r="G68" s="41" t="s">
        <v>951</v>
      </c>
      <c r="H68" s="41" t="s">
        <v>952</v>
      </c>
      <c r="I68" s="41" t="s">
        <v>953</v>
      </c>
      <c r="K68" s="41" t="s">
        <v>954</v>
      </c>
      <c r="L68" s="41" t="s">
        <v>955</v>
      </c>
      <c r="M68" s="41" t="s">
        <v>956</v>
      </c>
      <c r="Q68" s="41" t="s">
        <v>957</v>
      </c>
      <c r="R68" s="41" t="s">
        <v>958</v>
      </c>
      <c r="S68" s="41" t="s">
        <v>959</v>
      </c>
      <c r="T68" s="41" t="s">
        <v>960</v>
      </c>
      <c r="U68" s="41" t="s">
        <v>961</v>
      </c>
      <c r="V68" s="41" t="s">
        <v>962</v>
      </c>
      <c r="W68" s="41" t="s">
        <v>963</v>
      </c>
      <c r="X68" s="50" t="s">
        <v>179</v>
      </c>
      <c r="Y68" s="50" t="s">
        <v>80</v>
      </c>
    </row>
    <row r="69" spans="2:25">
      <c r="B69" s="41" cm="1">
        <f t="array" ref="B69" xml:space="preserve"> INDEX(韻母表[韻序], MATCH(TRUE, EXACT($C69, 韻母表[十五音]), 0))</f>
        <v>43</v>
      </c>
      <c r="C69" s="50" t="str">
        <f xml:space="preserve"> _xlfn.XLOOKUP(E69, 韻母表[台羅拼音], 韻母表[十五音])</f>
        <v>光（舒）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uaŋ</v>
      </c>
      <c r="E69" s="50" t="s">
        <v>230</v>
      </c>
      <c r="F69" s="41" t="s">
        <v>230</v>
      </c>
      <c r="W69" s="41" t="s">
        <v>964</v>
      </c>
      <c r="X69" s="50" t="s">
        <v>230</v>
      </c>
      <c r="Y69" s="50" t="s">
        <v>146</v>
      </c>
    </row>
    <row r="70" spans="2:25">
      <c r="B70" s="41" cm="1">
        <f t="array" ref="B70" xml:space="preserve"> INDEX(韻母表[韻序], MATCH(TRUE, EXACT($C70, 韻母表[十五音]), 0))</f>
        <v>37</v>
      </c>
      <c r="C70" s="50" t="str">
        <f xml:space="preserve"> _xlfn.XLOOKUP(E70, 韻母表[台羅拼音], 韻母表[十五音])</f>
        <v>官（舒）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uã</v>
      </c>
      <c r="E70" s="50" t="s">
        <v>226</v>
      </c>
      <c r="F70" s="41" t="s">
        <v>226</v>
      </c>
      <c r="I70" s="41" t="s">
        <v>965</v>
      </c>
      <c r="K70" s="41" t="s">
        <v>966</v>
      </c>
      <c r="L70" s="41" t="s">
        <v>967</v>
      </c>
      <c r="Q70" s="41" t="s">
        <v>968</v>
      </c>
      <c r="R70" s="41" t="s">
        <v>969</v>
      </c>
      <c r="S70" s="41" t="s">
        <v>970</v>
      </c>
      <c r="T70" s="41" t="s">
        <v>971</v>
      </c>
      <c r="U70" s="41" t="s">
        <v>972</v>
      </c>
      <c r="W70" s="41" t="s">
        <v>973</v>
      </c>
      <c r="X70" s="50" t="s">
        <v>226</v>
      </c>
      <c r="Y70" s="50" t="s">
        <v>134</v>
      </c>
    </row>
    <row r="71" spans="2:25">
      <c r="B71" s="41" cm="1">
        <f t="array" ref="B71" xml:space="preserve"> INDEX(韻母表[韻序], MATCH(TRUE, EXACT($C71, 韻母表[十五音]), 0))</f>
        <v>10</v>
      </c>
      <c r="C71" s="50" t="str">
        <f xml:space="preserve"> _xlfn.XLOOKUP(E71, 韻母表[台羅拼音], 韻母表[十五音])</f>
        <v>觀（促）</v>
      </c>
      <c r="D71" s="50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uat̚</v>
      </c>
      <c r="E71" s="50" t="s">
        <v>180</v>
      </c>
      <c r="F71" s="41" t="s">
        <v>180</v>
      </c>
      <c r="G71" s="41" t="s">
        <v>974</v>
      </c>
      <c r="H71" s="41" t="s">
        <v>975</v>
      </c>
      <c r="I71" s="41" t="s">
        <v>976</v>
      </c>
      <c r="K71" s="41" t="s">
        <v>977</v>
      </c>
      <c r="L71" s="41" t="s">
        <v>978</v>
      </c>
      <c r="M71" s="41" t="s">
        <v>979</v>
      </c>
      <c r="Q71" s="41" t="s">
        <v>980</v>
      </c>
      <c r="R71" s="41" t="s">
        <v>981</v>
      </c>
      <c r="S71" s="41" t="s">
        <v>982</v>
      </c>
      <c r="T71" s="41" t="s">
        <v>983</v>
      </c>
      <c r="U71" s="41" t="s">
        <v>984</v>
      </c>
      <c r="V71" s="41" t="s">
        <v>985</v>
      </c>
      <c r="X71" s="50" t="s">
        <v>180</v>
      </c>
      <c r="Y71" s="50" t="s">
        <v>81</v>
      </c>
    </row>
    <row r="72" spans="2:25">
      <c r="B72" s="41" cm="1">
        <f t="array" ref="B72" xml:space="preserve"> INDEX(韻母表[韻序], MATCH(TRUE, EXACT($C72, 韻母表[十五音]), 0))</f>
        <v>25</v>
      </c>
      <c r="C72" s="50" t="str">
        <f xml:space="preserve"> _xlfn.XLOOKUP(E72, 韻母表[台羅拼音], 韻母表[十五音])</f>
        <v>檜（舒）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uei</v>
      </c>
      <c r="E72" s="50" t="s">
        <v>206</v>
      </c>
      <c r="F72" s="41" t="s">
        <v>206</v>
      </c>
      <c r="G72" s="41" t="s">
        <v>986</v>
      </c>
      <c r="H72" s="41" t="s">
        <v>987</v>
      </c>
      <c r="I72" s="41" t="s">
        <v>988</v>
      </c>
      <c r="J72" s="41" t="s">
        <v>989</v>
      </c>
      <c r="K72" s="41" t="s">
        <v>990</v>
      </c>
      <c r="L72" s="41" t="s">
        <v>991</v>
      </c>
      <c r="M72" s="41" t="s">
        <v>992</v>
      </c>
      <c r="Q72" s="41" t="s">
        <v>993</v>
      </c>
      <c r="R72" s="41" t="s">
        <v>994</v>
      </c>
      <c r="S72" s="41" t="s">
        <v>995</v>
      </c>
      <c r="T72" s="41" t="s">
        <v>996</v>
      </c>
      <c r="V72" s="41" t="s">
        <v>997</v>
      </c>
      <c r="W72" s="41" t="s">
        <v>998</v>
      </c>
      <c r="X72" s="50" t="s">
        <v>206</v>
      </c>
      <c r="Y72" s="50" t="s">
        <v>110</v>
      </c>
    </row>
    <row r="73" spans="2:25">
      <c r="B73" s="41" cm="1">
        <f t="array" ref="B73" xml:space="preserve"> INDEX(韻母表[韻序], MATCH(TRUE, EXACT($C73, 韻母表[十五音]), 0))</f>
        <v>25</v>
      </c>
      <c r="C73" s="50" t="str">
        <f xml:space="preserve"> _xlfn.XLOOKUP(E73, 韻母表[台羅拼音], 韻母表[十五音])</f>
        <v>檜（促）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ueiʔ</v>
      </c>
      <c r="E73" s="50" t="s">
        <v>207</v>
      </c>
      <c r="F73" s="41" t="s">
        <v>207</v>
      </c>
      <c r="G73" s="41" t="s">
        <v>999</v>
      </c>
      <c r="H73" s="41" t="s">
        <v>1000</v>
      </c>
      <c r="I73" s="41" t="s">
        <v>1001</v>
      </c>
      <c r="K73" s="41" t="s">
        <v>1002</v>
      </c>
      <c r="L73" s="41" t="s">
        <v>1003</v>
      </c>
      <c r="Q73" s="41" t="s">
        <v>1004</v>
      </c>
      <c r="R73" s="41" t="s">
        <v>1005</v>
      </c>
      <c r="S73" s="41" t="s">
        <v>1006</v>
      </c>
      <c r="X73" s="50" t="s">
        <v>207</v>
      </c>
      <c r="Y73" s="50" t="s">
        <v>111</v>
      </c>
    </row>
    <row r="74" spans="2:25">
      <c r="B74" s="41" cm="1">
        <f t="array" ref="B74" xml:space="preserve"> INDEX(韻母表[韻序], MATCH(TRUE, EXACT($C74, 韻母表[十五音]), 0))</f>
        <v>27</v>
      </c>
      <c r="C74" s="50" t="str">
        <f xml:space="preserve"> _xlfn.XLOOKUP(E74, 韻母表[台羅拼音], 韻母表[十五音])</f>
        <v>艍（促）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uʔ</v>
      </c>
      <c r="E74" s="50" t="s">
        <v>211</v>
      </c>
      <c r="F74" s="41" t="s">
        <v>211</v>
      </c>
      <c r="L74" s="41" t="s">
        <v>1007</v>
      </c>
      <c r="Q74" s="41" t="s">
        <v>1008</v>
      </c>
      <c r="R74" s="41" t="s">
        <v>1009</v>
      </c>
      <c r="T74" s="41" t="s">
        <v>1010</v>
      </c>
      <c r="U74" s="41" t="s">
        <v>1011</v>
      </c>
      <c r="V74" s="41" t="s">
        <v>1012</v>
      </c>
      <c r="W74" s="41" t="s">
        <v>1013</v>
      </c>
      <c r="X74" s="50" t="s">
        <v>211</v>
      </c>
      <c r="Y74" s="50" t="s">
        <v>115</v>
      </c>
    </row>
    <row r="75" spans="2:25">
      <c r="B75" s="41" cm="1">
        <f t="array" ref="B75" xml:space="preserve"> INDEX(韻母表[韻序], MATCH(TRUE, EXACT($C75, 韻母表[十五音]), 0))</f>
        <v>4</v>
      </c>
      <c r="C75" s="50" t="str">
        <f xml:space="preserve"> _xlfn.XLOOKUP(E75, 韻母表[台羅拼音], 韻母表[十五音])</f>
        <v>規（舒）</v>
      </c>
      <c r="D75" s="50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ui</v>
      </c>
      <c r="E75" s="50" t="s">
        <v>168</v>
      </c>
      <c r="F75" s="41" t="s">
        <v>168</v>
      </c>
      <c r="G75" s="41" t="s">
        <v>1014</v>
      </c>
      <c r="H75" s="41" t="s">
        <v>1015</v>
      </c>
      <c r="I75" s="41" t="s">
        <v>1016</v>
      </c>
      <c r="K75" s="41" t="s">
        <v>1017</v>
      </c>
      <c r="L75" s="41" t="s">
        <v>1018</v>
      </c>
      <c r="M75" s="41" t="s">
        <v>1019</v>
      </c>
      <c r="N75" s="41" t="s">
        <v>1020</v>
      </c>
      <c r="Q75" s="41" t="s">
        <v>1021</v>
      </c>
      <c r="R75" s="41" t="s">
        <v>1022</v>
      </c>
      <c r="S75" s="41" t="s">
        <v>1023</v>
      </c>
      <c r="T75" s="41" t="s">
        <v>1024</v>
      </c>
      <c r="U75" s="41" t="s">
        <v>1025</v>
      </c>
      <c r="V75" s="41" t="s">
        <v>1026</v>
      </c>
      <c r="W75" s="41" t="s">
        <v>1027</v>
      </c>
      <c r="X75" s="50" t="s">
        <v>168</v>
      </c>
      <c r="Y75" s="50" t="s">
        <v>68</v>
      </c>
    </row>
    <row r="76" spans="2:25">
      <c r="B76" s="41" cm="1">
        <f t="array" ref="B76" xml:space="preserve"> INDEX(韻母表[韻序], MATCH(TRUE, EXACT($C76, 韻母表[十五音]), 0))</f>
        <v>1</v>
      </c>
      <c r="C76" s="50" t="str">
        <f xml:space="preserve"> _xlfn.XLOOKUP(E76, 韻母表[台羅拼音], 韻母表[十五音])</f>
        <v>君（舒）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un</v>
      </c>
      <c r="E76" s="50" t="s">
        <v>162</v>
      </c>
      <c r="F76" s="41" t="s">
        <v>162</v>
      </c>
      <c r="G76" s="41" t="s">
        <v>1028</v>
      </c>
      <c r="H76" s="41" t="s">
        <v>1029</v>
      </c>
      <c r="I76" s="41" t="s">
        <v>1030</v>
      </c>
      <c r="J76" s="41" t="s">
        <v>1031</v>
      </c>
      <c r="K76" s="41" t="s">
        <v>1032</v>
      </c>
      <c r="L76" s="41" t="s">
        <v>1033</v>
      </c>
      <c r="M76" s="41" t="s">
        <v>1034</v>
      </c>
      <c r="Q76" s="41" t="s">
        <v>1035</v>
      </c>
      <c r="R76" s="41" t="s">
        <v>1036</v>
      </c>
      <c r="S76" s="41" t="s">
        <v>1037</v>
      </c>
      <c r="T76" s="41" t="s">
        <v>1038</v>
      </c>
      <c r="U76" s="41" t="s">
        <v>1039</v>
      </c>
      <c r="V76" s="41" t="s">
        <v>1040</v>
      </c>
      <c r="W76" s="41" t="s">
        <v>1041</v>
      </c>
      <c r="X76" s="50" t="s">
        <v>162</v>
      </c>
      <c r="Y76" s="50" t="s">
        <v>62</v>
      </c>
    </row>
    <row r="77" spans="2:25">
      <c r="B77" s="41" cm="1">
        <f t="array" ref="B77" xml:space="preserve"> INDEX(韻母表[韻序], MATCH(TRUE, EXACT($C77, 韻母表[十五音]), 0))</f>
        <v>1</v>
      </c>
      <c r="C77" s="50" t="str">
        <f xml:space="preserve"> _xlfn.XLOOKUP(E77, 韻母表[台羅拼音], 韻母表[十五音])</f>
        <v>君（促）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ut̚</v>
      </c>
      <c r="E77" s="50" t="s">
        <v>163</v>
      </c>
      <c r="F77" s="41" t="s">
        <v>163</v>
      </c>
      <c r="G77" s="41" t="s">
        <v>1042</v>
      </c>
      <c r="I77" s="41" t="s">
        <v>1043</v>
      </c>
      <c r="K77" s="41" t="s">
        <v>1044</v>
      </c>
      <c r="L77" s="41" t="s">
        <v>1045</v>
      </c>
      <c r="M77" s="41" t="s">
        <v>1046</v>
      </c>
      <c r="Q77" s="41" t="s">
        <v>1047</v>
      </c>
      <c r="R77" s="41" t="s">
        <v>1048</v>
      </c>
      <c r="S77" s="41" t="s">
        <v>1049</v>
      </c>
      <c r="T77" s="41" t="s">
        <v>1050</v>
      </c>
      <c r="U77" s="41" t="s">
        <v>1051</v>
      </c>
      <c r="V77" s="41" t="s">
        <v>1052</v>
      </c>
      <c r="W77" s="41" t="s">
        <v>1053</v>
      </c>
      <c r="X77" s="50" t="s">
        <v>163</v>
      </c>
      <c r="Y77" s="50" t="s">
        <v>63</v>
      </c>
    </row>
    <row r="78" spans="2:25">
      <c r="B78" s="41" cm="1">
        <f t="array" ref="B78" xml:space="preserve"> INDEX(韻母表[韻序], MATCH(TRUE, EXACT($C78, 韻母表[十五音]), 0))</f>
        <v>13</v>
      </c>
      <c r="C78" s="51"/>
      <c r="D78" s="50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/>
      </c>
      <c r="E78" s="51"/>
      <c r="F78" s="49" t="s">
        <v>327</v>
      </c>
      <c r="G78" s="49" t="s">
        <v>43</v>
      </c>
      <c r="H78" s="49" t="s">
        <v>51</v>
      </c>
      <c r="I78" s="49" t="s">
        <v>53</v>
      </c>
      <c r="J78" s="49" t="s">
        <v>60</v>
      </c>
      <c r="K78" s="49" t="s">
        <v>49</v>
      </c>
      <c r="L78" s="49" t="s">
        <v>50</v>
      </c>
      <c r="M78" s="49" t="s">
        <v>47</v>
      </c>
      <c r="N78" s="49" t="s">
        <v>44</v>
      </c>
      <c r="O78" s="49" t="s">
        <v>48</v>
      </c>
      <c r="P78" s="49" t="s">
        <v>52</v>
      </c>
      <c r="Q78" s="49" t="s">
        <v>41</v>
      </c>
      <c r="R78" s="49" t="s">
        <v>42</v>
      </c>
      <c r="S78" s="49" t="s">
        <v>58</v>
      </c>
      <c r="T78" s="49" t="s">
        <v>45</v>
      </c>
      <c r="U78" s="49" t="s">
        <v>46</v>
      </c>
      <c r="V78" s="49" t="s">
        <v>54</v>
      </c>
      <c r="W78" s="49" t="s">
        <v>56</v>
      </c>
      <c r="X78" s="51"/>
      <c r="Y78" s="51"/>
    </row>
    <row r="79" spans="2:25">
      <c r="B79" s="41" cm="1">
        <f t="array" ref="B79" xml:space="preserve"> INDEX(韻母表[韻序], MATCH(TRUE, EXACT($C79, 韻母表[十五音]), 0))</f>
        <v>13</v>
      </c>
      <c r="C79" s="51"/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/>
      </c>
      <c r="E79" s="51"/>
      <c r="F79" s="49" t="s">
        <v>1055</v>
      </c>
      <c r="G79" s="49" t="s">
        <v>4</v>
      </c>
      <c r="H79" s="49" t="s">
        <v>10</v>
      </c>
      <c r="I79" s="49" t="s">
        <v>11</v>
      </c>
      <c r="J79" s="49" t="s">
        <v>15</v>
      </c>
      <c r="K79" s="49" t="s">
        <v>8</v>
      </c>
      <c r="L79" s="49" t="s">
        <v>9</v>
      </c>
      <c r="M79" s="49" t="s">
        <v>7</v>
      </c>
      <c r="N79" s="49" t="s">
        <v>4</v>
      </c>
      <c r="O79" s="49" t="s">
        <v>7</v>
      </c>
      <c r="P79" s="49" t="s">
        <v>10</v>
      </c>
      <c r="Q79" s="49" t="s">
        <v>2</v>
      </c>
      <c r="R79" s="49" t="s">
        <v>3</v>
      </c>
      <c r="S79" s="49" t="s">
        <v>14</v>
      </c>
      <c r="T79" s="49" t="s">
        <v>5</v>
      </c>
      <c r="U79" s="49" t="s">
        <v>6</v>
      </c>
      <c r="V79" s="49" t="s">
        <v>12</v>
      </c>
      <c r="W79" s="49" t="s">
        <v>13</v>
      </c>
      <c r="X79" s="51"/>
      <c r="Y79" s="5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工作表1</vt:lpstr>
      <vt:lpstr>十五音聲母</vt:lpstr>
      <vt:lpstr>十五音韻母</vt:lpstr>
      <vt:lpstr>十五音韻母【台羅拼音】</vt:lpstr>
      <vt:lpstr>工作表2</vt:lpstr>
      <vt:lpstr>十五音音節表</vt:lpstr>
      <vt:lpstr>十五音音節表【BoPoMo序】</vt:lpstr>
      <vt:lpstr>音節表【台羅拼音序】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2026-08-03T05:08:39Z</dcterms:created>
  <dcterms:modified xsi:type="dcterms:W3CDTF">2026-08-06T11:49:25Z</dcterms:modified>
</cp:coreProperties>
</file>