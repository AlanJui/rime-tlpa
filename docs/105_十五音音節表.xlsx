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39A21C91-6D21-4441-A44A-C0D98E2F85F2}" xr6:coauthVersionLast="47" xr6:coauthVersionMax="47" xr10:uidLastSave="{00000000-0000-0000-0000-000000000000}"/>
  <bookViews>
    <workbookView xWindow="-28920" yWindow="-120" windowWidth="29040" windowHeight="15720" firstSheet="1" activeTab="2" xr2:uid="{5BF56E62-E34C-4B16-A26D-70A9456E8A67}"/>
  </bookViews>
  <sheets>
    <sheet name="工作表1" sheetId="1" r:id="rId1"/>
    <sheet name="十五音聲母" sheetId="4" r:id="rId2"/>
    <sheet name="十五音韻母" sheetId="5" r:id="rId3"/>
    <sheet name="十五音韻母【台羅拼音】" sheetId="7" r:id="rId4"/>
    <sheet name="十五音音節表" sheetId="6" r:id="rId5"/>
    <sheet name="十五音音節表【BoPoMo序】" sheetId="2" r:id="rId6"/>
    <sheet name="音節表【台羅拼音序】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3" i="5" l="1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E77" i="7"/>
  <c r="B77" i="7"/>
  <c r="B76" i="7"/>
  <c r="B75" i="7"/>
  <c r="B74" i="7"/>
  <c r="M73" i="7"/>
  <c r="L73" i="7"/>
  <c r="K73" i="7"/>
  <c r="J73" i="7"/>
  <c r="I73" i="7"/>
  <c r="H73" i="7"/>
  <c r="G73" i="7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/>
  <c r="D26" i="3" a="1"/>
  <c r="D26" i="3" s="1"/>
  <c r="D27" i="3" a="1"/>
  <c r="D27" i="3" s="1"/>
  <c r="D28" i="3" a="1"/>
  <c r="D28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/>
  <c r="D49" i="3" a="1"/>
  <c r="D49" i="3"/>
  <c r="D50" i="3" a="1"/>
  <c r="D50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B4" i="3" a="1"/>
  <c r="B4" i="3" s="1"/>
  <c r="B5" i="3" a="1"/>
  <c r="B5" i="3"/>
  <c r="B6" i="3" a="1"/>
  <c r="B6" i="3" s="1"/>
  <c r="B7" i="3" a="1"/>
  <c r="B7" i="3"/>
  <c r="B8" i="3" a="1"/>
  <c r="B8" i="3"/>
  <c r="B9" i="3" a="1"/>
  <c r="B9" i="3"/>
  <c r="B10" i="3" a="1"/>
  <c r="B10" i="3" s="1"/>
  <c r="B11" i="3" a="1"/>
  <c r="B11" i="3"/>
  <c r="B12" i="3" a="1"/>
  <c r="B12" i="3" s="1"/>
  <c r="B13" i="3" a="1"/>
  <c r="B13" i="3"/>
  <c r="B14" i="3" a="1"/>
  <c r="B14" i="3" s="1"/>
  <c r="B15" i="3" a="1"/>
  <c r="B15" i="3"/>
  <c r="B16" i="3" a="1"/>
  <c r="B16" i="3"/>
  <c r="B17" i="3" a="1"/>
  <c r="B17" i="3"/>
  <c r="B18" i="3" a="1"/>
  <c r="B18" i="3"/>
  <c r="B19" i="3" a="1"/>
  <c r="B19" i="3"/>
  <c r="B20" i="3" a="1"/>
  <c r="B20" i="3" s="1"/>
  <c r="B21" i="3" a="1"/>
  <c r="B21" i="3"/>
  <c r="B22" i="3" a="1"/>
  <c r="B22" i="3" s="1"/>
  <c r="B23" i="3" a="1"/>
  <c r="B23" i="3"/>
  <c r="B24" i="3" a="1"/>
  <c r="B24" i="3"/>
  <c r="B25" i="3" a="1"/>
  <c r="B25" i="3"/>
  <c r="B26" i="3" a="1"/>
  <c r="B26" i="3"/>
  <c r="B27" i="3" a="1"/>
  <c r="B27" i="3"/>
  <c r="B28" i="3" a="1"/>
  <c r="B28" i="3" s="1"/>
  <c r="B29" i="3" a="1"/>
  <c r="B29" i="3"/>
  <c r="B30" i="3" a="1"/>
  <c r="B30" i="3" s="1"/>
  <c r="B31" i="3" a="1"/>
  <c r="B31" i="3"/>
  <c r="B32" i="3" a="1"/>
  <c r="B32" i="3"/>
  <c r="B33" i="3" a="1"/>
  <c r="B33" i="3"/>
  <c r="B34" i="3" a="1"/>
  <c r="B34" i="3"/>
  <c r="B35" i="3" a="1"/>
  <c r="B35" i="3"/>
  <c r="B36" i="3" a="1"/>
  <c r="B36" i="3" s="1"/>
  <c r="B37" i="3" a="1"/>
  <c r="B37" i="3"/>
  <c r="B38" i="3" a="1"/>
  <c r="B38" i="3" s="1"/>
  <c r="B39" i="3" a="1"/>
  <c r="B39" i="3"/>
  <c r="B40" i="3" a="1"/>
  <c r="B40" i="3"/>
  <c r="B41" i="3" a="1"/>
  <c r="B41" i="3"/>
  <c r="B42" i="3" a="1"/>
  <c r="B42" i="3"/>
  <c r="B43" i="3" a="1"/>
  <c r="B43" i="3"/>
  <c r="B44" i="3" a="1"/>
  <c r="B44" i="3" s="1"/>
  <c r="B45" i="3" a="1"/>
  <c r="B45" i="3"/>
  <c r="B46" i="3" a="1"/>
  <c r="B46" i="3" s="1"/>
  <c r="B47" i="3" a="1"/>
  <c r="B47" i="3"/>
  <c r="B48" i="3" a="1"/>
  <c r="B48" i="3"/>
  <c r="B49" i="3" a="1"/>
  <c r="B49" i="3"/>
  <c r="B50" i="3" a="1"/>
  <c r="B50" i="3"/>
  <c r="B51" i="3" a="1"/>
  <c r="B51" i="3"/>
  <c r="B52" i="3" a="1"/>
  <c r="B52" i="3" s="1"/>
  <c r="B53" i="3" a="1"/>
  <c r="B53" i="3"/>
  <c r="B54" i="3" a="1"/>
  <c r="B54" i="3" s="1"/>
  <c r="B55" i="3" a="1"/>
  <c r="B55" i="3"/>
  <c r="B56" i="3" a="1"/>
  <c r="B56" i="3"/>
  <c r="B57" i="3" a="1"/>
  <c r="B57" i="3"/>
  <c r="B58" i="3" a="1"/>
  <c r="B58" i="3" s="1"/>
  <c r="B59" i="3" a="1"/>
  <c r="B59" i="3"/>
  <c r="B60" i="3" a="1"/>
  <c r="B60" i="3" s="1"/>
  <c r="B61" i="3" a="1"/>
  <c r="B61" i="3"/>
  <c r="B62" i="3" a="1"/>
  <c r="B62" i="3" s="1"/>
  <c r="B63" i="3" a="1"/>
  <c r="B63" i="3"/>
  <c r="B64" i="3" a="1"/>
  <c r="B64" i="3"/>
  <c r="B65" i="3" a="1"/>
  <c r="B65" i="3"/>
  <c r="B66" i="3" a="1"/>
  <c r="B66" i="3" s="1"/>
  <c r="B67" i="3" a="1"/>
  <c r="B67" i="3"/>
  <c r="B68" i="3" a="1"/>
  <c r="B68" i="3" s="1"/>
  <c r="B69" i="3" a="1"/>
  <c r="B69" i="3"/>
  <c r="B70" i="3" a="1"/>
  <c r="B70" i="3" s="1"/>
  <c r="B71" i="3" a="1"/>
  <c r="B71" i="3"/>
  <c r="B72" i="3" a="1"/>
  <c r="B72" i="3"/>
  <c r="B73" i="3" a="1"/>
  <c r="B73" i="3"/>
  <c r="B74" i="3" a="1"/>
  <c r="B74" i="3" s="1"/>
  <c r="B75" i="3" a="1"/>
  <c r="B75" i="3"/>
  <c r="B76" i="3" a="1"/>
  <c r="B76" i="3" s="1"/>
  <c r="B77" i="3" a="1"/>
  <c r="B77" i="3"/>
  <c r="B78" i="3" a="1"/>
  <c r="B78" i="3" s="1"/>
  <c r="B79" i="3" a="1"/>
  <c r="B79" i="3"/>
  <c r="D7" i="6" a="1"/>
  <c r="D7" i="6" s="1"/>
  <c r="D8" i="6" a="1"/>
  <c r="D8" i="6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M85" i="5"/>
  <c r="L85" i="5"/>
  <c r="K85" i="5"/>
  <c r="J85" i="5"/>
  <c r="I85" i="5"/>
  <c r="H85" i="5"/>
  <c r="G85" i="5"/>
  <c r="E85" i="5"/>
  <c r="M77" i="5"/>
  <c r="L77" i="5"/>
  <c r="K77" i="5"/>
  <c r="J77" i="5"/>
  <c r="I77" i="5"/>
  <c r="H77" i="5"/>
  <c r="G77" i="5"/>
  <c r="E68" i="6" s="1" a="1"/>
  <c r="E68" i="6" s="1"/>
  <c r="E77" i="5"/>
  <c r="B65" i="6" a="1"/>
  <c r="B65" i="6" s="1"/>
  <c r="M73" i="5"/>
  <c r="L73" i="5"/>
  <c r="K73" i="5"/>
  <c r="J73" i="5"/>
  <c r="I73" i="5"/>
  <c r="H73" i="5"/>
  <c r="G73" i="5"/>
  <c r="E73" i="5"/>
  <c r="M23" i="5"/>
  <c r="L23" i="5"/>
  <c r="H23" i="5"/>
  <c r="I23" i="5"/>
  <c r="J23" i="5"/>
  <c r="K23" i="5"/>
  <c r="G2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B2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B3" i="3" l="1" a="1"/>
  <c r="B3" i="3" s="1"/>
  <c r="D3" i="3" a="1"/>
  <c r="D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<sst xmlns="http://schemas.openxmlformats.org/spreadsheetml/2006/main" count="4902" uniqueCount="1402">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</sst>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41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10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9" fillId="7" borderId="1" xfId="0" applyNumberFormat="1" applyFont="1" applyFill="1" applyBorder="1">
      <alignment vertical="center"/>
    </xf>
    <xf numFmtId="0" fontId="9" fillId="7" borderId="5" xfId="0" applyNumberFormat="1" applyFont="1" applyFill="1" applyBorder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NumberFormat="1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 applyBorder="1">
      <alignment vertical="center"/>
    </xf>
    <xf numFmtId="0" fontId="39" fillId="6" borderId="0" xfId="0" applyFont="1" applyFill="1" applyAlignment="1">
      <alignment horizontal="center" vertical="center"/>
    </xf>
  </cellXfs>
  <cellStyles count="2">
    <cellStyle name="一般" xfId="0" builtinId="0"/>
    <cellStyle name="一般 2" xfId="1" xr:uid="{E57FFF29-A59B-46E2-A496-66E529F383CC}"/>
  </cellStyles>
  <dxfs count="80"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bottom style="thin">
          <color rgb="FF000000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62" headerRowBorderDxfId="61" tableBorderDxfId="60" totalsRowBorderDxfId="59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58"/>
    <tableColumn id="13" xr3:uid="{F49FED34-8A68-43B1-A51D-B6550AE47953}" name="音序" dataDxfId="57"/>
    <tableColumn id="2" xr3:uid="{A6E193EA-549C-4029-8823-9DFE17442FF1}" name="漢字例" dataDxfId="56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55"/>
    <tableColumn id="4" xr3:uid="{9014A3FB-03BF-4D2A-833F-6D18B2FC48DE}" name="台羅拼音"/>
    <tableColumn id="7" xr3:uid="{DE46D56A-2F6F-460E-97EB-6221DBF36190}" name="台語音標" dataDxfId="54"/>
    <tableColumn id="8" xr3:uid="{6416C7B5-02F3-4A4B-A59B-F5CCC29DA4BC}" name="白話字" dataDxfId="53"/>
    <tableColumn id="9" xr3:uid="{499810EC-AD1D-46F1-B997-07B17DA95245}" name="閩拼方案" dataDxfId="52"/>
    <tableColumn id="10" xr3:uid="{5D3D9CE2-D240-4ADB-A8EC-5DF1AD126A55}" name="注音二式" dataDxfId="51"/>
    <tableColumn id="11" xr3:uid="{E1D819DB-0A80-42E2-A97A-E02BCFDCB063}" name="方音符號" dataDxfId="50"/>
    <tableColumn id="12" xr3:uid="{F009D45F-2383-4AB9-BA72-A06F1F14EE9E}" name="台語注音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79" dataDxfId="77" headerRowBorderDxfId="78" tableBorderDxfId="76">
  <autoFilter ref="A1:M101" xr:uid="{23E007DD-5182-4B78-80DA-A6AB6CA14806}"/>
  <tableColumns count="13">
    <tableColumn id="1" xr3:uid="{89688CC6-39FE-4435-8344-AAA347FCBED4}" name="序號" dataDxfId="75"/>
    <tableColumn id="5" xr3:uid="{8A21DB38-57E0-482B-95FC-B597347A8BDE}" name="韻序" dataDxfId="74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73"/>
    <tableColumn id="3" xr3:uid="{2C1D54ED-CBE3-4710-8C55-0AC6BB332524}" name="十五音" dataDxfId="72"/>
    <tableColumn id="6" xr3:uid="{9CAF41C9-1F52-4C5E-8A5F-0F0DECF6DB84}" name="國際音標" dataDxfId="71"/>
    <tableColumn id="7" xr3:uid="{6F37C033-2A03-4BC2-AB1F-B6A6D6E849EF}" name="國際音標2" dataDxfId="70"/>
    <tableColumn id="4" xr3:uid="{F38AD89D-9FC9-4519-A8D2-EEB6952EEAC1}" name="台羅拼音" dataDxfId="69"/>
    <tableColumn id="8" xr3:uid="{E2316195-DFB7-4D73-80AE-5AF5CB638098}" name="台語音標" dataDxfId="68"/>
    <tableColumn id="9" xr3:uid="{0A03E710-B799-4430-BEA2-5ABB2CD0E1A1}" name="白話字" dataDxfId="67"/>
    <tableColumn id="10" xr3:uid="{CA8E7716-EF33-499C-AAB0-A73DA24D6D6C}" name="閩拼方案" dataDxfId="66"/>
    <tableColumn id="11" xr3:uid="{44C917DF-FD45-429A-B606-AA4AA4A2D8B8}" name="注音二式" dataDxfId="65"/>
    <tableColumn id="12" xr3:uid="{A817EC74-78DE-4E34-8B25-4BAD35257767}" name="方音符號" dataDxfId="64"/>
    <tableColumn id="13" xr3:uid="{156C12E1-9EC9-4906-AFF2-E587C73D5F0D}" name="台語注音" dataDxfId="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40" dataDxfId="39" headerRowBorderDxfId="37" tableBorderDxfId="38">
  <autoFilter ref="A1:M104" xr:uid="{23E007DD-5182-4B78-80DA-A6AB6CA14806}"/>
  <tableColumns count="13">
    <tableColumn id="1" xr3:uid="{F8E86299-D90F-4592-ABDC-A0D652A239EA}" name="序號" dataDxfId="36"/>
    <tableColumn id="5" xr3:uid="{24C83CBE-F51A-4055-8C74-B669A9FEC2BB}" name="韻序" dataDxfId="35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34"/>
    <tableColumn id="3" xr3:uid="{EC7EADF7-9219-4A1D-BADE-5B70D687F5BE}" name="十五音" dataDxfId="33"/>
    <tableColumn id="6" xr3:uid="{D42B0375-1395-4AA5-9592-400D314FF4A6}" name="國際音標" dataDxfId="32"/>
    <tableColumn id="7" xr3:uid="{4FF66326-E3D3-4547-AACD-6FB02A224286}" name="國際音標2" dataDxfId="31"/>
    <tableColumn id="4" xr3:uid="{14118607-EB7E-45B6-BA80-82DA602FEA15}" name="台羅拼音" dataDxfId="30"/>
    <tableColumn id="8" xr3:uid="{B9308C5F-5158-4627-97E6-3777D062785C}" name="台語音標" dataDxfId="29"/>
    <tableColumn id="9" xr3:uid="{4D40D46C-12FE-42D7-893F-D328F6CC3B39}" name="白話字" dataDxfId="28"/>
    <tableColumn id="10" xr3:uid="{E55C9A5F-E95C-4F9C-95C2-8A79906E6908}" name="閩拼方案" dataDxfId="27"/>
    <tableColumn id="11" xr3:uid="{2FF03B77-E51C-4F7F-AC68-ACCC6F92D98A}" name="注音二式" dataDxfId="26"/>
    <tableColumn id="12" xr3:uid="{E71F16DA-D83F-43D8-B782-448D0B3850FD}" name="方音符號" dataDxfId="25"/>
    <tableColumn id="13" xr3:uid="{AF2B7E9E-8412-4DD8-AF9D-37FEF1CA2005}" name="台語注音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zoomScaleNormal="100" workbookViewId="0">
      <pane xSplit="4" ySplit="3" topLeftCell="E80" activePane="bottomRight" state="frozen"/>
      <selection pane="topRight" activeCell="E1" sqref="E1"/>
      <selection pane="bottomLeft" activeCell="A4" sqref="A4"/>
      <selection pane="bottomRight" activeCell="Z1" sqref="A1:Z3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94" t="s">
        <v>17</v>
      </c>
      <c r="B1" s="94"/>
      <c r="C1" s="94"/>
      <c r="D1" s="94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94" t="s">
        <v>0</v>
      </c>
      <c r="B2" s="94"/>
      <c r="C2" s="94"/>
      <c r="D2" s="94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94" t="s">
        <v>40</v>
      </c>
      <c r="B3" s="94"/>
      <c r="C3" s="94"/>
      <c r="D3" s="94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48" priority="1">
      <formula>E4=""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topLeftCell="A11" workbookViewId="0">
      <selection activeCell="L23" sqref="L23"/>
    </sheetView>
  </sheetViews>
  <sheetFormatPr defaultRowHeight="16.5"/>
  <cols>
    <col min="1" max="3" width="9.875" customWidth="1"/>
    <col min="4" max="5" width="13" customWidth="1"/>
    <col min="6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71">
        <v>8</v>
      </c>
      <c r="B2" s="71">
        <v>1</v>
      </c>
      <c r="C2" s="5" t="s">
        <v>25</v>
      </c>
      <c r="D2" s="9" t="s">
        <v>7</v>
      </c>
      <c r="E2" s="9" t="s">
        <v>7</v>
      </c>
      <c r="F2" s="43" t="s">
        <v>47</v>
      </c>
      <c r="G2" s="43" t="s">
        <v>47</v>
      </c>
      <c r="H2" s="43" t="s">
        <v>47</v>
      </c>
      <c r="I2" s="43" t="s">
        <v>47</v>
      </c>
      <c r="J2" s="43" t="s">
        <v>47</v>
      </c>
      <c r="K2" s="43" t="s">
        <v>47</v>
      </c>
      <c r="L2" s="43" t="s">
        <v>1273</v>
      </c>
      <c r="M2" s="43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73">
        <v>16</v>
      </c>
      <c r="B11" s="73">
        <v>8</v>
      </c>
      <c r="C11" s="4" t="s">
        <v>33</v>
      </c>
      <c r="D11" s="8" t="s">
        <v>12</v>
      </c>
      <c r="E11" s="8" t="s">
        <v>12</v>
      </c>
      <c r="F11" s="42" t="s">
        <v>1290</v>
      </c>
      <c r="G11" s="42" t="s">
        <v>55</v>
      </c>
      <c r="H11" s="42" t="s">
        <v>1291</v>
      </c>
      <c r="I11" s="42" t="s">
        <v>1292</v>
      </c>
      <c r="J11" s="42" t="s">
        <v>1291</v>
      </c>
      <c r="K11" s="42" t="s">
        <v>60</v>
      </c>
      <c r="L11" s="42" t="s">
        <v>1293</v>
      </c>
      <c r="M11" s="42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71">
        <v>22</v>
      </c>
      <c r="B13" s="71">
        <v>9</v>
      </c>
      <c r="C13" s="5" t="s">
        <v>39</v>
      </c>
      <c r="D13" s="9" t="s">
        <v>16</v>
      </c>
      <c r="E13" s="9" t="s">
        <v>16</v>
      </c>
      <c r="F13" s="43" t="s">
        <v>1298</v>
      </c>
      <c r="G13" s="43" t="s">
        <v>61</v>
      </c>
      <c r="H13" s="43" t="s">
        <v>527</v>
      </c>
      <c r="I13" s="43" t="s">
        <v>527</v>
      </c>
      <c r="J13" s="43" t="s">
        <v>1299</v>
      </c>
      <c r="K13" s="43" t="s">
        <v>1300</v>
      </c>
      <c r="L13" s="43" t="s">
        <v>1301</v>
      </c>
      <c r="M13" s="43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73">
        <v>20</v>
      </c>
      <c r="B15" s="73">
        <v>10</v>
      </c>
      <c r="C15" s="4" t="s">
        <v>37</v>
      </c>
      <c r="D15" s="8" t="s">
        <v>14</v>
      </c>
      <c r="E15" s="8" t="s">
        <v>14</v>
      </c>
      <c r="F15" s="42" t="s">
        <v>1303</v>
      </c>
      <c r="G15" s="42" t="s">
        <v>59</v>
      </c>
      <c r="H15" s="42" t="s">
        <v>59</v>
      </c>
      <c r="I15" s="42" t="s">
        <v>59</v>
      </c>
      <c r="J15" s="42" t="s">
        <v>59</v>
      </c>
      <c r="K15" s="42" t="s">
        <v>1304</v>
      </c>
      <c r="L15" s="42" t="s">
        <v>1305</v>
      </c>
      <c r="M15" s="42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71">
        <v>4</v>
      </c>
      <c r="B17" s="71">
        <v>12</v>
      </c>
      <c r="C17" s="5" t="s">
        <v>21</v>
      </c>
      <c r="D17" s="9" t="s">
        <v>4</v>
      </c>
      <c r="E17" s="9" t="s">
        <v>4</v>
      </c>
      <c r="F17" s="43" t="s">
        <v>43</v>
      </c>
      <c r="G17" s="43" t="s">
        <v>43</v>
      </c>
      <c r="H17" s="43" t="s">
        <v>43</v>
      </c>
      <c r="I17" s="43" t="s">
        <v>43</v>
      </c>
      <c r="J17" s="43" t="s">
        <v>1306</v>
      </c>
      <c r="K17" s="43" t="s">
        <v>1306</v>
      </c>
      <c r="L17" s="43" t="s">
        <v>1307</v>
      </c>
      <c r="M17" s="43" t="s">
        <v>1308</v>
      </c>
    </row>
    <row r="18" spans="1:13" ht="44.25">
      <c r="A18" s="72">
        <v>5</v>
      </c>
      <c r="B18" s="72">
        <v>12</v>
      </c>
      <c r="C18" s="6" t="s">
        <v>22</v>
      </c>
      <c r="D18" s="10" t="s">
        <v>4</v>
      </c>
      <c r="E18" s="10" t="s">
        <v>22</v>
      </c>
      <c r="F18" s="44" t="s">
        <v>44</v>
      </c>
      <c r="G18" s="44" t="s">
        <v>44</v>
      </c>
      <c r="H18" s="44" t="s">
        <v>44</v>
      </c>
      <c r="I18" s="44" t="s">
        <v>44</v>
      </c>
      <c r="J18" s="44" t="s">
        <v>1309</v>
      </c>
      <c r="K18" s="44" t="s">
        <v>44</v>
      </c>
      <c r="L18" s="44" t="s">
        <v>1238</v>
      </c>
      <c r="M18" s="44" t="s">
        <v>1238</v>
      </c>
    </row>
    <row r="19" spans="1:13" ht="44.25">
      <c r="A19" s="71">
        <v>12</v>
      </c>
      <c r="B19" s="71">
        <v>13</v>
      </c>
      <c r="C19" s="5" t="s">
        <v>29</v>
      </c>
      <c r="D19" s="9" t="s">
        <v>10</v>
      </c>
      <c r="E19" s="9" t="s">
        <v>10</v>
      </c>
      <c r="F19" s="43" t="s">
        <v>1310</v>
      </c>
      <c r="G19" s="43" t="s">
        <v>51</v>
      </c>
      <c r="H19" s="43" t="s">
        <v>51</v>
      </c>
      <c r="I19" s="43" t="s">
        <v>51</v>
      </c>
      <c r="J19" s="43" t="s">
        <v>1311</v>
      </c>
      <c r="K19" s="43" t="s">
        <v>1311</v>
      </c>
      <c r="L19" s="43" t="s">
        <v>1312</v>
      </c>
      <c r="M19" s="43" t="s">
        <v>1313</v>
      </c>
    </row>
    <row r="20" spans="1:13" ht="44.25">
      <c r="A20" s="72">
        <v>13</v>
      </c>
      <c r="B20" s="72">
        <v>13</v>
      </c>
      <c r="C20" s="6" t="s">
        <v>30</v>
      </c>
      <c r="D20" s="10" t="s">
        <v>10</v>
      </c>
      <c r="E20" s="10" t="s">
        <v>30</v>
      </c>
      <c r="F20" s="44" t="s">
        <v>1314</v>
      </c>
      <c r="G20" s="44" t="s">
        <v>52</v>
      </c>
      <c r="H20" s="44" t="s">
        <v>52</v>
      </c>
      <c r="I20" s="44" t="s">
        <v>52</v>
      </c>
      <c r="J20" s="44" t="s">
        <v>1315</v>
      </c>
      <c r="K20" s="44" t="s">
        <v>52</v>
      </c>
      <c r="L20" s="44" t="s">
        <v>1313</v>
      </c>
      <c r="M20" s="44" t="s">
        <v>1316</v>
      </c>
    </row>
    <row r="21" spans="1:13" ht="44.25">
      <c r="A21" s="74">
        <v>17</v>
      </c>
      <c r="B21" s="74">
        <v>14</v>
      </c>
      <c r="C21" s="7" t="s">
        <v>34</v>
      </c>
      <c r="D21" s="11" t="s">
        <v>13</v>
      </c>
      <c r="E21" s="11" t="s">
        <v>13</v>
      </c>
      <c r="F21" s="45" t="s">
        <v>1317</v>
      </c>
      <c r="G21" s="45" t="s">
        <v>56</v>
      </c>
      <c r="H21" s="45" t="s">
        <v>1318</v>
      </c>
      <c r="I21" s="45" t="s">
        <v>1319</v>
      </c>
      <c r="J21" s="45" t="s">
        <v>1318</v>
      </c>
      <c r="K21" s="45" t="s">
        <v>1318</v>
      </c>
      <c r="L21" s="45" t="s">
        <v>1320</v>
      </c>
      <c r="M21" s="45" t="s">
        <v>1320</v>
      </c>
    </row>
    <row r="22" spans="1:13" ht="44.25">
      <c r="A22" s="73">
        <v>18</v>
      </c>
      <c r="B22" s="73">
        <v>14</v>
      </c>
      <c r="C22" s="4" t="s">
        <v>35</v>
      </c>
      <c r="D22" s="8" t="s">
        <v>13</v>
      </c>
      <c r="E22" s="8" t="s">
        <v>13</v>
      </c>
      <c r="F22" s="42" t="s">
        <v>1321</v>
      </c>
      <c r="G22" s="42" t="s">
        <v>57</v>
      </c>
      <c r="H22" s="42" t="s">
        <v>1322</v>
      </c>
      <c r="I22" s="42" t="s">
        <v>1323</v>
      </c>
      <c r="J22" s="42" t="s">
        <v>1322</v>
      </c>
      <c r="K22" s="42" t="s">
        <v>1288</v>
      </c>
      <c r="L22" s="42" t="s">
        <v>1324</v>
      </c>
      <c r="M22" s="42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5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tabSelected="1" workbookViewId="0">
      <pane ySplit="1" topLeftCell="A54" activePane="bottomLeft" state="frozen"/>
      <selection pane="bottomLeft" activeCell="F63" sqref="F63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" si="1" xml:space="preserve"> _xlfn.CONCAT(H72, "h")</f>
        <v>iannh</v>
      </c>
      <c r="I73" s="57" t="str">
        <f t="shared" ref="I73" si="2" xml:space="preserve"> _xlfn.CONCAT(I72, "h")</f>
        <v>iaⁿh</v>
      </c>
      <c r="J73" s="57" t="str">
        <f t="shared" ref="J73" si="3" xml:space="preserve"> _xlfn.CONCAT(J72, "h")</f>
        <v>niah</v>
      </c>
      <c r="K73" s="57" t="str">
        <f t="shared" ref="K73" si="4"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" si="5" xml:space="preserve"> _xlfn.CONCAT(H76, "h")</f>
        <v>ngh</v>
      </c>
      <c r="I77" s="57" t="str">
        <f t="shared" ref="I77" si="6" xml:space="preserve"> _xlfn.CONCAT(I76, "h")</f>
        <v>ngh</v>
      </c>
      <c r="J77" s="57" t="str">
        <f t="shared" ref="J77" si="7" xml:space="preserve"> _xlfn.CONCAT(J76, "h")</f>
        <v>ngh</v>
      </c>
      <c r="K77" s="57" t="str">
        <f t="shared" ref="K77" si="8"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3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</row>
    <row r="82" spans="1:13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3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</row>
    <row r="84" spans="1:13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3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" si="9" xml:space="preserve"> _xlfn.CONCAT(H84, "h")</f>
        <v>mh</v>
      </c>
      <c r="I85" s="57" t="str">
        <f t="shared" ref="I85" si="10" xml:space="preserve"> _xlfn.CONCAT(I84, "h")</f>
        <v>mh</v>
      </c>
      <c r="J85" s="57" t="str">
        <f t="shared" ref="J85" si="11" xml:space="preserve"> _xlfn.CONCAT(J84, "h")</f>
        <v>mh</v>
      </c>
      <c r="K85" s="57" t="str">
        <f t="shared" ref="K85" si="12"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</row>
    <row r="86" spans="1:13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3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</row>
    <row r="88" spans="1:13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</row>
    <row r="89" spans="1:13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</row>
    <row r="90" spans="1:13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</row>
    <row r="91" spans="1:13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</row>
    <row r="92" spans="1:13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3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</row>
    <row r="94" spans="1:13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3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3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46" priority="1">
      <formula>MOD($B2,2)&lt;&gt;0</formula>
    </cfRule>
    <cfRule type="expression" dxfId="45" priority="2">
      <formula>MOD($A2,2)&lt;&gt;0</formula>
    </cfRule>
    <cfRule type="expression" dxfId="44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Q104"/>
  <sheetViews>
    <sheetView workbookViewId="0">
      <pane ySplit="1" topLeftCell="A93" activePane="bottomLeft" state="frozen"/>
      <selection pane="bottomLeft" activeCell="Q102" sqref="Q102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</row>
    <row r="10" spans="1:17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</row>
    <row r="12" spans="1:17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</row>
    <row r="18" spans="1:1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</row>
    <row r="24" spans="1:1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</row>
    <row r="28" spans="1:1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</row>
    <row r="32" spans="1:1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</row>
    <row r="34" spans="1:1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</row>
    <row r="42" spans="1:1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</row>
    <row r="48" spans="1:1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</row>
    <row r="50" spans="1:1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</row>
    <row r="52" spans="1:1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</row>
    <row r="54" spans="1:1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</row>
    <row r="56" spans="1:1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</row>
    <row r="58" spans="1:1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</row>
    <row r="60" spans="1:1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</row>
    <row r="62" spans="1:1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</row>
    <row r="64" spans="1:1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</row>
    <row r="66" spans="1:1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</row>
    <row r="68" spans="1:1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</row>
    <row r="70" spans="1:1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</row>
    <row r="72" spans="1:1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:K73" si="1" xml:space="preserve"> _xlfn.CONCAT(H72, "h")</f>
        <v>iannh</v>
      </c>
      <c r="I73" s="57" t="str">
        <f t="shared" si="1"/>
        <v>iaⁿh</v>
      </c>
      <c r="J73" s="57" t="str">
        <f t="shared" si="1"/>
        <v>niah</v>
      </c>
      <c r="K73" s="57" t="str">
        <f t="shared" si="1"/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</row>
    <row r="74" spans="1:1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</row>
    <row r="76" spans="1:1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:K77" si="2" xml:space="preserve"> _xlfn.CONCAT(H76, "h")</f>
        <v>ngh</v>
      </c>
      <c r="I77" s="57" t="str">
        <f t="shared" si="2"/>
        <v>ngh</v>
      </c>
      <c r="J77" s="57" t="str">
        <f t="shared" si="2"/>
        <v>ngh</v>
      </c>
      <c r="K77" s="57" t="str">
        <f t="shared" si="2"/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</row>
    <row r="78" spans="1:1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</row>
    <row r="79" spans="1:1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</row>
    <row r="80" spans="1:1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</row>
    <row r="82" spans="1:1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</row>
    <row r="84" spans="1:1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:K85" si="3" xml:space="preserve"> _xlfn.CONCAT(H84, "h")</f>
        <v>mh</v>
      </c>
      <c r="I85" s="57" t="str">
        <f t="shared" si="3"/>
        <v>mh</v>
      </c>
      <c r="J85" s="57" t="str">
        <f t="shared" si="3"/>
        <v>mh</v>
      </c>
      <c r="K85" s="57" t="str">
        <f t="shared" si="3"/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</row>
    <row r="86" spans="1:1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</row>
    <row r="88" spans="1:1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</row>
    <row r="89" spans="1:1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</row>
    <row r="90" spans="1:1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</row>
    <row r="91" spans="1:1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</row>
    <row r="92" spans="1:1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</row>
    <row r="94" spans="1:1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</row>
    <row r="97" spans="1:1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</row>
    <row r="98" spans="1:1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  <row r="102" spans="1:13" ht="44.25">
      <c r="A102" s="54">
        <v>101</v>
      </c>
      <c r="B102" s="98"/>
      <c r="C102" s="55"/>
      <c r="D102" s="63"/>
      <c r="E102" s="101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</row>
    <row r="103" spans="1:13" ht="44.25">
      <c r="A103" s="67">
        <v>102</v>
      </c>
      <c r="B103" s="99"/>
      <c r="C103" s="68"/>
      <c r="D103" s="100"/>
      <c r="E103" s="104" t="s">
        <v>1395</v>
      </c>
      <c r="F103" s="102"/>
      <c r="G103" s="103" t="s">
        <v>1394</v>
      </c>
      <c r="H103" s="103"/>
      <c r="I103" s="103" t="s">
        <v>1400</v>
      </c>
      <c r="J103" s="103"/>
      <c r="K103" s="103"/>
      <c r="L103" s="103" t="s">
        <v>1397</v>
      </c>
      <c r="M103" s="103"/>
    </row>
    <row r="104" spans="1:13" ht="44.25">
      <c r="A104" s="67"/>
      <c r="B104" s="99"/>
      <c r="C104" s="68"/>
      <c r="D104" s="105"/>
      <c r="E104" s="101"/>
      <c r="F104" s="102"/>
      <c r="G104" s="103"/>
      <c r="H104" s="106"/>
      <c r="I104" s="103"/>
      <c r="J104" s="106"/>
      <c r="K104" s="106"/>
      <c r="L104" s="106"/>
      <c r="M104" s="106"/>
    </row>
  </sheetData>
  <phoneticPr fontId="2" type="noConversion"/>
  <conditionalFormatting sqref="A2:M102 A103:D103 F103:M103">
    <cfRule type="expression" dxfId="43" priority="22">
      <formula>MOD($B2,2)&lt;&gt;0</formula>
    </cfRule>
    <cfRule type="expression" dxfId="42" priority="23">
      <formula>MOD($A2,2)&lt;&gt;0</formula>
    </cfRule>
    <cfRule type="expression" dxfId="41" priority="24">
      <formula>MOD($A2,2)=0</formula>
    </cfRule>
  </conditionalFormatting>
  <conditionalFormatting sqref="A102:M102 A103:D103 F103:M103">
    <cfRule type="expression" dxfId="23" priority="19">
      <formula>MOD($B102,2)&lt;&gt;0</formula>
    </cfRule>
    <cfRule type="expression" dxfId="22" priority="20">
      <formula>MOD($A102,2)&lt;&gt;0</formula>
    </cfRule>
    <cfRule type="expression" dxfId="21" priority="21">
      <formula>MOD($A102,2)=0</formula>
    </cfRule>
  </conditionalFormatting>
  <conditionalFormatting sqref="E103">
    <cfRule type="expression" dxfId="11" priority="10">
      <formula>MOD($B103,2)&lt;&gt;0</formula>
    </cfRule>
    <cfRule type="expression" dxfId="10" priority="11">
      <formula>MOD($A103,2)&lt;&gt;0</formula>
    </cfRule>
    <cfRule type="expression" dxfId="9" priority="12">
      <formula>MOD($A103,2)=0</formula>
    </cfRule>
  </conditionalFormatting>
  <conditionalFormatting sqref="E103">
    <cfRule type="expression" dxfId="8" priority="7">
      <formula>MOD($B103,2)&lt;&gt;0</formula>
    </cfRule>
    <cfRule type="expression" dxfId="7" priority="8">
      <formula>MOD($A103,2)&lt;&gt;0</formula>
    </cfRule>
    <cfRule type="expression" dxfId="6" priority="9">
      <formula>MOD($A103,2)=0</formula>
    </cfRule>
  </conditionalFormatting>
  <conditionalFormatting sqref="I104">
    <cfRule type="expression" dxfId="5" priority="4">
      <formula>MOD($B104,2)&lt;&gt;0</formula>
    </cfRule>
    <cfRule type="expression" dxfId="4" priority="5">
      <formula>MOD($A104,2)&lt;&gt;0</formula>
    </cfRule>
    <cfRule type="expression" dxfId="3" priority="6">
      <formula>MOD($A104,2)=0</formula>
    </cfRule>
  </conditionalFormatting>
  <conditionalFormatting sqref="I104">
    <cfRule type="expression" dxfId="2" priority="1">
      <formula>MOD($B104,2)&lt;&gt;0</formula>
    </cfRule>
    <cfRule type="expression" dxfId="1" priority="2">
      <formula>MOD($A104,2)&lt;&gt;0</formula>
    </cfRule>
    <cfRule type="expression" dxfId="0" priority="3">
      <formula>MOD($A104,2)=0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showGridLines="0" zoomScaleNormal="100" workbookViewId="0">
      <pane xSplit="5" ySplit="4" topLeftCell="F41" activePane="bottomRight" state="frozen"/>
      <selection pane="topRight" activeCell="C1" sqref="C1"/>
      <selection pane="bottomLeft" activeCell="A3" sqref="A3"/>
      <selection pane="bottomRight" activeCell="D59" sqref="D59:D60"/>
    </sheetView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6"/>
      <c r="B4" s="107" t="s">
        <v>1056</v>
      </c>
      <c r="C4" s="107" t="s">
        <v>1391</v>
      </c>
      <c r="D4" s="107" t="s">
        <v>1057</v>
      </c>
      <c r="E4" s="107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7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7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7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7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7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7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7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7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7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7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9" sqref="L9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47" priority="2">
      <formula>E5=""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>
      <pane xSplit="5" ySplit="2" topLeftCell="F3" activePane="bottomRight" state="frozen"/>
      <selection pane="topRight" activeCell="C1" sqref="C1"/>
      <selection pane="bottomLeft" activeCell="A3" sqref="A3"/>
      <selection pane="bottomRight" activeCell="E3" sqref="E3"/>
    </sheetView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cm="1">
        <f t="array" ref="B18" xml:space="preserve"> INDEX(韻母表[韻序], MATCH(TRUE, EXACT($C18, 韻母表[十五音]), 0))</f>
        <v>39</v>
      </c>
      <c r="C18" s="50" t="str">
        <f xml:space="preserve"> _xlfn.XLOOKUP(E18, 韻母表[台羅拼音], 韻母表[十五音])</f>
        <v>伽（促）</v>
      </c>
      <c r="D18" s="50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eʔ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cm="1">
        <f t="array" ref="B60" xml:space="preserve"> INDEX(韻母表[韻序], MATCH(TRUE, EXACT($C60, 韻母表[十五音]), 0))</f>
        <v>49</v>
      </c>
      <c r="C60" s="50" t="str">
        <f xml:space="preserve"> _xlfn.XLOOKUP(E60, 韻母表[台羅拼音], 韻母表[十五音])</f>
        <v>扛（促）</v>
      </c>
      <c r="D60" s="50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ɔ̃ʔ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工作表1</vt:lpstr>
      <vt:lpstr>十五音聲母</vt:lpstr>
      <vt:lpstr>十五音韻母</vt:lpstr>
      <vt:lpstr>十五音韻母【台羅拼音】</vt:lpstr>
      <vt:lpstr>十五音音節表</vt:lpstr>
      <vt:lpstr>十五音音節表【BoPoMo序】</vt:lpstr>
      <vt:lpstr>音節表【台羅拼音序】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2026-08-04T06:31:20Z</dcterms:modified>
</cp:coreProperties>
</file>