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anJui\work\rime-tlpa\docs\"/>
    </mc:Choice>
  </mc:AlternateContent>
  <xr:revisionPtr revIDLastSave="0" documentId="13_ncr:1_{CE84EDCB-11C8-4B79-B3ED-D6FF1D04B0BE}" xr6:coauthVersionLast="47" xr6:coauthVersionMax="47" xr10:uidLastSave="{00000000-0000-0000-0000-000000000000}"/>
  <bookViews>
    <workbookView xWindow="28680" yWindow="-120" windowWidth="38640" windowHeight="15720" tabRatio="883" activeTab="1" xr2:uid="{F7EF3A1F-47A5-4A0D-B8EF-6942713083F0}"/>
  </bookViews>
  <sheets>
    <sheet name="聲母十五音發聲表" sheetId="19" r:id="rId1"/>
    <sheet name="聲母十五音發聲表（YX互換）" sheetId="18" r:id="rId2"/>
    <sheet name="十五音聲母 (教材)" sheetId="17" r:id="rId3"/>
    <sheet name="十五音韻母（教材）" sheetId="21" r:id="rId4"/>
    <sheet name="字母八音反切" sheetId="22" r:id="rId5"/>
    <sheet name="字母八音反切【上下標音】" sheetId="23" r:id="rId6"/>
    <sheet name="50字母清單" sheetId="25" r:id="rId7"/>
    <sheet name="15呼音字母清單" sheetId="26" r:id="rId8"/>
    <sheet name="呼十五音法" sheetId="24" r:id="rId9"/>
    <sheet name="十五音聲母發音表 (2)" sheetId="20" r:id="rId10"/>
    <sheet name="十五音音節表" sheetId="6" r:id="rId11"/>
    <sheet name="十五音音節表 (BPM)" sheetId="10" r:id="rId12"/>
    <sheet name="音節表【台羅拼音序】" sheetId="3" r:id="rId13"/>
    <sheet name="十五音聲母" sheetId="4" r:id="rId14"/>
    <sheet name="十五音聲母 (BPM)" sheetId="9" r:id="rId15"/>
    <sheet name="十五音韻母" sheetId="5" r:id="rId16"/>
    <sheet name="十五音韻母【台羅拼音】" sheetId="7" r:id="rId17"/>
    <sheet name="工作表2" sheetId="8" r:id="rId18"/>
    <sheet name="工作表1" sheetId="1" r:id="rId19"/>
    <sheet name="十五音音節表【BoPoMo序】" sheetId="2" r:id="rId20"/>
    <sheet name="十五音。八音反切" sheetId="11" r:id="rId21"/>
    <sheet name="拚音聲調表【溫韻】" sheetId="13" r:id="rId22"/>
    <sheet name="閩拚拚音聲調表【溫韻】" sheetId="12" r:id="rId23"/>
    <sheet name="注音聲調表【方音符號】" sheetId="16" r:id="rId24"/>
    <sheet name="Unicode" sheetId="14" r:id="rId25"/>
    <sheet name="W聲調表【溫韻】" sheetId="15" r:id="rId26"/>
  </sheets>
  <externalReferences>
    <externalReference r:id="rId27"/>
    <externalReference r:id="rId28"/>
    <externalReference r:id="rId29"/>
  </externalReferences>
  <definedNames>
    <definedName name="_xlnm._FilterDatabase" localSheetId="11" hidden="1">'十五音音節表 (BPM)'!$B$6:$AA$85</definedName>
    <definedName name="十五音韻母">'[1]十五音-韻母'!$C$5:$C$54</definedName>
    <definedName name="十五音韻母對照表">'[1]十五音-韻母'!$B$5:$R$54</definedName>
    <definedName name="方音符號聲調">[2]設定!$J$3:$J$10</definedName>
    <definedName name="台羅韻母八音反切">'[1]台羅-韻母八音反切'!$R$5:$Y$54</definedName>
    <definedName name="白話字韻母八音反切">'[1]白話字-韻母八音反切'!$R$5:$Y$54</definedName>
    <definedName name="閩拼八聲調">[2]設定!$I$3:$I$10</definedName>
    <definedName name="閩拼韻母八音反切">'[1]閩拼-韻母八音反切'!$R$5:$Y$54</definedName>
    <definedName name="聲母碼">[2]聲母對照表!$B$4:$B$21</definedName>
    <definedName name="聲母碼表">[1]聲母碼!$D$6:$K$22</definedName>
    <definedName name="韻母對照表">[1]韻母對照表!$B$6:$K$105</definedName>
    <definedName name="韻母碼">[2]韻母對照表!$B$4:$B$103</definedName>
    <definedName name="韻母碼表">[1]韻母碼!$F$5:$M$78</definedName>
    <definedName name="顯示注音輸入">[3]env!$C$10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Q23" i="18" l="1"/>
  <c r="BQ22" i="18"/>
  <c r="BQ21" i="18"/>
  <c r="BQ20" i="18"/>
  <c r="BQ19" i="18"/>
  <c r="BQ18" i="18"/>
  <c r="BQ14" i="18"/>
  <c r="BQ10" i="18"/>
  <c r="M2" i="24" a="1"/>
  <c r="M2" i="24" s="1"/>
  <c r="M5" i="24" s="1"/>
  <c r="Q2" i="24"/>
  <c r="Q1" i="24"/>
  <c r="N2" i="24"/>
  <c r="M20" i="16"/>
  <c r="M19" i="16"/>
  <c r="M18" i="16"/>
  <c r="M17" i="16"/>
  <c r="M16" i="16"/>
  <c r="M15" i="16"/>
  <c r="M14" i="16"/>
  <c r="M13" i="16"/>
  <c r="O2" i="24" a="1"/>
  <c r="O2" i="24" s="1"/>
  <c r="O5" i="24" s="1"/>
  <c r="N1" i="24"/>
  <c r="O1" i="24"/>
  <c r="M1" i="24"/>
  <c r="I23" i="24"/>
  <c r="K23" i="24" s="1"/>
  <c r="I21" i="24"/>
  <c r="K21" i="24" s="1"/>
  <c r="I22" i="24"/>
  <c r="B5" i="26"/>
  <c r="B3" i="26"/>
  <c r="B4" i="26"/>
  <c r="B7" i="26"/>
  <c r="B12" i="26" s="1"/>
  <c r="B14" i="26" s="1"/>
  <c r="D2" i="26"/>
  <c r="D4" i="26" s="1"/>
  <c r="B5" i="25"/>
  <c r="B4" i="25" a="1"/>
  <c r="B4" i="25" s="1"/>
  <c r="B3" i="25"/>
  <c r="B7" i="25"/>
  <c r="B10" i="25" s="1"/>
  <c r="C7" i="25"/>
  <c r="C8" i="25" s="1"/>
  <c r="C2" i="25"/>
  <c r="C3" i="25" s="1"/>
  <c r="H24" i="24"/>
  <c r="H27" i="24" s="1"/>
  <c r="H30" i="24" s="1"/>
  <c r="H33" i="24" s="1"/>
  <c r="H36" i="24" s="1"/>
  <c r="H39" i="24" s="1"/>
  <c r="I41" i="24" s="1"/>
  <c r="C24" i="24"/>
  <c r="D26" i="24" s="1"/>
  <c r="F26" i="24" s="1"/>
  <c r="D24" i="24"/>
  <c r="F24" i="24" s="1"/>
  <c r="D23" i="24"/>
  <c r="F23" i="24" s="1"/>
  <c r="D22" i="24"/>
  <c r="D21" i="24"/>
  <c r="F21" i="24" s="1"/>
  <c r="D149" i="23" a="1"/>
  <c r="D149" i="23"/>
  <c r="E149" i="23" a="1"/>
  <c r="E149" i="23" s="1"/>
  <c r="M97" i="5"/>
  <c r="L97" i="5"/>
  <c r="K97" i="5"/>
  <c r="J97" i="5"/>
  <c r="I97" i="5"/>
  <c r="H97" i="5"/>
  <c r="G97" i="5"/>
  <c r="F147" i="23" s="1"/>
  <c r="M93" i="5"/>
  <c r="L93" i="5"/>
  <c r="K93" i="5"/>
  <c r="J93" i="5"/>
  <c r="I93" i="5"/>
  <c r="H93" i="5"/>
  <c r="G93" i="5"/>
  <c r="M91" i="5"/>
  <c r="L91" i="5"/>
  <c r="K91" i="5"/>
  <c r="J91" i="5"/>
  <c r="I91" i="5"/>
  <c r="H91" i="5"/>
  <c r="G91" i="5"/>
  <c r="F138" i="23" s="1"/>
  <c r="M89" i="5"/>
  <c r="L89" i="5"/>
  <c r="K89" i="5"/>
  <c r="J89" i="5"/>
  <c r="I89" i="5"/>
  <c r="H89" i="5"/>
  <c r="G89" i="5"/>
  <c r="M87" i="5"/>
  <c r="L87" i="5"/>
  <c r="K87" i="5"/>
  <c r="J87" i="5"/>
  <c r="I87" i="5"/>
  <c r="H87" i="5"/>
  <c r="G87" i="5"/>
  <c r="J132" i="23" s="1"/>
  <c r="M85" i="5"/>
  <c r="L85" i="5"/>
  <c r="K85" i="5"/>
  <c r="J85" i="5"/>
  <c r="I85" i="5"/>
  <c r="H85" i="5"/>
  <c r="G85" i="5"/>
  <c r="M83" i="5"/>
  <c r="L83" i="5"/>
  <c r="K83" i="5"/>
  <c r="J83" i="5"/>
  <c r="I83" i="5"/>
  <c r="H83" i="5"/>
  <c r="G83" i="5"/>
  <c r="F126" i="23" s="1"/>
  <c r="M81" i="5"/>
  <c r="L81" i="5"/>
  <c r="K81" i="5"/>
  <c r="J81" i="5"/>
  <c r="I81" i="5"/>
  <c r="H81" i="5"/>
  <c r="G81" i="5"/>
  <c r="J123" i="23" s="1"/>
  <c r="M79" i="5"/>
  <c r="L79" i="5"/>
  <c r="K79" i="5"/>
  <c r="J79" i="5"/>
  <c r="I79" i="5"/>
  <c r="H79" i="5"/>
  <c r="G79" i="5"/>
  <c r="F120" i="23" s="1"/>
  <c r="M77" i="5"/>
  <c r="L77" i="5"/>
  <c r="K77" i="5"/>
  <c r="J77" i="5"/>
  <c r="I77" i="5"/>
  <c r="H77" i="5"/>
  <c r="G77" i="5"/>
  <c r="M75" i="5"/>
  <c r="L75" i="5"/>
  <c r="K75" i="5"/>
  <c r="J75" i="5"/>
  <c r="I75" i="5"/>
  <c r="H75" i="5"/>
  <c r="G75" i="5"/>
  <c r="M73" i="5"/>
  <c r="L73" i="5"/>
  <c r="K73" i="5"/>
  <c r="J73" i="5"/>
  <c r="I73" i="5"/>
  <c r="H73" i="5"/>
  <c r="G73" i="5"/>
  <c r="J111" i="23" s="1"/>
  <c r="M71" i="5"/>
  <c r="L71" i="5"/>
  <c r="K71" i="5"/>
  <c r="J71" i="5"/>
  <c r="I71" i="5"/>
  <c r="H71" i="5"/>
  <c r="G71" i="5"/>
  <c r="M69" i="5"/>
  <c r="L69" i="5"/>
  <c r="K69" i="5"/>
  <c r="J69" i="5"/>
  <c r="I69" i="5"/>
  <c r="H69" i="5"/>
  <c r="G69" i="5"/>
  <c r="M67" i="5"/>
  <c r="L67" i="5"/>
  <c r="K67" i="5"/>
  <c r="J67" i="5"/>
  <c r="I67" i="5"/>
  <c r="H67" i="5"/>
  <c r="G67" i="5"/>
  <c r="F102" i="23" s="1"/>
  <c r="M65" i="5"/>
  <c r="L65" i="5"/>
  <c r="K65" i="5"/>
  <c r="J65" i="5"/>
  <c r="I65" i="5"/>
  <c r="H65" i="5"/>
  <c r="G65" i="5"/>
  <c r="M63" i="5"/>
  <c r="L63" i="5"/>
  <c r="K63" i="5"/>
  <c r="J63" i="5"/>
  <c r="I63" i="5"/>
  <c r="H63" i="5"/>
  <c r="G63" i="5"/>
  <c r="J96" i="23"/>
  <c r="M61" i="5"/>
  <c r="L61" i="5"/>
  <c r="K61" i="5"/>
  <c r="J61" i="5"/>
  <c r="I61" i="5"/>
  <c r="H61" i="5"/>
  <c r="G61" i="5"/>
  <c r="F93" i="23" s="1"/>
  <c r="M59" i="5"/>
  <c r="L59" i="5"/>
  <c r="K59" i="5"/>
  <c r="J59" i="5"/>
  <c r="I59" i="5"/>
  <c r="H59" i="5"/>
  <c r="G59" i="5"/>
  <c r="F90" i="23" s="1"/>
  <c r="M57" i="5"/>
  <c r="L57" i="5"/>
  <c r="K57" i="5"/>
  <c r="J57" i="5"/>
  <c r="I57" i="5"/>
  <c r="H57" i="5"/>
  <c r="G57" i="5"/>
  <c r="J87" i="23" s="1"/>
  <c r="M55" i="5"/>
  <c r="L55" i="5"/>
  <c r="K55" i="5"/>
  <c r="J55" i="5"/>
  <c r="I55" i="5"/>
  <c r="H55" i="5"/>
  <c r="G55" i="5"/>
  <c r="F84" i="23" s="1"/>
  <c r="M53" i="5"/>
  <c r="L53" i="5"/>
  <c r="K53" i="5"/>
  <c r="J53" i="5"/>
  <c r="I53" i="5"/>
  <c r="H53" i="5"/>
  <c r="G53" i="5"/>
  <c r="J81" i="23" s="1"/>
  <c r="M51" i="5"/>
  <c r="L51" i="5"/>
  <c r="K51" i="5"/>
  <c r="J51" i="5"/>
  <c r="I51" i="5"/>
  <c r="H51" i="5"/>
  <c r="G51" i="5"/>
  <c r="M49" i="5"/>
  <c r="L49" i="5"/>
  <c r="K49" i="5"/>
  <c r="J49" i="5"/>
  <c r="I49" i="5"/>
  <c r="H49" i="5"/>
  <c r="G49" i="5"/>
  <c r="F75" i="23" s="1"/>
  <c r="M47" i="5"/>
  <c r="L47" i="5"/>
  <c r="K47" i="5"/>
  <c r="J47" i="5"/>
  <c r="I47" i="5"/>
  <c r="H47" i="5"/>
  <c r="G47" i="5"/>
  <c r="J72" i="23" s="1"/>
  <c r="M41" i="5"/>
  <c r="L41" i="5"/>
  <c r="K41" i="5"/>
  <c r="J41" i="5"/>
  <c r="I41" i="5"/>
  <c r="H41" i="5"/>
  <c r="G41" i="5"/>
  <c r="M33" i="5"/>
  <c r="L33" i="5"/>
  <c r="K33" i="5"/>
  <c r="J33" i="5"/>
  <c r="I33" i="5"/>
  <c r="H33" i="5"/>
  <c r="G33" i="5"/>
  <c r="F51" i="23" s="1"/>
  <c r="M31" i="5"/>
  <c r="L31" i="5"/>
  <c r="K31" i="5"/>
  <c r="J31" i="5"/>
  <c r="I31" i="5"/>
  <c r="H31" i="5"/>
  <c r="G31" i="5"/>
  <c r="F48" i="23" s="1"/>
  <c r="M27" i="5"/>
  <c r="L27" i="5"/>
  <c r="K27" i="5"/>
  <c r="J27" i="5"/>
  <c r="I27" i="5"/>
  <c r="H27" i="5"/>
  <c r="G27" i="5"/>
  <c r="M23" i="5"/>
  <c r="L23" i="5"/>
  <c r="K23" i="5"/>
  <c r="J23" i="5"/>
  <c r="I23" i="5"/>
  <c r="H23" i="5"/>
  <c r="G23" i="5"/>
  <c r="M17" i="5"/>
  <c r="L17" i="5"/>
  <c r="K17" i="5"/>
  <c r="J17" i="5"/>
  <c r="I17" i="5"/>
  <c r="H17" i="5"/>
  <c r="G17" i="5"/>
  <c r="M11" i="5"/>
  <c r="L11" i="5"/>
  <c r="K11" i="5"/>
  <c r="J11" i="5"/>
  <c r="I11" i="5"/>
  <c r="H11" i="5"/>
  <c r="G11" i="5"/>
  <c r="F81" i="23"/>
  <c r="J105" i="23"/>
  <c r="J108" i="23"/>
  <c r="F114" i="23"/>
  <c r="J153" i="23"/>
  <c r="I153" i="23"/>
  <c r="H153" i="23"/>
  <c r="G153" i="23"/>
  <c r="F153" i="23"/>
  <c r="E153" i="23"/>
  <c r="D153" i="23"/>
  <c r="C153" i="23"/>
  <c r="J152" i="23"/>
  <c r="J152" i="23" a="1"/>
  <c r="I152" i="23" a="1"/>
  <c r="I152" i="23" s="1"/>
  <c r="H152" i="23" a="1"/>
  <c r="H152" i="23" s="1"/>
  <c r="G152" i="23" a="1"/>
  <c r="G152" i="23" s="1"/>
  <c r="F152" i="23" a="1"/>
  <c r="F152" i="23" s="1"/>
  <c r="E152" i="23" a="1"/>
  <c r="E152" i="23" s="1"/>
  <c r="D152" i="23" a="1"/>
  <c r="D152" i="23" s="1"/>
  <c r="C152" i="23" a="1"/>
  <c r="C152" i="23" s="1"/>
  <c r="J149" i="23"/>
  <c r="J149" i="23" a="1"/>
  <c r="I149" i="23" a="1"/>
  <c r="I149" i="23" s="1"/>
  <c r="H149" i="23" a="1"/>
  <c r="H149" i="23" s="1"/>
  <c r="G149" i="23" a="1"/>
  <c r="G149" i="23" s="1"/>
  <c r="F149" i="23"/>
  <c r="F149" i="23" a="1"/>
  <c r="C149" i="23" a="1"/>
  <c r="C149" i="23" s="1"/>
  <c r="J147" i="23"/>
  <c r="I147" i="23"/>
  <c r="H147" i="23"/>
  <c r="G147" i="23"/>
  <c r="E147" i="23"/>
  <c r="D147" i="23"/>
  <c r="C147" i="23"/>
  <c r="J146" i="23"/>
  <c r="J146" i="23" a="1"/>
  <c r="I146" i="23" a="1"/>
  <c r="I146" i="23" s="1"/>
  <c r="H146" i="23" a="1"/>
  <c r="H146" i="23" s="1"/>
  <c r="G146" i="23" a="1"/>
  <c r="G146" i="23" s="1"/>
  <c r="F146" i="23"/>
  <c r="F146" i="23" a="1"/>
  <c r="E146" i="23" a="1"/>
  <c r="E146" i="23" s="1"/>
  <c r="D146" i="23" a="1"/>
  <c r="D146" i="23" s="1"/>
  <c r="C146" i="23" a="1"/>
  <c r="C146" i="23" s="1"/>
  <c r="J144" i="23"/>
  <c r="I144" i="23"/>
  <c r="H144" i="23"/>
  <c r="G144" i="23"/>
  <c r="F144" i="23"/>
  <c r="E144" i="23"/>
  <c r="D144" i="23"/>
  <c r="C144" i="23"/>
  <c r="J143" i="23"/>
  <c r="J143" i="23" a="1"/>
  <c r="I143" i="23" a="1"/>
  <c r="I143" i="23" s="1"/>
  <c r="H143" i="23" a="1"/>
  <c r="H143" i="23" s="1"/>
  <c r="G143" i="23" a="1"/>
  <c r="G143" i="23" s="1"/>
  <c r="F143" i="23"/>
  <c r="F143" i="23" a="1"/>
  <c r="E143" i="23" a="1"/>
  <c r="E143" i="23" s="1"/>
  <c r="D143" i="23" a="1"/>
  <c r="D143" i="23" s="1"/>
  <c r="C143" i="23" a="1"/>
  <c r="C143" i="23" s="1"/>
  <c r="J141" i="23"/>
  <c r="I141" i="23"/>
  <c r="H141" i="23"/>
  <c r="G141" i="23"/>
  <c r="F141" i="23"/>
  <c r="E141" i="23"/>
  <c r="D141" i="23"/>
  <c r="C141" i="23"/>
  <c r="J140" i="23"/>
  <c r="J140" i="23" a="1"/>
  <c r="I140" i="23" a="1"/>
  <c r="I140" i="23" s="1"/>
  <c r="H140" i="23" a="1"/>
  <c r="H140" i="23" s="1"/>
  <c r="G140" i="23" a="1"/>
  <c r="G140" i="23" s="1"/>
  <c r="F140" i="23"/>
  <c r="F140" i="23" a="1"/>
  <c r="E140" i="23" a="1"/>
  <c r="E140" i="23" s="1"/>
  <c r="D140" i="23" a="1"/>
  <c r="D140" i="23" s="1"/>
  <c r="C140" i="23" a="1"/>
  <c r="C140" i="23" s="1"/>
  <c r="I138" i="23"/>
  <c r="H138" i="23"/>
  <c r="G138" i="23"/>
  <c r="E138" i="23"/>
  <c r="D138" i="23"/>
  <c r="C138" i="23"/>
  <c r="J137" i="23"/>
  <c r="J137" i="23" a="1"/>
  <c r="I137" i="23" a="1"/>
  <c r="I137" i="23" s="1"/>
  <c r="H137" i="23" a="1"/>
  <c r="H137" i="23" s="1"/>
  <c r="G137" i="23" a="1"/>
  <c r="G137" i="23" s="1"/>
  <c r="F137" i="23"/>
  <c r="F137" i="23" a="1"/>
  <c r="E137" i="23" a="1"/>
  <c r="E137" i="23" s="1"/>
  <c r="D137" i="23" a="1"/>
  <c r="D137" i="23" s="1"/>
  <c r="C137" i="23" a="1"/>
  <c r="C137" i="23" s="1"/>
  <c r="J135" i="23"/>
  <c r="I135" i="23"/>
  <c r="H135" i="23"/>
  <c r="G135" i="23"/>
  <c r="F135" i="23"/>
  <c r="E135" i="23"/>
  <c r="D135" i="23"/>
  <c r="C135" i="23"/>
  <c r="J134" i="23"/>
  <c r="J134" i="23" a="1"/>
  <c r="I134" i="23" a="1"/>
  <c r="I134" i="23" s="1"/>
  <c r="H134" i="23" a="1"/>
  <c r="H134" i="23" s="1"/>
  <c r="G134" i="23" a="1"/>
  <c r="G134" i="23" s="1"/>
  <c r="F134" i="23"/>
  <c r="F134" i="23" a="1"/>
  <c r="E134" i="23" a="1"/>
  <c r="E134" i="23" s="1"/>
  <c r="D134" i="23" a="1"/>
  <c r="D134" i="23" s="1"/>
  <c r="C134" i="23" a="1"/>
  <c r="C134" i="23" s="1"/>
  <c r="I132" i="23"/>
  <c r="H132" i="23"/>
  <c r="G132" i="23"/>
  <c r="E132" i="23"/>
  <c r="D132" i="23"/>
  <c r="C132" i="23"/>
  <c r="J131" i="23"/>
  <c r="J131" i="23" a="1"/>
  <c r="I131" i="23" a="1"/>
  <c r="I131" i="23" s="1"/>
  <c r="H131" i="23" a="1"/>
  <c r="H131" i="23" s="1"/>
  <c r="G131" i="23" a="1"/>
  <c r="G131" i="23" s="1"/>
  <c r="F131" i="23"/>
  <c r="F131" i="23" a="1"/>
  <c r="E131" i="23" a="1"/>
  <c r="E131" i="23" s="1"/>
  <c r="D131" i="23" a="1"/>
  <c r="D131" i="23" s="1"/>
  <c r="C131" i="23" a="1"/>
  <c r="C131" i="23" s="1"/>
  <c r="J129" i="23"/>
  <c r="I129" i="23"/>
  <c r="H129" i="23"/>
  <c r="G129" i="23"/>
  <c r="F129" i="23"/>
  <c r="E129" i="23"/>
  <c r="D129" i="23"/>
  <c r="C129" i="23"/>
  <c r="J128" i="23"/>
  <c r="J128" i="23" a="1"/>
  <c r="I128" i="23" a="1"/>
  <c r="I128" i="23" s="1"/>
  <c r="H128" i="23" a="1"/>
  <c r="H128" i="23" s="1"/>
  <c r="G128" i="23" a="1"/>
  <c r="G128" i="23" s="1"/>
  <c r="F128" i="23"/>
  <c r="F128" i="23" a="1"/>
  <c r="E128" i="23" a="1"/>
  <c r="E128" i="23" s="1"/>
  <c r="D128" i="23" a="1"/>
  <c r="D128" i="23" s="1"/>
  <c r="C128" i="23" a="1"/>
  <c r="C128" i="23" s="1"/>
  <c r="I126" i="23"/>
  <c r="H126" i="23"/>
  <c r="G126" i="23"/>
  <c r="E126" i="23"/>
  <c r="D126" i="23"/>
  <c r="C126" i="23"/>
  <c r="J125" i="23"/>
  <c r="J125" i="23" a="1"/>
  <c r="I125" i="23" a="1"/>
  <c r="I125" i="23" s="1"/>
  <c r="H125" i="23" a="1"/>
  <c r="H125" i="23" s="1"/>
  <c r="G125" i="23" a="1"/>
  <c r="G125" i="23" s="1"/>
  <c r="F125" i="23"/>
  <c r="F125" i="23" a="1"/>
  <c r="E125" i="23" a="1"/>
  <c r="E125" i="23" s="1"/>
  <c r="D125" i="23" a="1"/>
  <c r="D125" i="23" s="1"/>
  <c r="C125" i="23" a="1"/>
  <c r="C125" i="23" s="1"/>
  <c r="I123" i="23"/>
  <c r="H123" i="23"/>
  <c r="G123" i="23"/>
  <c r="F123" i="23"/>
  <c r="E123" i="23"/>
  <c r="D123" i="23"/>
  <c r="C123" i="23"/>
  <c r="J122" i="23"/>
  <c r="J122" i="23" a="1"/>
  <c r="I122" i="23" a="1"/>
  <c r="I122" i="23" s="1"/>
  <c r="H122" i="23" a="1"/>
  <c r="H122" i="23" s="1"/>
  <c r="G122" i="23" a="1"/>
  <c r="G122" i="23" s="1"/>
  <c r="F122" i="23"/>
  <c r="F122" i="23" a="1"/>
  <c r="E122" i="23" a="1"/>
  <c r="E122" i="23" s="1"/>
  <c r="D122" i="23" a="1"/>
  <c r="D122" i="23" s="1"/>
  <c r="C122" i="23" a="1"/>
  <c r="C122" i="23" s="1"/>
  <c r="J120" i="23"/>
  <c r="I120" i="23"/>
  <c r="H120" i="23"/>
  <c r="G120" i="23"/>
  <c r="E120" i="23"/>
  <c r="D120" i="23"/>
  <c r="C120" i="23"/>
  <c r="J119" i="23"/>
  <c r="J119" i="23" a="1"/>
  <c r="I119" i="23" a="1"/>
  <c r="I119" i="23" s="1"/>
  <c r="H119" i="23" a="1"/>
  <c r="H119" i="23" s="1"/>
  <c r="G119" i="23" a="1"/>
  <c r="G119" i="23" s="1"/>
  <c r="F119" i="23"/>
  <c r="F119" i="23" a="1"/>
  <c r="E119" i="23" a="1"/>
  <c r="E119" i="23" s="1"/>
  <c r="D119" i="23" a="1"/>
  <c r="D119" i="23" s="1"/>
  <c r="C119" i="23" a="1"/>
  <c r="C119" i="23" s="1"/>
  <c r="J117" i="23"/>
  <c r="I117" i="23"/>
  <c r="H117" i="23"/>
  <c r="G117" i="23"/>
  <c r="F117" i="23"/>
  <c r="E117" i="23"/>
  <c r="D117" i="23"/>
  <c r="C117" i="23"/>
  <c r="J116" i="23"/>
  <c r="J116" i="23" a="1"/>
  <c r="I116" i="23" a="1"/>
  <c r="I116" i="23" s="1"/>
  <c r="H116" i="23" a="1"/>
  <c r="H116" i="23" s="1"/>
  <c r="G116" i="23" a="1"/>
  <c r="G116" i="23" s="1"/>
  <c r="F116" i="23"/>
  <c r="F116" i="23" a="1"/>
  <c r="E116" i="23" a="1"/>
  <c r="E116" i="23" s="1"/>
  <c r="D116" i="23" a="1"/>
  <c r="D116" i="23" s="1"/>
  <c r="C116" i="23" a="1"/>
  <c r="C116" i="23" s="1"/>
  <c r="I114" i="23"/>
  <c r="H114" i="23"/>
  <c r="G114" i="23"/>
  <c r="E114" i="23"/>
  <c r="D114" i="23"/>
  <c r="C114" i="23"/>
  <c r="J113" i="23"/>
  <c r="J113" i="23" a="1"/>
  <c r="I113" i="23" a="1"/>
  <c r="I113" i="23" s="1"/>
  <c r="H113" i="23" a="1"/>
  <c r="H113" i="23" s="1"/>
  <c r="G113" i="23" a="1"/>
  <c r="G113" i="23" s="1"/>
  <c r="F113" i="23"/>
  <c r="F113" i="23" a="1"/>
  <c r="E113" i="23" a="1"/>
  <c r="E113" i="23" s="1"/>
  <c r="D113" i="23" a="1"/>
  <c r="D113" i="23" s="1"/>
  <c r="C113" i="23" a="1"/>
  <c r="C113" i="23" s="1"/>
  <c r="I111" i="23"/>
  <c r="H111" i="23"/>
  <c r="G111" i="23"/>
  <c r="E111" i="23"/>
  <c r="D111" i="23"/>
  <c r="C111" i="23"/>
  <c r="J110" i="23"/>
  <c r="J110" i="23" a="1"/>
  <c r="I110" i="23" a="1"/>
  <c r="I110" i="23" s="1"/>
  <c r="H110" i="23" a="1"/>
  <c r="H110" i="23" s="1"/>
  <c r="G110" i="23" a="1"/>
  <c r="G110" i="23" s="1"/>
  <c r="F110" i="23"/>
  <c r="F110" i="23" a="1"/>
  <c r="E110" i="23" a="1"/>
  <c r="E110" i="23" s="1"/>
  <c r="D110" i="23" a="1"/>
  <c r="D110" i="23" s="1"/>
  <c r="C110" i="23" a="1"/>
  <c r="C110" i="23" s="1"/>
  <c r="I108" i="23"/>
  <c r="H108" i="23"/>
  <c r="G108" i="23"/>
  <c r="E108" i="23"/>
  <c r="D108" i="23"/>
  <c r="C108" i="23"/>
  <c r="J107" i="23"/>
  <c r="J107" i="23" a="1"/>
  <c r="I107" i="23" a="1"/>
  <c r="I107" i="23" s="1"/>
  <c r="H107" i="23" a="1"/>
  <c r="H107" i="23" s="1"/>
  <c r="G107" i="23" a="1"/>
  <c r="G107" i="23" s="1"/>
  <c r="F107" i="23"/>
  <c r="F107" i="23" a="1"/>
  <c r="E107" i="23" a="1"/>
  <c r="E107" i="23" s="1"/>
  <c r="D107" i="23" a="1"/>
  <c r="D107" i="23" s="1"/>
  <c r="C107" i="23" a="1"/>
  <c r="C107" i="23" s="1"/>
  <c r="I105" i="23"/>
  <c r="H105" i="23"/>
  <c r="G105" i="23"/>
  <c r="E105" i="23"/>
  <c r="D105" i="23"/>
  <c r="C105" i="23"/>
  <c r="J104" i="23"/>
  <c r="J104" i="23" a="1"/>
  <c r="I104" i="23" a="1"/>
  <c r="I104" i="23" s="1"/>
  <c r="H104" i="23" a="1"/>
  <c r="H104" i="23" s="1"/>
  <c r="G104" i="23" a="1"/>
  <c r="G104" i="23" s="1"/>
  <c r="F104" i="23"/>
  <c r="F104" i="23" a="1"/>
  <c r="E104" i="23" a="1"/>
  <c r="E104" i="23" s="1"/>
  <c r="D104" i="23" a="1"/>
  <c r="D104" i="23" s="1"/>
  <c r="C104" i="23" a="1"/>
  <c r="C104" i="23" s="1"/>
  <c r="J102" i="23"/>
  <c r="I102" i="23"/>
  <c r="H102" i="23"/>
  <c r="G102" i="23"/>
  <c r="E102" i="23"/>
  <c r="D102" i="23"/>
  <c r="C102" i="23"/>
  <c r="J101" i="23"/>
  <c r="J101" i="23" a="1"/>
  <c r="I101" i="23" a="1"/>
  <c r="I101" i="23" s="1"/>
  <c r="H101" i="23" a="1"/>
  <c r="H101" i="23" s="1"/>
  <c r="G101" i="23" a="1"/>
  <c r="G101" i="23" s="1"/>
  <c r="F101" i="23"/>
  <c r="F101" i="23" a="1"/>
  <c r="E101" i="23" a="1"/>
  <c r="E101" i="23" s="1"/>
  <c r="D101" i="23" a="1"/>
  <c r="D101" i="23" s="1"/>
  <c r="C101" i="23" a="1"/>
  <c r="C101" i="23" s="1"/>
  <c r="J99" i="23"/>
  <c r="I99" i="23"/>
  <c r="H99" i="23"/>
  <c r="G99" i="23"/>
  <c r="F99" i="23"/>
  <c r="E99" i="23"/>
  <c r="D99" i="23"/>
  <c r="C99" i="23"/>
  <c r="J98" i="23"/>
  <c r="J98" i="23" a="1"/>
  <c r="I98" i="23" a="1"/>
  <c r="I98" i="23" s="1"/>
  <c r="H98" i="23" a="1"/>
  <c r="H98" i="23" s="1"/>
  <c r="G98" i="23" a="1"/>
  <c r="G98" i="23" s="1"/>
  <c r="F98" i="23"/>
  <c r="F98" i="23" a="1"/>
  <c r="E98" i="23" a="1"/>
  <c r="E98" i="23" s="1"/>
  <c r="D98" i="23" a="1"/>
  <c r="D98" i="23" s="1"/>
  <c r="C98" i="23" a="1"/>
  <c r="C98" i="23" s="1"/>
  <c r="I96" i="23"/>
  <c r="H96" i="23"/>
  <c r="G96" i="23"/>
  <c r="F96" i="23"/>
  <c r="E96" i="23"/>
  <c r="D96" i="23"/>
  <c r="C96" i="23"/>
  <c r="J95" i="23"/>
  <c r="J95" i="23" a="1"/>
  <c r="I95" i="23" a="1"/>
  <c r="I95" i="23" s="1"/>
  <c r="H95" i="23" a="1"/>
  <c r="H95" i="23" s="1"/>
  <c r="G95" i="23" a="1"/>
  <c r="G95" i="23" s="1"/>
  <c r="F95" i="23"/>
  <c r="F95" i="23" a="1"/>
  <c r="E95" i="23" a="1"/>
  <c r="E95" i="23" s="1"/>
  <c r="D95" i="23" a="1"/>
  <c r="D95" i="23" s="1"/>
  <c r="C95" i="23" a="1"/>
  <c r="C95" i="23" s="1"/>
  <c r="J93" i="23"/>
  <c r="I93" i="23"/>
  <c r="H93" i="23"/>
  <c r="G93" i="23"/>
  <c r="E93" i="23"/>
  <c r="D93" i="23"/>
  <c r="C93" i="23"/>
  <c r="J92" i="23"/>
  <c r="J92" i="23" a="1"/>
  <c r="I92" i="23" a="1"/>
  <c r="I92" i="23" s="1"/>
  <c r="H92" i="23" a="1"/>
  <c r="H92" i="23" s="1"/>
  <c r="G92" i="23" a="1"/>
  <c r="G92" i="23" s="1"/>
  <c r="F92" i="23"/>
  <c r="F92" i="23" a="1"/>
  <c r="E92" i="23" a="1"/>
  <c r="E92" i="23" s="1"/>
  <c r="D92" i="23" a="1"/>
  <c r="D92" i="23" s="1"/>
  <c r="C92" i="23" a="1"/>
  <c r="C92" i="23" s="1"/>
  <c r="I90" i="23"/>
  <c r="H90" i="23"/>
  <c r="G90" i="23"/>
  <c r="E90" i="23"/>
  <c r="D90" i="23"/>
  <c r="C90" i="23"/>
  <c r="J89" i="23"/>
  <c r="J89" i="23" a="1"/>
  <c r="I89" i="23" a="1"/>
  <c r="I89" i="23" s="1"/>
  <c r="H89" i="23" a="1"/>
  <c r="H89" i="23" s="1"/>
  <c r="G89" i="23" a="1"/>
  <c r="G89" i="23" s="1"/>
  <c r="F89" i="23"/>
  <c r="F89" i="23" a="1"/>
  <c r="E89" i="23" a="1"/>
  <c r="E89" i="23" s="1"/>
  <c r="D89" i="23" a="1"/>
  <c r="D89" i="23" s="1"/>
  <c r="C89" i="23" a="1"/>
  <c r="C89" i="23" s="1"/>
  <c r="I87" i="23"/>
  <c r="H87" i="23"/>
  <c r="G87" i="23"/>
  <c r="E87" i="23"/>
  <c r="D87" i="23"/>
  <c r="C87" i="23"/>
  <c r="J86" i="23"/>
  <c r="J86" i="23" a="1"/>
  <c r="I86" i="23" a="1"/>
  <c r="I86" i="23" s="1"/>
  <c r="H86" i="23" a="1"/>
  <c r="H86" i="23" s="1"/>
  <c r="G86" i="23" a="1"/>
  <c r="G86" i="23" s="1"/>
  <c r="F86" i="23"/>
  <c r="F86" i="23" a="1"/>
  <c r="E86" i="23" a="1"/>
  <c r="E86" i="23" s="1"/>
  <c r="D86" i="23" a="1"/>
  <c r="D86" i="23" s="1"/>
  <c r="C86" i="23" a="1"/>
  <c r="C86" i="23" s="1"/>
  <c r="J84" i="23"/>
  <c r="I84" i="23"/>
  <c r="H84" i="23"/>
  <c r="G84" i="23"/>
  <c r="E84" i="23"/>
  <c r="D84" i="23"/>
  <c r="C84" i="23"/>
  <c r="J83" i="23"/>
  <c r="J83" i="23" a="1"/>
  <c r="I83" i="23" a="1"/>
  <c r="I83" i="23" s="1"/>
  <c r="H83" i="23" a="1"/>
  <c r="H83" i="23" s="1"/>
  <c r="G83" i="23" a="1"/>
  <c r="G83" i="23" s="1"/>
  <c r="F83" i="23"/>
  <c r="F83" i="23" a="1"/>
  <c r="E83" i="23" a="1"/>
  <c r="E83" i="23" s="1"/>
  <c r="D83" i="23" a="1"/>
  <c r="D83" i="23" s="1"/>
  <c r="C83" i="23" a="1"/>
  <c r="C83" i="23" s="1"/>
  <c r="I81" i="23"/>
  <c r="H81" i="23"/>
  <c r="G81" i="23"/>
  <c r="E81" i="23"/>
  <c r="D81" i="23"/>
  <c r="C81" i="23"/>
  <c r="J80" i="23"/>
  <c r="J80" i="23" a="1"/>
  <c r="I80" i="23" a="1"/>
  <c r="I80" i="23" s="1"/>
  <c r="H80" i="23" a="1"/>
  <c r="H80" i="23" s="1"/>
  <c r="G80" i="23" a="1"/>
  <c r="G80" i="23" s="1"/>
  <c r="F80" i="23"/>
  <c r="F80" i="23" a="1"/>
  <c r="E80" i="23" a="1"/>
  <c r="E80" i="23" s="1"/>
  <c r="D80" i="23" a="1"/>
  <c r="D80" i="23" s="1"/>
  <c r="C80" i="23" a="1"/>
  <c r="C80" i="23" s="1"/>
  <c r="J78" i="23"/>
  <c r="I78" i="23"/>
  <c r="H78" i="23"/>
  <c r="G78" i="23"/>
  <c r="F78" i="23"/>
  <c r="E78" i="23"/>
  <c r="D78" i="23"/>
  <c r="C78" i="23"/>
  <c r="J77" i="23"/>
  <c r="J77" i="23" a="1"/>
  <c r="I77" i="23" a="1"/>
  <c r="I77" i="23" s="1"/>
  <c r="H77" i="23" a="1"/>
  <c r="H77" i="23" s="1"/>
  <c r="G77" i="23" a="1"/>
  <c r="G77" i="23" s="1"/>
  <c r="F77" i="23"/>
  <c r="F77" i="23" a="1"/>
  <c r="E77" i="23" a="1"/>
  <c r="E77" i="23" s="1"/>
  <c r="D77" i="23" a="1"/>
  <c r="D77" i="23" s="1"/>
  <c r="C77" i="23" a="1"/>
  <c r="C77" i="23" s="1"/>
  <c r="J75" i="23"/>
  <c r="I75" i="23"/>
  <c r="H75" i="23"/>
  <c r="G75" i="23"/>
  <c r="E75" i="23"/>
  <c r="D75" i="23"/>
  <c r="C75" i="23"/>
  <c r="J74" i="23"/>
  <c r="J74" i="23" a="1"/>
  <c r="I74" i="23" a="1"/>
  <c r="I74" i="23" s="1"/>
  <c r="H74" i="23" a="1"/>
  <c r="H74" i="23" s="1"/>
  <c r="G74" i="23" a="1"/>
  <c r="G74" i="23" s="1"/>
  <c r="F74" i="23"/>
  <c r="F74" i="23" a="1"/>
  <c r="E74" i="23" a="1"/>
  <c r="E74" i="23" s="1"/>
  <c r="D74" i="23" a="1"/>
  <c r="D74" i="23" s="1"/>
  <c r="C74" i="23" a="1"/>
  <c r="C74" i="23" s="1"/>
  <c r="I72" i="23"/>
  <c r="H72" i="23"/>
  <c r="G72" i="23"/>
  <c r="E72" i="23"/>
  <c r="D72" i="23"/>
  <c r="C72" i="23"/>
  <c r="J71" i="23"/>
  <c r="J71" i="23" a="1"/>
  <c r="I71" i="23" a="1"/>
  <c r="I71" i="23" s="1"/>
  <c r="H71" i="23" a="1"/>
  <c r="H71" i="23" s="1"/>
  <c r="G71" i="23" a="1"/>
  <c r="G71" i="23" s="1"/>
  <c r="F71" i="23"/>
  <c r="F71" i="23" a="1"/>
  <c r="E71" i="23" a="1"/>
  <c r="E71" i="23" s="1"/>
  <c r="D71" i="23" a="1"/>
  <c r="D71" i="23" s="1"/>
  <c r="C71" i="23" a="1"/>
  <c r="C71" i="23" s="1"/>
  <c r="J69" i="23"/>
  <c r="I69" i="23"/>
  <c r="H69" i="23"/>
  <c r="G69" i="23"/>
  <c r="F69" i="23"/>
  <c r="E69" i="23"/>
  <c r="D69" i="23"/>
  <c r="C69" i="23"/>
  <c r="J68" i="23"/>
  <c r="J68" i="23" a="1"/>
  <c r="I68" i="23" a="1"/>
  <c r="I68" i="23" s="1"/>
  <c r="H68" i="23" a="1"/>
  <c r="H68" i="23" s="1"/>
  <c r="G68" i="23" a="1"/>
  <c r="G68" i="23" s="1"/>
  <c r="F68" i="23"/>
  <c r="F68" i="23" a="1"/>
  <c r="E68" i="23" a="1"/>
  <c r="E68" i="23" s="1"/>
  <c r="D68" i="23" a="1"/>
  <c r="D68" i="23" s="1"/>
  <c r="C68" i="23" a="1"/>
  <c r="C68" i="23" s="1"/>
  <c r="J66" i="23"/>
  <c r="I66" i="23"/>
  <c r="H66" i="23"/>
  <c r="G66" i="23"/>
  <c r="F66" i="23"/>
  <c r="E66" i="23"/>
  <c r="D66" i="23"/>
  <c r="C66" i="23"/>
  <c r="J65" i="23"/>
  <c r="J65" i="23" a="1"/>
  <c r="I65" i="23" a="1"/>
  <c r="I65" i="23" s="1"/>
  <c r="H65" i="23" a="1"/>
  <c r="H65" i="23" s="1"/>
  <c r="G65" i="23" a="1"/>
  <c r="G65" i="23" s="1"/>
  <c r="F65" i="23"/>
  <c r="F65" i="23" a="1"/>
  <c r="E65" i="23" a="1"/>
  <c r="E65" i="23" s="1"/>
  <c r="D65" i="23" a="1"/>
  <c r="D65" i="23" s="1"/>
  <c r="C65" i="23" a="1"/>
  <c r="C65" i="23" s="1"/>
  <c r="J63" i="23"/>
  <c r="I63" i="23"/>
  <c r="H63" i="23"/>
  <c r="G63" i="23"/>
  <c r="F63" i="23"/>
  <c r="E63" i="23"/>
  <c r="D63" i="23"/>
  <c r="C63" i="23"/>
  <c r="J62" i="23"/>
  <c r="J62" i="23" a="1"/>
  <c r="I62" i="23" a="1"/>
  <c r="I62" i="23" s="1"/>
  <c r="H62" i="23" a="1"/>
  <c r="H62" i="23" s="1"/>
  <c r="G62" i="23" a="1"/>
  <c r="G62" i="23" s="1"/>
  <c r="F62" i="23"/>
  <c r="F62" i="23" a="1"/>
  <c r="E62" i="23" a="1"/>
  <c r="E62" i="23" s="1"/>
  <c r="D62" i="23" a="1"/>
  <c r="D62" i="23" s="1"/>
  <c r="C62" i="23" a="1"/>
  <c r="C62" i="23" s="1"/>
  <c r="J60" i="23"/>
  <c r="I60" i="23"/>
  <c r="H60" i="23"/>
  <c r="G60" i="23"/>
  <c r="F60" i="23"/>
  <c r="E60" i="23"/>
  <c r="D60" i="23"/>
  <c r="C60" i="23"/>
  <c r="J59" i="23"/>
  <c r="J59" i="23" a="1"/>
  <c r="I59" i="23" a="1"/>
  <c r="I59" i="23" s="1"/>
  <c r="H59" i="23" a="1"/>
  <c r="H59" i="23" s="1"/>
  <c r="G59" i="23" a="1"/>
  <c r="G59" i="23" s="1"/>
  <c r="F59" i="23"/>
  <c r="F59" i="23" a="1"/>
  <c r="E59" i="23" a="1"/>
  <c r="E59" i="23" s="1"/>
  <c r="D59" i="23" a="1"/>
  <c r="D59" i="23" s="1"/>
  <c r="C59" i="23" a="1"/>
  <c r="C59" i="23" s="1"/>
  <c r="J57" i="23"/>
  <c r="I57" i="23"/>
  <c r="H57" i="23"/>
  <c r="G57" i="23"/>
  <c r="F57" i="23"/>
  <c r="E57" i="23"/>
  <c r="D57" i="23"/>
  <c r="C57" i="23"/>
  <c r="J56" i="23"/>
  <c r="J56" i="23" a="1"/>
  <c r="I56" i="23" a="1"/>
  <c r="I56" i="23" s="1"/>
  <c r="H56" i="23" a="1"/>
  <c r="H56" i="23" s="1"/>
  <c r="G56" i="23" a="1"/>
  <c r="G56" i="23" s="1"/>
  <c r="F56" i="23"/>
  <c r="F56" i="23" a="1"/>
  <c r="E56" i="23" a="1"/>
  <c r="E56" i="23" s="1"/>
  <c r="D56" i="23" a="1"/>
  <c r="D56" i="23" s="1"/>
  <c r="C56" i="23" a="1"/>
  <c r="C56" i="23" s="1"/>
  <c r="J54" i="23"/>
  <c r="I54" i="23"/>
  <c r="H54" i="23"/>
  <c r="G54" i="23"/>
  <c r="F54" i="23"/>
  <c r="E54" i="23"/>
  <c r="D54" i="23"/>
  <c r="C54" i="23"/>
  <c r="J53" i="23"/>
  <c r="J53" i="23" a="1"/>
  <c r="I53" i="23" a="1"/>
  <c r="I53" i="23" s="1"/>
  <c r="H53" i="23" a="1"/>
  <c r="H53" i="23" s="1"/>
  <c r="G53" i="23" a="1"/>
  <c r="G53" i="23" s="1"/>
  <c r="F53" i="23"/>
  <c r="F53" i="23" a="1"/>
  <c r="E53" i="23" a="1"/>
  <c r="E53" i="23" s="1"/>
  <c r="D53" i="23" a="1"/>
  <c r="D53" i="23" s="1"/>
  <c r="C53" i="23" a="1"/>
  <c r="C53" i="23" s="1"/>
  <c r="J51" i="23"/>
  <c r="I51" i="23"/>
  <c r="H51" i="23"/>
  <c r="G51" i="23"/>
  <c r="E51" i="23"/>
  <c r="D51" i="23"/>
  <c r="C51" i="23"/>
  <c r="J50" i="23"/>
  <c r="J50" i="23" a="1"/>
  <c r="I50" i="23" a="1"/>
  <c r="I50" i="23" s="1"/>
  <c r="H50" i="23" a="1"/>
  <c r="H50" i="23" s="1"/>
  <c r="G50" i="23" a="1"/>
  <c r="G50" i="23" s="1"/>
  <c r="F50" i="23"/>
  <c r="F50" i="23" a="1"/>
  <c r="E50" i="23" a="1"/>
  <c r="E50" i="23" s="1"/>
  <c r="D50" i="23" a="1"/>
  <c r="D50" i="23" s="1"/>
  <c r="C50" i="23" a="1"/>
  <c r="C50" i="23" s="1"/>
  <c r="J48" i="23"/>
  <c r="I48" i="23"/>
  <c r="H48" i="23"/>
  <c r="G48" i="23"/>
  <c r="E48" i="23"/>
  <c r="D48" i="23"/>
  <c r="C48" i="23"/>
  <c r="J47" i="23"/>
  <c r="J47" i="23" a="1"/>
  <c r="I47" i="23" a="1"/>
  <c r="I47" i="23" s="1"/>
  <c r="H47" i="23" a="1"/>
  <c r="H47" i="23" s="1"/>
  <c r="G47" i="23" a="1"/>
  <c r="G47" i="23" s="1"/>
  <c r="F47" i="23"/>
  <c r="F47" i="23" a="1"/>
  <c r="E47" i="23" a="1"/>
  <c r="E47" i="23" s="1"/>
  <c r="D47" i="23" a="1"/>
  <c r="D47" i="23" s="1"/>
  <c r="C47" i="23" a="1"/>
  <c r="C47" i="23" s="1"/>
  <c r="J45" i="23"/>
  <c r="I45" i="23"/>
  <c r="H45" i="23"/>
  <c r="G45" i="23"/>
  <c r="F45" i="23"/>
  <c r="E45" i="23"/>
  <c r="D45" i="23"/>
  <c r="C45" i="23"/>
  <c r="J44" i="23"/>
  <c r="J44" i="23" a="1"/>
  <c r="I44" i="23" a="1"/>
  <c r="I44" i="23" s="1"/>
  <c r="H44" i="23" a="1"/>
  <c r="H44" i="23" s="1"/>
  <c r="G44" i="23" a="1"/>
  <c r="G44" i="23" s="1"/>
  <c r="F44" i="23"/>
  <c r="F44" i="23" a="1"/>
  <c r="E44" i="23" a="1"/>
  <c r="E44" i="23" s="1"/>
  <c r="D44" i="23" a="1"/>
  <c r="D44" i="23" s="1"/>
  <c r="C44" i="23" a="1"/>
  <c r="C44" i="23" s="1"/>
  <c r="J42" i="23"/>
  <c r="I42" i="23"/>
  <c r="H42" i="23"/>
  <c r="G42" i="23"/>
  <c r="F42" i="23"/>
  <c r="E42" i="23"/>
  <c r="D42" i="23"/>
  <c r="C42" i="23"/>
  <c r="J41" i="23"/>
  <c r="J41" i="23" a="1"/>
  <c r="I41" i="23" a="1"/>
  <c r="I41" i="23" s="1"/>
  <c r="H41" i="23" a="1"/>
  <c r="H41" i="23" s="1"/>
  <c r="G41" i="23" a="1"/>
  <c r="G41" i="23" s="1"/>
  <c r="F41" i="23"/>
  <c r="F41" i="23" a="1"/>
  <c r="E41" i="23" a="1"/>
  <c r="E41" i="23" s="1"/>
  <c r="D41" i="23" a="1"/>
  <c r="D41" i="23" s="1"/>
  <c r="C41" i="23" a="1"/>
  <c r="C41" i="23" s="1"/>
  <c r="J39" i="23"/>
  <c r="I39" i="23"/>
  <c r="H39" i="23"/>
  <c r="G39" i="23"/>
  <c r="F39" i="23"/>
  <c r="E39" i="23"/>
  <c r="D39" i="23"/>
  <c r="C39" i="23"/>
  <c r="J38" i="23"/>
  <c r="J38" i="23" a="1"/>
  <c r="I38" i="23" a="1"/>
  <c r="I38" i="23" s="1"/>
  <c r="H38" i="23" a="1"/>
  <c r="H38" i="23" s="1"/>
  <c r="G38" i="23" a="1"/>
  <c r="G38" i="23" s="1"/>
  <c r="F38" i="23"/>
  <c r="F38" i="23" a="1"/>
  <c r="E38" i="23" a="1"/>
  <c r="E38" i="23" s="1"/>
  <c r="D38" i="23" a="1"/>
  <c r="D38" i="23" s="1"/>
  <c r="C38" i="23" a="1"/>
  <c r="C38" i="23" s="1"/>
  <c r="J36" i="23"/>
  <c r="I36" i="23"/>
  <c r="H36" i="23"/>
  <c r="G36" i="23"/>
  <c r="F36" i="23"/>
  <c r="E36" i="23"/>
  <c r="D36" i="23"/>
  <c r="C36" i="23"/>
  <c r="J35" i="23"/>
  <c r="J35" i="23" a="1"/>
  <c r="I35" i="23" a="1"/>
  <c r="I35" i="23" s="1"/>
  <c r="H35" i="23" a="1"/>
  <c r="H35" i="23" s="1"/>
  <c r="G35" i="23" a="1"/>
  <c r="G35" i="23" s="1"/>
  <c r="F35" i="23"/>
  <c r="F35" i="23" a="1"/>
  <c r="E35" i="23" a="1"/>
  <c r="E35" i="23" s="1"/>
  <c r="D35" i="23" a="1"/>
  <c r="D35" i="23" s="1"/>
  <c r="C35" i="23" a="1"/>
  <c r="C35" i="23" s="1"/>
  <c r="J33" i="23"/>
  <c r="I33" i="23"/>
  <c r="H33" i="23"/>
  <c r="G33" i="23"/>
  <c r="F33" i="23"/>
  <c r="E33" i="23"/>
  <c r="D33" i="23"/>
  <c r="C33" i="23"/>
  <c r="J32" i="23" a="1"/>
  <c r="J32" i="23" s="1"/>
  <c r="I32" i="23" a="1"/>
  <c r="I32" i="23" s="1"/>
  <c r="H32" i="23" a="1"/>
  <c r="H32" i="23" s="1"/>
  <c r="G32" i="23" a="1"/>
  <c r="G32" i="23" s="1"/>
  <c r="F32" i="23" a="1"/>
  <c r="F32" i="23" s="1"/>
  <c r="E32" i="23" a="1"/>
  <c r="E32" i="23" s="1"/>
  <c r="D32" i="23" a="1"/>
  <c r="D32" i="23" s="1"/>
  <c r="C32" i="23" a="1"/>
  <c r="C32" i="23" s="1"/>
  <c r="J30" i="23"/>
  <c r="I30" i="23"/>
  <c r="H30" i="23"/>
  <c r="G30" i="23"/>
  <c r="F30" i="23"/>
  <c r="E30" i="23"/>
  <c r="D30" i="23"/>
  <c r="C30" i="23"/>
  <c r="J29" i="23" a="1"/>
  <c r="J29" i="23" s="1"/>
  <c r="I29" i="23" a="1"/>
  <c r="I29" i="23" s="1"/>
  <c r="H29" i="23" a="1"/>
  <c r="H29" i="23" s="1"/>
  <c r="G29" i="23" a="1"/>
  <c r="G29" i="23" s="1"/>
  <c r="F29" i="23" a="1"/>
  <c r="F29" i="23" s="1"/>
  <c r="E29" i="23" a="1"/>
  <c r="E29" i="23" s="1"/>
  <c r="D29" i="23" a="1"/>
  <c r="D29" i="23" s="1"/>
  <c r="C29" i="23" a="1"/>
  <c r="C29" i="23" s="1"/>
  <c r="J27" i="23"/>
  <c r="I27" i="23"/>
  <c r="H27" i="23"/>
  <c r="G27" i="23"/>
  <c r="F27" i="23"/>
  <c r="E27" i="23"/>
  <c r="D27" i="23"/>
  <c r="C27" i="23"/>
  <c r="J26" i="23" a="1"/>
  <c r="J26" i="23" s="1"/>
  <c r="I26" i="23" a="1"/>
  <c r="I26" i="23" s="1"/>
  <c r="H26" i="23" a="1"/>
  <c r="H26" i="23" s="1"/>
  <c r="G26" i="23" a="1"/>
  <c r="G26" i="23" s="1"/>
  <c r="F26" i="23" a="1"/>
  <c r="F26" i="23" s="1"/>
  <c r="E26" i="23" a="1"/>
  <c r="E26" i="23" s="1"/>
  <c r="D26" i="23" a="1"/>
  <c r="D26" i="23" s="1"/>
  <c r="C26" i="23" a="1"/>
  <c r="C26" i="23" s="1"/>
  <c r="J24" i="23"/>
  <c r="I24" i="23"/>
  <c r="H24" i="23"/>
  <c r="G24" i="23"/>
  <c r="F24" i="23"/>
  <c r="E24" i="23"/>
  <c r="D24" i="23"/>
  <c r="C24" i="23"/>
  <c r="J23" i="23" a="1"/>
  <c r="J23" i="23" s="1"/>
  <c r="I23" i="23" a="1"/>
  <c r="I23" i="23" s="1"/>
  <c r="H23" i="23" a="1"/>
  <c r="H23" i="23" s="1"/>
  <c r="G23" i="23" a="1"/>
  <c r="G23" i="23" s="1"/>
  <c r="F23" i="23" a="1"/>
  <c r="F23" i="23" s="1"/>
  <c r="E23" i="23" a="1"/>
  <c r="E23" i="23" s="1"/>
  <c r="D23" i="23" a="1"/>
  <c r="D23" i="23" s="1"/>
  <c r="C23" i="23" a="1"/>
  <c r="C23" i="23" s="1"/>
  <c r="J21" i="23"/>
  <c r="I21" i="23"/>
  <c r="H21" i="23"/>
  <c r="G21" i="23"/>
  <c r="F21" i="23"/>
  <c r="E21" i="23"/>
  <c r="D21" i="23"/>
  <c r="C21" i="23"/>
  <c r="J20" i="23" a="1"/>
  <c r="J20" i="23" s="1"/>
  <c r="I20" i="23" a="1"/>
  <c r="I20" i="23" s="1"/>
  <c r="H20" i="23" a="1"/>
  <c r="H20" i="23" s="1"/>
  <c r="G20" i="23" a="1"/>
  <c r="G20" i="23" s="1"/>
  <c r="F20" i="23" a="1"/>
  <c r="F20" i="23" s="1"/>
  <c r="E20" i="23" a="1"/>
  <c r="E20" i="23" s="1"/>
  <c r="D20" i="23" a="1"/>
  <c r="D20" i="23" s="1"/>
  <c r="C20" i="23" a="1"/>
  <c r="C20" i="23" s="1"/>
  <c r="J18" i="23"/>
  <c r="I18" i="23"/>
  <c r="H18" i="23"/>
  <c r="G18" i="23"/>
  <c r="F18" i="23"/>
  <c r="E18" i="23"/>
  <c r="D18" i="23"/>
  <c r="C18" i="23"/>
  <c r="J17" i="23" a="1"/>
  <c r="J17" i="23" s="1"/>
  <c r="I17" i="23" a="1"/>
  <c r="I17" i="23" s="1"/>
  <c r="H17" i="23" a="1"/>
  <c r="H17" i="23" s="1"/>
  <c r="G17" i="23" a="1"/>
  <c r="G17" i="23" s="1"/>
  <c r="F17" i="23" a="1"/>
  <c r="F17" i="23" s="1"/>
  <c r="E17" i="23" a="1"/>
  <c r="E17" i="23" s="1"/>
  <c r="D17" i="23" a="1"/>
  <c r="D17" i="23" s="1"/>
  <c r="C17" i="23" a="1"/>
  <c r="C17" i="23" s="1"/>
  <c r="J15" i="23"/>
  <c r="I15" i="23"/>
  <c r="H15" i="23"/>
  <c r="G15" i="23"/>
  <c r="F15" i="23"/>
  <c r="E15" i="23"/>
  <c r="D15" i="23"/>
  <c r="C15" i="23"/>
  <c r="J14" i="23" a="1"/>
  <c r="J14" i="23" s="1"/>
  <c r="I14" i="23" a="1"/>
  <c r="I14" i="23" s="1"/>
  <c r="H14" i="23" a="1"/>
  <c r="H14" i="23" s="1"/>
  <c r="G14" i="23" a="1"/>
  <c r="G14" i="23" s="1"/>
  <c r="F14" i="23" a="1"/>
  <c r="F14" i="23" s="1"/>
  <c r="E14" i="23" a="1"/>
  <c r="E14" i="23" s="1"/>
  <c r="D14" i="23" a="1"/>
  <c r="D14" i="23" s="1"/>
  <c r="C14" i="23" a="1"/>
  <c r="C14" i="23" s="1"/>
  <c r="J12" i="23"/>
  <c r="I12" i="23"/>
  <c r="H12" i="23"/>
  <c r="G12" i="23"/>
  <c r="F12" i="23"/>
  <c r="E12" i="23"/>
  <c r="D12" i="23"/>
  <c r="C12" i="23"/>
  <c r="J11" i="23" a="1"/>
  <c r="J11" i="23" s="1"/>
  <c r="I11" i="23" a="1"/>
  <c r="I11" i="23" s="1"/>
  <c r="H11" i="23" a="1"/>
  <c r="H11" i="23" s="1"/>
  <c r="G11" i="23" a="1"/>
  <c r="G11" i="23" s="1"/>
  <c r="F11" i="23" a="1"/>
  <c r="F11" i="23" s="1"/>
  <c r="E11" i="23" a="1"/>
  <c r="E11" i="23" s="1"/>
  <c r="D11" i="23" a="1"/>
  <c r="D11" i="23" s="1"/>
  <c r="C11" i="23" a="1"/>
  <c r="C11" i="23" s="1"/>
  <c r="J9" i="23"/>
  <c r="I9" i="23"/>
  <c r="H9" i="23"/>
  <c r="G9" i="23"/>
  <c r="F9" i="23"/>
  <c r="E9" i="23"/>
  <c r="D9" i="23"/>
  <c r="C9" i="23"/>
  <c r="J8" i="23" a="1"/>
  <c r="J8" i="23" s="1"/>
  <c r="I8" i="23" a="1"/>
  <c r="I8" i="23" s="1"/>
  <c r="H8" i="23" a="1"/>
  <c r="H8" i="23" s="1"/>
  <c r="G8" i="23" a="1"/>
  <c r="G8" i="23" s="1"/>
  <c r="F8" i="23" a="1"/>
  <c r="F8" i="23" s="1"/>
  <c r="E8" i="23" a="1"/>
  <c r="E8" i="23" s="1"/>
  <c r="D8" i="23" a="1"/>
  <c r="D8" i="23" s="1"/>
  <c r="C8" i="23" a="1"/>
  <c r="C8" i="23" s="1"/>
  <c r="J6" i="23"/>
  <c r="I6" i="23"/>
  <c r="H6" i="23"/>
  <c r="G6" i="23"/>
  <c r="F6" i="23"/>
  <c r="E6" i="23"/>
  <c r="D6" i="23"/>
  <c r="C6" i="23"/>
  <c r="J5" i="23" a="1"/>
  <c r="J5" i="23" s="1"/>
  <c r="I5" i="23" a="1"/>
  <c r="I5" i="23" s="1"/>
  <c r="H5" i="23" a="1"/>
  <c r="H5" i="23" s="1"/>
  <c r="G5" i="23" a="1"/>
  <c r="G5" i="23" s="1"/>
  <c r="F5" i="23" a="1"/>
  <c r="F5" i="23" s="1"/>
  <c r="E5" i="23" a="1"/>
  <c r="E5" i="23" s="1"/>
  <c r="D5" i="23" a="1"/>
  <c r="D5" i="23" s="1"/>
  <c r="C5" i="23" a="1"/>
  <c r="C5" i="23" s="1"/>
  <c r="B16" i="23"/>
  <c r="K10" i="22"/>
  <c r="K11" i="22"/>
  <c r="K17" i="22"/>
  <c r="L18" i="22"/>
  <c r="K19" i="22"/>
  <c r="L20" i="22"/>
  <c r="K26" i="22"/>
  <c r="K27" i="22"/>
  <c r="K28" i="22"/>
  <c r="K33" i="22"/>
  <c r="K34" i="22"/>
  <c r="L35" i="22"/>
  <c r="K36" i="22"/>
  <c r="L42" i="22"/>
  <c r="L44" i="22"/>
  <c r="K49" i="22"/>
  <c r="L50" i="22"/>
  <c r="K51" i="22"/>
  <c r="K52" i="22"/>
  <c r="Y5" i="22"/>
  <c r="Z5" i="22" s="1"/>
  <c r="K5" i="22" s="1"/>
  <c r="Y6" i="22"/>
  <c r="Z6" i="22" s="1"/>
  <c r="K6" i="22" s="1"/>
  <c r="Y7" i="22"/>
  <c r="AA7" i="22" s="1"/>
  <c r="L7" i="22" s="1"/>
  <c r="Y8" i="22"/>
  <c r="AA8" i="22" s="1"/>
  <c r="L8" i="22" s="1"/>
  <c r="Y9" i="22"/>
  <c r="Z9" i="22" s="1"/>
  <c r="K9" i="22" s="1"/>
  <c r="Y10" i="22"/>
  <c r="Z10" i="22" s="1"/>
  <c r="Y11" i="22"/>
  <c r="Z11" i="22" s="1"/>
  <c r="Y12" i="22"/>
  <c r="Z12" i="22" s="1"/>
  <c r="K12" i="22" s="1"/>
  <c r="Y13" i="22"/>
  <c r="Z13" i="22" s="1"/>
  <c r="K13" i="22" s="1"/>
  <c r="Y14" i="22"/>
  <c r="Z14" i="22" s="1"/>
  <c r="K14" i="22" s="1"/>
  <c r="Y15" i="22"/>
  <c r="Z15" i="22" s="1"/>
  <c r="K15" i="22" s="1"/>
  <c r="Y16" i="22"/>
  <c r="Z16" i="22" s="1"/>
  <c r="K16" i="22" s="1"/>
  <c r="Y17" i="22"/>
  <c r="Z17" i="22" s="1"/>
  <c r="Y18" i="22"/>
  <c r="AA18" i="22" s="1"/>
  <c r="Y19" i="22"/>
  <c r="Z19" i="22" s="1"/>
  <c r="Y20" i="22"/>
  <c r="AA20" i="22" s="1"/>
  <c r="Y21" i="22"/>
  <c r="Z21" i="22" s="1"/>
  <c r="K21" i="22" s="1"/>
  <c r="Y22" i="22"/>
  <c r="Z22" i="22" s="1"/>
  <c r="K22" i="22" s="1"/>
  <c r="Y23" i="22"/>
  <c r="AA23" i="22" s="1"/>
  <c r="L23" i="22" s="1"/>
  <c r="Y24" i="22"/>
  <c r="Z24" i="22" s="1"/>
  <c r="K24" i="22" s="1"/>
  <c r="Y25" i="22"/>
  <c r="Z25" i="22" s="1"/>
  <c r="K25" i="22" s="1"/>
  <c r="Y26" i="22"/>
  <c r="Z26" i="22" s="1"/>
  <c r="Y27" i="22"/>
  <c r="Z27" i="22" s="1"/>
  <c r="Y28" i="22"/>
  <c r="Z28" i="22" s="1"/>
  <c r="Y29" i="22"/>
  <c r="Z29" i="22" s="1"/>
  <c r="K29" i="22" s="1"/>
  <c r="Y30" i="22"/>
  <c r="Z30" i="22" s="1"/>
  <c r="K30" i="22" s="1"/>
  <c r="Y31" i="22"/>
  <c r="AA31" i="22" s="1"/>
  <c r="L31" i="22" s="1"/>
  <c r="Y32" i="22"/>
  <c r="AA32" i="22" s="1"/>
  <c r="L32" i="22" s="1"/>
  <c r="Y33" i="22"/>
  <c r="Z33" i="22" s="1"/>
  <c r="Y34" i="22"/>
  <c r="Z34" i="22" s="1"/>
  <c r="Y35" i="22"/>
  <c r="AA35" i="22" s="1"/>
  <c r="Y36" i="22"/>
  <c r="Z36" i="22" s="1"/>
  <c r="Y37" i="22"/>
  <c r="Z37" i="22" s="1"/>
  <c r="K37" i="22" s="1"/>
  <c r="Y38" i="22"/>
  <c r="Z38" i="22" s="1"/>
  <c r="K38" i="22" s="1"/>
  <c r="Y39" i="22"/>
  <c r="AA39" i="22" s="1"/>
  <c r="L39" i="22" s="1"/>
  <c r="Y40" i="22"/>
  <c r="Z40" i="22" s="1"/>
  <c r="K40" i="22" s="1"/>
  <c r="Y41" i="22"/>
  <c r="Z41" i="22" s="1"/>
  <c r="K41" i="22" s="1"/>
  <c r="Y42" i="22"/>
  <c r="AA42" i="22" s="1"/>
  <c r="Y43" i="22"/>
  <c r="Z43" i="22" s="1"/>
  <c r="K43" i="22" s="1"/>
  <c r="Y44" i="22"/>
  <c r="AA44" i="22" s="1"/>
  <c r="Y45" i="22"/>
  <c r="Z45" i="22" s="1"/>
  <c r="K45" i="22" s="1"/>
  <c r="Y46" i="22"/>
  <c r="Z46" i="22" s="1"/>
  <c r="K46" i="22" s="1"/>
  <c r="Y47" i="22"/>
  <c r="AA47" i="22" s="1"/>
  <c r="L47" i="22" s="1"/>
  <c r="Y48" i="22"/>
  <c r="Z48" i="22" s="1"/>
  <c r="K48" i="22" s="1"/>
  <c r="Y49" i="22"/>
  <c r="Z49" i="22" s="1"/>
  <c r="Y50" i="22"/>
  <c r="AA50" i="22" s="1"/>
  <c r="Y51" i="22"/>
  <c r="Z51" i="22" s="1"/>
  <c r="Y52" i="22"/>
  <c r="Z52" i="22" s="1"/>
  <c r="Y53" i="22"/>
  <c r="Z53" i="22" s="1"/>
  <c r="K53" i="22" s="1"/>
  <c r="Y4" i="22"/>
  <c r="AA4" i="22" s="1"/>
  <c r="L4" i="22" s="1"/>
  <c r="C102" i="21"/>
  <c r="C101" i="21"/>
  <c r="C100" i="21"/>
  <c r="C99" i="21"/>
  <c r="C98" i="21"/>
  <c r="C97" i="21"/>
  <c r="C96" i="21"/>
  <c r="C95" i="21"/>
  <c r="C94" i="21"/>
  <c r="C93" i="21"/>
  <c r="C92" i="21"/>
  <c r="C91" i="21"/>
  <c r="C90" i="21"/>
  <c r="C89" i="21"/>
  <c r="C88" i="21"/>
  <c r="C87" i="21"/>
  <c r="N86" i="21"/>
  <c r="M86" i="21"/>
  <c r="L86" i="21"/>
  <c r="K86" i="21"/>
  <c r="J86" i="21"/>
  <c r="I86" i="21"/>
  <c r="H86" i="21"/>
  <c r="F86" i="21"/>
  <c r="C86" i="21"/>
  <c r="C85" i="21"/>
  <c r="C84" i="21"/>
  <c r="G83" i="21"/>
  <c r="F83" i="21"/>
  <c r="C83" i="21"/>
  <c r="C82" i="21"/>
  <c r="C81" i="21"/>
  <c r="C80" i="21"/>
  <c r="C79" i="21"/>
  <c r="N78" i="21"/>
  <c r="M78" i="21"/>
  <c r="L78" i="21"/>
  <c r="K78" i="21"/>
  <c r="J78" i="21"/>
  <c r="I78" i="21"/>
  <c r="H78" i="21"/>
  <c r="F78" i="21"/>
  <c r="C78" i="21"/>
  <c r="C77" i="21"/>
  <c r="C76" i="21"/>
  <c r="C75" i="21"/>
  <c r="N74" i="21"/>
  <c r="M74" i="21"/>
  <c r="L74" i="21"/>
  <c r="K74" i="21"/>
  <c r="J74" i="21"/>
  <c r="I74" i="21"/>
  <c r="H74" i="21"/>
  <c r="F74" i="21"/>
  <c r="C74" i="21"/>
  <c r="C73" i="21"/>
  <c r="C72" i="21"/>
  <c r="C71" i="21"/>
  <c r="C70" i="21"/>
  <c r="C69" i="21"/>
  <c r="C68" i="21"/>
  <c r="C67" i="21"/>
  <c r="C66" i="21"/>
  <c r="C65" i="21"/>
  <c r="G64" i="21"/>
  <c r="F64" i="21"/>
  <c r="C64" i="21"/>
  <c r="G63" i="21"/>
  <c r="F63" i="21"/>
  <c r="C63" i="21"/>
  <c r="C62" i="21"/>
  <c r="C61" i="21"/>
  <c r="C60" i="21"/>
  <c r="C59" i="21"/>
  <c r="C58" i="21"/>
  <c r="C57" i="21"/>
  <c r="C56" i="21"/>
  <c r="C55" i="21"/>
  <c r="C54" i="21"/>
  <c r="C53" i="21"/>
  <c r="C52" i="21"/>
  <c r="C51" i="21"/>
  <c r="C50" i="21"/>
  <c r="C49" i="21"/>
  <c r="C48" i="21"/>
  <c r="C47" i="21"/>
  <c r="C46" i="21"/>
  <c r="C45" i="21"/>
  <c r="C44" i="21"/>
  <c r="C43" i="21"/>
  <c r="C42" i="21"/>
  <c r="C41" i="21"/>
  <c r="C40" i="21"/>
  <c r="C39" i="21"/>
  <c r="C38" i="21"/>
  <c r="C37" i="21"/>
  <c r="C36" i="21"/>
  <c r="C35" i="21"/>
  <c r="C34" i="21"/>
  <c r="C33" i="21"/>
  <c r="C32" i="21"/>
  <c r="C31" i="21"/>
  <c r="C30" i="21"/>
  <c r="C29" i="21"/>
  <c r="C28" i="21"/>
  <c r="C27" i="21"/>
  <c r="C26" i="21"/>
  <c r="C25" i="21"/>
  <c r="N24" i="21"/>
  <c r="M24" i="21"/>
  <c r="L24" i="21"/>
  <c r="K24" i="21"/>
  <c r="J24" i="21"/>
  <c r="I24" i="21"/>
  <c r="H24" i="21"/>
  <c r="F24" i="21"/>
  <c r="C24" i="21"/>
  <c r="C23" i="21"/>
  <c r="C22" i="21"/>
  <c r="C21" i="21"/>
  <c r="C20" i="21"/>
  <c r="C19" i="21"/>
  <c r="C18" i="21"/>
  <c r="C17" i="21"/>
  <c r="C16" i="21"/>
  <c r="C15" i="21"/>
  <c r="C14" i="21"/>
  <c r="C13" i="21"/>
  <c r="C12" i="21"/>
  <c r="C11" i="21"/>
  <c r="C10" i="21"/>
  <c r="C9" i="21"/>
  <c r="C8" i="21"/>
  <c r="C7" i="21"/>
  <c r="C6" i="21"/>
  <c r="C5" i="21"/>
  <c r="C4" i="21"/>
  <c r="C3" i="21"/>
  <c r="BQ16" i="18" a="1"/>
  <c r="BQ17" i="18" a="1"/>
  <c r="BQ15" i="18" a="1"/>
  <c r="BQ12" i="18" a="1"/>
  <c r="BQ13" i="18" a="1"/>
  <c r="BQ11" i="18" a="1"/>
  <c r="BQ8" i="18" a="1"/>
  <c r="BQ9" i="18" a="1"/>
  <c r="BQ7" i="18" a="1"/>
  <c r="BQ17" i="18" l="1"/>
  <c r="BQ16" i="18"/>
  <c r="BQ15" i="18"/>
  <c r="BQ13" i="18"/>
  <c r="BQ12" i="18"/>
  <c r="BQ11" i="18"/>
  <c r="BQ9" i="18"/>
  <c r="BQ8" i="18"/>
  <c r="BQ7" i="18"/>
  <c r="I34" i="24"/>
  <c r="I35" i="24"/>
  <c r="O3" i="24"/>
  <c r="O4" i="24"/>
  <c r="M3" i="24"/>
  <c r="M4" i="24" a="1"/>
  <c r="M4" i="24" s="1"/>
  <c r="C4" i="25" a="1"/>
  <c r="C4" i="25" s="1"/>
  <c r="I37" i="24"/>
  <c r="B9" i="25" a="1"/>
  <c r="B9" i="25" s="1"/>
  <c r="I28" i="24"/>
  <c r="I38" i="24"/>
  <c r="I25" i="24"/>
  <c r="B8" i="25"/>
  <c r="C9" i="25" a="1"/>
  <c r="C9" i="25" s="1"/>
  <c r="I29" i="24"/>
  <c r="C5" i="25"/>
  <c r="B12" i="25"/>
  <c r="I30" i="24"/>
  <c r="I36" i="24"/>
  <c r="I39" i="24"/>
  <c r="D2" i="25"/>
  <c r="I40" i="24"/>
  <c r="I26" i="24"/>
  <c r="I27" i="24"/>
  <c r="I31" i="24"/>
  <c r="I24" i="24"/>
  <c r="I32" i="24"/>
  <c r="I33" i="24"/>
  <c r="D5" i="26"/>
  <c r="B9" i="26"/>
  <c r="B10" i="26"/>
  <c r="B15" i="26"/>
  <c r="D3" i="26"/>
  <c r="B8" i="26"/>
  <c r="C10" i="25"/>
  <c r="D7" i="26"/>
  <c r="D12" i="26"/>
  <c r="F2" i="26"/>
  <c r="D7" i="25"/>
  <c r="C27" i="24"/>
  <c r="K26" i="24"/>
  <c r="K24" i="24"/>
  <c r="D27" i="24"/>
  <c r="F27" i="24" s="1"/>
  <c r="D25" i="24"/>
  <c r="J136" i="23"/>
  <c r="J138" i="23"/>
  <c r="F132" i="23"/>
  <c r="J126" i="23"/>
  <c r="F111" i="23"/>
  <c r="F87" i="23"/>
  <c r="F72" i="23"/>
  <c r="J90" i="23"/>
  <c r="F105" i="23"/>
  <c r="F108" i="23"/>
  <c r="J114" i="23"/>
  <c r="B19" i="23"/>
  <c r="Z42" i="22"/>
  <c r="K42" i="22" s="1"/>
  <c r="AA41" i="22"/>
  <c r="L41" i="22" s="1"/>
  <c r="AA28" i="22"/>
  <c r="L28" i="22" s="1"/>
  <c r="AA25" i="22"/>
  <c r="L25" i="22" s="1"/>
  <c r="AA36" i="22"/>
  <c r="L36" i="22" s="1"/>
  <c r="Z20" i="22"/>
  <c r="K20" i="22" s="1"/>
  <c r="AA12" i="22"/>
  <c r="L12" i="22" s="1"/>
  <c r="AA19" i="22"/>
  <c r="L19" i="22" s="1"/>
  <c r="AA11" i="22"/>
  <c r="L11" i="22" s="1"/>
  <c r="Z35" i="22"/>
  <c r="K35" i="22" s="1"/>
  <c r="AA34" i="22"/>
  <c r="L34" i="22" s="1"/>
  <c r="AA17" i="22"/>
  <c r="L17" i="22" s="1"/>
  <c r="AA49" i="22"/>
  <c r="L49" i="22" s="1"/>
  <c r="Z44" i="22"/>
  <c r="K44" i="22" s="1"/>
  <c r="AA27" i="22"/>
  <c r="L27" i="22" s="1"/>
  <c r="Z18" i="22"/>
  <c r="K18" i="22" s="1"/>
  <c r="AA43" i="22"/>
  <c r="L43" i="22" s="1"/>
  <c r="AA10" i="22"/>
  <c r="L10" i="22" s="1"/>
  <c r="AA51" i="22"/>
  <c r="L51" i="22" s="1"/>
  <c r="Z50" i="22"/>
  <c r="K50" i="22" s="1"/>
  <c r="AA26" i="22"/>
  <c r="L26" i="22" s="1"/>
  <c r="AA52" i="22"/>
  <c r="L52" i="22" s="1"/>
  <c r="AA33" i="22"/>
  <c r="L33" i="22" s="1"/>
  <c r="AA9" i="22"/>
  <c r="L9" i="22" s="1"/>
  <c r="AA40" i="22"/>
  <c r="L40" i="22" s="1"/>
  <c r="AA24" i="22"/>
  <c r="L24" i="22" s="1"/>
  <c r="Z32" i="22"/>
  <c r="K32" i="22" s="1"/>
  <c r="AA15" i="22"/>
  <c r="L15" i="22" s="1"/>
  <c r="Z47" i="22"/>
  <c r="K47" i="22" s="1"/>
  <c r="Z39" i="22"/>
  <c r="K39" i="22" s="1"/>
  <c r="Z31" i="22"/>
  <c r="K31" i="22" s="1"/>
  <c r="Z23" i="22"/>
  <c r="K23" i="22" s="1"/>
  <c r="Z7" i="22"/>
  <c r="K7" i="22" s="1"/>
  <c r="AA16" i="22"/>
  <c r="L16" i="22" s="1"/>
  <c r="Z8" i="22"/>
  <c r="K8" i="22" s="1"/>
  <c r="Z4" i="22"/>
  <c r="K4" i="22" s="1"/>
  <c r="AA46" i="22"/>
  <c r="L46" i="22" s="1"/>
  <c r="AA38" i="22"/>
  <c r="L38" i="22" s="1"/>
  <c r="AA30" i="22"/>
  <c r="L30" i="22" s="1"/>
  <c r="AA22" i="22"/>
  <c r="L22" i="22" s="1"/>
  <c r="AA14" i="22"/>
  <c r="L14" i="22" s="1"/>
  <c r="AA6" i="22"/>
  <c r="L6" i="22" s="1"/>
  <c r="AA48" i="22"/>
  <c r="L48" i="22" s="1"/>
  <c r="AA53" i="22"/>
  <c r="AA45" i="22"/>
  <c r="L45" i="22" s="1"/>
  <c r="AA37" i="22"/>
  <c r="L37" i="22" s="1"/>
  <c r="AA29" i="22"/>
  <c r="L29" i="22" s="1"/>
  <c r="AA21" i="22"/>
  <c r="L21" i="22" s="1"/>
  <c r="AA13" i="22"/>
  <c r="L13" i="22" s="1"/>
  <c r="AA5" i="22"/>
  <c r="L5" i="22" s="1"/>
  <c r="M10" i="16"/>
  <c r="M9" i="16"/>
  <c r="M8" i="16"/>
  <c r="M7" i="16"/>
  <c r="M6" i="16"/>
  <c r="F136" i="23" s="1"/>
  <c r="M5" i="16"/>
  <c r="M4" i="16"/>
  <c r="E14" i="16"/>
  <c r="E12" i="16"/>
  <c r="J9" i="16" s="1"/>
  <c r="E11" i="16"/>
  <c r="J8" i="16" s="1"/>
  <c r="R12" i="16"/>
  <c r="R13" i="16"/>
  <c r="T9" i="15"/>
  <c r="S9" i="15"/>
  <c r="R9" i="15"/>
  <c r="T8" i="15"/>
  <c r="S8" i="15"/>
  <c r="R8" i="15"/>
  <c r="T4" i="15"/>
  <c r="S4" i="15"/>
  <c r="R4" i="15"/>
  <c r="T5" i="15"/>
  <c r="S5" i="15"/>
  <c r="R5" i="15"/>
  <c r="T6" i="15"/>
  <c r="S6" i="15"/>
  <c r="R6" i="15"/>
  <c r="T7" i="15"/>
  <c r="S7" i="15"/>
  <c r="R7" i="15"/>
  <c r="T3" i="15"/>
  <c r="S3" i="15"/>
  <c r="R3" i="15"/>
  <c r="J9" i="15"/>
  <c r="I9" i="15"/>
  <c r="H9" i="15"/>
  <c r="J4" i="15"/>
  <c r="I4" i="15"/>
  <c r="H4" i="15"/>
  <c r="J7" i="15"/>
  <c r="I7" i="15"/>
  <c r="H7" i="15"/>
  <c r="J8" i="15"/>
  <c r="I8" i="15"/>
  <c r="H8" i="15"/>
  <c r="J5" i="15"/>
  <c r="I5" i="15"/>
  <c r="H5" i="15"/>
  <c r="J6" i="15"/>
  <c r="I6" i="15"/>
  <c r="H6" i="15"/>
  <c r="J3" i="15"/>
  <c r="I3" i="15"/>
  <c r="H3" i="15"/>
  <c r="F13" i="14"/>
  <c r="E13" i="14"/>
  <c r="C13" i="14"/>
  <c r="F12" i="14"/>
  <c r="E12" i="14"/>
  <c r="C12" i="14"/>
  <c r="F11" i="14"/>
  <c r="E11" i="14"/>
  <c r="D11" i="14"/>
  <c r="F10" i="14"/>
  <c r="E10" i="14"/>
  <c r="D10" i="14"/>
  <c r="F9" i="14"/>
  <c r="E9" i="14"/>
  <c r="D9" i="14"/>
  <c r="F8" i="14"/>
  <c r="E8" i="14"/>
  <c r="D8" i="14"/>
  <c r="F7" i="14"/>
  <c r="E7" i="14"/>
  <c r="C7" i="14"/>
  <c r="F6" i="14"/>
  <c r="E6" i="14"/>
  <c r="D6" i="14"/>
  <c r="F5" i="14"/>
  <c r="E5" i="14"/>
  <c r="D5" i="14"/>
  <c r="F4" i="14"/>
  <c r="E4" i="14"/>
  <c r="D4" i="14"/>
  <c r="F3" i="14"/>
  <c r="E3" i="14"/>
  <c r="D3" i="14"/>
  <c r="I9" i="13"/>
  <c r="I7" i="13"/>
  <c r="I4" i="13"/>
  <c r="J10" i="13"/>
  <c r="J6" i="13"/>
  <c r="J9" i="13"/>
  <c r="J7" i="13"/>
  <c r="J5" i="13"/>
  <c r="J4" i="13"/>
  <c r="J3" i="13"/>
  <c r="I10" i="13"/>
  <c r="I6" i="13"/>
  <c r="I5" i="13"/>
  <c r="I3" i="13"/>
  <c r="H10" i="13"/>
  <c r="H6" i="13"/>
  <c r="H9" i="13"/>
  <c r="H7" i="13"/>
  <c r="H5" i="13"/>
  <c r="H4" i="13"/>
  <c r="H3" i="13"/>
  <c r="P19" i="12"/>
  <c r="O19" i="12"/>
  <c r="M19" i="12"/>
  <c r="P18" i="12"/>
  <c r="O18" i="12"/>
  <c r="M18" i="12"/>
  <c r="P17" i="12"/>
  <c r="O17" i="12"/>
  <c r="M17" i="12"/>
  <c r="P16" i="12"/>
  <c r="O16" i="12"/>
  <c r="M16" i="12"/>
  <c r="P15" i="12"/>
  <c r="O15" i="12"/>
  <c r="M15" i="12"/>
  <c r="J10" i="12"/>
  <c r="I10" i="12"/>
  <c r="H10" i="12"/>
  <c r="J9" i="12"/>
  <c r="I9" i="12"/>
  <c r="H9" i="12"/>
  <c r="J8" i="12"/>
  <c r="I8" i="12"/>
  <c r="H8" i="12"/>
  <c r="J7" i="12"/>
  <c r="I7" i="12"/>
  <c r="H7" i="12"/>
  <c r="J5" i="12"/>
  <c r="I5" i="12"/>
  <c r="H5" i="12"/>
  <c r="J4" i="12"/>
  <c r="I4" i="12"/>
  <c r="H4" i="12"/>
  <c r="J3" i="12"/>
  <c r="I3" i="12"/>
  <c r="H3" i="12"/>
  <c r="I16" i="11"/>
  <c r="H16" i="11"/>
  <c r="M15" i="11"/>
  <c r="I9" i="11"/>
  <c r="I7" i="11"/>
  <c r="H7" i="11"/>
  <c r="Q24" i="11"/>
  <c r="P24" i="11"/>
  <c r="Q23" i="11"/>
  <c r="P23" i="11"/>
  <c r="Q22" i="11"/>
  <c r="P22" i="11"/>
  <c r="Q21" i="11"/>
  <c r="P21" i="11"/>
  <c r="Q20" i="11"/>
  <c r="P20" i="11"/>
  <c r="Q19" i="11"/>
  <c r="P19" i="11"/>
  <c r="P18" i="11"/>
  <c r="Q17" i="11"/>
  <c r="P17" i="11"/>
  <c r="Q16" i="11"/>
  <c r="P16" i="11"/>
  <c r="Q15" i="11"/>
  <c r="P15" i="11"/>
  <c r="Q14" i="11"/>
  <c r="P14" i="11"/>
  <c r="Q13" i="11"/>
  <c r="P13" i="11"/>
  <c r="Q12" i="11"/>
  <c r="P12" i="11"/>
  <c r="Q11" i="11"/>
  <c r="P11" i="11"/>
  <c r="Q10" i="11"/>
  <c r="P10" i="11"/>
  <c r="Q9" i="11"/>
  <c r="P9" i="11"/>
  <c r="Q8" i="11"/>
  <c r="P8" i="11"/>
  <c r="Q7" i="11"/>
  <c r="P7" i="11"/>
  <c r="R5" i="11"/>
  <c r="Z3" i="11"/>
  <c r="Y3" i="11"/>
  <c r="X3" i="11"/>
  <c r="W3" i="11"/>
  <c r="V3" i="11"/>
  <c r="U3" i="11"/>
  <c r="T3" i="11"/>
  <c r="S3" i="11"/>
  <c r="R3" i="11"/>
  <c r="AE5" i="11"/>
  <c r="AE3" i="11"/>
  <c r="AD24" i="11"/>
  <c r="AC24" i="11"/>
  <c r="AD23" i="11"/>
  <c r="AC23" i="11"/>
  <c r="AD22" i="11"/>
  <c r="AC22" i="11"/>
  <c r="AD21" i="11"/>
  <c r="AC21" i="11"/>
  <c r="AD20" i="11"/>
  <c r="AC20" i="11"/>
  <c r="AD19" i="11"/>
  <c r="AC19" i="11"/>
  <c r="AC18" i="11"/>
  <c r="AD17" i="11"/>
  <c r="AC17" i="11"/>
  <c r="AD16" i="11"/>
  <c r="AC16" i="11"/>
  <c r="AD15" i="11"/>
  <c r="AC15" i="11"/>
  <c r="AD14" i="11"/>
  <c r="AC14" i="11"/>
  <c r="AD13" i="11"/>
  <c r="AC13" i="11"/>
  <c r="AD12" i="11"/>
  <c r="AC12" i="11"/>
  <c r="AD11" i="11"/>
  <c r="AC11" i="11"/>
  <c r="AD10" i="11"/>
  <c r="AC10" i="11"/>
  <c r="AD9" i="11"/>
  <c r="AC9" i="11"/>
  <c r="AD8" i="11"/>
  <c r="AC8" i="11"/>
  <c r="AD7" i="11"/>
  <c r="AC7" i="11"/>
  <c r="AM3" i="11"/>
  <c r="AL3" i="11"/>
  <c r="AK3" i="11"/>
  <c r="AJ3" i="11"/>
  <c r="AI3" i="11"/>
  <c r="AH3" i="11"/>
  <c r="AG3" i="11"/>
  <c r="AF3" i="11"/>
  <c r="E5" i="11"/>
  <c r="I5" i="11" s="1"/>
  <c r="E3" i="11"/>
  <c r="J5" i="11" s="1"/>
  <c r="M3" i="11"/>
  <c r="M24" i="11" s="1"/>
  <c r="L3" i="11"/>
  <c r="L15" i="11" s="1"/>
  <c r="K3" i="11"/>
  <c r="K22" i="11" s="1"/>
  <c r="J3" i="11"/>
  <c r="J13" i="11" s="1"/>
  <c r="I3" i="11"/>
  <c r="I14" i="11" s="1"/>
  <c r="H3" i="11"/>
  <c r="H14" i="11" s="1"/>
  <c r="G3" i="11"/>
  <c r="G18" i="11" s="1"/>
  <c r="F3" i="11"/>
  <c r="F10" i="11" s="1"/>
  <c r="D8" i="11"/>
  <c r="D9" i="11"/>
  <c r="D10" i="11"/>
  <c r="D11" i="11"/>
  <c r="D12" i="11"/>
  <c r="D13" i="11"/>
  <c r="D14" i="11"/>
  <c r="D15" i="11"/>
  <c r="D16" i="11"/>
  <c r="D17" i="11"/>
  <c r="D19" i="11"/>
  <c r="D20" i="11"/>
  <c r="D21" i="11"/>
  <c r="D22" i="11"/>
  <c r="D23" i="11"/>
  <c r="D24" i="11"/>
  <c r="D7" i="11"/>
  <c r="C24" i="11"/>
  <c r="AE24" i="11"/>
  <c r="C23" i="11"/>
  <c r="AE23" i="11"/>
  <c r="C22" i="11"/>
  <c r="AE22" i="11"/>
  <c r="C21" i="11"/>
  <c r="AE21" i="11"/>
  <c r="C20" i="11"/>
  <c r="AE20" i="11"/>
  <c r="C19" i="11"/>
  <c r="AE19" i="11"/>
  <c r="C18" i="11"/>
  <c r="C17" i="11"/>
  <c r="AE17" i="11"/>
  <c r="C16" i="11"/>
  <c r="AE16" i="11"/>
  <c r="C15" i="11"/>
  <c r="AE15" i="11"/>
  <c r="C14" i="11"/>
  <c r="AE14" i="11"/>
  <c r="C13" i="11"/>
  <c r="AE13" i="11"/>
  <c r="C12" i="11"/>
  <c r="AE12" i="11"/>
  <c r="C11" i="11"/>
  <c r="I11" i="11" s="1"/>
  <c r="AE11" i="11"/>
  <c r="C10" i="11"/>
  <c r="AE10" i="11"/>
  <c r="C9" i="11"/>
  <c r="AE9" i="11"/>
  <c r="C8" i="11"/>
  <c r="AE8" i="11"/>
  <c r="C7" i="11"/>
  <c r="AE7" i="11"/>
  <c r="X87" i="10"/>
  <c r="W87" i="10"/>
  <c r="V87" i="10"/>
  <c r="U87" i="10"/>
  <c r="T87" i="10"/>
  <c r="S87" i="10"/>
  <c r="Q87" i="10"/>
  <c r="P87" i="10"/>
  <c r="O87" i="10"/>
  <c r="N87" i="10"/>
  <c r="M87" i="10"/>
  <c r="L87" i="10"/>
  <c r="K87" i="10"/>
  <c r="J87" i="10"/>
  <c r="I87" i="10"/>
  <c r="H87" i="10"/>
  <c r="G87" i="10"/>
  <c r="E82" i="10" a="1"/>
  <c r="E82" i="10" s="1"/>
  <c r="D82" i="10" a="1"/>
  <c r="D82" i="10" s="1"/>
  <c r="C82" i="10" a="1"/>
  <c r="C82" i="10" s="1"/>
  <c r="B82" i="10" a="1"/>
  <c r="B82" i="10" s="1"/>
  <c r="V67" i="10"/>
  <c r="T67" i="10"/>
  <c r="S67" i="10"/>
  <c r="P67" i="10"/>
  <c r="N67" i="10"/>
  <c r="M67" i="10"/>
  <c r="I67" i="10"/>
  <c r="H67" i="10"/>
  <c r="E67" i="10" a="1"/>
  <c r="E67" i="10" s="1"/>
  <c r="R67" i="10" s="1"/>
  <c r="D67" i="10" a="1"/>
  <c r="D67" i="10" s="1"/>
  <c r="C67" i="10" a="1"/>
  <c r="C67" i="10" s="1"/>
  <c r="B67" i="10" a="1"/>
  <c r="B67" i="10" s="1"/>
  <c r="V15" i="10"/>
  <c r="P15" i="10"/>
  <c r="H15" i="10"/>
  <c r="E15" i="10" a="1"/>
  <c r="E15" i="10" s="1"/>
  <c r="R15" i="10" s="1"/>
  <c r="D15" i="10" a="1"/>
  <c r="D15" i="10" s="1"/>
  <c r="C15" i="10" a="1"/>
  <c r="C15" i="10" s="1"/>
  <c r="B15" i="10" a="1"/>
  <c r="B15" i="10" s="1"/>
  <c r="V14" i="10"/>
  <c r="U14" i="10"/>
  <c r="T14" i="10"/>
  <c r="S14" i="10"/>
  <c r="N14" i="10"/>
  <c r="M14" i="10"/>
  <c r="L14" i="10"/>
  <c r="I14" i="10"/>
  <c r="H14" i="10"/>
  <c r="E14" i="10" a="1"/>
  <c r="E14" i="10" s="1"/>
  <c r="R14" i="10" s="1"/>
  <c r="D14" i="10" a="1"/>
  <c r="D14" i="10" s="1"/>
  <c r="C14" i="10" a="1"/>
  <c r="C14" i="10" s="1"/>
  <c r="B14" i="10" a="1"/>
  <c r="B14" i="10" s="1"/>
  <c r="J109" i="23" l="1"/>
  <c r="J55" i="23"/>
  <c r="J19" i="23"/>
  <c r="J121" i="23"/>
  <c r="J49" i="23"/>
  <c r="J133" i="23"/>
  <c r="J127" i="23"/>
  <c r="J115" i="23"/>
  <c r="J43" i="23"/>
  <c r="J25" i="23"/>
  <c r="J151" i="23"/>
  <c r="J145" i="23"/>
  <c r="J70" i="23"/>
  <c r="J40" i="23"/>
  <c r="J28" i="23"/>
  <c r="J7" i="23"/>
  <c r="J76" i="23"/>
  <c r="J37" i="23"/>
  <c r="J31" i="23"/>
  <c r="J58" i="23"/>
  <c r="J124" i="23"/>
  <c r="J112" i="23"/>
  <c r="J46" i="23"/>
  <c r="J22" i="23"/>
  <c r="J79" i="23"/>
  <c r="J142" i="23"/>
  <c r="J67" i="23"/>
  <c r="J139" i="23"/>
  <c r="J82" i="23"/>
  <c r="J64" i="23"/>
  <c r="J10" i="23"/>
  <c r="J52" i="23"/>
  <c r="J100" i="23"/>
  <c r="J88" i="23"/>
  <c r="J106" i="23"/>
  <c r="J94" i="23"/>
  <c r="J16" i="23"/>
  <c r="J130" i="23"/>
  <c r="J118" i="23"/>
  <c r="J4" i="23"/>
  <c r="J73" i="23"/>
  <c r="J85" i="23"/>
  <c r="J34" i="23"/>
  <c r="J103" i="23"/>
  <c r="J61" i="23"/>
  <c r="J13" i="23"/>
  <c r="J97" i="23"/>
  <c r="J91" i="23"/>
  <c r="I97" i="23"/>
  <c r="I91" i="23"/>
  <c r="I109" i="23"/>
  <c r="I55" i="23"/>
  <c r="I19" i="23"/>
  <c r="I25" i="23"/>
  <c r="I46" i="23"/>
  <c r="I121" i="23"/>
  <c r="I49" i="23"/>
  <c r="I133" i="23"/>
  <c r="I127" i="23"/>
  <c r="I115" i="23"/>
  <c r="I52" i="23"/>
  <c r="I22" i="23"/>
  <c r="I151" i="23"/>
  <c r="I145" i="23"/>
  <c r="I70" i="23"/>
  <c r="I100" i="23"/>
  <c r="I88" i="23"/>
  <c r="I106" i="23"/>
  <c r="I58" i="23"/>
  <c r="I16" i="23"/>
  <c r="I118" i="23"/>
  <c r="I76" i="23"/>
  <c r="I37" i="23"/>
  <c r="I31" i="23"/>
  <c r="I64" i="23"/>
  <c r="I10" i="23"/>
  <c r="I94" i="23"/>
  <c r="I130" i="23"/>
  <c r="I136" i="23"/>
  <c r="I79" i="23"/>
  <c r="I28" i="23"/>
  <c r="I139" i="23"/>
  <c r="I82" i="23"/>
  <c r="I40" i="23"/>
  <c r="I142" i="23"/>
  <c r="I73" i="23"/>
  <c r="I67" i="23"/>
  <c r="I7" i="23"/>
  <c r="I112" i="23"/>
  <c r="I85" i="23"/>
  <c r="I34" i="23"/>
  <c r="I4" i="23"/>
  <c r="I103" i="23"/>
  <c r="I61" i="23"/>
  <c r="I13" i="23"/>
  <c r="I43" i="23"/>
  <c r="I124" i="23"/>
  <c r="G85" i="23"/>
  <c r="G34" i="23"/>
  <c r="G103" i="23"/>
  <c r="G61" i="23"/>
  <c r="G13" i="23"/>
  <c r="G109" i="23"/>
  <c r="G118" i="23"/>
  <c r="G97" i="23"/>
  <c r="G91" i="23"/>
  <c r="G55" i="23"/>
  <c r="G106" i="23"/>
  <c r="G124" i="23"/>
  <c r="G121" i="23"/>
  <c r="G49" i="23"/>
  <c r="G37" i="23"/>
  <c r="G130" i="23"/>
  <c r="G52" i="23"/>
  <c r="G22" i="23"/>
  <c r="G133" i="23"/>
  <c r="G127" i="23"/>
  <c r="G115" i="23"/>
  <c r="G43" i="23"/>
  <c r="G25" i="23"/>
  <c r="G76" i="23"/>
  <c r="G139" i="23"/>
  <c r="G82" i="23"/>
  <c r="G100" i="23"/>
  <c r="G88" i="23"/>
  <c r="G112" i="23"/>
  <c r="G46" i="23"/>
  <c r="G151" i="23"/>
  <c r="G145" i="23"/>
  <c r="G70" i="23"/>
  <c r="G31" i="23"/>
  <c r="G64" i="23"/>
  <c r="G10" i="23"/>
  <c r="G94" i="23"/>
  <c r="G136" i="23"/>
  <c r="G58" i="23"/>
  <c r="G79" i="23"/>
  <c r="G40" i="23"/>
  <c r="G28" i="23"/>
  <c r="G4" i="23"/>
  <c r="G19" i="23"/>
  <c r="G16" i="23"/>
  <c r="G142" i="23"/>
  <c r="G73" i="23"/>
  <c r="G67" i="23"/>
  <c r="G7" i="23"/>
  <c r="H103" i="23"/>
  <c r="H61" i="23"/>
  <c r="H13" i="23"/>
  <c r="H97" i="23"/>
  <c r="H91" i="23"/>
  <c r="H49" i="23"/>
  <c r="H124" i="23"/>
  <c r="H109" i="23"/>
  <c r="H55" i="23"/>
  <c r="H19" i="23"/>
  <c r="H121" i="23"/>
  <c r="H130" i="23"/>
  <c r="H22" i="23"/>
  <c r="H133" i="23"/>
  <c r="H127" i="23"/>
  <c r="H115" i="23"/>
  <c r="H43" i="23"/>
  <c r="H25" i="23"/>
  <c r="H82" i="23"/>
  <c r="H58" i="23"/>
  <c r="H112" i="23"/>
  <c r="H151" i="23"/>
  <c r="H145" i="23"/>
  <c r="H70" i="23"/>
  <c r="H10" i="23"/>
  <c r="H100" i="23"/>
  <c r="H16" i="23"/>
  <c r="H118" i="23"/>
  <c r="H136" i="23"/>
  <c r="H76" i="23"/>
  <c r="H37" i="23"/>
  <c r="H31" i="23"/>
  <c r="H139" i="23"/>
  <c r="H64" i="23"/>
  <c r="H88" i="23"/>
  <c r="H106" i="23"/>
  <c r="H94" i="23"/>
  <c r="H79" i="23"/>
  <c r="H40" i="23"/>
  <c r="H28" i="23"/>
  <c r="H4" i="23"/>
  <c r="H52" i="23"/>
  <c r="H142" i="23"/>
  <c r="H73" i="23"/>
  <c r="H67" i="23"/>
  <c r="H7" i="23"/>
  <c r="H85" i="23"/>
  <c r="H34" i="23"/>
  <c r="H46" i="23"/>
  <c r="D79" i="23"/>
  <c r="D40" i="23"/>
  <c r="D28" i="23"/>
  <c r="D4" i="23"/>
  <c r="D85" i="23"/>
  <c r="D88" i="23"/>
  <c r="D142" i="23"/>
  <c r="D73" i="23"/>
  <c r="D67" i="23"/>
  <c r="D7" i="23"/>
  <c r="D34" i="23"/>
  <c r="D82" i="23"/>
  <c r="D37" i="23"/>
  <c r="D103" i="23"/>
  <c r="D61" i="23"/>
  <c r="D13" i="23"/>
  <c r="D133" i="23"/>
  <c r="D115" i="23"/>
  <c r="D25" i="23"/>
  <c r="D139" i="23"/>
  <c r="D10" i="23"/>
  <c r="D97" i="23"/>
  <c r="D91" i="23"/>
  <c r="D55" i="23"/>
  <c r="D49" i="23"/>
  <c r="D151" i="23"/>
  <c r="D70" i="23"/>
  <c r="D31" i="23"/>
  <c r="D64" i="23"/>
  <c r="D109" i="23"/>
  <c r="D19" i="23"/>
  <c r="D121" i="23"/>
  <c r="D127" i="23"/>
  <c r="D43" i="23"/>
  <c r="D145" i="23"/>
  <c r="D106" i="23"/>
  <c r="D94" i="23"/>
  <c r="D58" i="23"/>
  <c r="D16" i="23"/>
  <c r="D76" i="23"/>
  <c r="D136" i="23"/>
  <c r="D130" i="23"/>
  <c r="D124" i="23"/>
  <c r="D118" i="23"/>
  <c r="D112" i="23"/>
  <c r="D52" i="23"/>
  <c r="D46" i="23"/>
  <c r="D22" i="23"/>
  <c r="D100" i="23"/>
  <c r="E79" i="23"/>
  <c r="E40" i="23"/>
  <c r="E28" i="23"/>
  <c r="E4" i="23"/>
  <c r="E142" i="23"/>
  <c r="E73" i="23"/>
  <c r="E67" i="23"/>
  <c r="E13" i="23"/>
  <c r="E100" i="23"/>
  <c r="E58" i="23"/>
  <c r="E85" i="23"/>
  <c r="E34" i="23"/>
  <c r="E103" i="23"/>
  <c r="E94" i="23"/>
  <c r="E97" i="23"/>
  <c r="E91" i="23"/>
  <c r="E115" i="23"/>
  <c r="E139" i="23"/>
  <c r="E31" i="23"/>
  <c r="E64" i="23"/>
  <c r="E106" i="23"/>
  <c r="E109" i="23"/>
  <c r="E55" i="23"/>
  <c r="E19" i="23"/>
  <c r="E127" i="23"/>
  <c r="E25" i="23"/>
  <c r="E151" i="23"/>
  <c r="E37" i="23"/>
  <c r="E88" i="23"/>
  <c r="E16" i="23"/>
  <c r="E121" i="23"/>
  <c r="E49" i="23"/>
  <c r="E133" i="23"/>
  <c r="E43" i="23"/>
  <c r="E145" i="23"/>
  <c r="E70" i="23"/>
  <c r="E82" i="23"/>
  <c r="E76" i="23"/>
  <c r="E52" i="23"/>
  <c r="E22" i="23"/>
  <c r="E136" i="23"/>
  <c r="E130" i="23"/>
  <c r="E124" i="23"/>
  <c r="E118" i="23"/>
  <c r="E112" i="23"/>
  <c r="E46" i="23"/>
  <c r="E7" i="23"/>
  <c r="E61" i="23"/>
  <c r="E10" i="23"/>
  <c r="F142" i="23"/>
  <c r="F73" i="23"/>
  <c r="F67" i="23"/>
  <c r="F7" i="23"/>
  <c r="F139" i="23"/>
  <c r="F85" i="23"/>
  <c r="F34" i="23"/>
  <c r="F91" i="23"/>
  <c r="F103" i="23"/>
  <c r="F61" i="23"/>
  <c r="F13" i="23"/>
  <c r="F97" i="23"/>
  <c r="F109" i="23"/>
  <c r="F55" i="23"/>
  <c r="F19" i="23"/>
  <c r="F88" i="23"/>
  <c r="F58" i="23"/>
  <c r="F121" i="23"/>
  <c r="F49" i="23"/>
  <c r="F43" i="23"/>
  <c r="F25" i="23"/>
  <c r="F151" i="23"/>
  <c r="F145" i="23"/>
  <c r="F70" i="23"/>
  <c r="F76" i="23"/>
  <c r="F37" i="23"/>
  <c r="F10" i="23"/>
  <c r="F100" i="23"/>
  <c r="F106" i="23"/>
  <c r="F133" i="23"/>
  <c r="F127" i="23"/>
  <c r="F115" i="23"/>
  <c r="F31" i="23"/>
  <c r="F64" i="23"/>
  <c r="F94" i="23"/>
  <c r="F130" i="23"/>
  <c r="F124" i="23"/>
  <c r="F118" i="23"/>
  <c r="F112" i="23"/>
  <c r="F52" i="23"/>
  <c r="F46" i="23"/>
  <c r="F22" i="23"/>
  <c r="F16" i="23"/>
  <c r="F79" i="23"/>
  <c r="F40" i="23"/>
  <c r="F28" i="23"/>
  <c r="F4" i="23"/>
  <c r="F82" i="23"/>
  <c r="C127" i="23"/>
  <c r="C94" i="23"/>
  <c r="C52" i="23"/>
  <c r="C37" i="23"/>
  <c r="C25" i="23"/>
  <c r="C7" i="23"/>
  <c r="C115" i="23"/>
  <c r="C40" i="23"/>
  <c r="C97" i="23"/>
  <c r="C79" i="23"/>
  <c r="C43" i="23"/>
  <c r="C121" i="23"/>
  <c r="C88" i="23"/>
  <c r="C82" i="23"/>
  <c r="C13" i="23"/>
  <c r="C136" i="23"/>
  <c r="C103" i="23"/>
  <c r="C142" i="23"/>
  <c r="C124" i="23"/>
  <c r="C49" i="23"/>
  <c r="C151" i="23"/>
  <c r="C28" i="23"/>
  <c r="C10" i="23"/>
  <c r="C58" i="23"/>
  <c r="C61" i="23"/>
  <c r="C46" i="23"/>
  <c r="C31" i="23"/>
  <c r="C19" i="23"/>
  <c r="C4" i="23"/>
  <c r="C76" i="23"/>
  <c r="C109" i="23"/>
  <c r="C70" i="23"/>
  <c r="C130" i="23"/>
  <c r="C85" i="23"/>
  <c r="C34" i="23"/>
  <c r="C145" i="23"/>
  <c r="C106" i="23"/>
  <c r="C100" i="23"/>
  <c r="C55" i="23"/>
  <c r="C64" i="23"/>
  <c r="C118" i="23"/>
  <c r="C16" i="23"/>
  <c r="C139" i="23"/>
  <c r="C133" i="23"/>
  <c r="C67" i="23"/>
  <c r="C91" i="23"/>
  <c r="C22" i="23"/>
  <c r="C112" i="23"/>
  <c r="C73" i="23"/>
  <c r="G1" i="24"/>
  <c r="D1" i="24"/>
  <c r="D3" i="25"/>
  <c r="D4" i="25" a="1"/>
  <c r="D4" i="25" s="1"/>
  <c r="D5" i="25"/>
  <c r="C12" i="25"/>
  <c r="B15" i="25"/>
  <c r="B13" i="25"/>
  <c r="B14" i="25" a="1"/>
  <c r="B14" i="25" s="1"/>
  <c r="B17" i="25"/>
  <c r="E2" i="25"/>
  <c r="F2" i="25" s="1"/>
  <c r="F4" i="26"/>
  <c r="F5" i="26"/>
  <c r="F3" i="26"/>
  <c r="D13" i="26"/>
  <c r="D15" i="26"/>
  <c r="D14" i="26"/>
  <c r="D8" i="26"/>
  <c r="D10" i="26"/>
  <c r="D9" i="26"/>
  <c r="D10" i="25"/>
  <c r="D9" i="25" a="1"/>
  <c r="D9" i="25" s="1"/>
  <c r="D8" i="25"/>
  <c r="F7" i="26"/>
  <c r="H2" i="26"/>
  <c r="F12" i="26"/>
  <c r="E7" i="25"/>
  <c r="D28" i="24"/>
  <c r="D29" i="24"/>
  <c r="F29" i="24" s="1"/>
  <c r="K29" i="24"/>
  <c r="K27" i="24"/>
  <c r="C30" i="24"/>
  <c r="J6" i="16"/>
  <c r="J3" i="16"/>
  <c r="J4" i="16"/>
  <c r="J5" i="16"/>
  <c r="J7" i="16"/>
  <c r="AG5" i="11"/>
  <c r="AG13" i="11" s="1"/>
  <c r="AL5" i="11"/>
  <c r="AK5" i="11"/>
  <c r="AH5" i="11"/>
  <c r="AH16" i="11" s="1"/>
  <c r="AF5" i="11"/>
  <c r="AJ5" i="11"/>
  <c r="AI5" i="11"/>
  <c r="AM5" i="11"/>
  <c r="AM13" i="11" s="1"/>
  <c r="X5" i="11"/>
  <c r="X21" i="11" s="1"/>
  <c r="B22" i="23"/>
  <c r="I4" i="16"/>
  <c r="I9" i="16"/>
  <c r="I3" i="16"/>
  <c r="I5" i="16"/>
  <c r="I6" i="16"/>
  <c r="I7" i="16"/>
  <c r="I8" i="16"/>
  <c r="H8" i="16"/>
  <c r="H4" i="16"/>
  <c r="H6" i="16"/>
  <c r="H7" i="16"/>
  <c r="H9" i="16"/>
  <c r="H3" i="16"/>
  <c r="H5" i="16"/>
  <c r="K16" i="11"/>
  <c r="L22" i="11"/>
  <c r="J9" i="11"/>
  <c r="K11" i="11"/>
  <c r="L20" i="11"/>
  <c r="L11" i="11"/>
  <c r="M20" i="11"/>
  <c r="L7" i="11"/>
  <c r="J18" i="11"/>
  <c r="M11" i="11"/>
  <c r="G23" i="11"/>
  <c r="M16" i="11"/>
  <c r="K13" i="11"/>
  <c r="H23" i="11"/>
  <c r="M13" i="11"/>
  <c r="I23" i="11"/>
  <c r="J7" i="11"/>
  <c r="S5" i="11"/>
  <c r="S13" i="11" s="1"/>
  <c r="J23" i="11"/>
  <c r="K7" i="11"/>
  <c r="K18" i="11"/>
  <c r="M18" i="11"/>
  <c r="H11" i="11"/>
  <c r="T5" i="11"/>
  <c r="T22" i="11" s="1"/>
  <c r="K23" i="11"/>
  <c r="J16" i="11"/>
  <c r="L16" i="11"/>
  <c r="L9" i="11"/>
  <c r="I20" i="11"/>
  <c r="U5" i="11"/>
  <c r="U18" i="11" s="1"/>
  <c r="G7" i="11"/>
  <c r="J14" i="11"/>
  <c r="L23" i="11"/>
  <c r="F7" i="11"/>
  <c r="H18" i="11"/>
  <c r="F9" i="11"/>
  <c r="G9" i="11"/>
  <c r="J20" i="11"/>
  <c r="F24" i="11"/>
  <c r="F8" i="11"/>
  <c r="H9" i="11"/>
  <c r="J11" i="11"/>
  <c r="L13" i="11"/>
  <c r="G16" i="11"/>
  <c r="I18" i="11"/>
  <c r="K20" i="11"/>
  <c r="M22" i="11"/>
  <c r="G21" i="11"/>
  <c r="M9" i="11"/>
  <c r="L18" i="11"/>
  <c r="F17" i="11"/>
  <c r="M7" i="11"/>
  <c r="H10" i="11"/>
  <c r="J12" i="11"/>
  <c r="L14" i="11"/>
  <c r="G17" i="11"/>
  <c r="I19" i="11"/>
  <c r="K21" i="11"/>
  <c r="M23" i="11"/>
  <c r="F23" i="11"/>
  <c r="F22" i="11"/>
  <c r="F19" i="11"/>
  <c r="I21" i="11"/>
  <c r="G10" i="11"/>
  <c r="K14" i="11"/>
  <c r="J21" i="11"/>
  <c r="F16" i="11"/>
  <c r="G8" i="11"/>
  <c r="I10" i="11"/>
  <c r="K12" i="11"/>
  <c r="M14" i="11"/>
  <c r="H17" i="11"/>
  <c r="J19" i="11"/>
  <c r="L21" i="11"/>
  <c r="G24" i="11"/>
  <c r="F20" i="11"/>
  <c r="G19" i="11"/>
  <c r="F18" i="11"/>
  <c r="I12" i="11"/>
  <c r="H19" i="11"/>
  <c r="F15" i="11"/>
  <c r="H8" i="11"/>
  <c r="J10" i="11"/>
  <c r="L12" i="11"/>
  <c r="G15" i="11"/>
  <c r="I17" i="11"/>
  <c r="K19" i="11"/>
  <c r="M21" i="11"/>
  <c r="H24" i="11"/>
  <c r="F14" i="11"/>
  <c r="I8" i="11"/>
  <c r="K10" i="11"/>
  <c r="M12" i="11"/>
  <c r="H15" i="11"/>
  <c r="J17" i="11"/>
  <c r="L19" i="11"/>
  <c r="G22" i="11"/>
  <c r="I24" i="11"/>
  <c r="K9" i="11"/>
  <c r="F13" i="11"/>
  <c r="J8" i="11"/>
  <c r="L10" i="11"/>
  <c r="G13" i="11"/>
  <c r="I15" i="11"/>
  <c r="K17" i="11"/>
  <c r="M19" i="11"/>
  <c r="H22" i="11"/>
  <c r="J24" i="11"/>
  <c r="G14" i="11"/>
  <c r="G12" i="11"/>
  <c r="F12" i="11"/>
  <c r="K8" i="11"/>
  <c r="M10" i="11"/>
  <c r="H13" i="11"/>
  <c r="J15" i="11"/>
  <c r="L17" i="11"/>
  <c r="G20" i="11"/>
  <c r="I22" i="11"/>
  <c r="K24" i="11"/>
  <c r="F21" i="11"/>
  <c r="F11" i="11"/>
  <c r="L8" i="11"/>
  <c r="G11" i="11"/>
  <c r="I13" i="11"/>
  <c r="K15" i="11"/>
  <c r="M17" i="11"/>
  <c r="H20" i="11"/>
  <c r="J22" i="11"/>
  <c r="L24" i="11"/>
  <c r="H21" i="11"/>
  <c r="H12" i="11"/>
  <c r="M8" i="11"/>
  <c r="W5" i="11"/>
  <c r="Y5" i="11"/>
  <c r="V5" i="11"/>
  <c r="Z5" i="11"/>
  <c r="M5" i="11"/>
  <c r="F5" i="11"/>
  <c r="H5" i="11"/>
  <c r="L5" i="11"/>
  <c r="K5" i="11"/>
  <c r="G5" i="11"/>
  <c r="H8" i="10"/>
  <c r="P8" i="10"/>
  <c r="T8" i="10"/>
  <c r="U8" i="10"/>
  <c r="V8" i="10"/>
  <c r="H9" i="10"/>
  <c r="T9" i="10"/>
  <c r="V9" i="10"/>
  <c r="H10" i="10"/>
  <c r="T10" i="10"/>
  <c r="V10" i="10"/>
  <c r="H11" i="10"/>
  <c r="I11" i="10"/>
  <c r="M11" i="10"/>
  <c r="S11" i="10"/>
  <c r="T11" i="10"/>
  <c r="V11" i="10"/>
  <c r="H12" i="10"/>
  <c r="I12" i="10"/>
  <c r="L12" i="10"/>
  <c r="M12" i="10"/>
  <c r="N12" i="10"/>
  <c r="S12" i="10"/>
  <c r="T12" i="10"/>
  <c r="U12" i="10"/>
  <c r="V12" i="10"/>
  <c r="H13" i="10"/>
  <c r="P13" i="10"/>
  <c r="V13" i="10"/>
  <c r="H16" i="10"/>
  <c r="P16" i="10"/>
  <c r="T16" i="10"/>
  <c r="V16" i="10"/>
  <c r="H17" i="10"/>
  <c r="M17" i="10"/>
  <c r="P17" i="10"/>
  <c r="T17" i="10"/>
  <c r="U17" i="10"/>
  <c r="V17" i="10"/>
  <c r="H18" i="10"/>
  <c r="P18" i="10"/>
  <c r="T18" i="10"/>
  <c r="V18" i="10"/>
  <c r="H19" i="10"/>
  <c r="P19" i="10"/>
  <c r="T19" i="10"/>
  <c r="V19" i="10"/>
  <c r="G20" i="10"/>
  <c r="H20" i="10"/>
  <c r="I20" i="10"/>
  <c r="L20" i="10"/>
  <c r="M20" i="10"/>
  <c r="N20" i="10"/>
  <c r="O20" i="10"/>
  <c r="P20" i="10"/>
  <c r="S20" i="10"/>
  <c r="T20" i="10"/>
  <c r="U20" i="10"/>
  <c r="V20" i="10"/>
  <c r="W20" i="10"/>
  <c r="H21" i="10"/>
  <c r="P21" i="10"/>
  <c r="T21" i="10"/>
  <c r="V21" i="10"/>
  <c r="H22" i="10"/>
  <c r="K22" i="10"/>
  <c r="P22" i="10"/>
  <c r="T22" i="10"/>
  <c r="V22" i="10"/>
  <c r="H23" i="10"/>
  <c r="P23" i="10"/>
  <c r="T23" i="10"/>
  <c r="V23" i="10"/>
  <c r="H24" i="10"/>
  <c r="P24" i="10"/>
  <c r="T24" i="10"/>
  <c r="V24" i="10"/>
  <c r="W24" i="10"/>
  <c r="P25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U26" i="10"/>
  <c r="V26" i="10"/>
  <c r="W26" i="10"/>
  <c r="X26" i="10"/>
  <c r="G28" i="10"/>
  <c r="H28" i="10"/>
  <c r="I28" i="10"/>
  <c r="J28" i="10"/>
  <c r="L28" i="10"/>
  <c r="M28" i="10"/>
  <c r="N28" i="10"/>
  <c r="O28" i="10"/>
  <c r="P28" i="10"/>
  <c r="Q28" i="10"/>
  <c r="R28" i="10"/>
  <c r="S28" i="10"/>
  <c r="T28" i="10"/>
  <c r="U28" i="10"/>
  <c r="W28" i="10"/>
  <c r="P29" i="10"/>
  <c r="H30" i="10"/>
  <c r="I30" i="10"/>
  <c r="M30" i="10"/>
  <c r="S30" i="10"/>
  <c r="T30" i="10"/>
  <c r="V30" i="10"/>
  <c r="H31" i="10"/>
  <c r="I31" i="10"/>
  <c r="M31" i="10"/>
  <c r="S31" i="10"/>
  <c r="T31" i="10"/>
  <c r="V31" i="10"/>
  <c r="H32" i="10"/>
  <c r="P32" i="10"/>
  <c r="T32" i="10"/>
  <c r="V32" i="10"/>
  <c r="H33" i="10"/>
  <c r="K33" i="10"/>
  <c r="P33" i="10"/>
  <c r="S33" i="10"/>
  <c r="T33" i="10"/>
  <c r="U33" i="10"/>
  <c r="V33" i="10"/>
  <c r="P34" i="10"/>
  <c r="H35" i="10"/>
  <c r="T35" i="10"/>
  <c r="V35" i="10"/>
  <c r="G36" i="10"/>
  <c r="H36" i="10"/>
  <c r="N36" i="10"/>
  <c r="T36" i="10"/>
  <c r="U36" i="10"/>
  <c r="V36" i="10"/>
  <c r="H37" i="10"/>
  <c r="J37" i="10"/>
  <c r="L37" i="10"/>
  <c r="N37" i="10"/>
  <c r="S37" i="10"/>
  <c r="T37" i="10"/>
  <c r="V37" i="10"/>
  <c r="G38" i="10"/>
  <c r="H38" i="10"/>
  <c r="J38" i="10"/>
  <c r="N38" i="10"/>
  <c r="O38" i="10"/>
  <c r="P38" i="10"/>
  <c r="R38" i="10"/>
  <c r="S38" i="10"/>
  <c r="T38" i="10"/>
  <c r="U38" i="10"/>
  <c r="V38" i="10"/>
  <c r="X38" i="10"/>
  <c r="H39" i="10"/>
  <c r="I39" i="10"/>
  <c r="M39" i="10"/>
  <c r="P39" i="10"/>
  <c r="S39" i="10"/>
  <c r="T39" i="10"/>
  <c r="V39" i="10"/>
  <c r="H40" i="10"/>
  <c r="I40" i="10"/>
  <c r="M40" i="10"/>
  <c r="P40" i="10"/>
  <c r="S40" i="10"/>
  <c r="T40" i="10"/>
  <c r="U40" i="10"/>
  <c r="V40" i="10"/>
  <c r="P41" i="10"/>
  <c r="V41" i="10"/>
  <c r="H42" i="10"/>
  <c r="L42" i="10"/>
  <c r="T42" i="10"/>
  <c r="U42" i="10"/>
  <c r="V42" i="10"/>
  <c r="H43" i="10"/>
  <c r="P43" i="10"/>
  <c r="T43" i="10"/>
  <c r="V43" i="10"/>
  <c r="H44" i="10"/>
  <c r="P44" i="10"/>
  <c r="T44" i="10"/>
  <c r="V44" i="10"/>
  <c r="H45" i="10"/>
  <c r="I45" i="10"/>
  <c r="M45" i="10"/>
  <c r="S45" i="10"/>
  <c r="T45" i="10"/>
  <c r="V45" i="10"/>
  <c r="H46" i="10"/>
  <c r="I46" i="10"/>
  <c r="M46" i="10"/>
  <c r="S46" i="10"/>
  <c r="T46" i="10"/>
  <c r="V46" i="10"/>
  <c r="P47" i="10"/>
  <c r="I48" i="10"/>
  <c r="K48" i="10"/>
  <c r="N48" i="10"/>
  <c r="O48" i="10"/>
  <c r="P48" i="10"/>
  <c r="Q48" i="10"/>
  <c r="R48" i="10"/>
  <c r="S48" i="10"/>
  <c r="U48" i="10"/>
  <c r="V48" i="10"/>
  <c r="X48" i="10"/>
  <c r="G49" i="10"/>
  <c r="I49" i="10"/>
  <c r="M49" i="10"/>
  <c r="N49" i="10"/>
  <c r="S49" i="10"/>
  <c r="H50" i="10"/>
  <c r="P50" i="10"/>
  <c r="S50" i="10"/>
  <c r="T50" i="10"/>
  <c r="V50" i="10"/>
  <c r="H51" i="10"/>
  <c r="N51" i="10"/>
  <c r="T51" i="10"/>
  <c r="V51" i="10"/>
  <c r="G52" i="10"/>
  <c r="H52" i="10"/>
  <c r="L52" i="10"/>
  <c r="N52" i="10"/>
  <c r="O52" i="10"/>
  <c r="P52" i="10"/>
  <c r="T52" i="10"/>
  <c r="V52" i="10"/>
  <c r="W52" i="10"/>
  <c r="G53" i="10"/>
  <c r="H53" i="10"/>
  <c r="I53" i="10"/>
  <c r="P53" i="10"/>
  <c r="S53" i="10"/>
  <c r="T53" i="10"/>
  <c r="U53" i="10"/>
  <c r="V53" i="10"/>
  <c r="G54" i="10"/>
  <c r="H54" i="10"/>
  <c r="I54" i="10"/>
  <c r="J54" i="10"/>
  <c r="K54" i="10"/>
  <c r="L54" i="10"/>
  <c r="M54" i="10"/>
  <c r="N54" i="10"/>
  <c r="O54" i="10"/>
  <c r="P54" i="10"/>
  <c r="R54" i="10"/>
  <c r="S54" i="10"/>
  <c r="T54" i="10"/>
  <c r="U54" i="10"/>
  <c r="V54" i="10"/>
  <c r="W54" i="10"/>
  <c r="H55" i="10"/>
  <c r="T55" i="10"/>
  <c r="V55" i="10"/>
  <c r="G56" i="10"/>
  <c r="H56" i="10"/>
  <c r="J56" i="10"/>
  <c r="P56" i="10"/>
  <c r="Q56" i="10"/>
  <c r="S56" i="10"/>
  <c r="T56" i="10"/>
  <c r="U56" i="10"/>
  <c r="V56" i="10"/>
  <c r="X56" i="10"/>
  <c r="P57" i="10"/>
  <c r="P58" i="10"/>
  <c r="T58" i="10"/>
  <c r="U58" i="10"/>
  <c r="V58" i="10"/>
  <c r="V59" i="10"/>
  <c r="G60" i="10"/>
  <c r="J60" i="10"/>
  <c r="P60" i="10"/>
  <c r="R60" i="10"/>
  <c r="U60" i="10"/>
  <c r="V60" i="10"/>
  <c r="X60" i="10"/>
  <c r="M61" i="10"/>
  <c r="T61" i="10"/>
  <c r="V61" i="10"/>
  <c r="G62" i="10"/>
  <c r="H62" i="10"/>
  <c r="P62" i="10"/>
  <c r="S62" i="10"/>
  <c r="T62" i="10"/>
  <c r="U62" i="10"/>
  <c r="V62" i="10"/>
  <c r="G63" i="10"/>
  <c r="H63" i="10"/>
  <c r="I63" i="10"/>
  <c r="J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H64" i="10"/>
  <c r="T64" i="10"/>
  <c r="V64" i="10"/>
  <c r="H65" i="10"/>
  <c r="I65" i="10"/>
  <c r="M65" i="10"/>
  <c r="N65" i="10"/>
  <c r="P65" i="10"/>
  <c r="S65" i="10"/>
  <c r="T65" i="10"/>
  <c r="V65" i="10"/>
  <c r="G66" i="10"/>
  <c r="H66" i="10"/>
  <c r="I66" i="10"/>
  <c r="M66" i="10"/>
  <c r="P66" i="10"/>
  <c r="S66" i="10"/>
  <c r="T66" i="10"/>
  <c r="U66" i="10"/>
  <c r="V66" i="10"/>
  <c r="G68" i="10"/>
  <c r="H68" i="10"/>
  <c r="K68" i="10"/>
  <c r="M68" i="10"/>
  <c r="P68" i="10"/>
  <c r="S68" i="10"/>
  <c r="T68" i="10"/>
  <c r="U68" i="10"/>
  <c r="V68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G70" i="10"/>
  <c r="H70" i="10"/>
  <c r="O70" i="10"/>
  <c r="P70" i="10"/>
  <c r="S70" i="10"/>
  <c r="T70" i="10"/>
  <c r="U70" i="10"/>
  <c r="V70" i="10"/>
  <c r="G71" i="10"/>
  <c r="M71" i="10"/>
  <c r="P71" i="10"/>
  <c r="S71" i="10"/>
  <c r="U71" i="10"/>
  <c r="V71" i="10"/>
  <c r="G72" i="10"/>
  <c r="H72" i="10"/>
  <c r="I72" i="10"/>
  <c r="J72" i="10"/>
  <c r="K72" i="10"/>
  <c r="L72" i="10"/>
  <c r="N72" i="10"/>
  <c r="O72" i="10"/>
  <c r="P72" i="10"/>
  <c r="R72" i="10"/>
  <c r="S72" i="10"/>
  <c r="T72" i="10"/>
  <c r="U72" i="10"/>
  <c r="V72" i="10"/>
  <c r="M73" i="10"/>
  <c r="P73" i="10"/>
  <c r="U73" i="10"/>
  <c r="G74" i="10"/>
  <c r="H74" i="10"/>
  <c r="I74" i="10"/>
  <c r="N74" i="10"/>
  <c r="P74" i="10"/>
  <c r="Q74" i="10"/>
  <c r="S74" i="10"/>
  <c r="T74" i="10"/>
  <c r="U74" i="10"/>
  <c r="V74" i="10"/>
  <c r="W74" i="10"/>
  <c r="G75" i="10"/>
  <c r="H75" i="10"/>
  <c r="I75" i="10"/>
  <c r="K75" i="10"/>
  <c r="L75" i="10"/>
  <c r="M75" i="10"/>
  <c r="N75" i="10"/>
  <c r="O75" i="10"/>
  <c r="P75" i="10"/>
  <c r="Q75" i="10"/>
  <c r="S75" i="10"/>
  <c r="T75" i="10"/>
  <c r="U75" i="10"/>
  <c r="V75" i="10"/>
  <c r="W75" i="10"/>
  <c r="G76" i="10"/>
  <c r="H76" i="10"/>
  <c r="I76" i="10"/>
  <c r="J76" i="10"/>
  <c r="K76" i="10"/>
  <c r="L76" i="10"/>
  <c r="M76" i="10"/>
  <c r="N76" i="10"/>
  <c r="O76" i="10"/>
  <c r="P76" i="10"/>
  <c r="Q76" i="10"/>
  <c r="S76" i="10"/>
  <c r="T76" i="10"/>
  <c r="U76" i="10"/>
  <c r="V76" i="10"/>
  <c r="W76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G78" i="10"/>
  <c r="H78" i="10"/>
  <c r="I78" i="10"/>
  <c r="J78" i="10"/>
  <c r="K78" i="10"/>
  <c r="L78" i="10"/>
  <c r="M78" i="10"/>
  <c r="N78" i="10"/>
  <c r="O78" i="10"/>
  <c r="P78" i="10"/>
  <c r="Q78" i="10"/>
  <c r="S78" i="10"/>
  <c r="T78" i="10"/>
  <c r="U78" i="10"/>
  <c r="V78" i="10"/>
  <c r="X78" i="10"/>
  <c r="G79" i="10"/>
  <c r="H79" i="10"/>
  <c r="I79" i="10"/>
  <c r="K79" i="10"/>
  <c r="L79" i="10"/>
  <c r="M79" i="10"/>
  <c r="N79" i="10"/>
  <c r="P79" i="10"/>
  <c r="S79" i="10"/>
  <c r="T79" i="10"/>
  <c r="U79" i="10"/>
  <c r="V79" i="10"/>
  <c r="W79" i="10"/>
  <c r="G80" i="10"/>
  <c r="H80" i="10"/>
  <c r="I80" i="10"/>
  <c r="J80" i="10"/>
  <c r="K80" i="10"/>
  <c r="L80" i="10"/>
  <c r="M80" i="10"/>
  <c r="N80" i="10"/>
  <c r="O80" i="10"/>
  <c r="P80" i="10"/>
  <c r="Q80" i="10"/>
  <c r="S80" i="10"/>
  <c r="T80" i="10"/>
  <c r="U80" i="10"/>
  <c r="V80" i="10"/>
  <c r="W80" i="10"/>
  <c r="X80" i="10"/>
  <c r="G81" i="10"/>
  <c r="H81" i="10"/>
  <c r="I81" i="10"/>
  <c r="J81" i="10"/>
  <c r="K81" i="10"/>
  <c r="M81" i="10"/>
  <c r="N81" i="10"/>
  <c r="O81" i="10"/>
  <c r="P81" i="10"/>
  <c r="S81" i="10"/>
  <c r="T81" i="10"/>
  <c r="U81" i="10"/>
  <c r="V81" i="10"/>
  <c r="W81" i="10"/>
  <c r="X81" i="10"/>
  <c r="G83" i="10"/>
  <c r="H83" i="10"/>
  <c r="I83" i="10"/>
  <c r="J83" i="10"/>
  <c r="K83" i="10"/>
  <c r="L83" i="10"/>
  <c r="M83" i="10"/>
  <c r="N83" i="10"/>
  <c r="O83" i="10"/>
  <c r="P83" i="10"/>
  <c r="Q83" i="10"/>
  <c r="S83" i="10"/>
  <c r="T83" i="10"/>
  <c r="U83" i="10"/>
  <c r="V83" i="10"/>
  <c r="W83" i="10"/>
  <c r="G84" i="10"/>
  <c r="H84" i="10"/>
  <c r="I84" i="10"/>
  <c r="M84" i="10"/>
  <c r="N84" i="10"/>
  <c r="P84" i="10"/>
  <c r="S84" i="10"/>
  <c r="T84" i="10"/>
  <c r="U84" i="10"/>
  <c r="V84" i="10"/>
  <c r="G85" i="10"/>
  <c r="H85" i="10"/>
  <c r="I85" i="10"/>
  <c r="J85" i="10"/>
  <c r="K85" i="10"/>
  <c r="L85" i="10"/>
  <c r="M85" i="10"/>
  <c r="N85" i="10"/>
  <c r="O85" i="10"/>
  <c r="P85" i="10"/>
  <c r="Q85" i="10"/>
  <c r="S85" i="10"/>
  <c r="T85" i="10"/>
  <c r="U85" i="10"/>
  <c r="V85" i="10"/>
  <c r="W85" i="10"/>
  <c r="H7" i="10"/>
  <c r="T7" i="10"/>
  <c r="V7" i="10"/>
  <c r="E8" i="10" a="1"/>
  <c r="E8" i="10" s="1"/>
  <c r="R8" i="10" s="1"/>
  <c r="E9" i="10" a="1"/>
  <c r="E9" i="10" s="1"/>
  <c r="R9" i="10" s="1"/>
  <c r="E10" i="10" a="1"/>
  <c r="E10" i="10" s="1"/>
  <c r="R10" i="10" s="1"/>
  <c r="E11" i="10" a="1"/>
  <c r="E11" i="10" s="1"/>
  <c r="R11" i="10" s="1"/>
  <c r="E12" i="10" a="1"/>
  <c r="E12" i="10" s="1"/>
  <c r="R12" i="10" s="1"/>
  <c r="E13" i="10" a="1"/>
  <c r="E13" i="10" s="1"/>
  <c r="E16" i="10" a="1"/>
  <c r="E16" i="10" s="1"/>
  <c r="R16" i="10" s="1"/>
  <c r="E17" i="10" a="1"/>
  <c r="E17" i="10" s="1"/>
  <c r="R17" i="10" s="1"/>
  <c r="E18" i="10" a="1"/>
  <c r="E18" i="10" s="1"/>
  <c r="R18" i="10" s="1"/>
  <c r="E19" i="10" a="1"/>
  <c r="E19" i="10" s="1"/>
  <c r="R19" i="10" s="1"/>
  <c r="E20" i="10" a="1"/>
  <c r="E20" i="10" s="1"/>
  <c r="E21" i="10" a="1"/>
  <c r="E21" i="10" s="1"/>
  <c r="R21" i="10" s="1"/>
  <c r="E22" i="10" a="1"/>
  <c r="E22" i="10" s="1"/>
  <c r="R22" i="10" s="1"/>
  <c r="E23" i="10" a="1"/>
  <c r="E23" i="10" s="1"/>
  <c r="E24" i="10" a="1"/>
  <c r="E24" i="10" s="1"/>
  <c r="R24" i="10" s="1"/>
  <c r="E25" i="10" a="1"/>
  <c r="E25" i="10" s="1"/>
  <c r="E26" i="10" a="1"/>
  <c r="E26" i="10" s="1"/>
  <c r="E27" i="10" a="1"/>
  <c r="E27" i="10" s="1"/>
  <c r="R27" i="10" s="1"/>
  <c r="E28" i="10" a="1"/>
  <c r="E28" i="10" s="1"/>
  <c r="E29" i="10" a="1"/>
  <c r="E29" i="10" s="1"/>
  <c r="R29" i="10" s="1"/>
  <c r="E30" i="10" a="1"/>
  <c r="E30" i="10" s="1"/>
  <c r="R30" i="10" s="1"/>
  <c r="E31" i="10" a="1"/>
  <c r="E31" i="10" s="1"/>
  <c r="R31" i="10" s="1"/>
  <c r="E32" i="10" a="1"/>
  <c r="E32" i="10" s="1"/>
  <c r="R32" i="10" s="1"/>
  <c r="E33" i="10" a="1"/>
  <c r="E33" i="10" s="1"/>
  <c r="R33" i="10" s="1"/>
  <c r="E34" i="10" a="1"/>
  <c r="E34" i="10" s="1"/>
  <c r="E35" i="10" a="1"/>
  <c r="E35" i="10" s="1"/>
  <c r="R35" i="10" s="1"/>
  <c r="E36" i="10" a="1"/>
  <c r="E36" i="10" s="1"/>
  <c r="E37" i="10" a="1"/>
  <c r="E37" i="10" s="1"/>
  <c r="E38" i="10" a="1"/>
  <c r="E38" i="10" s="1"/>
  <c r="E39" i="10" a="1"/>
  <c r="E39" i="10" s="1"/>
  <c r="R39" i="10" s="1"/>
  <c r="E40" i="10" a="1"/>
  <c r="E40" i="10" s="1"/>
  <c r="R40" i="10" s="1"/>
  <c r="E41" i="10" a="1"/>
  <c r="E41" i="10" s="1"/>
  <c r="R41" i="10" s="1"/>
  <c r="E42" i="10" a="1"/>
  <c r="E42" i="10" s="1"/>
  <c r="R42" i="10" s="1"/>
  <c r="E43" i="10" a="1"/>
  <c r="E43" i="10" s="1"/>
  <c r="R43" i="10" s="1"/>
  <c r="E44" i="10" a="1"/>
  <c r="E44" i="10" s="1"/>
  <c r="R44" i="10" s="1"/>
  <c r="E45" i="10" a="1"/>
  <c r="E45" i="10" s="1"/>
  <c r="E46" i="10" a="1"/>
  <c r="E46" i="10" s="1"/>
  <c r="R46" i="10" s="1"/>
  <c r="E47" i="10" a="1"/>
  <c r="E47" i="10" s="1"/>
  <c r="E48" i="10" a="1"/>
  <c r="E48" i="10" s="1"/>
  <c r="E49" i="10" a="1"/>
  <c r="E49" i="10" s="1"/>
  <c r="E50" i="10" a="1"/>
  <c r="E50" i="10" s="1"/>
  <c r="R50" i="10" s="1"/>
  <c r="E51" i="10" a="1"/>
  <c r="E51" i="10" s="1"/>
  <c r="R51" i="10" s="1"/>
  <c r="E52" i="10" a="1"/>
  <c r="E52" i="10" s="1"/>
  <c r="R52" i="10" s="1"/>
  <c r="E53" i="10" a="1"/>
  <c r="E53" i="10" s="1"/>
  <c r="R53" i="10" s="1"/>
  <c r="E54" i="10" a="1"/>
  <c r="E54" i="10" s="1"/>
  <c r="E55" i="10" a="1"/>
  <c r="E55" i="10" s="1"/>
  <c r="E56" i="10" a="1"/>
  <c r="E56" i="10" s="1"/>
  <c r="R56" i="10" s="1"/>
  <c r="E57" i="10" a="1"/>
  <c r="E57" i="10" s="1"/>
  <c r="R57" i="10" s="1"/>
  <c r="E58" i="10" a="1"/>
  <c r="E58" i="10" s="1"/>
  <c r="R58" i="10" s="1"/>
  <c r="E59" i="10" a="1"/>
  <c r="E59" i="10" s="1"/>
  <c r="R59" i="10" s="1"/>
  <c r="E60" i="10" a="1"/>
  <c r="E60" i="10" s="1"/>
  <c r="E61" i="10" a="1"/>
  <c r="E61" i="10" s="1"/>
  <c r="R61" i="10" s="1"/>
  <c r="E62" i="10" a="1"/>
  <c r="E62" i="10" s="1"/>
  <c r="R62" i="10" s="1"/>
  <c r="E63" i="10" a="1"/>
  <c r="E63" i="10" s="1"/>
  <c r="E64" i="10" a="1"/>
  <c r="E64" i="10" s="1"/>
  <c r="R64" i="10" s="1"/>
  <c r="E65" i="10" a="1"/>
  <c r="E65" i="10" s="1"/>
  <c r="R65" i="10" s="1"/>
  <c r="E66" i="10" a="1"/>
  <c r="E66" i="10" s="1"/>
  <c r="R66" i="10" s="1"/>
  <c r="E68" i="10" a="1"/>
  <c r="E68" i="10" s="1"/>
  <c r="E69" i="10" a="1"/>
  <c r="E69" i="10" s="1"/>
  <c r="E70" i="10" a="1"/>
  <c r="E70" i="10" s="1"/>
  <c r="R70" i="10" s="1"/>
  <c r="E71" i="10" a="1"/>
  <c r="E71" i="10" s="1"/>
  <c r="R71" i="10" s="1"/>
  <c r="E72" i="10" a="1"/>
  <c r="E72" i="10" s="1"/>
  <c r="E73" i="10" a="1"/>
  <c r="E73" i="10" s="1"/>
  <c r="R73" i="10" s="1"/>
  <c r="E74" i="10" a="1"/>
  <c r="E74" i="10" s="1"/>
  <c r="E75" i="10" a="1"/>
  <c r="E75" i="10" s="1"/>
  <c r="R75" i="10" s="1"/>
  <c r="E76" i="10" a="1"/>
  <c r="E76" i="10" s="1"/>
  <c r="R76" i="10" s="1"/>
  <c r="E77" i="10" a="1"/>
  <c r="E77" i="10" s="1"/>
  <c r="E78" i="10" a="1"/>
  <c r="E78" i="10" s="1"/>
  <c r="R78" i="10" s="1"/>
  <c r="E79" i="10" a="1"/>
  <c r="E79" i="10" s="1"/>
  <c r="R79" i="10" s="1"/>
  <c r="E80" i="10" a="1"/>
  <c r="E80" i="10" s="1"/>
  <c r="R80" i="10" s="1"/>
  <c r="E81" i="10" a="1"/>
  <c r="E81" i="10" s="1"/>
  <c r="R81" i="10" s="1"/>
  <c r="E83" i="10" a="1"/>
  <c r="E83" i="10" s="1"/>
  <c r="R83" i="10" s="1"/>
  <c r="E84" i="10" a="1"/>
  <c r="E84" i="10" s="1"/>
  <c r="R84" i="10" s="1"/>
  <c r="E85" i="10" a="1"/>
  <c r="E85" i="10" s="1"/>
  <c r="R85" i="10" s="1"/>
  <c r="E7" i="10" a="1"/>
  <c r="E7" i="10" s="1"/>
  <c r="D7" i="10" a="1"/>
  <c r="D7" i="10" s="1"/>
  <c r="D8" i="10" a="1"/>
  <c r="D8" i="10" s="1"/>
  <c r="D9" i="10" a="1"/>
  <c r="D9" i="10" s="1"/>
  <c r="D10" i="10" a="1"/>
  <c r="D10" i="10" s="1"/>
  <c r="D11" i="10" a="1"/>
  <c r="D11" i="10" s="1"/>
  <c r="D12" i="10" a="1"/>
  <c r="D12" i="10" s="1"/>
  <c r="D13" i="10" a="1"/>
  <c r="D13" i="10" s="1"/>
  <c r="D16" i="10" a="1"/>
  <c r="D16" i="10" s="1"/>
  <c r="D17" i="10" a="1"/>
  <c r="D17" i="10" s="1"/>
  <c r="D18" i="10" a="1"/>
  <c r="D18" i="10" s="1"/>
  <c r="D19" i="10" a="1"/>
  <c r="D19" i="10" s="1"/>
  <c r="D20" i="10" a="1"/>
  <c r="D20" i="10" s="1"/>
  <c r="D21" i="10" a="1"/>
  <c r="D21" i="10" s="1"/>
  <c r="D22" i="10" a="1"/>
  <c r="D22" i="10" s="1"/>
  <c r="D23" i="10" a="1"/>
  <c r="D23" i="10" s="1"/>
  <c r="D24" i="10" a="1"/>
  <c r="D24" i="10" s="1"/>
  <c r="D25" i="10" a="1"/>
  <c r="D25" i="10" s="1"/>
  <c r="D26" i="10" a="1"/>
  <c r="D26" i="10" s="1"/>
  <c r="D27" i="10" a="1"/>
  <c r="D27" i="10" s="1"/>
  <c r="D28" i="10" a="1"/>
  <c r="D28" i="10" s="1"/>
  <c r="D29" i="10" a="1"/>
  <c r="D29" i="10" s="1"/>
  <c r="D30" i="10" a="1"/>
  <c r="D30" i="10" s="1"/>
  <c r="D31" i="10" a="1"/>
  <c r="D31" i="10" s="1"/>
  <c r="D32" i="10" a="1"/>
  <c r="D32" i="10" s="1"/>
  <c r="D33" i="10" a="1"/>
  <c r="D33" i="10" s="1"/>
  <c r="D34" i="10" a="1"/>
  <c r="D34" i="10" s="1"/>
  <c r="D35" i="10" a="1"/>
  <c r="D35" i="10" s="1"/>
  <c r="D36" i="10" a="1"/>
  <c r="D36" i="10" s="1"/>
  <c r="D37" i="10" a="1"/>
  <c r="D37" i="10" s="1"/>
  <c r="D38" i="10" a="1"/>
  <c r="D38" i="10" s="1"/>
  <c r="D39" i="10" a="1"/>
  <c r="D39" i="10" s="1"/>
  <c r="D40" i="10" a="1"/>
  <c r="D40" i="10" s="1"/>
  <c r="D41" i="10" a="1"/>
  <c r="D41" i="10" s="1"/>
  <c r="D42" i="10" a="1"/>
  <c r="D42" i="10" s="1"/>
  <c r="D43" i="10" a="1"/>
  <c r="D43" i="10" s="1"/>
  <c r="D44" i="10" a="1"/>
  <c r="D44" i="10" s="1"/>
  <c r="D45" i="10" a="1"/>
  <c r="D45" i="10" s="1"/>
  <c r="D46" i="10" a="1"/>
  <c r="D46" i="10" s="1"/>
  <c r="D47" i="10" a="1"/>
  <c r="D47" i="10" s="1"/>
  <c r="D48" i="10" a="1"/>
  <c r="D48" i="10" s="1"/>
  <c r="D49" i="10" a="1"/>
  <c r="D49" i="10" s="1"/>
  <c r="D50" i="10" a="1"/>
  <c r="D50" i="10" s="1"/>
  <c r="D51" i="10" a="1"/>
  <c r="D51" i="10" s="1"/>
  <c r="D52" i="10" a="1"/>
  <c r="D52" i="10" s="1"/>
  <c r="D53" i="10" a="1"/>
  <c r="D53" i="10" s="1"/>
  <c r="D54" i="10" a="1"/>
  <c r="D54" i="10" s="1"/>
  <c r="D55" i="10" a="1"/>
  <c r="D55" i="10" s="1"/>
  <c r="D56" i="10" a="1"/>
  <c r="D56" i="10" s="1"/>
  <c r="D57" i="10" a="1"/>
  <c r="D57" i="10" s="1"/>
  <c r="D58" i="10" a="1"/>
  <c r="D58" i="10" s="1"/>
  <c r="D59" i="10" a="1"/>
  <c r="D59" i="10" s="1"/>
  <c r="D60" i="10" a="1"/>
  <c r="D60" i="10" s="1"/>
  <c r="D61" i="10" a="1"/>
  <c r="D61" i="10" s="1"/>
  <c r="D62" i="10" a="1"/>
  <c r="D62" i="10" s="1"/>
  <c r="D63" i="10" a="1"/>
  <c r="D63" i="10" s="1"/>
  <c r="D64" i="10" a="1"/>
  <c r="D64" i="10" s="1"/>
  <c r="D65" i="10" a="1"/>
  <c r="D65" i="10" s="1"/>
  <c r="D66" i="10" a="1"/>
  <c r="D66" i="10" s="1"/>
  <c r="D68" i="10" a="1"/>
  <c r="D68" i="10" s="1"/>
  <c r="D69" i="10" a="1"/>
  <c r="D69" i="10" s="1"/>
  <c r="D70" i="10" a="1"/>
  <c r="D70" i="10" s="1"/>
  <c r="D71" i="10" a="1"/>
  <c r="D71" i="10" s="1"/>
  <c r="D72" i="10" a="1"/>
  <c r="D72" i="10" s="1"/>
  <c r="D73" i="10" a="1"/>
  <c r="D73" i="10" s="1"/>
  <c r="D74" i="10" a="1"/>
  <c r="D74" i="10" s="1"/>
  <c r="D75" i="10" a="1"/>
  <c r="D75" i="10" s="1"/>
  <c r="D76" i="10" a="1"/>
  <c r="D76" i="10" s="1"/>
  <c r="D77" i="10" a="1"/>
  <c r="D77" i="10" s="1"/>
  <c r="D78" i="10" a="1"/>
  <c r="D78" i="10" s="1"/>
  <c r="D79" i="10" a="1"/>
  <c r="D79" i="10" s="1"/>
  <c r="D80" i="10" a="1"/>
  <c r="D80" i="10" s="1"/>
  <c r="D81" i="10" a="1"/>
  <c r="D81" i="10" s="1"/>
  <c r="D83" i="10" a="1"/>
  <c r="D83" i="10" s="1"/>
  <c r="D84" i="10" a="1"/>
  <c r="D84" i="10" s="1"/>
  <c r="D85" i="10" a="1"/>
  <c r="D85" i="10" s="1"/>
  <c r="X4" i="10"/>
  <c r="W4" i="10"/>
  <c r="V4" i="10"/>
  <c r="U4" i="10"/>
  <c r="T4" i="10"/>
  <c r="T15" i="10" s="1"/>
  <c r="S4" i="10"/>
  <c r="S15" i="10" s="1"/>
  <c r="Q4" i="10"/>
  <c r="P4" i="10"/>
  <c r="O4" i="10"/>
  <c r="N4" i="10"/>
  <c r="M4" i="10"/>
  <c r="L4" i="10"/>
  <c r="K4" i="10"/>
  <c r="J4" i="10"/>
  <c r="I4" i="10"/>
  <c r="I15" i="10" s="1"/>
  <c r="H4" i="10"/>
  <c r="G4" i="10"/>
  <c r="G67" i="10" s="1"/>
  <c r="X89" i="10"/>
  <c r="W89" i="10"/>
  <c r="V89" i="10"/>
  <c r="U89" i="10"/>
  <c r="T89" i="10"/>
  <c r="S89" i="10"/>
  <c r="R89" i="10"/>
  <c r="Q89" i="10"/>
  <c r="P89" i="10"/>
  <c r="O89" i="10"/>
  <c r="N89" i="10"/>
  <c r="M89" i="10"/>
  <c r="L89" i="10"/>
  <c r="K89" i="10"/>
  <c r="J89" i="10"/>
  <c r="I89" i="10"/>
  <c r="H89" i="10"/>
  <c r="G89" i="10"/>
  <c r="C85" i="10" a="1"/>
  <c r="C85" i="10" s="1"/>
  <c r="B85" i="10" a="1"/>
  <c r="B85" i="10" s="1"/>
  <c r="C84" i="10" a="1"/>
  <c r="C84" i="10" s="1"/>
  <c r="B84" i="10" a="1"/>
  <c r="B84" i="10" s="1"/>
  <c r="C83" i="10" a="1"/>
  <c r="C83" i="10" s="1"/>
  <c r="B83" i="10" a="1"/>
  <c r="B83" i="10" s="1"/>
  <c r="C81" i="10" a="1"/>
  <c r="C81" i="10" s="1"/>
  <c r="B81" i="10" a="1"/>
  <c r="B81" i="10" s="1"/>
  <c r="C80" i="10" a="1"/>
  <c r="C80" i="10" s="1"/>
  <c r="B80" i="10" a="1"/>
  <c r="B80" i="10" s="1"/>
  <c r="C79" i="10" a="1"/>
  <c r="C79" i="10" s="1"/>
  <c r="B79" i="10" a="1"/>
  <c r="B79" i="10" s="1"/>
  <c r="C78" i="10" a="1"/>
  <c r="C78" i="10" s="1"/>
  <c r="B78" i="10" a="1"/>
  <c r="B78" i="10" s="1"/>
  <c r="C77" i="10" a="1"/>
  <c r="C77" i="10" s="1"/>
  <c r="B77" i="10" a="1"/>
  <c r="B77" i="10" s="1"/>
  <c r="C76" i="10" a="1"/>
  <c r="C76" i="10" s="1"/>
  <c r="B76" i="10" a="1"/>
  <c r="B76" i="10" s="1"/>
  <c r="C75" i="10" a="1"/>
  <c r="C75" i="10" s="1"/>
  <c r="B75" i="10" a="1"/>
  <c r="B75" i="10" s="1"/>
  <c r="C74" i="10" a="1"/>
  <c r="C74" i="10" s="1"/>
  <c r="B74" i="10" a="1"/>
  <c r="B74" i="10" s="1"/>
  <c r="C73" i="10" a="1"/>
  <c r="C73" i="10" s="1"/>
  <c r="B73" i="10" a="1"/>
  <c r="B73" i="10" s="1"/>
  <c r="C72" i="10" a="1"/>
  <c r="C72" i="10" s="1"/>
  <c r="B72" i="10" a="1"/>
  <c r="B72" i="10" s="1"/>
  <c r="C71" i="10" a="1"/>
  <c r="C71" i="10" s="1"/>
  <c r="B71" i="10" a="1"/>
  <c r="B71" i="10" s="1"/>
  <c r="C70" i="10" a="1"/>
  <c r="C70" i="10" s="1"/>
  <c r="B70" i="10" a="1"/>
  <c r="B70" i="10" s="1"/>
  <c r="C69" i="10" a="1"/>
  <c r="C69" i="10" s="1"/>
  <c r="B69" i="10" a="1"/>
  <c r="B69" i="10" s="1"/>
  <c r="C68" i="10" a="1"/>
  <c r="C68" i="10" s="1"/>
  <c r="B68" i="10" a="1"/>
  <c r="B68" i="10" s="1"/>
  <c r="C66" i="10" a="1"/>
  <c r="C66" i="10" s="1"/>
  <c r="B66" i="10" a="1"/>
  <c r="B66" i="10" s="1"/>
  <c r="C65" i="10" a="1"/>
  <c r="C65" i="10" s="1"/>
  <c r="B65" i="10" a="1"/>
  <c r="B65" i="10" s="1"/>
  <c r="C64" i="10" a="1"/>
  <c r="C64" i="10" s="1"/>
  <c r="B64" i="10" a="1"/>
  <c r="B64" i="10" s="1"/>
  <c r="C63" i="10" a="1"/>
  <c r="C63" i="10" s="1"/>
  <c r="B63" i="10" a="1"/>
  <c r="B63" i="10" s="1"/>
  <c r="C62" i="10" a="1"/>
  <c r="C62" i="10" s="1"/>
  <c r="B62" i="10" a="1"/>
  <c r="B62" i="10" s="1"/>
  <c r="C61" i="10" a="1"/>
  <c r="C61" i="10" s="1"/>
  <c r="B61" i="10" a="1"/>
  <c r="B61" i="10" s="1"/>
  <c r="C60" i="10" a="1"/>
  <c r="C60" i="10" s="1"/>
  <c r="B60" i="10" a="1"/>
  <c r="B60" i="10" s="1"/>
  <c r="C59" i="10" a="1"/>
  <c r="C59" i="10" s="1"/>
  <c r="B59" i="10" a="1"/>
  <c r="B59" i="10" s="1"/>
  <c r="C58" i="10" a="1"/>
  <c r="C58" i="10" s="1"/>
  <c r="B58" i="10" a="1"/>
  <c r="B58" i="10" s="1"/>
  <c r="C57" i="10" a="1"/>
  <c r="C57" i="10" s="1"/>
  <c r="B57" i="10" a="1"/>
  <c r="B57" i="10" s="1"/>
  <c r="C56" i="10" a="1"/>
  <c r="C56" i="10" s="1"/>
  <c r="B56" i="10" a="1"/>
  <c r="B56" i="10" s="1"/>
  <c r="C55" i="10" a="1"/>
  <c r="C55" i="10" s="1"/>
  <c r="B55" i="10" a="1"/>
  <c r="B55" i="10" s="1"/>
  <c r="C54" i="10" a="1"/>
  <c r="C54" i="10" s="1"/>
  <c r="B54" i="10" a="1"/>
  <c r="B54" i="10" s="1"/>
  <c r="C53" i="10" a="1"/>
  <c r="C53" i="10" s="1"/>
  <c r="B53" i="10" a="1"/>
  <c r="B53" i="10" s="1"/>
  <c r="C52" i="10" a="1"/>
  <c r="C52" i="10" s="1"/>
  <c r="B52" i="10" a="1"/>
  <c r="B52" i="10" s="1"/>
  <c r="C51" i="10" a="1"/>
  <c r="C51" i="10" s="1"/>
  <c r="B51" i="10" a="1"/>
  <c r="B51" i="10" s="1"/>
  <c r="C50" i="10" a="1"/>
  <c r="C50" i="10" s="1"/>
  <c r="B50" i="10" a="1"/>
  <c r="B50" i="10" s="1"/>
  <c r="C49" i="10" a="1"/>
  <c r="C49" i="10" s="1"/>
  <c r="B49" i="10" a="1"/>
  <c r="B49" i="10" s="1"/>
  <c r="C48" i="10" a="1"/>
  <c r="C48" i="10" s="1"/>
  <c r="B48" i="10" a="1"/>
  <c r="B48" i="10" s="1"/>
  <c r="C47" i="10" a="1"/>
  <c r="C47" i="10" s="1"/>
  <c r="B47" i="10" a="1"/>
  <c r="B47" i="10" s="1"/>
  <c r="C46" i="10" a="1"/>
  <c r="C46" i="10" s="1"/>
  <c r="B46" i="10" a="1"/>
  <c r="B46" i="10" s="1"/>
  <c r="C45" i="10" a="1"/>
  <c r="C45" i="10" s="1"/>
  <c r="B45" i="10" a="1"/>
  <c r="B45" i="10" s="1"/>
  <c r="C44" i="10" a="1"/>
  <c r="C44" i="10" s="1"/>
  <c r="B44" i="10" a="1"/>
  <c r="B44" i="10" s="1"/>
  <c r="C43" i="10" a="1"/>
  <c r="C43" i="10" s="1"/>
  <c r="B43" i="10" a="1"/>
  <c r="B43" i="10" s="1"/>
  <c r="C42" i="10" a="1"/>
  <c r="C42" i="10" s="1"/>
  <c r="B42" i="10" a="1"/>
  <c r="B42" i="10" s="1"/>
  <c r="C41" i="10" a="1"/>
  <c r="C41" i="10" s="1"/>
  <c r="B41" i="10" a="1"/>
  <c r="B41" i="10" s="1"/>
  <c r="C40" i="10" a="1"/>
  <c r="C40" i="10" s="1"/>
  <c r="B40" i="10" a="1"/>
  <c r="B40" i="10" s="1"/>
  <c r="C39" i="10" a="1"/>
  <c r="C39" i="10" s="1"/>
  <c r="B39" i="10" a="1"/>
  <c r="B39" i="10" s="1"/>
  <c r="C38" i="10" a="1"/>
  <c r="C38" i="10" s="1"/>
  <c r="B38" i="10" a="1"/>
  <c r="B38" i="10" s="1"/>
  <c r="C37" i="10" a="1"/>
  <c r="C37" i="10" s="1"/>
  <c r="B37" i="10" a="1"/>
  <c r="B37" i="10" s="1"/>
  <c r="C36" i="10" a="1"/>
  <c r="C36" i="10" s="1"/>
  <c r="B36" i="10" a="1"/>
  <c r="B36" i="10" s="1"/>
  <c r="C35" i="10" a="1"/>
  <c r="C35" i="10" s="1"/>
  <c r="B35" i="10" a="1"/>
  <c r="B35" i="10" s="1"/>
  <c r="C34" i="10" a="1"/>
  <c r="C34" i="10" s="1"/>
  <c r="B34" i="10" a="1"/>
  <c r="B34" i="10" s="1"/>
  <c r="C33" i="10" a="1"/>
  <c r="C33" i="10" s="1"/>
  <c r="B33" i="10" a="1"/>
  <c r="B33" i="10" s="1"/>
  <c r="C32" i="10" a="1"/>
  <c r="C32" i="10" s="1"/>
  <c r="B32" i="10" a="1"/>
  <c r="B32" i="10" s="1"/>
  <c r="C31" i="10" a="1"/>
  <c r="C31" i="10" s="1"/>
  <c r="B31" i="10" a="1"/>
  <c r="B31" i="10" s="1"/>
  <c r="C30" i="10" a="1"/>
  <c r="C30" i="10" s="1"/>
  <c r="B30" i="10" a="1"/>
  <c r="B30" i="10" s="1"/>
  <c r="C29" i="10" a="1"/>
  <c r="C29" i="10" s="1"/>
  <c r="B29" i="10" a="1"/>
  <c r="B29" i="10" s="1"/>
  <c r="C28" i="10" a="1"/>
  <c r="C28" i="10" s="1"/>
  <c r="B28" i="10" a="1"/>
  <c r="B28" i="10" s="1"/>
  <c r="C27" i="10" a="1"/>
  <c r="C27" i="10" s="1"/>
  <c r="B27" i="10" a="1"/>
  <c r="B27" i="10" s="1"/>
  <c r="C26" i="10" a="1"/>
  <c r="C26" i="10" s="1"/>
  <c r="B26" i="10" a="1"/>
  <c r="B26" i="10" s="1"/>
  <c r="C25" i="10" a="1"/>
  <c r="C25" i="10" s="1"/>
  <c r="B25" i="10" a="1"/>
  <c r="B25" i="10" s="1"/>
  <c r="C24" i="10" a="1"/>
  <c r="C24" i="10" s="1"/>
  <c r="B24" i="10" a="1"/>
  <c r="B24" i="10" s="1"/>
  <c r="C23" i="10" a="1"/>
  <c r="C23" i="10" s="1"/>
  <c r="B23" i="10" a="1"/>
  <c r="B23" i="10" s="1"/>
  <c r="C22" i="10" a="1"/>
  <c r="C22" i="10" s="1"/>
  <c r="B22" i="10" a="1"/>
  <c r="B22" i="10" s="1"/>
  <c r="C21" i="10" a="1"/>
  <c r="C21" i="10" s="1"/>
  <c r="B21" i="10" a="1"/>
  <c r="B21" i="10" s="1"/>
  <c r="C20" i="10" a="1"/>
  <c r="C20" i="10" s="1"/>
  <c r="B20" i="10" a="1"/>
  <c r="B20" i="10" s="1"/>
  <c r="C19" i="10" a="1"/>
  <c r="C19" i="10" s="1"/>
  <c r="B19" i="10" a="1"/>
  <c r="B19" i="10" s="1"/>
  <c r="C18" i="10" a="1"/>
  <c r="C18" i="10" s="1"/>
  <c r="B18" i="10" a="1"/>
  <c r="B18" i="10" s="1"/>
  <c r="C17" i="10" a="1"/>
  <c r="C17" i="10" s="1"/>
  <c r="B17" i="10" a="1"/>
  <c r="B17" i="10" s="1"/>
  <c r="C16" i="10" a="1"/>
  <c r="C16" i="10" s="1"/>
  <c r="B16" i="10" a="1"/>
  <c r="B16" i="10" s="1"/>
  <c r="C13" i="10" a="1"/>
  <c r="C13" i="10" s="1"/>
  <c r="B13" i="10" a="1"/>
  <c r="B13" i="10" s="1"/>
  <c r="C12" i="10" a="1"/>
  <c r="C12" i="10" s="1"/>
  <c r="B12" i="10" a="1"/>
  <c r="B12" i="10" s="1"/>
  <c r="C11" i="10" a="1"/>
  <c r="C11" i="10" s="1"/>
  <c r="B11" i="10" a="1"/>
  <c r="B11" i="10" s="1"/>
  <c r="C10" i="10" a="1"/>
  <c r="C10" i="10" s="1"/>
  <c r="B10" i="10" a="1"/>
  <c r="B10" i="10" s="1"/>
  <c r="C9" i="10" a="1"/>
  <c r="C9" i="10" s="1"/>
  <c r="B9" i="10" a="1"/>
  <c r="B9" i="10" s="1"/>
  <c r="C8" i="10" a="1"/>
  <c r="C8" i="10" s="1"/>
  <c r="B8" i="10" a="1"/>
  <c r="B8" i="10" s="1"/>
  <c r="C7" i="10" a="1"/>
  <c r="C7" i="10" s="1"/>
  <c r="B7" i="10" a="1"/>
  <c r="B7" i="10" s="1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V2" i="10"/>
  <c r="N2" i="10"/>
  <c r="I2" i="10"/>
  <c r="T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T35" i="7"/>
  <c r="T36" i="7"/>
  <c r="T37" i="7"/>
  <c r="T38" i="7"/>
  <c r="T39" i="7"/>
  <c r="T40" i="7"/>
  <c r="T41" i="7"/>
  <c r="T42" i="7"/>
  <c r="T43" i="7"/>
  <c r="T44" i="7"/>
  <c r="T45" i="7"/>
  <c r="T46" i="7"/>
  <c r="T47" i="7"/>
  <c r="T48" i="7"/>
  <c r="T49" i="7"/>
  <c r="T50" i="7"/>
  <c r="T51" i="7"/>
  <c r="T52" i="7"/>
  <c r="T53" i="7"/>
  <c r="T54" i="7"/>
  <c r="T55" i="7"/>
  <c r="T56" i="7"/>
  <c r="T57" i="7"/>
  <c r="T58" i="7"/>
  <c r="T59" i="7"/>
  <c r="T60" i="7"/>
  <c r="T61" i="7"/>
  <c r="T62" i="7"/>
  <c r="T63" i="7"/>
  <c r="T64" i="7"/>
  <c r="T65" i="7"/>
  <c r="T66" i="7"/>
  <c r="T67" i="7"/>
  <c r="T68" i="7"/>
  <c r="T69" i="7"/>
  <c r="T70" i="7"/>
  <c r="T71" i="7"/>
  <c r="T72" i="7"/>
  <c r="T73" i="7"/>
  <c r="T74" i="7"/>
  <c r="T75" i="7"/>
  <c r="T76" i="7"/>
  <c r="T77" i="7"/>
  <c r="T78" i="7"/>
  <c r="T79" i="7"/>
  <c r="T80" i="7"/>
  <c r="T81" i="7"/>
  <c r="T82" i="7"/>
  <c r="T83" i="7"/>
  <c r="T84" i="7"/>
  <c r="T85" i="7"/>
  <c r="T86" i="7"/>
  <c r="T87" i="7"/>
  <c r="T88" i="7"/>
  <c r="T89" i="7"/>
  <c r="T90" i="7"/>
  <c r="T91" i="7"/>
  <c r="T92" i="7"/>
  <c r="T93" i="7"/>
  <c r="T94" i="7"/>
  <c r="T95" i="7"/>
  <c r="T96" i="7"/>
  <c r="T97" i="7"/>
  <c r="T98" i="7"/>
  <c r="T99" i="7"/>
  <c r="T100" i="7"/>
  <c r="T101" i="7"/>
  <c r="T102" i="7"/>
  <c r="T103" i="7"/>
  <c r="T104" i="7"/>
  <c r="T2" i="7"/>
  <c r="S7" i="7"/>
  <c r="U7" i="7"/>
  <c r="S8" i="7"/>
  <c r="U8" i="7"/>
  <c r="S9" i="7"/>
  <c r="U9" i="7"/>
  <c r="S10" i="7"/>
  <c r="U10" i="7"/>
  <c r="S11" i="7"/>
  <c r="U12" i="7"/>
  <c r="U17" i="7"/>
  <c r="S18" i="7"/>
  <c r="U18" i="7"/>
  <c r="S23" i="7"/>
  <c r="U23" i="7"/>
  <c r="S24" i="7"/>
  <c r="U24" i="7"/>
  <c r="S25" i="7"/>
  <c r="U25" i="7"/>
  <c r="S26" i="7"/>
  <c r="U26" i="7"/>
  <c r="S27" i="7"/>
  <c r="U28" i="7"/>
  <c r="U32" i="7"/>
  <c r="S33" i="7"/>
  <c r="U33" i="7"/>
  <c r="S34" i="7"/>
  <c r="U34" i="7"/>
  <c r="S39" i="7"/>
  <c r="U39" i="7"/>
  <c r="S40" i="7"/>
  <c r="U40" i="7"/>
  <c r="S41" i="7"/>
  <c r="U41" i="7"/>
  <c r="S42" i="7"/>
  <c r="U42" i="7"/>
  <c r="S43" i="7"/>
  <c r="U44" i="7"/>
  <c r="U48" i="7"/>
  <c r="S49" i="7"/>
  <c r="U49" i="7"/>
  <c r="S50" i="7"/>
  <c r="U50" i="7"/>
  <c r="S55" i="7"/>
  <c r="U55" i="7"/>
  <c r="S56" i="7"/>
  <c r="U56" i="7"/>
  <c r="S57" i="7"/>
  <c r="U57" i="7"/>
  <c r="S58" i="7"/>
  <c r="U58" i="7"/>
  <c r="S59" i="7"/>
  <c r="U60" i="7"/>
  <c r="U64" i="7"/>
  <c r="S65" i="7"/>
  <c r="U65" i="7"/>
  <c r="S66" i="7"/>
  <c r="U66" i="7"/>
  <c r="S71" i="7"/>
  <c r="U71" i="7"/>
  <c r="S72" i="7"/>
  <c r="U72" i="7"/>
  <c r="S73" i="7"/>
  <c r="U73" i="7"/>
  <c r="S74" i="7"/>
  <c r="U74" i="7"/>
  <c r="S75" i="7"/>
  <c r="S79" i="7"/>
  <c r="U79" i="7"/>
  <c r="S80" i="7"/>
  <c r="U80" i="7"/>
  <c r="S81" i="7"/>
  <c r="U81" i="7"/>
  <c r="S82" i="7"/>
  <c r="U82" i="7"/>
  <c r="S89" i="7"/>
  <c r="U89" i="7"/>
  <c r="S90" i="7"/>
  <c r="U90" i="7"/>
  <c r="S91" i="7"/>
  <c r="S95" i="7"/>
  <c r="U95" i="7"/>
  <c r="S96" i="7"/>
  <c r="U96" i="7"/>
  <c r="S97" i="7"/>
  <c r="U97" i="7"/>
  <c r="S98" i="7"/>
  <c r="U98" i="7"/>
  <c r="U2" i="7"/>
  <c r="D2" i="8" a="1"/>
  <c r="D2" i="8" s="1"/>
  <c r="S2" i="7"/>
  <c r="R4" i="7"/>
  <c r="S4" i="7" s="1"/>
  <c r="R5" i="7"/>
  <c r="S5" i="7" s="1"/>
  <c r="R6" i="7"/>
  <c r="S6" i="7" s="1"/>
  <c r="R7" i="7"/>
  <c r="R8" i="7"/>
  <c r="R9" i="7"/>
  <c r="R10" i="7"/>
  <c r="R11" i="7"/>
  <c r="U11" i="7" s="1"/>
  <c r="R12" i="7"/>
  <c r="S12" i="7" s="1"/>
  <c r="R13" i="7"/>
  <c r="S13" i="7" s="1"/>
  <c r="R14" i="7"/>
  <c r="S14" i="7" s="1"/>
  <c r="R15" i="7"/>
  <c r="S15" i="7" s="1"/>
  <c r="R16" i="7"/>
  <c r="U16" i="7" s="1"/>
  <c r="R17" i="7"/>
  <c r="S17" i="7" s="1"/>
  <c r="R18" i="7"/>
  <c r="R19" i="7"/>
  <c r="S19" i="7" s="1"/>
  <c r="R20" i="7"/>
  <c r="S20" i="7" s="1"/>
  <c r="R21" i="7"/>
  <c r="S21" i="7" s="1"/>
  <c r="R22" i="7"/>
  <c r="S22" i="7" s="1"/>
  <c r="R24" i="7"/>
  <c r="R25" i="7"/>
  <c r="R26" i="7"/>
  <c r="R27" i="7"/>
  <c r="U27" i="7" s="1"/>
  <c r="R28" i="7"/>
  <c r="S28" i="7" s="1"/>
  <c r="R29" i="7"/>
  <c r="S29" i="7" s="1"/>
  <c r="R30" i="7"/>
  <c r="S30" i="7" s="1"/>
  <c r="R31" i="7"/>
  <c r="U31" i="7" s="1"/>
  <c r="R32" i="7"/>
  <c r="S32" i="7" s="1"/>
  <c r="R33" i="7"/>
  <c r="R34" i="7"/>
  <c r="R35" i="7"/>
  <c r="S35" i="7" s="1"/>
  <c r="R36" i="7"/>
  <c r="S36" i="7" s="1"/>
  <c r="R37" i="7"/>
  <c r="S37" i="7" s="1"/>
  <c r="R38" i="7"/>
  <c r="S38" i="7" s="1"/>
  <c r="R39" i="7"/>
  <c r="R40" i="7"/>
  <c r="R41" i="7"/>
  <c r="R42" i="7"/>
  <c r="R43" i="7"/>
  <c r="U43" i="7" s="1"/>
  <c r="R44" i="7"/>
  <c r="S44" i="7" s="1"/>
  <c r="R45" i="7"/>
  <c r="S45" i="7" s="1"/>
  <c r="R46" i="7"/>
  <c r="S46" i="7" s="1"/>
  <c r="R47" i="7"/>
  <c r="S47" i="7" s="1"/>
  <c r="R48" i="7"/>
  <c r="S48" i="7" s="1"/>
  <c r="R49" i="7"/>
  <c r="R50" i="7"/>
  <c r="R51" i="7"/>
  <c r="S51" i="7" s="1"/>
  <c r="R52" i="7"/>
  <c r="S52" i="7" s="1"/>
  <c r="R53" i="7"/>
  <c r="S53" i="7" s="1"/>
  <c r="R54" i="7"/>
  <c r="S54" i="7" s="1"/>
  <c r="R55" i="7"/>
  <c r="R56" i="7"/>
  <c r="R57" i="7"/>
  <c r="R58" i="7"/>
  <c r="R59" i="7"/>
  <c r="U59" i="7" s="1"/>
  <c r="R60" i="7"/>
  <c r="S60" i="7" s="1"/>
  <c r="R61" i="7"/>
  <c r="S61" i="7" s="1"/>
  <c r="R62" i="7"/>
  <c r="S62" i="7" s="1"/>
  <c r="R63" i="7"/>
  <c r="S63" i="7" s="1"/>
  <c r="R64" i="7"/>
  <c r="S64" i="7" s="1"/>
  <c r="R65" i="7"/>
  <c r="R66" i="7"/>
  <c r="R67" i="7"/>
  <c r="S67" i="7" s="1"/>
  <c r="R68" i="7"/>
  <c r="U68" i="7" s="1"/>
  <c r="R69" i="7"/>
  <c r="S69" i="7" s="1"/>
  <c r="R70" i="7"/>
  <c r="S70" i="7" s="1"/>
  <c r="R71" i="7"/>
  <c r="R72" i="7"/>
  <c r="R74" i="7"/>
  <c r="R75" i="7"/>
  <c r="U75" i="7" s="1"/>
  <c r="R76" i="7"/>
  <c r="S76" i="7" s="1"/>
  <c r="R78" i="7"/>
  <c r="S78" i="7" s="1"/>
  <c r="R79" i="7"/>
  <c r="R80" i="7"/>
  <c r="R81" i="7"/>
  <c r="R82" i="7"/>
  <c r="R83" i="7"/>
  <c r="S83" i="7" s="1"/>
  <c r="R84" i="7"/>
  <c r="U84" i="7" s="1"/>
  <c r="R86" i="7"/>
  <c r="S86" i="7" s="1"/>
  <c r="R87" i="7"/>
  <c r="S87" i="7" s="1"/>
  <c r="R88" i="7"/>
  <c r="U88" i="7" s="1"/>
  <c r="R89" i="7"/>
  <c r="R90" i="7"/>
  <c r="R91" i="7"/>
  <c r="U91" i="7" s="1"/>
  <c r="R92" i="7"/>
  <c r="S92" i="7" s="1"/>
  <c r="R93" i="7"/>
  <c r="S93" i="7" s="1"/>
  <c r="R94" i="7"/>
  <c r="S94" i="7" s="1"/>
  <c r="R95" i="7"/>
  <c r="R96" i="7"/>
  <c r="R97" i="7"/>
  <c r="R98" i="7"/>
  <c r="R99" i="7"/>
  <c r="S99" i="7" s="1"/>
  <c r="R100" i="7"/>
  <c r="U100" i="7" s="1"/>
  <c r="R101" i="7"/>
  <c r="S101" i="7" s="1"/>
  <c r="R102" i="7"/>
  <c r="S102" i="7" s="1"/>
  <c r="R103" i="7"/>
  <c r="S103" i="7" s="1"/>
  <c r="R104" i="7"/>
  <c r="S104" i="7" s="1"/>
  <c r="R3" i="7"/>
  <c r="S3" i="7" s="1"/>
  <c r="R2" i="7"/>
  <c r="F63" i="5"/>
  <c r="D60" i="6" a="1"/>
  <c r="D60" i="6" s="1"/>
  <c r="E63" i="5"/>
  <c r="B101" i="7"/>
  <c r="B100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M85" i="7"/>
  <c r="L85" i="7"/>
  <c r="K85" i="7"/>
  <c r="J85" i="7"/>
  <c r="I85" i="7"/>
  <c r="H85" i="7"/>
  <c r="G85" i="7"/>
  <c r="R85" i="7" s="1"/>
  <c r="E85" i="7"/>
  <c r="B85" i="7"/>
  <c r="B84" i="7"/>
  <c r="B83" i="7"/>
  <c r="F82" i="7"/>
  <c r="E82" i="7"/>
  <c r="B82" i="7"/>
  <c r="B81" i="7"/>
  <c r="B80" i="7"/>
  <c r="B79" i="7"/>
  <c r="B78" i="7"/>
  <c r="M77" i="7"/>
  <c r="L77" i="7"/>
  <c r="K77" i="7"/>
  <c r="J77" i="7"/>
  <c r="I77" i="7"/>
  <c r="H77" i="7"/>
  <c r="G77" i="7"/>
  <c r="R77" i="7" s="1"/>
  <c r="E77" i="7"/>
  <c r="B77" i="7"/>
  <c r="B76" i="7"/>
  <c r="B75" i="7"/>
  <c r="B74" i="7"/>
  <c r="M73" i="7"/>
  <c r="L73" i="7"/>
  <c r="K73" i="7"/>
  <c r="J73" i="7"/>
  <c r="I73" i="7"/>
  <c r="H73" i="7"/>
  <c r="G73" i="7"/>
  <c r="R73" i="7" s="1"/>
  <c r="E73" i="7"/>
  <c r="B73" i="7"/>
  <c r="B72" i="7"/>
  <c r="B71" i="7"/>
  <c r="B70" i="7"/>
  <c r="B69" i="7"/>
  <c r="B68" i="7"/>
  <c r="B67" i="7"/>
  <c r="B66" i="7"/>
  <c r="B65" i="7"/>
  <c r="B64" i="7"/>
  <c r="F63" i="7"/>
  <c r="E63" i="7"/>
  <c r="B63" i="7"/>
  <c r="F62" i="7"/>
  <c r="E62" i="7"/>
  <c r="B62" i="7"/>
  <c r="B61" i="7"/>
  <c r="B60" i="7"/>
  <c r="B59" i="7"/>
  <c r="B58" i="7"/>
  <c r="B57" i="7"/>
  <c r="B56" i="7"/>
  <c r="B55" i="7"/>
  <c r="B54" i="7"/>
  <c r="B53" i="7"/>
  <c r="B52" i="7"/>
  <c r="B51" i="7"/>
  <c r="B50" i="7"/>
  <c r="B49" i="7"/>
  <c r="B48" i="7"/>
  <c r="B47" i="7"/>
  <c r="B46" i="7"/>
  <c r="B45" i="7"/>
  <c r="B44" i="7"/>
  <c r="B43" i="7"/>
  <c r="B42" i="7"/>
  <c r="B41" i="7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M23" i="7"/>
  <c r="L23" i="7"/>
  <c r="K23" i="7"/>
  <c r="J23" i="7"/>
  <c r="I23" i="7"/>
  <c r="H23" i="7"/>
  <c r="G23" i="7"/>
  <c r="R23" i="7" s="1"/>
  <c r="E23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P1" i="7"/>
  <c r="O1" i="7"/>
  <c r="D78" i="3" a="1"/>
  <c r="D78" i="3" s="1"/>
  <c r="D79" i="3" a="1"/>
  <c r="D79" i="3" s="1"/>
  <c r="B78" i="3" a="1"/>
  <c r="B78" i="3" s="1"/>
  <c r="B79" i="3" a="1"/>
  <c r="B79" i="3"/>
  <c r="D7" i="6" a="1"/>
  <c r="D7" i="6" s="1"/>
  <c r="D8" i="6" a="1"/>
  <c r="D8" i="6" s="1"/>
  <c r="D9" i="6" a="1"/>
  <c r="D9" i="6" s="1"/>
  <c r="D10" i="6" a="1"/>
  <c r="D10" i="6"/>
  <c r="D11" i="6" a="1"/>
  <c r="D11" i="6" s="1"/>
  <c r="D12" i="6" a="1"/>
  <c r="D12" i="6" s="1"/>
  <c r="D13" i="6" a="1"/>
  <c r="D13" i="6" s="1"/>
  <c r="D14" i="6" a="1"/>
  <c r="D14" i="6" s="1"/>
  <c r="D15" i="6" a="1"/>
  <c r="D15" i="6" s="1"/>
  <c r="D16" i="6" a="1"/>
  <c r="D16" i="6" s="1"/>
  <c r="D17" i="6" a="1"/>
  <c r="D17" i="6"/>
  <c r="D18" i="6" a="1"/>
  <c r="D18" i="6" s="1"/>
  <c r="D19" i="6" a="1"/>
  <c r="D19" i="6" s="1"/>
  <c r="D20" i="6" a="1"/>
  <c r="D20" i="6" s="1"/>
  <c r="D21" i="6" a="1"/>
  <c r="D21" i="6" s="1"/>
  <c r="D22" i="6" a="1"/>
  <c r="D22" i="6" s="1"/>
  <c r="D23" i="6" a="1"/>
  <c r="D23" i="6" s="1"/>
  <c r="D24" i="6" a="1"/>
  <c r="D24" i="6" s="1"/>
  <c r="D25" i="6" a="1"/>
  <c r="D25" i="6" s="1"/>
  <c r="D26" i="6" a="1"/>
  <c r="D26" i="6" s="1"/>
  <c r="D27" i="6" a="1"/>
  <c r="D27" i="6"/>
  <c r="D28" i="6" a="1"/>
  <c r="D28" i="6" s="1"/>
  <c r="D29" i="6" a="1"/>
  <c r="D29" i="6" s="1"/>
  <c r="D30" i="6" a="1"/>
  <c r="D30" i="6" s="1"/>
  <c r="D31" i="6" a="1"/>
  <c r="D31" i="6" s="1"/>
  <c r="D32" i="6" a="1"/>
  <c r="D32" i="6" s="1"/>
  <c r="D33" i="6" a="1"/>
  <c r="D33" i="6" s="1"/>
  <c r="D34" i="6" a="1"/>
  <c r="D34" i="6" s="1"/>
  <c r="D35" i="6" a="1"/>
  <c r="D35" i="6" s="1"/>
  <c r="D36" i="6" a="1"/>
  <c r="D36" i="6" s="1"/>
  <c r="D37" i="6" a="1"/>
  <c r="D37" i="6" s="1"/>
  <c r="D38" i="6" a="1"/>
  <c r="D38" i="6" s="1"/>
  <c r="D39" i="6" a="1"/>
  <c r="D39" i="6" s="1"/>
  <c r="D40" i="6" a="1"/>
  <c r="D40" i="6" s="1"/>
  <c r="D41" i="6" a="1"/>
  <c r="D41" i="6"/>
  <c r="D42" i="6" a="1"/>
  <c r="D42" i="6"/>
  <c r="D43" i="6" a="1"/>
  <c r="D43" i="6" s="1"/>
  <c r="D44" i="6" a="1"/>
  <c r="D44" i="6" s="1"/>
  <c r="D45" i="6" a="1"/>
  <c r="D45" i="6" s="1"/>
  <c r="D46" i="6" a="1"/>
  <c r="D46" i="6" s="1"/>
  <c r="D47" i="6" a="1"/>
  <c r="D47" i="6" s="1"/>
  <c r="D48" i="6" a="1"/>
  <c r="D48" i="6" s="1"/>
  <c r="D49" i="6" a="1"/>
  <c r="D49" i="6" s="1"/>
  <c r="D50" i="6" a="1"/>
  <c r="D50" i="6"/>
  <c r="D51" i="6" a="1"/>
  <c r="D51" i="6" s="1"/>
  <c r="D52" i="6" a="1"/>
  <c r="D52" i="6"/>
  <c r="D53" i="6" a="1"/>
  <c r="D53" i="6" s="1"/>
  <c r="D54" i="6" a="1"/>
  <c r="D54" i="6" s="1"/>
  <c r="D55" i="6" a="1"/>
  <c r="D55" i="6" s="1"/>
  <c r="D56" i="6" a="1"/>
  <c r="D56" i="6" s="1"/>
  <c r="D57" i="6" a="1"/>
  <c r="D57" i="6" s="1"/>
  <c r="D58" i="6" a="1"/>
  <c r="D58" i="6" s="1"/>
  <c r="D59" i="6" a="1"/>
  <c r="D59" i="6" s="1"/>
  <c r="D61" i="6" a="1"/>
  <c r="D61" i="6" s="1"/>
  <c r="D62" i="6" a="1"/>
  <c r="D62" i="6" s="1"/>
  <c r="D63" i="6" a="1"/>
  <c r="D63" i="6" s="1"/>
  <c r="D64" i="6" a="1"/>
  <c r="D64" i="6" s="1"/>
  <c r="D65" i="6" a="1"/>
  <c r="D65" i="6" s="1"/>
  <c r="D66" i="6" a="1"/>
  <c r="D66" i="6" s="1"/>
  <c r="D67" i="6" a="1"/>
  <c r="D67" i="6" s="1"/>
  <c r="D68" i="6" a="1"/>
  <c r="D68" i="6" s="1"/>
  <c r="D69" i="6" a="1"/>
  <c r="D69" i="6"/>
  <c r="D70" i="6" a="1"/>
  <c r="D70" i="6" s="1"/>
  <c r="D71" i="6" a="1"/>
  <c r="D71" i="6" s="1"/>
  <c r="D72" i="6" a="1"/>
  <c r="D72" i="6"/>
  <c r="D73" i="6" a="1"/>
  <c r="D73" i="6" s="1"/>
  <c r="D74" i="6" a="1"/>
  <c r="D74" i="6" s="1"/>
  <c r="D75" i="6" a="1"/>
  <c r="D75" i="6" s="1"/>
  <c r="D76" i="6" a="1"/>
  <c r="D76" i="6" s="1"/>
  <c r="D77" i="6" a="1"/>
  <c r="D77" i="6" s="1"/>
  <c r="D78" i="6" a="1"/>
  <c r="D78" i="6" s="1"/>
  <c r="D79" i="6" a="1"/>
  <c r="D79" i="6" s="1"/>
  <c r="D80" i="6" a="1"/>
  <c r="D80" i="6" s="1"/>
  <c r="D6" i="6" a="1"/>
  <c r="D6" i="6" s="1"/>
  <c r="E85" i="5"/>
  <c r="E68" i="6" a="1"/>
  <c r="E68" i="6" s="1"/>
  <c r="E77" i="5"/>
  <c r="B65" i="6" a="1"/>
  <c r="B65" i="6" s="1"/>
  <c r="E73" i="5"/>
  <c r="E23" i="5"/>
  <c r="B7" i="6" a="1"/>
  <c r="B7" i="6" s="1"/>
  <c r="B8" i="6" a="1"/>
  <c r="B8" i="6" s="1"/>
  <c r="B9" i="6" a="1"/>
  <c r="B9" i="6" s="1"/>
  <c r="B10" i="6" a="1"/>
  <c r="B10" i="6" s="1"/>
  <c r="B11" i="6" a="1"/>
  <c r="B11" i="6"/>
  <c r="B12" i="6" a="1"/>
  <c r="B12" i="6" s="1"/>
  <c r="B13" i="6" a="1"/>
  <c r="B13" i="6"/>
  <c r="B14" i="6" a="1"/>
  <c r="B14" i="6" s="1"/>
  <c r="B15" i="6" a="1"/>
  <c r="B15" i="6" s="1"/>
  <c r="B16" i="6" a="1"/>
  <c r="B16" i="6" s="1"/>
  <c r="B17" i="6" a="1"/>
  <c r="B17" i="6" s="1"/>
  <c r="B18" i="6" a="1"/>
  <c r="B18" i="6" s="1"/>
  <c r="B19" i="6" a="1"/>
  <c r="B19" i="6" s="1"/>
  <c r="B20" i="6" a="1"/>
  <c r="B20" i="6" s="1"/>
  <c r="B21" i="6" a="1"/>
  <c r="B21" i="6" s="1"/>
  <c r="B22" i="6" a="1"/>
  <c r="B22" i="6" s="1"/>
  <c r="B23" i="6" a="1"/>
  <c r="B23" i="6" s="1"/>
  <c r="B24" i="6" a="1"/>
  <c r="B24" i="6" s="1"/>
  <c r="B25" i="6" a="1"/>
  <c r="B25" i="6" s="1"/>
  <c r="B26" i="6" a="1"/>
  <c r="B26" i="6" s="1"/>
  <c r="B27" i="6" a="1"/>
  <c r="B27" i="6" s="1"/>
  <c r="B28" i="6" a="1"/>
  <c r="B28" i="6" s="1"/>
  <c r="B29" i="6" a="1"/>
  <c r="B29" i="6" s="1"/>
  <c r="B30" i="6" a="1"/>
  <c r="B30" i="6" s="1"/>
  <c r="B31" i="6" a="1"/>
  <c r="B31" i="6" s="1"/>
  <c r="B32" i="6" a="1"/>
  <c r="B32" i="6" s="1"/>
  <c r="B33" i="6" a="1"/>
  <c r="B33" i="6" s="1"/>
  <c r="B34" i="6" a="1"/>
  <c r="B34" i="6" s="1"/>
  <c r="B35" i="6" a="1"/>
  <c r="B35" i="6" s="1"/>
  <c r="B36" i="6" a="1"/>
  <c r="B36" i="6" s="1"/>
  <c r="B37" i="6" a="1"/>
  <c r="B37" i="6" s="1"/>
  <c r="B38" i="6" a="1"/>
  <c r="B38" i="6" s="1"/>
  <c r="B39" i="6" a="1"/>
  <c r="B39" i="6" s="1"/>
  <c r="B40" i="6" a="1"/>
  <c r="B40" i="6" s="1"/>
  <c r="B41" i="6" a="1"/>
  <c r="B41" i="6" s="1"/>
  <c r="B42" i="6" a="1"/>
  <c r="B42" i="6" s="1"/>
  <c r="B43" i="6" a="1"/>
  <c r="B43" i="6" s="1"/>
  <c r="B44" i="6" a="1"/>
  <c r="B44" i="6" s="1"/>
  <c r="B45" i="6" a="1"/>
  <c r="B45" i="6" s="1"/>
  <c r="B46" i="6" a="1"/>
  <c r="B46" i="6" s="1"/>
  <c r="B47" i="6" a="1"/>
  <c r="B47" i="6" s="1"/>
  <c r="B48" i="6" a="1"/>
  <c r="B48" i="6" s="1"/>
  <c r="B49" i="6" a="1"/>
  <c r="B49" i="6" s="1"/>
  <c r="B50" i="6" a="1"/>
  <c r="B50" i="6" s="1"/>
  <c r="B51" i="6" a="1"/>
  <c r="B51" i="6" s="1"/>
  <c r="B52" i="6" a="1"/>
  <c r="B52" i="6" s="1"/>
  <c r="B53" i="6" a="1"/>
  <c r="B53" i="6" s="1"/>
  <c r="B54" i="6" a="1"/>
  <c r="B54" i="6" s="1"/>
  <c r="B55" i="6" a="1"/>
  <c r="B55" i="6" s="1"/>
  <c r="B56" i="6" a="1"/>
  <c r="B56" i="6" s="1"/>
  <c r="B57" i="6" a="1"/>
  <c r="B57" i="6" s="1"/>
  <c r="B58" i="6" a="1"/>
  <c r="B58" i="6" s="1"/>
  <c r="B59" i="6" a="1"/>
  <c r="B59" i="6" s="1"/>
  <c r="B60" i="6" a="1"/>
  <c r="B60" i="6" s="1"/>
  <c r="B61" i="6" a="1"/>
  <c r="B61" i="6" s="1"/>
  <c r="B62" i="6" a="1"/>
  <c r="B62" i="6" s="1"/>
  <c r="B63" i="6" a="1"/>
  <c r="B63" i="6" s="1"/>
  <c r="B64" i="6" a="1"/>
  <c r="B64" i="6" s="1"/>
  <c r="B66" i="6" a="1"/>
  <c r="B66" i="6" s="1"/>
  <c r="B67" i="6" a="1"/>
  <c r="B67" i="6" s="1"/>
  <c r="B68" i="6" a="1"/>
  <c r="B68" i="6" s="1"/>
  <c r="B69" i="6" a="1"/>
  <c r="B69" i="6" s="1"/>
  <c r="B70" i="6" a="1"/>
  <c r="B70" i="6" s="1"/>
  <c r="B71" i="6" a="1"/>
  <c r="B71" i="6" s="1"/>
  <c r="B72" i="6" a="1"/>
  <c r="B72" i="6" s="1"/>
  <c r="B73" i="6" a="1"/>
  <c r="B73" i="6" s="1"/>
  <c r="B74" i="6" a="1"/>
  <c r="B74" i="6" s="1"/>
  <c r="B75" i="6" a="1"/>
  <c r="B75" i="6" s="1"/>
  <c r="B76" i="6" a="1"/>
  <c r="B76" i="6" s="1"/>
  <c r="B77" i="6" a="1"/>
  <c r="B77" i="6" s="1"/>
  <c r="B78" i="6" a="1"/>
  <c r="B78" i="6" s="1"/>
  <c r="B79" i="6" a="1"/>
  <c r="B79" i="6" s="1"/>
  <c r="B80" i="6" a="1"/>
  <c r="B80" i="6" s="1"/>
  <c r="B6" i="6" a="1"/>
  <c r="B6" i="6" s="1"/>
  <c r="E7" i="6" a="1"/>
  <c r="E7" i="6" s="1"/>
  <c r="E8" i="6" a="1"/>
  <c r="E8" i="6" s="1"/>
  <c r="E9" i="6" a="1"/>
  <c r="E9" i="6" s="1"/>
  <c r="E10" i="6" a="1"/>
  <c r="E10" i="6" s="1"/>
  <c r="E11" i="6" a="1"/>
  <c r="E11" i="6" s="1"/>
  <c r="E12" i="6" a="1"/>
  <c r="E12" i="6" s="1"/>
  <c r="E13" i="6" a="1"/>
  <c r="E13" i="6" s="1"/>
  <c r="E14" i="6" a="1"/>
  <c r="E14" i="6" s="1"/>
  <c r="E15" i="6" a="1"/>
  <c r="E15" i="6" s="1"/>
  <c r="E16" i="6" a="1"/>
  <c r="E16" i="6" s="1"/>
  <c r="E17" i="6" a="1"/>
  <c r="E17" i="6" s="1"/>
  <c r="E18" i="6" a="1"/>
  <c r="E18" i="6" s="1"/>
  <c r="E19" i="6" a="1"/>
  <c r="E19" i="6" s="1"/>
  <c r="E20" i="6" a="1"/>
  <c r="E20" i="6" s="1"/>
  <c r="E21" i="6" a="1"/>
  <c r="E21" i="6" s="1"/>
  <c r="E22" i="6" a="1"/>
  <c r="E22" i="6" s="1"/>
  <c r="E23" i="6" a="1"/>
  <c r="E23" i="6" s="1"/>
  <c r="E24" i="6" a="1"/>
  <c r="E24" i="6" s="1"/>
  <c r="E25" i="6" a="1"/>
  <c r="E25" i="6" s="1"/>
  <c r="E26" i="6" a="1"/>
  <c r="E26" i="6" s="1"/>
  <c r="E27" i="6" a="1"/>
  <c r="E27" i="6" s="1"/>
  <c r="E28" i="6" a="1"/>
  <c r="E28" i="6" s="1"/>
  <c r="E29" i="6" a="1"/>
  <c r="E29" i="6" s="1"/>
  <c r="E30" i="6" a="1"/>
  <c r="E30" i="6" s="1"/>
  <c r="E31" i="6" a="1"/>
  <c r="E31" i="6" s="1"/>
  <c r="E32" i="6" a="1"/>
  <c r="E32" i="6" s="1"/>
  <c r="E33" i="6" a="1"/>
  <c r="E33" i="6" s="1"/>
  <c r="E34" i="6" a="1"/>
  <c r="E34" i="6" s="1"/>
  <c r="E35" i="6" a="1"/>
  <c r="E35" i="6" s="1"/>
  <c r="E36" i="6" a="1"/>
  <c r="E36" i="6" s="1"/>
  <c r="E37" i="6" a="1"/>
  <c r="E37" i="6" s="1"/>
  <c r="E38" i="6" a="1"/>
  <c r="E38" i="6" s="1"/>
  <c r="E39" i="6" a="1"/>
  <c r="E39" i="6" s="1"/>
  <c r="E40" i="6" a="1"/>
  <c r="E40" i="6" s="1"/>
  <c r="E41" i="6" a="1"/>
  <c r="E41" i="6" s="1"/>
  <c r="E42" i="6" a="1"/>
  <c r="E42" i="6" s="1"/>
  <c r="E43" i="6" a="1"/>
  <c r="E43" i="6" s="1"/>
  <c r="E44" i="6" a="1"/>
  <c r="E44" i="6" s="1"/>
  <c r="E45" i="6" a="1"/>
  <c r="E45" i="6" s="1"/>
  <c r="E46" i="6" a="1"/>
  <c r="E46" i="6" s="1"/>
  <c r="E47" i="6" a="1"/>
  <c r="E47" i="6" s="1"/>
  <c r="E48" i="6" a="1"/>
  <c r="E48" i="6" s="1"/>
  <c r="E49" i="6" a="1"/>
  <c r="E49" i="6" s="1"/>
  <c r="E50" i="6" a="1"/>
  <c r="E50" i="6" s="1"/>
  <c r="E51" i="6" a="1"/>
  <c r="E51" i="6" s="1"/>
  <c r="E52" i="6" a="1"/>
  <c r="E52" i="6" s="1"/>
  <c r="E53" i="6" a="1"/>
  <c r="E53" i="6" s="1"/>
  <c r="E54" i="6" a="1"/>
  <c r="E54" i="6" s="1"/>
  <c r="E55" i="6" a="1"/>
  <c r="E55" i="6" s="1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6" i="6" a="1"/>
  <c r="E6" i="6" s="1"/>
  <c r="E82" i="5"/>
  <c r="F82" i="5"/>
  <c r="F62" i="5"/>
  <c r="P1" i="5"/>
  <c r="O1" i="5"/>
  <c r="E62" i="5"/>
  <c r="D4" i="24" l="1"/>
  <c r="G4" i="24"/>
  <c r="Q4" i="24" s="1"/>
  <c r="F5" i="25"/>
  <c r="F4" i="25" a="1"/>
  <c r="F4" i="25" s="1"/>
  <c r="F3" i="25"/>
  <c r="C17" i="25"/>
  <c r="B20" i="25"/>
  <c r="B19" i="25" a="1"/>
  <c r="B19" i="25" s="1"/>
  <c r="B22" i="25"/>
  <c r="B18" i="25"/>
  <c r="D12" i="25"/>
  <c r="C13" i="25"/>
  <c r="C15" i="25"/>
  <c r="C14" i="25" a="1"/>
  <c r="C14" i="25" s="1"/>
  <c r="E5" i="25"/>
  <c r="E4" i="25" a="1"/>
  <c r="E4" i="25" s="1"/>
  <c r="E3" i="25"/>
  <c r="H3" i="26"/>
  <c r="H5" i="26"/>
  <c r="H4" i="26"/>
  <c r="F13" i="26"/>
  <c r="F14" i="26"/>
  <c r="F15" i="26"/>
  <c r="F10" i="26"/>
  <c r="F9" i="26"/>
  <c r="F8" i="26"/>
  <c r="E8" i="25"/>
  <c r="E9" i="25" a="1"/>
  <c r="E9" i="25" s="1"/>
  <c r="E10" i="25"/>
  <c r="H7" i="26"/>
  <c r="J2" i="26"/>
  <c r="H12" i="26"/>
  <c r="F7" i="25"/>
  <c r="D32" i="24"/>
  <c r="F32" i="24" s="1"/>
  <c r="K32" i="24"/>
  <c r="K30" i="24"/>
  <c r="C33" i="24"/>
  <c r="D30" i="24"/>
  <c r="F30" i="24" s="1"/>
  <c r="D31" i="24"/>
  <c r="X17" i="11"/>
  <c r="X19" i="11"/>
  <c r="X16" i="11"/>
  <c r="X23" i="11"/>
  <c r="X22" i="11"/>
  <c r="X24" i="11"/>
  <c r="X10" i="11"/>
  <c r="AH13" i="11"/>
  <c r="AH21" i="11"/>
  <c r="AH8" i="11"/>
  <c r="AH19" i="11"/>
  <c r="AH7" i="11"/>
  <c r="AH17" i="11"/>
  <c r="U14" i="11"/>
  <c r="X20" i="11"/>
  <c r="X18" i="11"/>
  <c r="X12" i="11"/>
  <c r="T13" i="11"/>
  <c r="T7" i="11"/>
  <c r="X11" i="11"/>
  <c r="AH22" i="11"/>
  <c r="S11" i="11"/>
  <c r="U21" i="11"/>
  <c r="S14" i="11"/>
  <c r="S18" i="11"/>
  <c r="U11" i="11"/>
  <c r="S24" i="11"/>
  <c r="U7" i="11"/>
  <c r="U16" i="11"/>
  <c r="U8" i="11"/>
  <c r="T12" i="11"/>
  <c r="S22" i="11"/>
  <c r="U22" i="11"/>
  <c r="S9" i="11"/>
  <c r="S19" i="11"/>
  <c r="U24" i="11"/>
  <c r="S12" i="11"/>
  <c r="U15" i="11"/>
  <c r="X9" i="11"/>
  <c r="U19" i="11"/>
  <c r="S20" i="11"/>
  <c r="U23" i="11"/>
  <c r="S10" i="11"/>
  <c r="X14" i="11"/>
  <c r="X8" i="11"/>
  <c r="X7" i="11"/>
  <c r="T8" i="11"/>
  <c r="X15" i="11"/>
  <c r="AM14" i="11"/>
  <c r="AM12" i="11"/>
  <c r="AH23" i="11"/>
  <c r="AH12" i="11"/>
  <c r="AH20" i="11"/>
  <c r="AH14" i="11"/>
  <c r="AH11" i="11"/>
  <c r="AH10" i="11"/>
  <c r="AH9" i="11"/>
  <c r="AH24" i="11"/>
  <c r="AM22" i="11"/>
  <c r="AM9" i="11"/>
  <c r="AM19" i="11"/>
  <c r="AM23" i="11"/>
  <c r="AM21" i="11"/>
  <c r="AM20" i="11"/>
  <c r="AM10" i="11"/>
  <c r="AM7" i="11"/>
  <c r="AM17" i="11"/>
  <c r="AM8" i="11"/>
  <c r="AM15" i="11"/>
  <c r="AM11" i="11"/>
  <c r="AM16" i="11"/>
  <c r="AH18" i="11"/>
  <c r="AM24" i="11"/>
  <c r="AM18" i="11"/>
  <c r="AH15" i="11"/>
  <c r="S7" i="11"/>
  <c r="S23" i="11"/>
  <c r="S21" i="11"/>
  <c r="T20" i="11"/>
  <c r="X13" i="11"/>
  <c r="T24" i="11"/>
  <c r="T19" i="11"/>
  <c r="T21" i="11"/>
  <c r="S16" i="11"/>
  <c r="S8" i="11"/>
  <c r="B25" i="23"/>
  <c r="T23" i="11"/>
  <c r="T17" i="11"/>
  <c r="T9" i="11"/>
  <c r="T11" i="11"/>
  <c r="T14" i="11"/>
  <c r="S15" i="11"/>
  <c r="S17" i="11"/>
  <c r="T18" i="11"/>
  <c r="T10" i="11"/>
  <c r="T16" i="11"/>
  <c r="T15" i="11"/>
  <c r="U10" i="11"/>
  <c r="U17" i="11"/>
  <c r="U20" i="11"/>
  <c r="U12" i="11"/>
  <c r="U9" i="11"/>
  <c r="U13" i="11"/>
  <c r="Z24" i="11"/>
  <c r="Z11" i="11"/>
  <c r="Z8" i="11"/>
  <c r="Z19" i="11"/>
  <c r="Z14" i="11"/>
  <c r="Z15" i="11"/>
  <c r="Z10" i="11"/>
  <c r="Z21" i="11"/>
  <c r="Z22" i="11"/>
  <c r="Z20" i="11"/>
  <c r="Z17" i="11"/>
  <c r="Z9" i="11"/>
  <c r="Z23" i="11"/>
  <c r="Z12" i="11"/>
  <c r="Z7" i="11"/>
  <c r="Z18" i="11"/>
  <c r="Z13" i="11"/>
  <c r="Z16" i="11"/>
  <c r="V18" i="11"/>
  <c r="V13" i="11"/>
  <c r="V21" i="11"/>
  <c r="V16" i="11"/>
  <c r="V8" i="11"/>
  <c r="V9" i="11"/>
  <c r="V15" i="11"/>
  <c r="V24" i="11"/>
  <c r="V11" i="11"/>
  <c r="V22" i="11"/>
  <c r="V12" i="11"/>
  <c r="V20" i="11"/>
  <c r="V7" i="11"/>
  <c r="V19" i="11"/>
  <c r="V14" i="11"/>
  <c r="V17" i="11"/>
  <c r="V23" i="11"/>
  <c r="V10" i="11"/>
  <c r="AG23" i="11"/>
  <c r="Y16" i="11"/>
  <c r="Y8" i="11"/>
  <c r="Y11" i="11"/>
  <c r="Y21" i="11"/>
  <c r="Y24" i="11"/>
  <c r="Y19" i="11"/>
  <c r="Y13" i="11"/>
  <c r="Y14" i="11"/>
  <c r="Y12" i="11"/>
  <c r="Y10" i="11"/>
  <c r="Y22" i="11"/>
  <c r="Y18" i="11"/>
  <c r="Y17" i="11"/>
  <c r="Y9" i="11"/>
  <c r="Y20" i="11"/>
  <c r="Y7" i="11"/>
  <c r="Y15" i="11"/>
  <c r="Y23" i="11"/>
  <c r="W13" i="11"/>
  <c r="W21" i="11"/>
  <c r="W16" i="11"/>
  <c r="W8" i="11"/>
  <c r="W24" i="11"/>
  <c r="W11" i="11"/>
  <c r="W17" i="11"/>
  <c r="W9" i="11"/>
  <c r="W20" i="11"/>
  <c r="W10" i="11"/>
  <c r="W19" i="11"/>
  <c r="W15" i="11"/>
  <c r="W14" i="11"/>
  <c r="W22" i="11"/>
  <c r="W12" i="11"/>
  <c r="W7" i="11"/>
  <c r="W23" i="11"/>
  <c r="W18" i="11"/>
  <c r="AG20" i="11"/>
  <c r="AG11" i="11"/>
  <c r="AJ8" i="11"/>
  <c r="AJ20" i="11"/>
  <c r="AJ13" i="11"/>
  <c r="AJ16" i="11"/>
  <c r="AJ21" i="11"/>
  <c r="AJ14" i="11"/>
  <c r="AJ19" i="11"/>
  <c r="AJ23" i="11"/>
  <c r="AJ10" i="11"/>
  <c r="AJ11" i="11"/>
  <c r="AJ18" i="11"/>
  <c r="AJ24" i="11"/>
  <c r="AJ9" i="11"/>
  <c r="AJ22" i="11"/>
  <c r="AJ17" i="11"/>
  <c r="AJ7" i="11"/>
  <c r="AJ12" i="11"/>
  <c r="AJ15" i="11"/>
  <c r="AG22" i="11"/>
  <c r="AG24" i="11"/>
  <c r="AG9" i="11"/>
  <c r="AG10" i="11"/>
  <c r="AG17" i="11"/>
  <c r="AG15" i="11"/>
  <c r="AG14" i="11"/>
  <c r="AG19" i="11"/>
  <c r="AG21" i="11"/>
  <c r="AG12" i="11"/>
  <c r="AG8" i="11"/>
  <c r="AG16" i="11"/>
  <c r="AG18" i="11"/>
  <c r="AG7" i="11"/>
  <c r="AL13" i="11"/>
  <c r="AL18" i="11"/>
  <c r="AL11" i="11"/>
  <c r="AL7" i="11"/>
  <c r="AL24" i="11"/>
  <c r="AL17" i="11"/>
  <c r="AL8" i="11"/>
  <c r="AL15" i="11"/>
  <c r="AL16" i="11"/>
  <c r="AL21" i="11"/>
  <c r="AL10" i="11"/>
  <c r="AL14" i="11"/>
  <c r="AL19" i="11"/>
  <c r="AL9" i="11"/>
  <c r="AL22" i="11"/>
  <c r="AL12" i="11"/>
  <c r="AL20" i="11"/>
  <c r="AL23" i="11"/>
  <c r="AI16" i="11"/>
  <c r="AI21" i="11"/>
  <c r="AI14" i="11"/>
  <c r="AI19" i="11"/>
  <c r="AI20" i="11"/>
  <c r="AI23" i="11"/>
  <c r="AI13" i="11"/>
  <c r="AI11" i="11"/>
  <c r="AI9" i="11"/>
  <c r="AI22" i="11"/>
  <c r="AI10" i="11"/>
  <c r="AI24" i="11"/>
  <c r="AI8" i="11"/>
  <c r="AI18" i="11"/>
  <c r="AI17" i="11"/>
  <c r="AI7" i="11"/>
  <c r="AI12" i="11"/>
  <c r="AI15" i="11"/>
  <c r="AF17" i="11"/>
  <c r="AF21" i="11"/>
  <c r="AF22" i="11"/>
  <c r="AF13" i="11"/>
  <c r="AF15" i="11"/>
  <c r="AF18" i="11"/>
  <c r="AF11" i="11"/>
  <c r="AF12" i="11"/>
  <c r="AF14" i="11"/>
  <c r="AF16" i="11"/>
  <c r="AF19" i="11"/>
  <c r="AF20" i="11"/>
  <c r="AF23" i="11"/>
  <c r="AF8" i="11"/>
  <c r="AF24" i="11"/>
  <c r="AF9" i="11"/>
  <c r="AF7" i="11"/>
  <c r="AF10" i="11"/>
  <c r="AK23" i="11"/>
  <c r="AK18" i="11"/>
  <c r="AK8" i="11"/>
  <c r="AK24" i="11"/>
  <c r="AK12" i="11"/>
  <c r="AK13" i="11"/>
  <c r="AK16" i="11"/>
  <c r="AK21" i="11"/>
  <c r="AK11" i="11"/>
  <c r="AK15" i="11"/>
  <c r="AK14" i="11"/>
  <c r="AK19" i="11"/>
  <c r="AK9" i="11"/>
  <c r="AK22" i="11"/>
  <c r="AK17" i="11"/>
  <c r="AK7" i="11"/>
  <c r="AK20" i="11"/>
  <c r="AK10" i="11"/>
  <c r="N15" i="10"/>
  <c r="O67" i="10"/>
  <c r="U15" i="10"/>
  <c r="U67" i="10"/>
  <c r="W67" i="10"/>
  <c r="X67" i="10"/>
  <c r="J67" i="10"/>
  <c r="Q67" i="10"/>
  <c r="K67" i="10"/>
  <c r="L67" i="10"/>
  <c r="Q68" i="10"/>
  <c r="U49" i="10"/>
  <c r="U37" i="10"/>
  <c r="M29" i="10"/>
  <c r="M15" i="10"/>
  <c r="X15" i="10"/>
  <c r="X14" i="10"/>
  <c r="L70" i="10"/>
  <c r="L15" i="10"/>
  <c r="T48" i="10"/>
  <c r="O73" i="10"/>
  <c r="O15" i="10"/>
  <c r="O14" i="10"/>
  <c r="J7" i="10"/>
  <c r="J14" i="10"/>
  <c r="J15" i="10"/>
  <c r="P59" i="10"/>
  <c r="P14" i="10"/>
  <c r="W15" i="10"/>
  <c r="W14" i="10"/>
  <c r="G15" i="10"/>
  <c r="G14" i="10"/>
  <c r="K57" i="10"/>
  <c r="K14" i="10"/>
  <c r="K15" i="10"/>
  <c r="Q14" i="10"/>
  <c r="Q15" i="10"/>
  <c r="X9" i="10"/>
  <c r="U9" i="10"/>
  <c r="T13" i="10"/>
  <c r="U43" i="10"/>
  <c r="U23" i="10"/>
  <c r="H29" i="10"/>
  <c r="M7" i="10"/>
  <c r="U55" i="10"/>
  <c r="K25" i="10"/>
  <c r="L36" i="10"/>
  <c r="Q54" i="10"/>
  <c r="U7" i="10"/>
  <c r="I7" i="10"/>
  <c r="M70" i="10"/>
  <c r="H47" i="10"/>
  <c r="U45" i="10"/>
  <c r="Q13" i="10"/>
  <c r="T29" i="10"/>
  <c r="K60" i="10"/>
  <c r="J29" i="10"/>
  <c r="R7" i="10"/>
  <c r="K74" i="10"/>
  <c r="K28" i="10"/>
  <c r="J34" i="10"/>
  <c r="K20" i="10"/>
  <c r="N33" i="10"/>
  <c r="J62" i="10"/>
  <c r="U30" i="10"/>
  <c r="R45" i="10"/>
  <c r="J61" i="10"/>
  <c r="L50" i="10"/>
  <c r="J45" i="10"/>
  <c r="U11" i="10"/>
  <c r="K73" i="10"/>
  <c r="K19" i="10"/>
  <c r="R36" i="10"/>
  <c r="K17" i="10"/>
  <c r="H73" i="10"/>
  <c r="R47" i="10"/>
  <c r="M33" i="10"/>
  <c r="Q47" i="10"/>
  <c r="R13" i="10"/>
  <c r="T25" i="10"/>
  <c r="J53" i="10"/>
  <c r="R25" i="10"/>
  <c r="Q17" i="10"/>
  <c r="J68" i="10"/>
  <c r="K62" i="10"/>
  <c r="H59" i="10"/>
  <c r="S16" i="10"/>
  <c r="K84" i="10"/>
  <c r="V25" i="10"/>
  <c r="R55" i="10"/>
  <c r="M42" i="10"/>
  <c r="J19" i="10"/>
  <c r="I42" i="10"/>
  <c r="K42" i="10"/>
  <c r="S29" i="10"/>
  <c r="I19" i="10"/>
  <c r="K8" i="10"/>
  <c r="R74" i="10"/>
  <c r="K66" i="10"/>
  <c r="R34" i="10"/>
  <c r="R20" i="10"/>
  <c r="S13" i="10"/>
  <c r="J84" i="10"/>
  <c r="U16" i="10"/>
  <c r="K65" i="10"/>
  <c r="L66" i="10"/>
  <c r="L84" i="10"/>
  <c r="R68" i="10"/>
  <c r="J66" i="10"/>
  <c r="L60" i="10"/>
  <c r="G44" i="10"/>
  <c r="M34" i="10"/>
  <c r="O31" i="10"/>
  <c r="J42" i="10"/>
  <c r="U51" i="10"/>
  <c r="N68" i="10"/>
  <c r="K36" i="10"/>
  <c r="U65" i="10"/>
  <c r="Q64" i="10"/>
  <c r="H60" i="10"/>
  <c r="K58" i="10"/>
  <c r="P55" i="10"/>
  <c r="U52" i="10"/>
  <c r="K51" i="10"/>
  <c r="R49" i="10"/>
  <c r="K43" i="10"/>
  <c r="T41" i="10"/>
  <c r="K40" i="10"/>
  <c r="R37" i="10"/>
  <c r="U35" i="10"/>
  <c r="M32" i="10"/>
  <c r="V28" i="10"/>
  <c r="V27" i="10"/>
  <c r="I23" i="10"/>
  <c r="J11" i="10"/>
  <c r="K9" i="10"/>
  <c r="R23" i="10"/>
  <c r="W37" i="10"/>
  <c r="Q71" i="10"/>
  <c r="J70" i="10"/>
  <c r="K64" i="10"/>
  <c r="S61" i="10"/>
  <c r="J58" i="10"/>
  <c r="O55" i="10"/>
  <c r="J51" i="10"/>
  <c r="Q49" i="10"/>
  <c r="J43" i="10"/>
  <c r="K32" i="10"/>
  <c r="U27" i="10"/>
  <c r="M21" i="10"/>
  <c r="J9" i="10"/>
  <c r="O39" i="10"/>
  <c r="S23" i="10"/>
  <c r="J79" i="10"/>
  <c r="S64" i="10"/>
  <c r="T49" i="10"/>
  <c r="S21" i="10"/>
  <c r="Q55" i="10"/>
  <c r="Q9" i="10"/>
  <c r="X36" i="10"/>
  <c r="J75" i="10"/>
  <c r="Q72" i="10"/>
  <c r="H58" i="10"/>
  <c r="M48" i="10"/>
  <c r="U44" i="10"/>
  <c r="M37" i="10"/>
  <c r="Q30" i="10"/>
  <c r="Q24" i="10"/>
  <c r="J21" i="10"/>
  <c r="K18" i="10"/>
  <c r="Q16" i="10"/>
  <c r="N57" i="10"/>
  <c r="K50" i="10"/>
  <c r="K34" i="10"/>
  <c r="O25" i="10"/>
  <c r="U21" i="10"/>
  <c r="S55" i="10"/>
  <c r="Q40" i="10"/>
  <c r="T71" i="10"/>
  <c r="Q51" i="10"/>
  <c r="Q43" i="10"/>
  <c r="Q32" i="10"/>
  <c r="Q23" i="10"/>
  <c r="V73" i="10"/>
  <c r="U59" i="10"/>
  <c r="U57" i="10"/>
  <c r="O56" i="10"/>
  <c r="Q46" i="10"/>
  <c r="O41" i="10"/>
  <c r="Q35" i="10"/>
  <c r="Q27" i="10"/>
  <c r="U22" i="10"/>
  <c r="J18" i="10"/>
  <c r="Q12" i="10"/>
  <c r="O17" i="10"/>
  <c r="J50" i="10"/>
  <c r="N17" i="10"/>
  <c r="N60" i="10"/>
  <c r="O47" i="10"/>
  <c r="U61" i="10"/>
  <c r="U46" i="10"/>
  <c r="U41" i="10"/>
  <c r="K71" i="10"/>
  <c r="Q65" i="10"/>
  <c r="T57" i="10"/>
  <c r="N56" i="10"/>
  <c r="L49" i="10"/>
  <c r="N41" i="10"/>
  <c r="U39" i="10"/>
  <c r="Q38" i="10"/>
  <c r="K35" i="10"/>
  <c r="U31" i="10"/>
  <c r="K30" i="10"/>
  <c r="K27" i="10"/>
  <c r="O24" i="10"/>
  <c r="U19" i="10"/>
  <c r="N16" i="10"/>
  <c r="U10" i="10"/>
  <c r="H34" i="10"/>
  <c r="S18" i="10"/>
  <c r="J17" i="10"/>
  <c r="T73" i="10"/>
  <c r="J71" i="10"/>
  <c r="Q59" i="10"/>
  <c r="M56" i="10"/>
  <c r="K49" i="10"/>
  <c r="H48" i="10"/>
  <c r="K46" i="10"/>
  <c r="M41" i="10"/>
  <c r="J35" i="10"/>
  <c r="O33" i="10"/>
  <c r="J27" i="10"/>
  <c r="N24" i="10"/>
  <c r="S22" i="10"/>
  <c r="K16" i="10"/>
  <c r="Q81" i="10"/>
  <c r="S73" i="10"/>
  <c r="H71" i="10"/>
  <c r="K59" i="10"/>
  <c r="Q57" i="10"/>
  <c r="K56" i="10"/>
  <c r="V47" i="10"/>
  <c r="O44" i="10"/>
  <c r="S42" i="10"/>
  <c r="L41" i="10"/>
  <c r="I35" i="10"/>
  <c r="H27" i="10"/>
  <c r="M24" i="10"/>
  <c r="O60" i="10"/>
  <c r="J59" i="10"/>
  <c r="K52" i="10"/>
  <c r="U47" i="10"/>
  <c r="K44" i="10"/>
  <c r="K41" i="10"/>
  <c r="V29" i="10"/>
  <c r="K24" i="10"/>
  <c r="Q22" i="10"/>
  <c r="Q19" i="10"/>
  <c r="K12" i="10"/>
  <c r="O10" i="10"/>
  <c r="S58" i="10"/>
  <c r="M53" i="10"/>
  <c r="Q79" i="10"/>
  <c r="Q73" i="10"/>
  <c r="L65" i="10"/>
  <c r="Q62" i="10"/>
  <c r="T60" i="10"/>
  <c r="I59" i="10"/>
  <c r="O57" i="10"/>
  <c r="M50" i="10"/>
  <c r="S47" i="10"/>
  <c r="P42" i="10"/>
  <c r="Q39" i="10"/>
  <c r="K38" i="10"/>
  <c r="S34" i="10"/>
  <c r="L33" i="10"/>
  <c r="Q31" i="10"/>
  <c r="U29" i="10"/>
  <c r="U25" i="10"/>
  <c r="U13" i="10"/>
  <c r="K10" i="10"/>
  <c r="G8" i="10"/>
  <c r="G12" i="10"/>
  <c r="G22" i="10"/>
  <c r="G30" i="10"/>
  <c r="G46" i="10"/>
  <c r="G13" i="10"/>
  <c r="G23" i="10"/>
  <c r="G31" i="10"/>
  <c r="G39" i="10"/>
  <c r="G47" i="10"/>
  <c r="G55" i="10"/>
  <c r="G17" i="10"/>
  <c r="G25" i="10"/>
  <c r="G33" i="10"/>
  <c r="G41" i="10"/>
  <c r="G57" i="10"/>
  <c r="G65" i="10"/>
  <c r="G18" i="10"/>
  <c r="G34" i="10"/>
  <c r="G42" i="10"/>
  <c r="G50" i="10"/>
  <c r="G58" i="10"/>
  <c r="G9" i="10"/>
  <c r="G19" i="10"/>
  <c r="L17" i="10"/>
  <c r="W35" i="10"/>
  <c r="G24" i="10"/>
  <c r="N13" i="10"/>
  <c r="N23" i="10"/>
  <c r="N31" i="10"/>
  <c r="N39" i="10"/>
  <c r="N47" i="10"/>
  <c r="N55" i="10"/>
  <c r="N8" i="10"/>
  <c r="N18" i="10"/>
  <c r="N34" i="10"/>
  <c r="N42" i="10"/>
  <c r="N50" i="10"/>
  <c r="N58" i="10"/>
  <c r="N66" i="10"/>
  <c r="N9" i="10"/>
  <c r="N7" i="10"/>
  <c r="N10" i="10"/>
  <c r="N44" i="10"/>
  <c r="N11" i="10"/>
  <c r="N21" i="10"/>
  <c r="N29" i="10"/>
  <c r="N45" i="10"/>
  <c r="N53" i="10"/>
  <c r="N61" i="10"/>
  <c r="N70" i="10"/>
  <c r="N22" i="10"/>
  <c r="N30" i="10"/>
  <c r="N46" i="10"/>
  <c r="N62" i="10"/>
  <c r="N71" i="10"/>
  <c r="X7" i="10"/>
  <c r="X79" i="10"/>
  <c r="O74" i="10"/>
  <c r="X69" i="10"/>
  <c r="G61" i="10"/>
  <c r="X59" i="10"/>
  <c r="M57" i="10"/>
  <c r="G37" i="10"/>
  <c r="W32" i="10"/>
  <c r="N25" i="10"/>
  <c r="W19" i="10"/>
  <c r="I9" i="10"/>
  <c r="G16" i="10"/>
  <c r="L34" i="10"/>
  <c r="W27" i="10"/>
  <c r="X19" i="10"/>
  <c r="O18" i="10"/>
  <c r="O34" i="10"/>
  <c r="O42" i="10"/>
  <c r="O50" i="10"/>
  <c r="O58" i="10"/>
  <c r="O66" i="10"/>
  <c r="O84" i="10"/>
  <c r="O8" i="10"/>
  <c r="O9" i="10"/>
  <c r="O19" i="10"/>
  <c r="O27" i="10"/>
  <c r="O35" i="10"/>
  <c r="O43" i="10"/>
  <c r="O51" i="10"/>
  <c r="O59" i="10"/>
  <c r="O68" i="10"/>
  <c r="O62" i="10"/>
  <c r="O71" i="10"/>
  <c r="O11" i="10"/>
  <c r="O21" i="10"/>
  <c r="O29" i="10"/>
  <c r="O37" i="10"/>
  <c r="O45" i="10"/>
  <c r="O53" i="10"/>
  <c r="O61" i="10"/>
  <c r="O12" i="10"/>
  <c r="O46" i="10"/>
  <c r="O79" i="10"/>
  <c r="O13" i="10"/>
  <c r="O22" i="10"/>
  <c r="O30" i="10"/>
  <c r="W7" i="10"/>
  <c r="N73" i="10"/>
  <c r="W59" i="10"/>
  <c r="L57" i="10"/>
  <c r="W45" i="10"/>
  <c r="N43" i="10"/>
  <c r="M25" i="10"/>
  <c r="M18" i="10"/>
  <c r="W16" i="10"/>
  <c r="W11" i="10"/>
  <c r="X8" i="10"/>
  <c r="X18" i="10"/>
  <c r="X34" i="10"/>
  <c r="X42" i="10"/>
  <c r="X50" i="10"/>
  <c r="X58" i="10"/>
  <c r="X66" i="10"/>
  <c r="X75" i="10"/>
  <c r="X84" i="10"/>
  <c r="X11" i="10"/>
  <c r="X21" i="10"/>
  <c r="X29" i="10"/>
  <c r="X37" i="10"/>
  <c r="X45" i="10"/>
  <c r="X53" i="10"/>
  <c r="X61" i="10"/>
  <c r="X70" i="10"/>
  <c r="X13" i="10"/>
  <c r="X23" i="10"/>
  <c r="X31" i="10"/>
  <c r="X39" i="10"/>
  <c r="X47" i="10"/>
  <c r="X55" i="10"/>
  <c r="X16" i="10"/>
  <c r="X24" i="10"/>
  <c r="X32" i="10"/>
  <c r="X40" i="10"/>
  <c r="X64" i="10"/>
  <c r="X73" i="10"/>
  <c r="X17" i="10"/>
  <c r="X25" i="10"/>
  <c r="X33" i="10"/>
  <c r="X41" i="10"/>
  <c r="X49" i="10"/>
  <c r="X57" i="10"/>
  <c r="X65" i="10"/>
  <c r="X74" i="10"/>
  <c r="X83" i="10"/>
  <c r="X51" i="10"/>
  <c r="X43" i="10"/>
  <c r="X22" i="10"/>
  <c r="I8" i="10"/>
  <c r="I21" i="10"/>
  <c r="I29" i="10"/>
  <c r="I37" i="10"/>
  <c r="I61" i="10"/>
  <c r="I70" i="10"/>
  <c r="I22" i="10"/>
  <c r="I38" i="10"/>
  <c r="I62" i="10"/>
  <c r="I71" i="10"/>
  <c r="I16" i="10"/>
  <c r="I24" i="10"/>
  <c r="I32" i="10"/>
  <c r="I56" i="10"/>
  <c r="I64" i="10"/>
  <c r="I73" i="10"/>
  <c r="I33" i="10"/>
  <c r="I41" i="10"/>
  <c r="I57" i="10"/>
  <c r="I18" i="10"/>
  <c r="I17" i="10"/>
  <c r="I25" i="10"/>
  <c r="X52" i="10"/>
  <c r="G32" i="10"/>
  <c r="G29" i="10"/>
  <c r="X85" i="10"/>
  <c r="G48" i="10"/>
  <c r="X44" i="10"/>
  <c r="X28" i="10"/>
  <c r="I60" i="10"/>
  <c r="X54" i="10"/>
  <c r="L61" i="10"/>
  <c r="G21" i="10"/>
  <c r="G7" i="10"/>
  <c r="I68" i="10"/>
  <c r="I50" i="10"/>
  <c r="M74" i="10"/>
  <c r="X68" i="10"/>
  <c r="W60" i="10"/>
  <c r="W36" i="10"/>
  <c r="W29" i="10"/>
  <c r="L25" i="10"/>
  <c r="L18" i="10"/>
  <c r="L74" i="10"/>
  <c r="W70" i="10"/>
  <c r="W68" i="10"/>
  <c r="P64" i="10"/>
  <c r="I51" i="10"/>
  <c r="O64" i="10"/>
  <c r="L58" i="10"/>
  <c r="W56" i="10"/>
  <c r="I47" i="10"/>
  <c r="L44" i="10"/>
  <c r="I43" i="10"/>
  <c r="N27" i="10"/>
  <c r="W21" i="10"/>
  <c r="X12" i="10"/>
  <c r="G64" i="10"/>
  <c r="X63" i="10"/>
  <c r="W51" i="10"/>
  <c r="W43" i="10"/>
  <c r="G11" i="10"/>
  <c r="X20" i="10"/>
  <c r="X77" i="10"/>
  <c r="M58" i="10"/>
  <c r="L10" i="10"/>
  <c r="X76" i="10"/>
  <c r="G73" i="10"/>
  <c r="N64" i="10"/>
  <c r="G51" i="10"/>
  <c r="O40" i="10"/>
  <c r="N35" i="10"/>
  <c r="I10" i="10"/>
  <c r="I13" i="10"/>
  <c r="P7" i="10"/>
  <c r="X72" i="10"/>
  <c r="X71" i="10"/>
  <c r="O65" i="10"/>
  <c r="M64" i="10"/>
  <c r="I52" i="10"/>
  <c r="O49" i="10"/>
  <c r="X46" i="10"/>
  <c r="I44" i="10"/>
  <c r="G43" i="10"/>
  <c r="N40" i="10"/>
  <c r="O32" i="10"/>
  <c r="W12" i="10"/>
  <c r="W22" i="10"/>
  <c r="W30" i="10"/>
  <c r="W38" i="10"/>
  <c r="W46" i="10"/>
  <c r="W62" i="10"/>
  <c r="W71" i="10"/>
  <c r="W13" i="10"/>
  <c r="W23" i="10"/>
  <c r="W31" i="10"/>
  <c r="W39" i="10"/>
  <c r="W47" i="10"/>
  <c r="W55" i="10"/>
  <c r="W72" i="10"/>
  <c r="W50" i="10"/>
  <c r="W66" i="10"/>
  <c r="W17" i="10"/>
  <c r="W25" i="10"/>
  <c r="W33" i="10"/>
  <c r="W41" i="10"/>
  <c r="W49" i="10"/>
  <c r="W57" i="10"/>
  <c r="W65" i="10"/>
  <c r="W34" i="10"/>
  <c r="W42" i="10"/>
  <c r="W84" i="10"/>
  <c r="W8" i="10"/>
  <c r="W18" i="10"/>
  <c r="W58" i="10"/>
  <c r="W9" i="10"/>
  <c r="W73" i="10"/>
  <c r="G27" i="10"/>
  <c r="G35" i="10"/>
  <c r="X62" i="10"/>
  <c r="I55" i="10"/>
  <c r="G45" i="10"/>
  <c r="G40" i="10"/>
  <c r="I36" i="10"/>
  <c r="G59" i="10"/>
  <c r="X10" i="10"/>
  <c r="W64" i="10"/>
  <c r="W44" i="10"/>
  <c r="W40" i="10"/>
  <c r="W10" i="10"/>
  <c r="L16" i="10"/>
  <c r="L24" i="10"/>
  <c r="L32" i="10"/>
  <c r="L40" i="10"/>
  <c r="L48" i="10"/>
  <c r="L56" i="10"/>
  <c r="L64" i="10"/>
  <c r="L73" i="10"/>
  <c r="L81" i="10"/>
  <c r="L8" i="10"/>
  <c r="L9" i="10"/>
  <c r="L19" i="10"/>
  <c r="L27" i="10"/>
  <c r="L35" i="10"/>
  <c r="L43" i="10"/>
  <c r="L51" i="10"/>
  <c r="L59" i="10"/>
  <c r="L68" i="10"/>
  <c r="L7" i="10"/>
  <c r="L11" i="10"/>
  <c r="L21" i="10"/>
  <c r="L29" i="10"/>
  <c r="L45" i="10"/>
  <c r="L53" i="10"/>
  <c r="L22" i="10"/>
  <c r="L30" i="10"/>
  <c r="L38" i="10"/>
  <c r="L46" i="10"/>
  <c r="L62" i="10"/>
  <c r="L71" i="10"/>
  <c r="L13" i="10"/>
  <c r="L23" i="10"/>
  <c r="L31" i="10"/>
  <c r="L39" i="10"/>
  <c r="L47" i="10"/>
  <c r="L55" i="10"/>
  <c r="W48" i="10"/>
  <c r="X35" i="10"/>
  <c r="X27" i="10"/>
  <c r="M8" i="10"/>
  <c r="M9" i="10"/>
  <c r="M19" i="10"/>
  <c r="M27" i="10"/>
  <c r="M35" i="10"/>
  <c r="M43" i="10"/>
  <c r="M51" i="10"/>
  <c r="M59" i="10"/>
  <c r="M10" i="10"/>
  <c r="M36" i="10"/>
  <c r="M44" i="10"/>
  <c r="M52" i="10"/>
  <c r="M60" i="10"/>
  <c r="M22" i="10"/>
  <c r="M38" i="10"/>
  <c r="M62" i="10"/>
  <c r="M23" i="10"/>
  <c r="M55" i="10"/>
  <c r="M72" i="10"/>
  <c r="M16" i="10"/>
  <c r="M13" i="10"/>
  <c r="M47" i="10"/>
  <c r="W53" i="10"/>
  <c r="P12" i="10"/>
  <c r="P30" i="10"/>
  <c r="P46" i="10"/>
  <c r="P49" i="10"/>
  <c r="P27" i="10"/>
  <c r="P35" i="10"/>
  <c r="P51" i="10"/>
  <c r="P9" i="10"/>
  <c r="P10" i="10"/>
  <c r="P36" i="10"/>
  <c r="P11" i="10"/>
  <c r="P37" i="10"/>
  <c r="P45" i="10"/>
  <c r="P61" i="10"/>
  <c r="W78" i="10"/>
  <c r="I34" i="10"/>
  <c r="P31" i="10"/>
  <c r="O7" i="10"/>
  <c r="W61" i="10"/>
  <c r="N59" i="10"/>
  <c r="I58" i="10"/>
  <c r="O36" i="10"/>
  <c r="N32" i="10"/>
  <c r="X30" i="10"/>
  <c r="I27" i="10"/>
  <c r="O23" i="10"/>
  <c r="N19" i="10"/>
  <c r="O16" i="10"/>
  <c r="G10" i="10"/>
  <c r="Q61" i="10"/>
  <c r="S7" i="10"/>
  <c r="J73" i="10"/>
  <c r="J64" i="10"/>
  <c r="T59" i="10"/>
  <c r="H57" i="10"/>
  <c r="H49" i="10"/>
  <c r="J48" i="10"/>
  <c r="H41" i="10"/>
  <c r="J40" i="10"/>
  <c r="V34" i="10"/>
  <c r="J32" i="10"/>
  <c r="T27" i="10"/>
  <c r="H25" i="10"/>
  <c r="J24" i="10"/>
  <c r="J16" i="10"/>
  <c r="Q70" i="10"/>
  <c r="S60" i="10"/>
  <c r="Q53" i="10"/>
  <c r="S52" i="10"/>
  <c r="Q45" i="10"/>
  <c r="S44" i="10"/>
  <c r="Q37" i="10"/>
  <c r="S36" i="10"/>
  <c r="Q29" i="10"/>
  <c r="Q21" i="10"/>
  <c r="S10" i="10"/>
  <c r="K63" i="10"/>
  <c r="Q60" i="10"/>
  <c r="S59" i="10"/>
  <c r="K55" i="10"/>
  <c r="Q52" i="10"/>
  <c r="S51" i="10"/>
  <c r="U50" i="10"/>
  <c r="K47" i="10"/>
  <c r="Q44" i="10"/>
  <c r="S43" i="10"/>
  <c r="K39" i="10"/>
  <c r="Q36" i="10"/>
  <c r="S35" i="10"/>
  <c r="U34" i="10"/>
  <c r="K31" i="10"/>
  <c r="S27" i="10"/>
  <c r="K23" i="10"/>
  <c r="Q20" i="10"/>
  <c r="S19" i="10"/>
  <c r="U18" i="10"/>
  <c r="K13" i="10"/>
  <c r="Q10" i="10"/>
  <c r="S9" i="10"/>
  <c r="Q11" i="10"/>
  <c r="Q7" i="10"/>
  <c r="V57" i="10"/>
  <c r="J55" i="10"/>
  <c r="V49" i="10"/>
  <c r="J47" i="10"/>
  <c r="J39" i="10"/>
  <c r="T34" i="10"/>
  <c r="J31" i="10"/>
  <c r="T26" i="10"/>
  <c r="J23" i="10"/>
  <c r="J13" i="10"/>
  <c r="S8" i="10"/>
  <c r="J46" i="10"/>
  <c r="J30" i="10"/>
  <c r="J22" i="10"/>
  <c r="J12" i="10"/>
  <c r="Q84" i="10"/>
  <c r="K70" i="10"/>
  <c r="Q66" i="10"/>
  <c r="U64" i="10"/>
  <c r="K61" i="10"/>
  <c r="Q58" i="10"/>
  <c r="S57" i="10"/>
  <c r="K53" i="10"/>
  <c r="Q50" i="10"/>
  <c r="K45" i="10"/>
  <c r="Q42" i="10"/>
  <c r="S41" i="10"/>
  <c r="K37" i="10"/>
  <c r="Q34" i="10"/>
  <c r="U32" i="10"/>
  <c r="K29" i="10"/>
  <c r="S25" i="10"/>
  <c r="U24" i="10"/>
  <c r="K21" i="10"/>
  <c r="Q18" i="10"/>
  <c r="S17" i="10"/>
  <c r="K11" i="10"/>
  <c r="Q8" i="10"/>
  <c r="Q41" i="10"/>
  <c r="Q33" i="10"/>
  <c r="S32" i="10"/>
  <c r="Q25" i="10"/>
  <c r="S24" i="10"/>
  <c r="K7" i="10"/>
  <c r="H61" i="10"/>
  <c r="J52" i="10"/>
  <c r="T47" i="10"/>
  <c r="J44" i="10"/>
  <c r="J36" i="10"/>
  <c r="J20" i="10"/>
  <c r="J10" i="10"/>
  <c r="J8" i="10"/>
  <c r="J74" i="10"/>
  <c r="J65" i="10"/>
  <c r="J57" i="10"/>
  <c r="J49" i="10"/>
  <c r="J41" i="10"/>
  <c r="J33" i="10"/>
  <c r="J25" i="10"/>
  <c r="S88" i="7"/>
  <c r="S16" i="7"/>
  <c r="U103" i="7"/>
  <c r="U63" i="7"/>
  <c r="U47" i="7"/>
  <c r="U15" i="7"/>
  <c r="U102" i="7"/>
  <c r="U94" i="7"/>
  <c r="U86" i="7"/>
  <c r="U78" i="7"/>
  <c r="U70" i="7"/>
  <c r="U62" i="7"/>
  <c r="U54" i="7"/>
  <c r="U46" i="7"/>
  <c r="U38" i="7"/>
  <c r="U30" i="7"/>
  <c r="U22" i="7"/>
  <c r="U14" i="7"/>
  <c r="U6" i="7"/>
  <c r="U87" i="7"/>
  <c r="S31" i="7"/>
  <c r="U101" i="7"/>
  <c r="U93" i="7"/>
  <c r="U85" i="7"/>
  <c r="U77" i="7"/>
  <c r="U69" i="7"/>
  <c r="U61" i="7"/>
  <c r="U53" i="7"/>
  <c r="U45" i="7"/>
  <c r="U37" i="7"/>
  <c r="U29" i="7"/>
  <c r="U21" i="7"/>
  <c r="U13" i="7"/>
  <c r="U5" i="7"/>
  <c r="S85" i="7"/>
  <c r="S77" i="7"/>
  <c r="U52" i="7"/>
  <c r="U104" i="7"/>
  <c r="U92" i="7"/>
  <c r="U76" i="7"/>
  <c r="U36" i="7"/>
  <c r="U20" i="7"/>
  <c r="U4" i="7"/>
  <c r="S100" i="7"/>
  <c r="S84" i="7"/>
  <c r="S68" i="7"/>
  <c r="U99" i="7"/>
  <c r="U83" i="7"/>
  <c r="U67" i="7"/>
  <c r="U51" i="7"/>
  <c r="U35" i="7"/>
  <c r="U19" i="7"/>
  <c r="U3" i="7"/>
  <c r="B2" i="5"/>
  <c r="B3" i="5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29" i="5"/>
  <c r="B30" i="5"/>
  <c r="B31" i="5"/>
  <c r="B32" i="5"/>
  <c r="B33" i="5"/>
  <c r="B34" i="5"/>
  <c r="B35" i="5"/>
  <c r="B36" i="5"/>
  <c r="B37" i="5"/>
  <c r="B38" i="5"/>
  <c r="B39" i="5"/>
  <c r="B40" i="5"/>
  <c r="B41" i="5"/>
  <c r="B42" i="5"/>
  <c r="B43" i="5"/>
  <c r="B44" i="5"/>
  <c r="B45" i="5"/>
  <c r="B46" i="5"/>
  <c r="B47" i="5"/>
  <c r="B48" i="5"/>
  <c r="B49" i="5"/>
  <c r="B50" i="5"/>
  <c r="B51" i="5"/>
  <c r="B52" i="5"/>
  <c r="B53" i="5"/>
  <c r="B54" i="5"/>
  <c r="B55" i="5"/>
  <c r="B56" i="5"/>
  <c r="B57" i="5"/>
  <c r="B58" i="5"/>
  <c r="B59" i="5"/>
  <c r="B60" i="5"/>
  <c r="B61" i="5"/>
  <c r="B62" i="5"/>
  <c r="B63" i="5"/>
  <c r="B64" i="5"/>
  <c r="B65" i="5"/>
  <c r="B66" i="5"/>
  <c r="B67" i="5"/>
  <c r="B68" i="5"/>
  <c r="B69" i="5"/>
  <c r="B70" i="5"/>
  <c r="B71" i="5"/>
  <c r="B72" i="5"/>
  <c r="B73" i="5"/>
  <c r="B74" i="5"/>
  <c r="B75" i="5"/>
  <c r="B76" i="5"/>
  <c r="B77" i="5"/>
  <c r="B78" i="5"/>
  <c r="B79" i="5"/>
  <c r="B80" i="5"/>
  <c r="B81" i="5"/>
  <c r="B82" i="5"/>
  <c r="B83" i="5"/>
  <c r="B84" i="5"/>
  <c r="B85" i="5"/>
  <c r="B86" i="5"/>
  <c r="B87" i="5"/>
  <c r="B88" i="5"/>
  <c r="B89" i="5"/>
  <c r="B90" i="5"/>
  <c r="B91" i="5"/>
  <c r="B92" i="5"/>
  <c r="B93" i="5"/>
  <c r="B94" i="5"/>
  <c r="B95" i="5"/>
  <c r="B96" i="5"/>
  <c r="B97" i="5"/>
  <c r="B98" i="5"/>
  <c r="B99" i="5"/>
  <c r="B100" i="5"/>
  <c r="B101" i="5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M2" i="6"/>
  <c r="H2" i="6"/>
  <c r="U2" i="6"/>
  <c r="Q3" i="6"/>
  <c r="V3" i="6"/>
  <c r="N3" i="6"/>
  <c r="M3" i="6"/>
  <c r="K3" i="6"/>
  <c r="P3" i="6"/>
  <c r="L3" i="6"/>
  <c r="H3" i="6"/>
  <c r="U3" i="6"/>
  <c r="T3" i="6"/>
  <c r="S3" i="6"/>
  <c r="R3" i="6"/>
  <c r="G3" i="6"/>
  <c r="F3" i="6"/>
  <c r="J3" i="6"/>
  <c r="I3" i="6"/>
  <c r="O3" i="6"/>
  <c r="W3" i="6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3" i="3"/>
  <c r="W1" i="3"/>
  <c r="V1" i="3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1" i="1"/>
  <c r="F11" i="1"/>
  <c r="G11" i="1"/>
  <c r="H11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Z11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R12" i="1"/>
  <c r="S12" i="1"/>
  <c r="T12" i="1"/>
  <c r="U12" i="1"/>
  <c r="V12" i="1"/>
  <c r="W12" i="1"/>
  <c r="X12" i="1"/>
  <c r="Y12" i="1"/>
  <c r="Z12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R13" i="1"/>
  <c r="S13" i="1"/>
  <c r="T13" i="1"/>
  <c r="U13" i="1"/>
  <c r="V13" i="1"/>
  <c r="W13" i="1"/>
  <c r="X13" i="1"/>
  <c r="Y13" i="1"/>
  <c r="Z13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R14" i="1"/>
  <c r="S14" i="1"/>
  <c r="T14" i="1"/>
  <c r="U14" i="1"/>
  <c r="V14" i="1"/>
  <c r="W14" i="1"/>
  <c r="X14" i="1"/>
  <c r="Y14" i="1"/>
  <c r="Z14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R15" i="1"/>
  <c r="S15" i="1"/>
  <c r="T15" i="1"/>
  <c r="U15" i="1"/>
  <c r="V15" i="1"/>
  <c r="W15" i="1"/>
  <c r="X15" i="1"/>
  <c r="Y15" i="1"/>
  <c r="Z15" i="1"/>
  <c r="E16" i="1"/>
  <c r="F16" i="1"/>
  <c r="G16" i="1"/>
  <c r="H16" i="1"/>
  <c r="I16" i="1"/>
  <c r="J16" i="1"/>
  <c r="K16" i="1"/>
  <c r="L16" i="1"/>
  <c r="M16" i="1"/>
  <c r="N16" i="1"/>
  <c r="O16" i="1"/>
  <c r="P16" i="1"/>
  <c r="Q16" i="1"/>
  <c r="R16" i="1"/>
  <c r="S16" i="1"/>
  <c r="T16" i="1"/>
  <c r="U16" i="1"/>
  <c r="V16" i="1"/>
  <c r="W16" i="1"/>
  <c r="X16" i="1"/>
  <c r="Y16" i="1"/>
  <c r="Z1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E18" i="1"/>
  <c r="F18" i="1"/>
  <c r="G18" i="1"/>
  <c r="H18" i="1"/>
  <c r="I18" i="1"/>
  <c r="J18" i="1"/>
  <c r="K18" i="1"/>
  <c r="L18" i="1"/>
  <c r="M18" i="1"/>
  <c r="N18" i="1"/>
  <c r="O18" i="1"/>
  <c r="P18" i="1"/>
  <c r="Q18" i="1"/>
  <c r="R18" i="1"/>
  <c r="S18" i="1"/>
  <c r="T18" i="1"/>
  <c r="U18" i="1"/>
  <c r="V18" i="1"/>
  <c r="W18" i="1"/>
  <c r="X18" i="1"/>
  <c r="Y18" i="1"/>
  <c r="Z18" i="1"/>
  <c r="E19" i="1"/>
  <c r="F19" i="1"/>
  <c r="G19" i="1"/>
  <c r="H19" i="1"/>
  <c r="I19" i="1"/>
  <c r="J19" i="1"/>
  <c r="K19" i="1"/>
  <c r="L19" i="1"/>
  <c r="M19" i="1"/>
  <c r="N19" i="1"/>
  <c r="O19" i="1"/>
  <c r="P19" i="1"/>
  <c r="Q19" i="1"/>
  <c r="R19" i="1"/>
  <c r="S19" i="1"/>
  <c r="T19" i="1"/>
  <c r="U19" i="1"/>
  <c r="V19" i="1"/>
  <c r="W19" i="1"/>
  <c r="X19" i="1"/>
  <c r="Y19" i="1"/>
  <c r="Z19" i="1"/>
  <c r="E20" i="1"/>
  <c r="F20" i="1"/>
  <c r="G20" i="1"/>
  <c r="H20" i="1"/>
  <c r="I20" i="1"/>
  <c r="J20" i="1"/>
  <c r="K20" i="1"/>
  <c r="L20" i="1"/>
  <c r="M20" i="1"/>
  <c r="N20" i="1"/>
  <c r="O20" i="1"/>
  <c r="P20" i="1"/>
  <c r="Q20" i="1"/>
  <c r="R20" i="1"/>
  <c r="S20" i="1"/>
  <c r="T20" i="1"/>
  <c r="U20" i="1"/>
  <c r="V20" i="1"/>
  <c r="W20" i="1"/>
  <c r="X20" i="1"/>
  <c r="Y20" i="1"/>
  <c r="Z20" i="1"/>
  <c r="E21" i="1"/>
  <c r="F21" i="1"/>
  <c r="G21" i="1"/>
  <c r="H21" i="1"/>
  <c r="I21" i="1"/>
  <c r="J21" i="1"/>
  <c r="K21" i="1"/>
  <c r="L21" i="1"/>
  <c r="M21" i="1"/>
  <c r="N21" i="1"/>
  <c r="O21" i="1"/>
  <c r="P21" i="1"/>
  <c r="Q21" i="1"/>
  <c r="R21" i="1"/>
  <c r="S21" i="1"/>
  <c r="T21" i="1"/>
  <c r="U21" i="1"/>
  <c r="V21" i="1"/>
  <c r="W21" i="1"/>
  <c r="X21" i="1"/>
  <c r="Y21" i="1"/>
  <c r="Z21" i="1"/>
  <c r="E22" i="1"/>
  <c r="F22" i="1"/>
  <c r="G22" i="1"/>
  <c r="H22" i="1"/>
  <c r="I22" i="1"/>
  <c r="J22" i="1"/>
  <c r="K22" i="1"/>
  <c r="L22" i="1"/>
  <c r="M22" i="1"/>
  <c r="N22" i="1"/>
  <c r="O22" i="1"/>
  <c r="P22" i="1"/>
  <c r="Q22" i="1"/>
  <c r="R22" i="1"/>
  <c r="S22" i="1"/>
  <c r="T22" i="1"/>
  <c r="U22" i="1"/>
  <c r="V22" i="1"/>
  <c r="W22" i="1"/>
  <c r="X22" i="1"/>
  <c r="Y22" i="1"/>
  <c r="Z22" i="1"/>
  <c r="E23" i="1"/>
  <c r="F23" i="1"/>
  <c r="G23" i="1"/>
  <c r="H23" i="1"/>
  <c r="I23" i="1"/>
  <c r="J23" i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X23" i="1"/>
  <c r="Y23" i="1"/>
  <c r="Z23" i="1"/>
  <c r="E24" i="1"/>
  <c r="F24" i="1"/>
  <c r="G24" i="1"/>
  <c r="H24" i="1"/>
  <c r="I24" i="1"/>
  <c r="J24" i="1"/>
  <c r="K24" i="1"/>
  <c r="L24" i="1"/>
  <c r="M24" i="1"/>
  <c r="N24" i="1"/>
  <c r="O24" i="1"/>
  <c r="P24" i="1"/>
  <c r="Q24" i="1"/>
  <c r="R24" i="1"/>
  <c r="S24" i="1"/>
  <c r="T24" i="1"/>
  <c r="U24" i="1"/>
  <c r="V24" i="1"/>
  <c r="W24" i="1"/>
  <c r="X24" i="1"/>
  <c r="Y24" i="1"/>
  <c r="Z24" i="1"/>
  <c r="E25" i="1"/>
  <c r="F25" i="1"/>
  <c r="G25" i="1"/>
  <c r="H25" i="1"/>
  <c r="I25" i="1"/>
  <c r="J25" i="1"/>
  <c r="K25" i="1"/>
  <c r="L25" i="1"/>
  <c r="M25" i="1"/>
  <c r="N25" i="1"/>
  <c r="O25" i="1"/>
  <c r="P25" i="1"/>
  <c r="Q25" i="1"/>
  <c r="R25" i="1"/>
  <c r="S25" i="1"/>
  <c r="T25" i="1"/>
  <c r="U25" i="1"/>
  <c r="V25" i="1"/>
  <c r="W25" i="1"/>
  <c r="X25" i="1"/>
  <c r="Y25" i="1"/>
  <c r="Z25" i="1"/>
  <c r="E26" i="1"/>
  <c r="F26" i="1"/>
  <c r="G26" i="1"/>
  <c r="H26" i="1"/>
  <c r="I26" i="1"/>
  <c r="J26" i="1"/>
  <c r="K26" i="1"/>
  <c r="L26" i="1"/>
  <c r="M26" i="1"/>
  <c r="N26" i="1"/>
  <c r="O26" i="1"/>
  <c r="P26" i="1"/>
  <c r="Q26" i="1"/>
  <c r="R26" i="1"/>
  <c r="S26" i="1"/>
  <c r="T26" i="1"/>
  <c r="U26" i="1"/>
  <c r="V26" i="1"/>
  <c r="W26" i="1"/>
  <c r="X26" i="1"/>
  <c r="Y26" i="1"/>
  <c r="Z26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E30" i="1"/>
  <c r="F30" i="1"/>
  <c r="G30" i="1"/>
  <c r="H30" i="1"/>
  <c r="I30" i="1"/>
  <c r="J30" i="1"/>
  <c r="K30" i="1"/>
  <c r="L30" i="1"/>
  <c r="M30" i="1"/>
  <c r="N30" i="1"/>
  <c r="O30" i="1"/>
  <c r="P30" i="1"/>
  <c r="Q30" i="1"/>
  <c r="R30" i="1"/>
  <c r="S30" i="1"/>
  <c r="T30" i="1"/>
  <c r="U30" i="1"/>
  <c r="V30" i="1"/>
  <c r="W30" i="1"/>
  <c r="X30" i="1"/>
  <c r="Y30" i="1"/>
  <c r="Z30" i="1"/>
  <c r="E31" i="1"/>
  <c r="F31" i="1"/>
  <c r="G31" i="1"/>
  <c r="H31" i="1"/>
  <c r="I31" i="1"/>
  <c r="J31" i="1"/>
  <c r="K31" i="1"/>
  <c r="L31" i="1"/>
  <c r="M31" i="1"/>
  <c r="N31" i="1"/>
  <c r="O31" i="1"/>
  <c r="P31" i="1"/>
  <c r="Q31" i="1"/>
  <c r="R31" i="1"/>
  <c r="S31" i="1"/>
  <c r="T31" i="1"/>
  <c r="U31" i="1"/>
  <c r="V31" i="1"/>
  <c r="W31" i="1"/>
  <c r="X31" i="1"/>
  <c r="Y31" i="1"/>
  <c r="Z31" i="1"/>
  <c r="E32" i="1"/>
  <c r="F32" i="1"/>
  <c r="G32" i="1"/>
  <c r="H32" i="1"/>
  <c r="I32" i="1"/>
  <c r="J32" i="1"/>
  <c r="K32" i="1"/>
  <c r="L32" i="1"/>
  <c r="M32" i="1"/>
  <c r="N32" i="1"/>
  <c r="O32" i="1"/>
  <c r="P32" i="1"/>
  <c r="Q32" i="1"/>
  <c r="R32" i="1"/>
  <c r="S32" i="1"/>
  <c r="T32" i="1"/>
  <c r="U32" i="1"/>
  <c r="V32" i="1"/>
  <c r="W32" i="1"/>
  <c r="X32" i="1"/>
  <c r="Y32" i="1"/>
  <c r="Z32" i="1"/>
  <c r="E33" i="1"/>
  <c r="F33" i="1"/>
  <c r="G33" i="1"/>
  <c r="H33" i="1"/>
  <c r="I33" i="1"/>
  <c r="J33" i="1"/>
  <c r="K33" i="1"/>
  <c r="L33" i="1"/>
  <c r="M33" i="1"/>
  <c r="N33" i="1"/>
  <c r="O33" i="1"/>
  <c r="P33" i="1"/>
  <c r="Q33" i="1"/>
  <c r="R33" i="1"/>
  <c r="S33" i="1"/>
  <c r="T33" i="1"/>
  <c r="U33" i="1"/>
  <c r="V33" i="1"/>
  <c r="W33" i="1"/>
  <c r="X33" i="1"/>
  <c r="Y33" i="1"/>
  <c r="Z33" i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V34" i="1"/>
  <c r="W34" i="1"/>
  <c r="X34" i="1"/>
  <c r="Y34" i="1"/>
  <c r="Z34" i="1"/>
  <c r="E35" i="1"/>
  <c r="F35" i="1"/>
  <c r="G35" i="1"/>
  <c r="H35" i="1"/>
  <c r="I35" i="1"/>
  <c r="J35" i="1"/>
  <c r="K35" i="1"/>
  <c r="L35" i="1"/>
  <c r="M35" i="1"/>
  <c r="N35" i="1"/>
  <c r="O35" i="1"/>
  <c r="P35" i="1"/>
  <c r="Q35" i="1"/>
  <c r="R35" i="1"/>
  <c r="S35" i="1"/>
  <c r="T35" i="1"/>
  <c r="U35" i="1"/>
  <c r="V35" i="1"/>
  <c r="W35" i="1"/>
  <c r="X35" i="1"/>
  <c r="Y35" i="1"/>
  <c r="Z35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E37" i="1"/>
  <c r="F37" i="1"/>
  <c r="G37" i="1"/>
  <c r="H37" i="1"/>
  <c r="I37" i="1"/>
  <c r="J37" i="1"/>
  <c r="K37" i="1"/>
  <c r="L37" i="1"/>
  <c r="M37" i="1"/>
  <c r="N37" i="1"/>
  <c r="O37" i="1"/>
  <c r="P37" i="1"/>
  <c r="Q37" i="1"/>
  <c r="R37" i="1"/>
  <c r="S37" i="1"/>
  <c r="T37" i="1"/>
  <c r="U37" i="1"/>
  <c r="V37" i="1"/>
  <c r="W37" i="1"/>
  <c r="X37" i="1"/>
  <c r="Y37" i="1"/>
  <c r="Z37" i="1"/>
  <c r="E38" i="1"/>
  <c r="F38" i="1"/>
  <c r="G38" i="1"/>
  <c r="H38" i="1"/>
  <c r="I38" i="1"/>
  <c r="J38" i="1"/>
  <c r="K38" i="1"/>
  <c r="L38" i="1"/>
  <c r="M38" i="1"/>
  <c r="N38" i="1"/>
  <c r="O38" i="1"/>
  <c r="P38" i="1"/>
  <c r="Q38" i="1"/>
  <c r="R38" i="1"/>
  <c r="S38" i="1"/>
  <c r="T38" i="1"/>
  <c r="U38" i="1"/>
  <c r="V38" i="1"/>
  <c r="W38" i="1"/>
  <c r="X38" i="1"/>
  <c r="Y38" i="1"/>
  <c r="Z38" i="1"/>
  <c r="E39" i="1"/>
  <c r="F39" i="1"/>
  <c r="G39" i="1"/>
  <c r="H39" i="1"/>
  <c r="I39" i="1"/>
  <c r="J39" i="1"/>
  <c r="K39" i="1"/>
  <c r="L39" i="1"/>
  <c r="M39" i="1"/>
  <c r="N39" i="1"/>
  <c r="O39" i="1"/>
  <c r="P39" i="1"/>
  <c r="Q39" i="1"/>
  <c r="R39" i="1"/>
  <c r="S39" i="1"/>
  <c r="T39" i="1"/>
  <c r="U39" i="1"/>
  <c r="V39" i="1"/>
  <c r="W39" i="1"/>
  <c r="X39" i="1"/>
  <c r="Y39" i="1"/>
  <c r="Z39" i="1"/>
  <c r="E40" i="1"/>
  <c r="F40" i="1"/>
  <c r="G40" i="1"/>
  <c r="H40" i="1"/>
  <c r="I40" i="1"/>
  <c r="J40" i="1"/>
  <c r="K40" i="1"/>
  <c r="L40" i="1"/>
  <c r="M40" i="1"/>
  <c r="N40" i="1"/>
  <c r="O40" i="1"/>
  <c r="P40" i="1"/>
  <c r="Q40" i="1"/>
  <c r="R40" i="1"/>
  <c r="S40" i="1"/>
  <c r="T40" i="1"/>
  <c r="U40" i="1"/>
  <c r="V40" i="1"/>
  <c r="W40" i="1"/>
  <c r="X40" i="1"/>
  <c r="Y40" i="1"/>
  <c r="Z40" i="1"/>
  <c r="E41" i="1"/>
  <c r="F41" i="1"/>
  <c r="G41" i="1"/>
  <c r="H41" i="1"/>
  <c r="I41" i="1"/>
  <c r="J41" i="1"/>
  <c r="K41" i="1"/>
  <c r="L41" i="1"/>
  <c r="M41" i="1"/>
  <c r="N41" i="1"/>
  <c r="O41" i="1"/>
  <c r="P41" i="1"/>
  <c r="Q41" i="1"/>
  <c r="R41" i="1"/>
  <c r="S41" i="1"/>
  <c r="T41" i="1"/>
  <c r="U41" i="1"/>
  <c r="V41" i="1"/>
  <c r="W41" i="1"/>
  <c r="X41" i="1"/>
  <c r="Y41" i="1"/>
  <c r="Z41" i="1"/>
  <c r="E42" i="1"/>
  <c r="F42" i="1"/>
  <c r="G42" i="1"/>
  <c r="H42" i="1"/>
  <c r="I42" i="1"/>
  <c r="J42" i="1"/>
  <c r="K42" i="1"/>
  <c r="L42" i="1"/>
  <c r="M42" i="1"/>
  <c r="N42" i="1"/>
  <c r="O42" i="1"/>
  <c r="P42" i="1"/>
  <c r="Q42" i="1"/>
  <c r="R42" i="1"/>
  <c r="S42" i="1"/>
  <c r="T42" i="1"/>
  <c r="U42" i="1"/>
  <c r="V42" i="1"/>
  <c r="W42" i="1"/>
  <c r="X42" i="1"/>
  <c r="Y42" i="1"/>
  <c r="Z42" i="1"/>
  <c r="E43" i="1"/>
  <c r="F43" i="1"/>
  <c r="G43" i="1"/>
  <c r="H43" i="1"/>
  <c r="I43" i="1"/>
  <c r="J43" i="1"/>
  <c r="K43" i="1"/>
  <c r="L43" i="1"/>
  <c r="M43" i="1"/>
  <c r="N43" i="1"/>
  <c r="O43" i="1"/>
  <c r="P43" i="1"/>
  <c r="Q43" i="1"/>
  <c r="R43" i="1"/>
  <c r="S43" i="1"/>
  <c r="T43" i="1"/>
  <c r="U43" i="1"/>
  <c r="V43" i="1"/>
  <c r="W43" i="1"/>
  <c r="X43" i="1"/>
  <c r="Y43" i="1"/>
  <c r="Z43" i="1"/>
  <c r="E44" i="1"/>
  <c r="F44" i="1"/>
  <c r="G44" i="1"/>
  <c r="H44" i="1"/>
  <c r="I44" i="1"/>
  <c r="J44" i="1"/>
  <c r="K44" i="1"/>
  <c r="L44" i="1"/>
  <c r="M44" i="1"/>
  <c r="N44" i="1"/>
  <c r="O44" i="1"/>
  <c r="P44" i="1"/>
  <c r="Q44" i="1"/>
  <c r="R44" i="1"/>
  <c r="S44" i="1"/>
  <c r="T44" i="1"/>
  <c r="U44" i="1"/>
  <c r="V44" i="1"/>
  <c r="W44" i="1"/>
  <c r="X44" i="1"/>
  <c r="Y44" i="1"/>
  <c r="Z44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X45" i="1"/>
  <c r="Y45" i="1"/>
  <c r="Z45" i="1"/>
  <c r="E46" i="1"/>
  <c r="F46" i="1"/>
  <c r="G46" i="1"/>
  <c r="H46" i="1"/>
  <c r="I46" i="1"/>
  <c r="J46" i="1"/>
  <c r="K46" i="1"/>
  <c r="L46" i="1"/>
  <c r="M46" i="1"/>
  <c r="N46" i="1"/>
  <c r="O46" i="1"/>
  <c r="P46" i="1"/>
  <c r="Q46" i="1"/>
  <c r="R46" i="1"/>
  <c r="S46" i="1"/>
  <c r="T46" i="1"/>
  <c r="U46" i="1"/>
  <c r="V46" i="1"/>
  <c r="W46" i="1"/>
  <c r="X46" i="1"/>
  <c r="Y46" i="1"/>
  <c r="Z46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E48" i="1"/>
  <c r="F48" i="1"/>
  <c r="G48" i="1"/>
  <c r="H48" i="1"/>
  <c r="I48" i="1"/>
  <c r="J48" i="1"/>
  <c r="K48" i="1"/>
  <c r="L48" i="1"/>
  <c r="M48" i="1"/>
  <c r="N48" i="1"/>
  <c r="O48" i="1"/>
  <c r="P48" i="1"/>
  <c r="Q48" i="1"/>
  <c r="R48" i="1"/>
  <c r="S48" i="1"/>
  <c r="T48" i="1"/>
  <c r="U48" i="1"/>
  <c r="V48" i="1"/>
  <c r="W48" i="1"/>
  <c r="X48" i="1"/>
  <c r="Y48" i="1"/>
  <c r="Z48" i="1"/>
  <c r="E49" i="1"/>
  <c r="F49" i="1"/>
  <c r="G49" i="1"/>
  <c r="H49" i="1"/>
  <c r="I49" i="1"/>
  <c r="J49" i="1"/>
  <c r="K49" i="1"/>
  <c r="L49" i="1"/>
  <c r="M49" i="1"/>
  <c r="N49" i="1"/>
  <c r="O49" i="1"/>
  <c r="P49" i="1"/>
  <c r="Q49" i="1"/>
  <c r="R49" i="1"/>
  <c r="S49" i="1"/>
  <c r="T49" i="1"/>
  <c r="U49" i="1"/>
  <c r="V49" i="1"/>
  <c r="W49" i="1"/>
  <c r="X49" i="1"/>
  <c r="Y49" i="1"/>
  <c r="Z49" i="1"/>
  <c r="E50" i="1"/>
  <c r="F50" i="1"/>
  <c r="G50" i="1"/>
  <c r="H50" i="1"/>
  <c r="I50" i="1"/>
  <c r="J50" i="1"/>
  <c r="K50" i="1"/>
  <c r="L50" i="1"/>
  <c r="M50" i="1"/>
  <c r="N50" i="1"/>
  <c r="O50" i="1"/>
  <c r="P50" i="1"/>
  <c r="Q50" i="1"/>
  <c r="R50" i="1"/>
  <c r="S50" i="1"/>
  <c r="T50" i="1"/>
  <c r="U50" i="1"/>
  <c r="V50" i="1"/>
  <c r="W50" i="1"/>
  <c r="X50" i="1"/>
  <c r="Y50" i="1"/>
  <c r="Z50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E52" i="1"/>
  <c r="F52" i="1"/>
  <c r="G52" i="1"/>
  <c r="H52" i="1"/>
  <c r="I52" i="1"/>
  <c r="J52" i="1"/>
  <c r="K52" i="1"/>
  <c r="L52" i="1"/>
  <c r="M52" i="1"/>
  <c r="N52" i="1"/>
  <c r="O52" i="1"/>
  <c r="P52" i="1"/>
  <c r="Q52" i="1"/>
  <c r="R52" i="1"/>
  <c r="S52" i="1"/>
  <c r="T52" i="1"/>
  <c r="U52" i="1"/>
  <c r="V52" i="1"/>
  <c r="W52" i="1"/>
  <c r="X52" i="1"/>
  <c r="Y52" i="1"/>
  <c r="Z52" i="1"/>
  <c r="E53" i="1"/>
  <c r="F53" i="1"/>
  <c r="G53" i="1"/>
  <c r="H53" i="1"/>
  <c r="I53" i="1"/>
  <c r="J53" i="1"/>
  <c r="K53" i="1"/>
  <c r="L53" i="1"/>
  <c r="M53" i="1"/>
  <c r="N53" i="1"/>
  <c r="O53" i="1"/>
  <c r="P53" i="1"/>
  <c r="Q53" i="1"/>
  <c r="R53" i="1"/>
  <c r="S53" i="1"/>
  <c r="T53" i="1"/>
  <c r="U53" i="1"/>
  <c r="V53" i="1"/>
  <c r="W53" i="1"/>
  <c r="X53" i="1"/>
  <c r="Y53" i="1"/>
  <c r="Z53" i="1"/>
  <c r="E54" i="1"/>
  <c r="F54" i="1"/>
  <c r="G54" i="1"/>
  <c r="H54" i="1"/>
  <c r="I54" i="1"/>
  <c r="J54" i="1"/>
  <c r="K54" i="1"/>
  <c r="L54" i="1"/>
  <c r="M54" i="1"/>
  <c r="N54" i="1"/>
  <c r="O54" i="1"/>
  <c r="P54" i="1"/>
  <c r="Q54" i="1"/>
  <c r="R54" i="1"/>
  <c r="S54" i="1"/>
  <c r="T54" i="1"/>
  <c r="U54" i="1"/>
  <c r="V54" i="1"/>
  <c r="W54" i="1"/>
  <c r="X54" i="1"/>
  <c r="Y54" i="1"/>
  <c r="Z54" i="1"/>
  <c r="E55" i="1"/>
  <c r="F55" i="1"/>
  <c r="G55" i="1"/>
  <c r="H55" i="1"/>
  <c r="I55" i="1"/>
  <c r="J55" i="1"/>
  <c r="K55" i="1"/>
  <c r="L55" i="1"/>
  <c r="M55" i="1"/>
  <c r="N55" i="1"/>
  <c r="O55" i="1"/>
  <c r="P55" i="1"/>
  <c r="Q55" i="1"/>
  <c r="R55" i="1"/>
  <c r="S55" i="1"/>
  <c r="T55" i="1"/>
  <c r="U55" i="1"/>
  <c r="V55" i="1"/>
  <c r="W55" i="1"/>
  <c r="X55" i="1"/>
  <c r="Y55" i="1"/>
  <c r="Z55" i="1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R56" i="1"/>
  <c r="S56" i="1"/>
  <c r="T56" i="1"/>
  <c r="U56" i="1"/>
  <c r="V56" i="1"/>
  <c r="W56" i="1"/>
  <c r="X56" i="1"/>
  <c r="Y56" i="1"/>
  <c r="Z56" i="1"/>
  <c r="E57" i="1"/>
  <c r="F57" i="1"/>
  <c r="G57" i="1"/>
  <c r="H57" i="1"/>
  <c r="I57" i="1"/>
  <c r="J57" i="1"/>
  <c r="K57" i="1"/>
  <c r="L57" i="1"/>
  <c r="M57" i="1"/>
  <c r="N57" i="1"/>
  <c r="O57" i="1"/>
  <c r="P57" i="1"/>
  <c r="Q57" i="1"/>
  <c r="R57" i="1"/>
  <c r="S57" i="1"/>
  <c r="T57" i="1"/>
  <c r="U57" i="1"/>
  <c r="V57" i="1"/>
  <c r="W57" i="1"/>
  <c r="X57" i="1"/>
  <c r="Y57" i="1"/>
  <c r="Z57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R58" i="1"/>
  <c r="S58" i="1"/>
  <c r="T58" i="1"/>
  <c r="U58" i="1"/>
  <c r="V58" i="1"/>
  <c r="W58" i="1"/>
  <c r="X58" i="1"/>
  <c r="Y58" i="1"/>
  <c r="Z58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R59" i="1"/>
  <c r="S59" i="1"/>
  <c r="T59" i="1"/>
  <c r="U59" i="1"/>
  <c r="V59" i="1"/>
  <c r="W59" i="1"/>
  <c r="X59" i="1"/>
  <c r="Y59" i="1"/>
  <c r="Z59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R60" i="1"/>
  <c r="S60" i="1"/>
  <c r="T60" i="1"/>
  <c r="U60" i="1"/>
  <c r="V60" i="1"/>
  <c r="W60" i="1"/>
  <c r="X60" i="1"/>
  <c r="Y60" i="1"/>
  <c r="Z60" i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R61" i="1"/>
  <c r="S61" i="1"/>
  <c r="T61" i="1"/>
  <c r="U61" i="1"/>
  <c r="V61" i="1"/>
  <c r="W61" i="1"/>
  <c r="X61" i="1"/>
  <c r="Y61" i="1"/>
  <c r="Z61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E63" i="1"/>
  <c r="F63" i="1"/>
  <c r="G63" i="1"/>
  <c r="H63" i="1"/>
  <c r="I63" i="1"/>
  <c r="J63" i="1"/>
  <c r="K63" i="1"/>
  <c r="L63" i="1"/>
  <c r="M63" i="1"/>
  <c r="N63" i="1"/>
  <c r="O63" i="1"/>
  <c r="P63" i="1"/>
  <c r="Q63" i="1"/>
  <c r="R63" i="1"/>
  <c r="S63" i="1"/>
  <c r="T63" i="1"/>
  <c r="U63" i="1"/>
  <c r="V63" i="1"/>
  <c r="W63" i="1"/>
  <c r="X63" i="1"/>
  <c r="Y63" i="1"/>
  <c r="Z63" i="1"/>
  <c r="E64" i="1"/>
  <c r="F64" i="1"/>
  <c r="G64" i="1"/>
  <c r="H64" i="1"/>
  <c r="I64" i="1"/>
  <c r="J64" i="1"/>
  <c r="K64" i="1"/>
  <c r="L64" i="1"/>
  <c r="M64" i="1"/>
  <c r="N64" i="1"/>
  <c r="O64" i="1"/>
  <c r="P64" i="1"/>
  <c r="Q64" i="1"/>
  <c r="R64" i="1"/>
  <c r="S64" i="1"/>
  <c r="T64" i="1"/>
  <c r="U64" i="1"/>
  <c r="V64" i="1"/>
  <c r="W64" i="1"/>
  <c r="X64" i="1"/>
  <c r="Y64" i="1"/>
  <c r="Z64" i="1"/>
  <c r="E65" i="1"/>
  <c r="F65" i="1"/>
  <c r="G65" i="1"/>
  <c r="H65" i="1"/>
  <c r="I65" i="1"/>
  <c r="J65" i="1"/>
  <c r="K65" i="1"/>
  <c r="L65" i="1"/>
  <c r="M65" i="1"/>
  <c r="N65" i="1"/>
  <c r="O65" i="1"/>
  <c r="P65" i="1"/>
  <c r="Q65" i="1"/>
  <c r="R65" i="1"/>
  <c r="S65" i="1"/>
  <c r="T65" i="1"/>
  <c r="U65" i="1"/>
  <c r="V65" i="1"/>
  <c r="W65" i="1"/>
  <c r="X65" i="1"/>
  <c r="Y65" i="1"/>
  <c r="Z65" i="1"/>
  <c r="E66" i="1"/>
  <c r="F66" i="1"/>
  <c r="G66" i="1"/>
  <c r="H66" i="1"/>
  <c r="I66" i="1"/>
  <c r="J66" i="1"/>
  <c r="K66" i="1"/>
  <c r="L66" i="1"/>
  <c r="M66" i="1"/>
  <c r="N66" i="1"/>
  <c r="O66" i="1"/>
  <c r="P66" i="1"/>
  <c r="Q66" i="1"/>
  <c r="R66" i="1"/>
  <c r="S66" i="1"/>
  <c r="T66" i="1"/>
  <c r="U66" i="1"/>
  <c r="V66" i="1"/>
  <c r="W66" i="1"/>
  <c r="X66" i="1"/>
  <c r="Y66" i="1"/>
  <c r="Z66" i="1"/>
  <c r="E67" i="1"/>
  <c r="F67" i="1"/>
  <c r="G67" i="1"/>
  <c r="H67" i="1"/>
  <c r="I67" i="1"/>
  <c r="J67" i="1"/>
  <c r="K67" i="1"/>
  <c r="L67" i="1"/>
  <c r="M67" i="1"/>
  <c r="N67" i="1"/>
  <c r="O67" i="1"/>
  <c r="P67" i="1"/>
  <c r="Q67" i="1"/>
  <c r="R67" i="1"/>
  <c r="S67" i="1"/>
  <c r="T67" i="1"/>
  <c r="U67" i="1"/>
  <c r="V67" i="1"/>
  <c r="W67" i="1"/>
  <c r="X67" i="1"/>
  <c r="Y67" i="1"/>
  <c r="Z67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E71" i="1"/>
  <c r="F71" i="1"/>
  <c r="G71" i="1"/>
  <c r="H71" i="1"/>
  <c r="I71" i="1"/>
  <c r="J71" i="1"/>
  <c r="K71" i="1"/>
  <c r="L71" i="1"/>
  <c r="M71" i="1"/>
  <c r="N71" i="1"/>
  <c r="O71" i="1"/>
  <c r="P71" i="1"/>
  <c r="Q71" i="1"/>
  <c r="R71" i="1"/>
  <c r="S71" i="1"/>
  <c r="T71" i="1"/>
  <c r="U71" i="1"/>
  <c r="V71" i="1"/>
  <c r="W71" i="1"/>
  <c r="X71" i="1"/>
  <c r="Y71" i="1"/>
  <c r="Z71" i="1"/>
  <c r="E72" i="1"/>
  <c r="F72" i="1"/>
  <c r="G72" i="1"/>
  <c r="H72" i="1"/>
  <c r="I72" i="1"/>
  <c r="J72" i="1"/>
  <c r="K72" i="1"/>
  <c r="L72" i="1"/>
  <c r="M72" i="1"/>
  <c r="N72" i="1"/>
  <c r="O72" i="1"/>
  <c r="P72" i="1"/>
  <c r="Q72" i="1"/>
  <c r="R72" i="1"/>
  <c r="S72" i="1"/>
  <c r="T72" i="1"/>
  <c r="U72" i="1"/>
  <c r="V72" i="1"/>
  <c r="W72" i="1"/>
  <c r="X72" i="1"/>
  <c r="Y72" i="1"/>
  <c r="Z72" i="1"/>
  <c r="E73" i="1"/>
  <c r="F73" i="1"/>
  <c r="G73" i="1"/>
  <c r="H73" i="1"/>
  <c r="I73" i="1"/>
  <c r="J73" i="1"/>
  <c r="K73" i="1"/>
  <c r="L73" i="1"/>
  <c r="M73" i="1"/>
  <c r="N73" i="1"/>
  <c r="O73" i="1"/>
  <c r="P73" i="1"/>
  <c r="Q73" i="1"/>
  <c r="R73" i="1"/>
  <c r="S73" i="1"/>
  <c r="T73" i="1"/>
  <c r="U73" i="1"/>
  <c r="V73" i="1"/>
  <c r="W73" i="1"/>
  <c r="X73" i="1"/>
  <c r="Y73" i="1"/>
  <c r="Z73" i="1"/>
  <c r="E74" i="1"/>
  <c r="F74" i="1"/>
  <c r="G74" i="1"/>
  <c r="H74" i="1"/>
  <c r="I74" i="1"/>
  <c r="J74" i="1"/>
  <c r="K74" i="1"/>
  <c r="L74" i="1"/>
  <c r="M74" i="1"/>
  <c r="N74" i="1"/>
  <c r="O74" i="1"/>
  <c r="P74" i="1"/>
  <c r="Q74" i="1"/>
  <c r="R74" i="1"/>
  <c r="S74" i="1"/>
  <c r="T74" i="1"/>
  <c r="U74" i="1"/>
  <c r="V74" i="1"/>
  <c r="W74" i="1"/>
  <c r="X74" i="1"/>
  <c r="Y74" i="1"/>
  <c r="Z74" i="1"/>
  <c r="E75" i="1"/>
  <c r="F75" i="1"/>
  <c r="G75" i="1"/>
  <c r="H75" i="1"/>
  <c r="I75" i="1"/>
  <c r="J75" i="1"/>
  <c r="K75" i="1"/>
  <c r="L75" i="1"/>
  <c r="M75" i="1"/>
  <c r="N75" i="1"/>
  <c r="O75" i="1"/>
  <c r="P75" i="1"/>
  <c r="Q75" i="1"/>
  <c r="R75" i="1"/>
  <c r="S75" i="1"/>
  <c r="T75" i="1"/>
  <c r="U75" i="1"/>
  <c r="V75" i="1"/>
  <c r="W75" i="1"/>
  <c r="X75" i="1"/>
  <c r="Y75" i="1"/>
  <c r="Z75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E77" i="1"/>
  <c r="F77" i="1"/>
  <c r="G77" i="1"/>
  <c r="H77" i="1"/>
  <c r="I77" i="1"/>
  <c r="J77" i="1"/>
  <c r="K77" i="1"/>
  <c r="L77" i="1"/>
  <c r="M77" i="1"/>
  <c r="N77" i="1"/>
  <c r="O77" i="1"/>
  <c r="P77" i="1"/>
  <c r="Q77" i="1"/>
  <c r="R77" i="1"/>
  <c r="S77" i="1"/>
  <c r="T77" i="1"/>
  <c r="U77" i="1"/>
  <c r="V77" i="1"/>
  <c r="W77" i="1"/>
  <c r="X77" i="1"/>
  <c r="Y77" i="1"/>
  <c r="Z77" i="1"/>
  <c r="E78" i="1"/>
  <c r="F78" i="1"/>
  <c r="G78" i="1"/>
  <c r="H78" i="1"/>
  <c r="I78" i="1"/>
  <c r="J78" i="1"/>
  <c r="K78" i="1"/>
  <c r="L78" i="1"/>
  <c r="M78" i="1"/>
  <c r="N78" i="1"/>
  <c r="O78" i="1"/>
  <c r="P78" i="1"/>
  <c r="Q78" i="1"/>
  <c r="R78" i="1"/>
  <c r="S78" i="1"/>
  <c r="T78" i="1"/>
  <c r="U78" i="1"/>
  <c r="V78" i="1"/>
  <c r="W78" i="1"/>
  <c r="X78" i="1"/>
  <c r="Y78" i="1"/>
  <c r="Z78" i="1"/>
  <c r="E79" i="1"/>
  <c r="F79" i="1"/>
  <c r="G79" i="1"/>
  <c r="H79" i="1"/>
  <c r="I79" i="1"/>
  <c r="J79" i="1"/>
  <c r="K79" i="1"/>
  <c r="L79" i="1"/>
  <c r="M79" i="1"/>
  <c r="N79" i="1"/>
  <c r="O79" i="1"/>
  <c r="P79" i="1"/>
  <c r="Q79" i="1"/>
  <c r="R79" i="1"/>
  <c r="S79" i="1"/>
  <c r="T79" i="1"/>
  <c r="U79" i="1"/>
  <c r="V79" i="1"/>
  <c r="W79" i="1"/>
  <c r="X79" i="1"/>
  <c r="Y79" i="1"/>
  <c r="Z79" i="1"/>
  <c r="E80" i="1"/>
  <c r="F80" i="1"/>
  <c r="G80" i="1"/>
  <c r="H80" i="1"/>
  <c r="I80" i="1"/>
  <c r="J80" i="1"/>
  <c r="K80" i="1"/>
  <c r="L80" i="1"/>
  <c r="M80" i="1"/>
  <c r="N80" i="1"/>
  <c r="O80" i="1"/>
  <c r="P80" i="1"/>
  <c r="Q80" i="1"/>
  <c r="R80" i="1"/>
  <c r="S80" i="1"/>
  <c r="T80" i="1"/>
  <c r="U80" i="1"/>
  <c r="V80" i="1"/>
  <c r="W80" i="1"/>
  <c r="X80" i="1"/>
  <c r="Y80" i="1"/>
  <c r="Z80" i="1"/>
  <c r="E81" i="1"/>
  <c r="F81" i="1"/>
  <c r="G81" i="1"/>
  <c r="H81" i="1"/>
  <c r="I81" i="1"/>
  <c r="J81" i="1"/>
  <c r="K81" i="1"/>
  <c r="L81" i="1"/>
  <c r="M81" i="1"/>
  <c r="N81" i="1"/>
  <c r="O81" i="1"/>
  <c r="P81" i="1"/>
  <c r="Q81" i="1"/>
  <c r="R81" i="1"/>
  <c r="S81" i="1"/>
  <c r="T81" i="1"/>
  <c r="U81" i="1"/>
  <c r="V81" i="1"/>
  <c r="W81" i="1"/>
  <c r="X81" i="1"/>
  <c r="Y81" i="1"/>
  <c r="Z81" i="1"/>
  <c r="E82" i="1"/>
  <c r="F82" i="1"/>
  <c r="G82" i="1"/>
  <c r="H82" i="1"/>
  <c r="I82" i="1"/>
  <c r="J82" i="1"/>
  <c r="K82" i="1"/>
  <c r="L82" i="1"/>
  <c r="M82" i="1"/>
  <c r="N82" i="1"/>
  <c r="O82" i="1"/>
  <c r="P82" i="1"/>
  <c r="Q82" i="1"/>
  <c r="R82" i="1"/>
  <c r="S82" i="1"/>
  <c r="T82" i="1"/>
  <c r="U82" i="1"/>
  <c r="V82" i="1"/>
  <c r="W82" i="1"/>
  <c r="X82" i="1"/>
  <c r="Y82" i="1"/>
  <c r="Z82" i="1"/>
  <c r="E83" i="1"/>
  <c r="F83" i="1"/>
  <c r="G83" i="1"/>
  <c r="H83" i="1"/>
  <c r="I83" i="1"/>
  <c r="J83" i="1"/>
  <c r="K83" i="1"/>
  <c r="L83" i="1"/>
  <c r="M83" i="1"/>
  <c r="N83" i="1"/>
  <c r="O83" i="1"/>
  <c r="P83" i="1"/>
  <c r="Q83" i="1"/>
  <c r="R83" i="1"/>
  <c r="S83" i="1"/>
  <c r="T83" i="1"/>
  <c r="U83" i="1"/>
  <c r="V83" i="1"/>
  <c r="W83" i="1"/>
  <c r="X83" i="1"/>
  <c r="Y83" i="1"/>
  <c r="Z83" i="1"/>
  <c r="E84" i="1"/>
  <c r="F84" i="1"/>
  <c r="G84" i="1"/>
  <c r="H84" i="1"/>
  <c r="I84" i="1"/>
  <c r="J84" i="1"/>
  <c r="K84" i="1"/>
  <c r="L84" i="1"/>
  <c r="M84" i="1"/>
  <c r="N84" i="1"/>
  <c r="O84" i="1"/>
  <c r="P84" i="1"/>
  <c r="Q84" i="1"/>
  <c r="R84" i="1"/>
  <c r="S84" i="1"/>
  <c r="T84" i="1"/>
  <c r="U84" i="1"/>
  <c r="V84" i="1"/>
  <c r="W84" i="1"/>
  <c r="X84" i="1"/>
  <c r="Y84" i="1"/>
  <c r="Z84" i="1"/>
  <c r="E85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E86" i="1"/>
  <c r="F86" i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E87" i="1"/>
  <c r="F87" i="1"/>
  <c r="G87" i="1"/>
  <c r="H87" i="1"/>
  <c r="I87" i="1"/>
  <c r="J87" i="1"/>
  <c r="K87" i="1"/>
  <c r="L87" i="1"/>
  <c r="M87" i="1"/>
  <c r="N87" i="1"/>
  <c r="O87" i="1"/>
  <c r="P87" i="1"/>
  <c r="Q87" i="1"/>
  <c r="R87" i="1"/>
  <c r="S87" i="1"/>
  <c r="T87" i="1"/>
  <c r="U87" i="1"/>
  <c r="V87" i="1"/>
  <c r="W87" i="1"/>
  <c r="X87" i="1"/>
  <c r="Y87" i="1"/>
  <c r="Z87" i="1"/>
  <c r="E88" i="1"/>
  <c r="F88" i="1"/>
  <c r="G88" i="1"/>
  <c r="H88" i="1"/>
  <c r="I88" i="1"/>
  <c r="J88" i="1"/>
  <c r="K88" i="1"/>
  <c r="L88" i="1"/>
  <c r="M88" i="1"/>
  <c r="N88" i="1"/>
  <c r="O88" i="1"/>
  <c r="P88" i="1"/>
  <c r="Q88" i="1"/>
  <c r="R88" i="1"/>
  <c r="S88" i="1"/>
  <c r="T88" i="1"/>
  <c r="U88" i="1"/>
  <c r="V88" i="1"/>
  <c r="W88" i="1"/>
  <c r="X88" i="1"/>
  <c r="Y88" i="1"/>
  <c r="Z88" i="1"/>
  <c r="E89" i="1"/>
  <c r="F89" i="1"/>
  <c r="G89" i="1"/>
  <c r="H89" i="1"/>
  <c r="I89" i="1"/>
  <c r="J89" i="1"/>
  <c r="K89" i="1"/>
  <c r="L89" i="1"/>
  <c r="M89" i="1"/>
  <c r="N89" i="1"/>
  <c r="O89" i="1"/>
  <c r="P89" i="1"/>
  <c r="Q89" i="1"/>
  <c r="R89" i="1"/>
  <c r="S89" i="1"/>
  <c r="T89" i="1"/>
  <c r="U89" i="1"/>
  <c r="V89" i="1"/>
  <c r="W89" i="1"/>
  <c r="X89" i="1"/>
  <c r="Y89" i="1"/>
  <c r="Z89" i="1"/>
  <c r="E90" i="1"/>
  <c r="F90" i="1"/>
  <c r="G90" i="1"/>
  <c r="H90" i="1"/>
  <c r="I90" i="1"/>
  <c r="J90" i="1"/>
  <c r="K90" i="1"/>
  <c r="L90" i="1"/>
  <c r="M90" i="1"/>
  <c r="N90" i="1"/>
  <c r="O90" i="1"/>
  <c r="P90" i="1"/>
  <c r="Q90" i="1"/>
  <c r="R90" i="1"/>
  <c r="S90" i="1"/>
  <c r="T90" i="1"/>
  <c r="U90" i="1"/>
  <c r="V90" i="1"/>
  <c r="W90" i="1"/>
  <c r="X90" i="1"/>
  <c r="Y90" i="1"/>
  <c r="Z90" i="1"/>
  <c r="E91" i="1"/>
  <c r="F91" i="1"/>
  <c r="G91" i="1"/>
  <c r="H91" i="1"/>
  <c r="I91" i="1"/>
  <c r="J91" i="1"/>
  <c r="K91" i="1"/>
  <c r="L91" i="1"/>
  <c r="M91" i="1"/>
  <c r="N91" i="1"/>
  <c r="O91" i="1"/>
  <c r="P91" i="1"/>
  <c r="Q91" i="1"/>
  <c r="R91" i="1"/>
  <c r="S91" i="1"/>
  <c r="T91" i="1"/>
  <c r="U91" i="1"/>
  <c r="V91" i="1"/>
  <c r="W91" i="1"/>
  <c r="X91" i="1"/>
  <c r="Y91" i="1"/>
  <c r="Z91" i="1"/>
  <c r="E92" i="1"/>
  <c r="F92" i="1"/>
  <c r="G92" i="1"/>
  <c r="H92" i="1"/>
  <c r="I92" i="1"/>
  <c r="J92" i="1"/>
  <c r="K92" i="1"/>
  <c r="L92" i="1"/>
  <c r="M92" i="1"/>
  <c r="N92" i="1"/>
  <c r="O92" i="1"/>
  <c r="P92" i="1"/>
  <c r="Q92" i="1"/>
  <c r="R92" i="1"/>
  <c r="S92" i="1"/>
  <c r="T92" i="1"/>
  <c r="U92" i="1"/>
  <c r="V92" i="1"/>
  <c r="W92" i="1"/>
  <c r="X92" i="1"/>
  <c r="Y92" i="1"/>
  <c r="Z92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E94" i="1"/>
  <c r="F94" i="1"/>
  <c r="G94" i="1"/>
  <c r="H94" i="1"/>
  <c r="I94" i="1"/>
  <c r="J94" i="1"/>
  <c r="K94" i="1"/>
  <c r="L94" i="1"/>
  <c r="M94" i="1"/>
  <c r="N94" i="1"/>
  <c r="O94" i="1"/>
  <c r="P94" i="1"/>
  <c r="Q94" i="1"/>
  <c r="R94" i="1"/>
  <c r="S94" i="1"/>
  <c r="T94" i="1"/>
  <c r="U94" i="1"/>
  <c r="V94" i="1"/>
  <c r="W94" i="1"/>
  <c r="X94" i="1"/>
  <c r="Y94" i="1"/>
  <c r="Z94" i="1"/>
  <c r="E95" i="1"/>
  <c r="F95" i="1"/>
  <c r="G95" i="1"/>
  <c r="H95" i="1"/>
  <c r="I95" i="1"/>
  <c r="J95" i="1"/>
  <c r="K95" i="1"/>
  <c r="L95" i="1"/>
  <c r="M95" i="1"/>
  <c r="N95" i="1"/>
  <c r="O95" i="1"/>
  <c r="P95" i="1"/>
  <c r="Q95" i="1"/>
  <c r="R95" i="1"/>
  <c r="S95" i="1"/>
  <c r="T95" i="1"/>
  <c r="U95" i="1"/>
  <c r="V95" i="1"/>
  <c r="W95" i="1"/>
  <c r="X95" i="1"/>
  <c r="Y95" i="1"/>
  <c r="Z95" i="1"/>
  <c r="E96" i="1"/>
  <c r="F96" i="1"/>
  <c r="G96" i="1"/>
  <c r="H96" i="1"/>
  <c r="I96" i="1"/>
  <c r="J96" i="1"/>
  <c r="K96" i="1"/>
  <c r="L96" i="1"/>
  <c r="M96" i="1"/>
  <c r="N96" i="1"/>
  <c r="O96" i="1"/>
  <c r="P96" i="1"/>
  <c r="Q96" i="1"/>
  <c r="R96" i="1"/>
  <c r="S96" i="1"/>
  <c r="T96" i="1"/>
  <c r="U96" i="1"/>
  <c r="V96" i="1"/>
  <c r="W96" i="1"/>
  <c r="X96" i="1"/>
  <c r="Y96" i="1"/>
  <c r="Z96" i="1"/>
  <c r="E97" i="1"/>
  <c r="F97" i="1"/>
  <c r="G97" i="1"/>
  <c r="H97" i="1"/>
  <c r="I97" i="1"/>
  <c r="J97" i="1"/>
  <c r="K97" i="1"/>
  <c r="L97" i="1"/>
  <c r="M97" i="1"/>
  <c r="N97" i="1"/>
  <c r="O97" i="1"/>
  <c r="P97" i="1"/>
  <c r="Q97" i="1"/>
  <c r="R97" i="1"/>
  <c r="S97" i="1"/>
  <c r="T97" i="1"/>
  <c r="U97" i="1"/>
  <c r="V97" i="1"/>
  <c r="W97" i="1"/>
  <c r="X97" i="1"/>
  <c r="Y97" i="1"/>
  <c r="Z97" i="1"/>
  <c r="E98" i="1"/>
  <c r="F98" i="1"/>
  <c r="G98" i="1"/>
  <c r="H98" i="1"/>
  <c r="I98" i="1"/>
  <c r="J98" i="1"/>
  <c r="K98" i="1"/>
  <c r="L98" i="1"/>
  <c r="M98" i="1"/>
  <c r="N98" i="1"/>
  <c r="O98" i="1"/>
  <c r="P98" i="1"/>
  <c r="Q98" i="1"/>
  <c r="R98" i="1"/>
  <c r="S98" i="1"/>
  <c r="T98" i="1"/>
  <c r="U98" i="1"/>
  <c r="V98" i="1"/>
  <c r="W98" i="1"/>
  <c r="X98" i="1"/>
  <c r="Y98" i="1"/>
  <c r="Z98" i="1"/>
  <c r="E99" i="1"/>
  <c r="F99" i="1"/>
  <c r="G99" i="1"/>
  <c r="H99" i="1"/>
  <c r="I99" i="1"/>
  <c r="J99" i="1"/>
  <c r="K99" i="1"/>
  <c r="L99" i="1"/>
  <c r="M99" i="1"/>
  <c r="N99" i="1"/>
  <c r="O99" i="1"/>
  <c r="P99" i="1"/>
  <c r="Q99" i="1"/>
  <c r="R99" i="1"/>
  <c r="S99" i="1"/>
  <c r="T99" i="1"/>
  <c r="U99" i="1"/>
  <c r="V99" i="1"/>
  <c r="W99" i="1"/>
  <c r="X99" i="1"/>
  <c r="Y99" i="1"/>
  <c r="Z99" i="1"/>
  <c r="E100" i="1"/>
  <c r="F100" i="1"/>
  <c r="G100" i="1"/>
  <c r="H100" i="1"/>
  <c r="I100" i="1"/>
  <c r="J100" i="1"/>
  <c r="K100" i="1"/>
  <c r="L100" i="1"/>
  <c r="M100" i="1"/>
  <c r="N100" i="1"/>
  <c r="O100" i="1"/>
  <c r="P100" i="1"/>
  <c r="Q100" i="1"/>
  <c r="R100" i="1"/>
  <c r="S100" i="1"/>
  <c r="T100" i="1"/>
  <c r="U100" i="1"/>
  <c r="V100" i="1"/>
  <c r="W100" i="1"/>
  <c r="X100" i="1"/>
  <c r="Y100" i="1"/>
  <c r="Z100" i="1"/>
  <c r="E101" i="1"/>
  <c r="F101" i="1"/>
  <c r="G101" i="1"/>
  <c r="H101" i="1"/>
  <c r="I101" i="1"/>
  <c r="J101" i="1"/>
  <c r="K101" i="1"/>
  <c r="L101" i="1"/>
  <c r="M101" i="1"/>
  <c r="N101" i="1"/>
  <c r="O101" i="1"/>
  <c r="P101" i="1"/>
  <c r="Q101" i="1"/>
  <c r="R101" i="1"/>
  <c r="S101" i="1"/>
  <c r="T101" i="1"/>
  <c r="U101" i="1"/>
  <c r="V101" i="1"/>
  <c r="W101" i="1"/>
  <c r="X101" i="1"/>
  <c r="Y101" i="1"/>
  <c r="Z101" i="1"/>
  <c r="E102" i="1"/>
  <c r="F102" i="1"/>
  <c r="G102" i="1"/>
  <c r="H102" i="1"/>
  <c r="I102" i="1"/>
  <c r="J102" i="1"/>
  <c r="K102" i="1"/>
  <c r="L102" i="1"/>
  <c r="M102" i="1"/>
  <c r="N102" i="1"/>
  <c r="O102" i="1"/>
  <c r="P102" i="1"/>
  <c r="Q102" i="1"/>
  <c r="R102" i="1"/>
  <c r="S102" i="1"/>
  <c r="T102" i="1"/>
  <c r="U102" i="1"/>
  <c r="V102" i="1"/>
  <c r="W102" i="1"/>
  <c r="X102" i="1"/>
  <c r="Y102" i="1"/>
  <c r="Z102" i="1"/>
  <c r="E103" i="1"/>
  <c r="F103" i="1"/>
  <c r="G103" i="1"/>
  <c r="H103" i="1"/>
  <c r="I103" i="1"/>
  <c r="J103" i="1"/>
  <c r="K103" i="1"/>
  <c r="L103" i="1"/>
  <c r="M103" i="1"/>
  <c r="N103" i="1"/>
  <c r="O103" i="1"/>
  <c r="P103" i="1"/>
  <c r="Q103" i="1"/>
  <c r="R103" i="1"/>
  <c r="S103" i="1"/>
  <c r="T103" i="1"/>
  <c r="U103" i="1"/>
  <c r="V103" i="1"/>
  <c r="W103" i="1"/>
  <c r="X103" i="1"/>
  <c r="Y103" i="1"/>
  <c r="Z103" i="1"/>
  <c r="E4" i="1"/>
  <c r="F4" i="1"/>
  <c r="G4" i="1"/>
  <c r="H4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Z4" i="1"/>
  <c r="E5" i="1"/>
  <c r="F5" i="1"/>
  <c r="G5" i="1"/>
  <c r="H5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Z5" i="1"/>
  <c r="E6" i="1"/>
  <c r="F6" i="1"/>
  <c r="G6" i="1"/>
  <c r="H6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Z6" i="1"/>
  <c r="E7" i="1"/>
  <c r="F7" i="1"/>
  <c r="G7" i="1"/>
  <c r="H7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Z7" i="1"/>
  <c r="E8" i="1"/>
  <c r="F8" i="1"/>
  <c r="G8" i="1"/>
  <c r="H8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Z8" i="1"/>
  <c r="E9" i="1"/>
  <c r="F9" i="1"/>
  <c r="G9" i="1"/>
  <c r="H9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Z9" i="1"/>
  <c r="E10" i="1"/>
  <c r="F10" i="1"/>
  <c r="G10" i="1"/>
  <c r="H10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Z10" i="1"/>
  <c r="Z80" i="2"/>
  <c r="Z13" i="2"/>
  <c r="Z76" i="2"/>
  <c r="Z11" i="2"/>
  <c r="Z26" i="2"/>
  <c r="Z22" i="2"/>
  <c r="Z31" i="2"/>
  <c r="Z17" i="2"/>
  <c r="Z36" i="2"/>
  <c r="Z10" i="2"/>
  <c r="Z33" i="2"/>
  <c r="Z79" i="2"/>
  <c r="Z70" i="2"/>
  <c r="Z19" i="2"/>
  <c r="Z59" i="2"/>
  <c r="Z47" i="2"/>
  <c r="Z32" i="2"/>
  <c r="Z63" i="2"/>
  <c r="Z54" i="2"/>
  <c r="Z52" i="2"/>
  <c r="Z73" i="2"/>
  <c r="Z41" i="2"/>
  <c r="Z37" i="2"/>
  <c r="Z50" i="2"/>
  <c r="Z12" i="2"/>
  <c r="Z77" i="2"/>
  <c r="Z43" i="2"/>
  <c r="Z24" i="2"/>
  <c r="Z27" i="2"/>
  <c r="Z65" i="2"/>
  <c r="Z9" i="2"/>
  <c r="Z71" i="2"/>
  <c r="Z49" i="2"/>
  <c r="Z68" i="2"/>
  <c r="Z8" i="2"/>
  <c r="Z6" i="2"/>
  <c r="Z51" i="2"/>
  <c r="Z61" i="2"/>
  <c r="Z14" i="2"/>
  <c r="Z78" i="2"/>
  <c r="Z42" i="2"/>
  <c r="Z53" i="2"/>
  <c r="Z57" i="2"/>
  <c r="Z5" i="2"/>
  <c r="Z28" i="2"/>
  <c r="Z38" i="2"/>
  <c r="Z23" i="2"/>
  <c r="Z18" i="2"/>
  <c r="Z48" i="2"/>
  <c r="Z39" i="2"/>
  <c r="Z35" i="2"/>
  <c r="Z20" i="2"/>
  <c r="Z83" i="2"/>
  <c r="Z21" i="2"/>
  <c r="Z44" i="2"/>
  <c r="Z29" i="2"/>
  <c r="Z62" i="2"/>
  <c r="Z67" i="2"/>
  <c r="Z64" i="2"/>
  <c r="Z15" i="2"/>
  <c r="Z75" i="2"/>
  <c r="Z74" i="2"/>
  <c r="Z40" i="2"/>
  <c r="Z81" i="2"/>
  <c r="Z45" i="2"/>
  <c r="Z55" i="2"/>
  <c r="Z66" i="2"/>
  <c r="Z56" i="2"/>
  <c r="Z82" i="2"/>
  <c r="Z58" i="2"/>
  <c r="Z34" i="2"/>
  <c r="Z25" i="2"/>
  <c r="Z46" i="2"/>
  <c r="Z72" i="2"/>
  <c r="Z30" i="2"/>
  <c r="Z69" i="2"/>
  <c r="Z16" i="2"/>
  <c r="Z7" i="2"/>
  <c r="Z60" i="2"/>
  <c r="J78" i="2"/>
  <c r="J15" i="2"/>
  <c r="J64" i="2"/>
  <c r="J45" i="2"/>
  <c r="J39" i="2"/>
  <c r="J5" i="2"/>
  <c r="J10" i="2"/>
  <c r="J44" i="2"/>
  <c r="J48" i="2"/>
  <c r="J40" i="2"/>
  <c r="J51" i="2"/>
  <c r="J29" i="2"/>
  <c r="J20" i="2"/>
  <c r="J62" i="2"/>
  <c r="J8" i="2"/>
  <c r="J43" i="2"/>
  <c r="J75" i="2"/>
  <c r="J6" i="2"/>
  <c r="J76" i="2"/>
  <c r="J9" i="2"/>
  <c r="J79" i="2"/>
  <c r="J83" i="2"/>
  <c r="J19" i="2"/>
  <c r="J36" i="2"/>
  <c r="J53" i="2"/>
  <c r="J70" i="2"/>
  <c r="J72" i="2"/>
  <c r="J34" i="2"/>
  <c r="J38" i="2"/>
  <c r="J81" i="2"/>
  <c r="J61" i="2"/>
  <c r="J59" i="2"/>
  <c r="J69" i="2"/>
  <c r="J55" i="2"/>
  <c r="J24" i="2"/>
  <c r="J58" i="2"/>
  <c r="J52" i="2"/>
  <c r="J73" i="2"/>
  <c r="J68" i="2"/>
  <c r="J16" i="2"/>
  <c r="J37" i="2"/>
  <c r="J21" i="2"/>
  <c r="J63" i="2"/>
  <c r="J42" i="2"/>
  <c r="J30" i="2"/>
  <c r="J71" i="2"/>
  <c r="J26" i="2"/>
  <c r="J25" i="2"/>
  <c r="J27" i="2"/>
  <c r="J57" i="2"/>
  <c r="J67" i="2"/>
  <c r="J14" i="2"/>
  <c r="J22" i="2"/>
  <c r="J17" i="2"/>
  <c r="J13" i="2"/>
  <c r="J18" i="2"/>
  <c r="J33" i="2"/>
  <c r="J49" i="2"/>
  <c r="J56" i="2"/>
  <c r="J60" i="2"/>
  <c r="J46" i="2"/>
  <c r="J82" i="2"/>
  <c r="J32" i="2"/>
  <c r="J23" i="2"/>
  <c r="J35" i="2"/>
  <c r="J47" i="2"/>
  <c r="J66" i="2"/>
  <c r="J65" i="2"/>
  <c r="J41" i="2"/>
  <c r="J31" i="2"/>
  <c r="J28" i="2"/>
  <c r="J11" i="2"/>
  <c r="J54" i="2"/>
  <c r="J77" i="2"/>
  <c r="J12" i="2"/>
  <c r="J50" i="2"/>
  <c r="J74" i="2"/>
  <c r="J7" i="2"/>
  <c r="J80" i="2"/>
  <c r="P54" i="2"/>
  <c r="P6" i="2"/>
  <c r="P28" i="2"/>
  <c r="P70" i="2"/>
  <c r="P14" i="2"/>
  <c r="P69" i="2"/>
  <c r="P61" i="2"/>
  <c r="P75" i="2"/>
  <c r="P59" i="2"/>
  <c r="P71" i="2"/>
  <c r="P38" i="2"/>
  <c r="P20" i="2"/>
  <c r="P33" i="2"/>
  <c r="P81" i="2"/>
  <c r="P58" i="2"/>
  <c r="P47" i="2"/>
  <c r="P63" i="2"/>
  <c r="P82" i="2"/>
  <c r="P51" i="2"/>
  <c r="P53" i="2"/>
  <c r="P79" i="2"/>
  <c r="P29" i="2"/>
  <c r="P46" i="2"/>
  <c r="P57" i="2"/>
  <c r="P18" i="2"/>
  <c r="P42" i="2"/>
  <c r="P32" i="2"/>
  <c r="P55" i="2"/>
  <c r="P25" i="2"/>
  <c r="P23" i="2"/>
  <c r="P27" i="2"/>
  <c r="P8" i="2"/>
  <c r="P60" i="2"/>
  <c r="P49" i="2"/>
  <c r="P44" i="2"/>
  <c r="P74" i="2"/>
  <c r="P52" i="2"/>
  <c r="P72" i="2"/>
  <c r="P37" i="2"/>
  <c r="P41" i="2"/>
  <c r="P10" i="2"/>
  <c r="P73" i="2"/>
  <c r="P35" i="2"/>
  <c r="P80" i="2"/>
  <c r="P83" i="2"/>
  <c r="P40" i="2"/>
  <c r="P30" i="2"/>
  <c r="P48" i="2"/>
  <c r="P24" i="2"/>
  <c r="P21" i="2"/>
  <c r="P77" i="2"/>
  <c r="P15" i="2"/>
  <c r="P39" i="2"/>
  <c r="P62" i="2"/>
  <c r="P19" i="2"/>
  <c r="P66" i="2"/>
  <c r="P11" i="2"/>
  <c r="P43" i="2"/>
  <c r="P13" i="2"/>
  <c r="P50" i="2"/>
  <c r="P67" i="2"/>
  <c r="P64" i="2"/>
  <c r="P22" i="2"/>
  <c r="P56" i="2"/>
  <c r="P68" i="2"/>
  <c r="P5" i="2"/>
  <c r="P65" i="2"/>
  <c r="P17" i="2"/>
  <c r="P76" i="2"/>
  <c r="P78" i="2"/>
  <c r="P26" i="2"/>
  <c r="P9" i="2"/>
  <c r="P16" i="2"/>
  <c r="P12" i="2"/>
  <c r="P34" i="2"/>
  <c r="P31" i="2"/>
  <c r="P45" i="2"/>
  <c r="P7" i="2"/>
  <c r="P36" i="2"/>
  <c r="V83" i="2"/>
  <c r="V9" i="2"/>
  <c r="V74" i="2"/>
  <c r="V77" i="2"/>
  <c r="V73" i="2"/>
  <c r="V47" i="2"/>
  <c r="V28" i="2"/>
  <c r="V39" i="2"/>
  <c r="V10" i="2"/>
  <c r="V62" i="2"/>
  <c r="V43" i="2"/>
  <c r="V55" i="2"/>
  <c r="V54" i="2"/>
  <c r="V8" i="2"/>
  <c r="V58" i="2"/>
  <c r="V82" i="2"/>
  <c r="V70" i="2"/>
  <c r="V20" i="2"/>
  <c r="V41" i="2"/>
  <c r="V60" i="2"/>
  <c r="V36" i="2"/>
  <c r="V59" i="2"/>
  <c r="V5" i="2"/>
  <c r="V45" i="2"/>
  <c r="V13" i="2"/>
  <c r="V57" i="2"/>
  <c r="V80" i="2"/>
  <c r="V31" i="2"/>
  <c r="V18" i="2"/>
  <c r="V40" i="2"/>
  <c r="V33" i="2"/>
  <c r="V35" i="2"/>
  <c r="V68" i="2"/>
  <c r="V66" i="2"/>
  <c r="V53" i="2"/>
  <c r="V75" i="2"/>
  <c r="V24" i="2"/>
  <c r="V34" i="2"/>
  <c r="V49" i="2"/>
  <c r="V38" i="2"/>
  <c r="V63" i="2"/>
  <c r="V19" i="2"/>
  <c r="V37" i="2"/>
  <c r="V42" i="2"/>
  <c r="V6" i="2"/>
  <c r="V48" i="2"/>
  <c r="V71" i="2"/>
  <c r="V78" i="2"/>
  <c r="V76" i="2"/>
  <c r="V14" i="2"/>
  <c r="V64" i="2"/>
  <c r="V81" i="2"/>
  <c r="V30" i="2"/>
  <c r="V23" i="2"/>
  <c r="V12" i="2"/>
  <c r="V15" i="2"/>
  <c r="V11" i="2"/>
  <c r="V32" i="2"/>
  <c r="V46" i="2"/>
  <c r="V27" i="2"/>
  <c r="V17" i="2"/>
  <c r="V22" i="2"/>
  <c r="V21" i="2"/>
  <c r="V79" i="2"/>
  <c r="V52" i="2"/>
  <c r="V29" i="2"/>
  <c r="V56" i="2"/>
  <c r="V50" i="2"/>
  <c r="V69" i="2"/>
  <c r="V25" i="2"/>
  <c r="V61" i="2"/>
  <c r="V72" i="2"/>
  <c r="V51" i="2"/>
  <c r="V65" i="2"/>
  <c r="V26" i="2"/>
  <c r="V67" i="2"/>
  <c r="V16" i="2"/>
  <c r="V7" i="2"/>
  <c r="V44" i="2"/>
  <c r="F47" i="2"/>
  <c r="F77" i="2"/>
  <c r="F80" i="2"/>
  <c r="F42" i="2"/>
  <c r="F72" i="2"/>
  <c r="F41" i="2"/>
  <c r="F81" i="2"/>
  <c r="F46" i="2"/>
  <c r="F53" i="2"/>
  <c r="F54" i="2"/>
  <c r="F60" i="2"/>
  <c r="F55" i="2"/>
  <c r="F56" i="2"/>
  <c r="F28" i="2"/>
  <c r="F5" i="2"/>
  <c r="F26" i="2"/>
  <c r="F22" i="2"/>
  <c r="F49" i="2"/>
  <c r="F24" i="2"/>
  <c r="F82" i="2"/>
  <c r="F33" i="2"/>
  <c r="F43" i="2"/>
  <c r="F52" i="2"/>
  <c r="F20" i="2"/>
  <c r="F19" i="2"/>
  <c r="F15" i="2"/>
  <c r="F48" i="2"/>
  <c r="F71" i="2"/>
  <c r="F45" i="2"/>
  <c r="F51" i="2"/>
  <c r="F16" i="2"/>
  <c r="F67" i="2"/>
  <c r="F9" i="2"/>
  <c r="F44" i="2"/>
  <c r="F70" i="2"/>
  <c r="F66" i="2"/>
  <c r="F50" i="2"/>
  <c r="F10" i="2"/>
  <c r="F63" i="2"/>
  <c r="F79" i="2"/>
  <c r="F11" i="2"/>
  <c r="F29" i="2"/>
  <c r="F34" i="2"/>
  <c r="F8" i="2"/>
  <c r="F74" i="2"/>
  <c r="F68" i="2"/>
  <c r="F35" i="2"/>
  <c r="F13" i="2"/>
  <c r="F12" i="2"/>
  <c r="F39" i="2"/>
  <c r="F25" i="2"/>
  <c r="F23" i="2"/>
  <c r="F31" i="2"/>
  <c r="F61" i="2"/>
  <c r="F30" i="2"/>
  <c r="F18" i="2"/>
  <c r="F83" i="2"/>
  <c r="F6" i="2"/>
  <c r="F76" i="2"/>
  <c r="F27" i="2"/>
  <c r="F57" i="2"/>
  <c r="F14" i="2"/>
  <c r="F17" i="2"/>
  <c r="F38" i="2"/>
  <c r="F69" i="2"/>
  <c r="F21" i="2"/>
  <c r="F59" i="2"/>
  <c r="F65" i="2"/>
  <c r="F40" i="2"/>
  <c r="F75" i="2"/>
  <c r="F58" i="2"/>
  <c r="F37" i="2"/>
  <c r="F78" i="2"/>
  <c r="F73" i="2"/>
  <c r="F62" i="2"/>
  <c r="F36" i="2"/>
  <c r="F64" i="2"/>
  <c r="F7" i="2"/>
  <c r="F32" i="2"/>
  <c r="L33" i="2"/>
  <c r="L65" i="2"/>
  <c r="L16" i="2"/>
  <c r="L67" i="2"/>
  <c r="L25" i="2"/>
  <c r="L60" i="2"/>
  <c r="L61" i="2"/>
  <c r="L40" i="2"/>
  <c r="L82" i="2"/>
  <c r="L8" i="2"/>
  <c r="L17" i="2"/>
  <c r="L38" i="2"/>
  <c r="L74" i="2"/>
  <c r="L54" i="2"/>
  <c r="L12" i="2"/>
  <c r="L78" i="2"/>
  <c r="L27" i="2"/>
  <c r="L51" i="2"/>
  <c r="L29" i="2"/>
  <c r="L69" i="2"/>
  <c r="L35" i="2"/>
  <c r="L24" i="2"/>
  <c r="L52" i="2"/>
  <c r="L15" i="2"/>
  <c r="L37" i="2"/>
  <c r="L48" i="2"/>
  <c r="L36" i="2"/>
  <c r="L31" i="2"/>
  <c r="L72" i="2"/>
  <c r="L59" i="2"/>
  <c r="L19" i="2"/>
  <c r="L34" i="2"/>
  <c r="L26" i="2"/>
  <c r="L14" i="2"/>
  <c r="L41" i="2"/>
  <c r="L70" i="2"/>
  <c r="L62" i="2"/>
  <c r="L21" i="2"/>
  <c r="L42" i="2"/>
  <c r="L5" i="2"/>
  <c r="L18" i="2"/>
  <c r="L23" i="2"/>
  <c r="L28" i="2"/>
  <c r="L58" i="2"/>
  <c r="L71" i="2"/>
  <c r="L77" i="2"/>
  <c r="L39" i="2"/>
  <c r="L11" i="2"/>
  <c r="L30" i="2"/>
  <c r="L53" i="2"/>
  <c r="L56" i="2"/>
  <c r="L32" i="2"/>
  <c r="L22" i="2"/>
  <c r="L68" i="2"/>
  <c r="L20" i="2"/>
  <c r="L13" i="2"/>
  <c r="L45" i="2"/>
  <c r="L80" i="2"/>
  <c r="L66" i="2"/>
  <c r="L81" i="2"/>
  <c r="L64" i="2"/>
  <c r="L83" i="2"/>
  <c r="L55" i="2"/>
  <c r="L10" i="2"/>
  <c r="L63" i="2"/>
  <c r="L47" i="2"/>
  <c r="L73" i="2"/>
  <c r="L79" i="2"/>
  <c r="L57" i="2"/>
  <c r="L6" i="2"/>
  <c r="L9" i="2"/>
  <c r="L76" i="2"/>
  <c r="L46" i="2"/>
  <c r="L75" i="2"/>
  <c r="L43" i="2"/>
  <c r="L49" i="2"/>
  <c r="L44" i="2"/>
  <c r="L7" i="2"/>
  <c r="L50" i="2"/>
  <c r="R45" i="2"/>
  <c r="R23" i="2"/>
  <c r="R74" i="2"/>
  <c r="R79" i="2"/>
  <c r="R26" i="2"/>
  <c r="R14" i="2"/>
  <c r="R29" i="2"/>
  <c r="R35" i="2"/>
  <c r="R83" i="2"/>
  <c r="R15" i="2"/>
  <c r="R44" i="2"/>
  <c r="R81" i="2"/>
  <c r="R61" i="2"/>
  <c r="R50" i="2"/>
  <c r="R80" i="2"/>
  <c r="R16" i="2"/>
  <c r="R76" i="2"/>
  <c r="R8" i="2"/>
  <c r="R55" i="2"/>
  <c r="R68" i="2"/>
  <c r="R32" i="2"/>
  <c r="R19" i="2"/>
  <c r="R46" i="2"/>
  <c r="R36" i="2"/>
  <c r="R56" i="2"/>
  <c r="R65" i="2"/>
  <c r="R30" i="2"/>
  <c r="R20" i="2"/>
  <c r="R54" i="2"/>
  <c r="R38" i="2"/>
  <c r="R5" i="2"/>
  <c r="R17" i="2"/>
  <c r="R67" i="2"/>
  <c r="R49" i="2"/>
  <c r="R40" i="2"/>
  <c r="R63" i="2"/>
  <c r="R72" i="2"/>
  <c r="R51" i="2"/>
  <c r="R59" i="2"/>
  <c r="R28" i="2"/>
  <c r="R27" i="2"/>
  <c r="R57" i="2"/>
  <c r="R31" i="2"/>
  <c r="R58" i="2"/>
  <c r="R41" i="2"/>
  <c r="R60" i="2"/>
  <c r="R71" i="2"/>
  <c r="R75" i="2"/>
  <c r="R6" i="2"/>
  <c r="R52" i="2"/>
  <c r="R22" i="2"/>
  <c r="R37" i="2"/>
  <c r="R25" i="2"/>
  <c r="R64" i="2"/>
  <c r="R70" i="2"/>
  <c r="R78" i="2"/>
  <c r="R77" i="2"/>
  <c r="R69" i="2"/>
  <c r="R42" i="2"/>
  <c r="R24" i="2"/>
  <c r="R34" i="2"/>
  <c r="R39" i="2"/>
  <c r="R62" i="2"/>
  <c r="R21" i="2"/>
  <c r="R47" i="2"/>
  <c r="R66" i="2"/>
  <c r="R48" i="2"/>
  <c r="R43" i="2"/>
  <c r="R11" i="2"/>
  <c r="R12" i="2"/>
  <c r="R33" i="2"/>
  <c r="R53" i="2"/>
  <c r="R82" i="2"/>
  <c r="R18" i="2"/>
  <c r="R10" i="2"/>
  <c r="R13" i="2"/>
  <c r="R9" i="2"/>
  <c r="R7" i="2"/>
  <c r="R73" i="2"/>
  <c r="X37" i="2"/>
  <c r="X27" i="2"/>
  <c r="X55" i="2"/>
  <c r="X53" i="2"/>
  <c r="X35" i="2"/>
  <c r="X44" i="2"/>
  <c r="X36" i="2"/>
  <c r="X15" i="2"/>
  <c r="X8" i="2"/>
  <c r="X60" i="2"/>
  <c r="X17" i="2"/>
  <c r="X67" i="2"/>
  <c r="X49" i="2"/>
  <c r="X72" i="2"/>
  <c r="X31" i="2"/>
  <c r="X61" i="2"/>
  <c r="X26" i="2"/>
  <c r="X38" i="2"/>
  <c r="X66" i="2"/>
  <c r="X70" i="2"/>
  <c r="X29" i="2"/>
  <c r="X81" i="2"/>
  <c r="X54" i="2"/>
  <c r="X11" i="2"/>
  <c r="X14" i="2"/>
  <c r="X23" i="2"/>
  <c r="X28" i="2"/>
  <c r="X47" i="2"/>
  <c r="X68" i="2"/>
  <c r="X48" i="2"/>
  <c r="X13" i="2"/>
  <c r="X33" i="2"/>
  <c r="X22" i="2"/>
  <c r="X83" i="2"/>
  <c r="X21" i="2"/>
  <c r="X74" i="2"/>
  <c r="X82" i="2"/>
  <c r="X64" i="2"/>
  <c r="X63" i="2"/>
  <c r="X12" i="2"/>
  <c r="X32" i="2"/>
  <c r="X69" i="2"/>
  <c r="X24" i="2"/>
  <c r="X59" i="2"/>
  <c r="X41" i="2"/>
  <c r="X34" i="2"/>
  <c r="X52" i="2"/>
  <c r="X5" i="2"/>
  <c r="X62" i="2"/>
  <c r="X45" i="2"/>
  <c r="X46" i="2"/>
  <c r="X19" i="2"/>
  <c r="X43" i="2"/>
  <c r="X78" i="2"/>
  <c r="X73" i="2"/>
  <c r="X6" i="2"/>
  <c r="X57" i="2"/>
  <c r="X75" i="2"/>
  <c r="X42" i="2"/>
  <c r="X30" i="2"/>
  <c r="X39" i="2"/>
  <c r="X65" i="2"/>
  <c r="X18" i="2"/>
  <c r="X71" i="2"/>
  <c r="X40" i="2"/>
  <c r="X79" i="2"/>
  <c r="X50" i="2"/>
  <c r="X20" i="2"/>
  <c r="X58" i="2"/>
  <c r="X25" i="2"/>
  <c r="X56" i="2"/>
  <c r="X16" i="2"/>
  <c r="X76" i="2"/>
  <c r="X10" i="2"/>
  <c r="X80" i="2"/>
  <c r="X9" i="2"/>
  <c r="X77" i="2"/>
  <c r="X7" i="2"/>
  <c r="X51" i="2"/>
  <c r="H74" i="2"/>
  <c r="H32" i="2"/>
  <c r="H24" i="2"/>
  <c r="H76" i="2"/>
  <c r="H58" i="2"/>
  <c r="H36" i="2"/>
  <c r="H15" i="2"/>
  <c r="H83" i="2"/>
  <c r="H77" i="2"/>
  <c r="H26" i="2"/>
  <c r="H6" i="2"/>
  <c r="H18" i="2"/>
  <c r="H35" i="2"/>
  <c r="H21" i="2"/>
  <c r="H61" i="2"/>
  <c r="H10" i="2"/>
  <c r="H81" i="2"/>
  <c r="H66" i="2"/>
  <c r="H42" i="2"/>
  <c r="H63" i="2"/>
  <c r="H11" i="2"/>
  <c r="H68" i="2"/>
  <c r="H54" i="2"/>
  <c r="H19" i="2"/>
  <c r="H31" i="2"/>
  <c r="H39" i="2"/>
  <c r="H82" i="2"/>
  <c r="H34" i="2"/>
  <c r="H20" i="2"/>
  <c r="H25" i="2"/>
  <c r="H43" i="2"/>
  <c r="H51" i="2"/>
  <c r="H16" i="2"/>
  <c r="H75" i="2"/>
  <c r="H50" i="2"/>
  <c r="H13" i="2"/>
  <c r="H62" i="2"/>
  <c r="H46" i="2"/>
  <c r="H57" i="2"/>
  <c r="H27" i="2"/>
  <c r="H29" i="2"/>
  <c r="H38" i="2"/>
  <c r="H30" i="2"/>
  <c r="H55" i="2"/>
  <c r="H71" i="2"/>
  <c r="H64" i="2"/>
  <c r="H56" i="2"/>
  <c r="H22" i="2"/>
  <c r="H45" i="2"/>
  <c r="H69" i="2"/>
  <c r="H78" i="2"/>
  <c r="H41" i="2"/>
  <c r="H53" i="2"/>
  <c r="H48" i="2"/>
  <c r="H65" i="2"/>
  <c r="H8" i="2"/>
  <c r="H72" i="2"/>
  <c r="H60" i="2"/>
  <c r="H52" i="2"/>
  <c r="H28" i="2"/>
  <c r="H5" i="2"/>
  <c r="H59" i="2"/>
  <c r="H37" i="2"/>
  <c r="H67" i="2"/>
  <c r="H40" i="2"/>
  <c r="H80" i="2"/>
  <c r="H79" i="2"/>
  <c r="H33" i="2"/>
  <c r="H17" i="2"/>
  <c r="H73" i="2"/>
  <c r="H14" i="2"/>
  <c r="H70" i="2"/>
  <c r="H23" i="2"/>
  <c r="H49" i="2"/>
  <c r="H44" i="2"/>
  <c r="H12" i="2"/>
  <c r="H9" i="2"/>
  <c r="H7" i="2"/>
  <c r="H47" i="2"/>
  <c r="N60" i="2"/>
  <c r="N77" i="2"/>
  <c r="N20" i="2"/>
  <c r="N40" i="2"/>
  <c r="N46" i="2"/>
  <c r="N61" i="2"/>
  <c r="N15" i="2"/>
  <c r="N39" i="2"/>
  <c r="N73" i="2"/>
  <c r="N6" i="2"/>
  <c r="N63" i="2"/>
  <c r="N54" i="2"/>
  <c r="N12" i="2"/>
  <c r="N41" i="2"/>
  <c r="N71" i="2"/>
  <c r="N27" i="2"/>
  <c r="N79" i="2"/>
  <c r="N33" i="2"/>
  <c r="N23" i="2"/>
  <c r="N25" i="2"/>
  <c r="N83" i="2"/>
  <c r="N50" i="2"/>
  <c r="N69" i="2"/>
  <c r="N48" i="2"/>
  <c r="N62" i="2"/>
  <c r="N19" i="2"/>
  <c r="N51" i="2"/>
  <c r="N66" i="2"/>
  <c r="N52" i="2"/>
  <c r="N80" i="2"/>
  <c r="N38" i="2"/>
  <c r="N37" i="2"/>
  <c r="N8" i="2"/>
  <c r="N70" i="2"/>
  <c r="N22" i="2"/>
  <c r="N5" i="2"/>
  <c r="N67" i="2"/>
  <c r="N58" i="2"/>
  <c r="N28" i="2"/>
  <c r="N42" i="2"/>
  <c r="N16" i="2"/>
  <c r="N64" i="2"/>
  <c r="N11" i="2"/>
  <c r="N36" i="2"/>
  <c r="N68" i="2"/>
  <c r="N56" i="2"/>
  <c r="N32" i="2"/>
  <c r="N75" i="2"/>
  <c r="N43" i="2"/>
  <c r="N59" i="2"/>
  <c r="N18" i="2"/>
  <c r="N44" i="2"/>
  <c r="N47" i="2"/>
  <c r="N57" i="2"/>
  <c r="N24" i="2"/>
  <c r="N21" i="2"/>
  <c r="N53" i="2"/>
  <c r="N82" i="2"/>
  <c r="N14" i="2"/>
  <c r="N78" i="2"/>
  <c r="N26" i="2"/>
  <c r="N65" i="2"/>
  <c r="N17" i="2"/>
  <c r="N35" i="2"/>
  <c r="N34" i="2"/>
  <c r="N13" i="2"/>
  <c r="N29" i="2"/>
  <c r="N31" i="2"/>
  <c r="N30" i="2"/>
  <c r="N10" i="2"/>
  <c r="N76" i="2"/>
  <c r="N9" i="2"/>
  <c r="N72" i="2"/>
  <c r="N55" i="2"/>
  <c r="N74" i="2"/>
  <c r="N81" i="2"/>
  <c r="N45" i="2"/>
  <c r="N7" i="2"/>
  <c r="N49" i="2"/>
  <c r="T24" i="2"/>
  <c r="T47" i="2"/>
  <c r="T11" i="2"/>
  <c r="T80" i="2"/>
  <c r="T44" i="2"/>
  <c r="T18" i="2"/>
  <c r="T8" i="2"/>
  <c r="T48" i="2"/>
  <c r="T61" i="2"/>
  <c r="T45" i="2"/>
  <c r="T16" i="2"/>
  <c r="T6" i="2"/>
  <c r="T12" i="2"/>
  <c r="T23" i="2"/>
  <c r="T71" i="2"/>
  <c r="T74" i="2"/>
  <c r="T72" i="2"/>
  <c r="T14" i="2"/>
  <c r="T59" i="2"/>
  <c r="T52" i="2"/>
  <c r="T77" i="2"/>
  <c r="T65" i="2"/>
  <c r="T57" i="2"/>
  <c r="T29" i="2"/>
  <c r="T13" i="2"/>
  <c r="T35" i="2"/>
  <c r="T55" i="2"/>
  <c r="T43" i="2"/>
  <c r="T53" i="2"/>
  <c r="T82" i="2"/>
  <c r="T49" i="2"/>
  <c r="T50" i="2"/>
  <c r="T15" i="2"/>
  <c r="T5" i="2"/>
  <c r="T60" i="2"/>
  <c r="T41" i="2"/>
  <c r="T9" i="2"/>
  <c r="T81" i="2"/>
  <c r="T79" i="2"/>
  <c r="T10" i="2"/>
  <c r="T34" i="2"/>
  <c r="T63" i="2"/>
  <c r="T69" i="2"/>
  <c r="T70" i="2"/>
  <c r="T58" i="2"/>
  <c r="T19" i="2"/>
  <c r="T64" i="2"/>
  <c r="T17" i="2"/>
  <c r="T78" i="2"/>
  <c r="T66" i="2"/>
  <c r="T39" i="2"/>
  <c r="T83" i="2"/>
  <c r="T36" i="2"/>
  <c r="T54" i="2"/>
  <c r="T30" i="2"/>
  <c r="T76" i="2"/>
  <c r="T62" i="2"/>
  <c r="T42" i="2"/>
  <c r="T31" i="2"/>
  <c r="T25" i="2"/>
  <c r="T28" i="2"/>
  <c r="T75" i="2"/>
  <c r="T32" i="2"/>
  <c r="T33" i="2"/>
  <c r="T67" i="2"/>
  <c r="T73" i="2"/>
  <c r="T27" i="2"/>
  <c r="T21" i="2"/>
  <c r="T20" i="2"/>
  <c r="T37" i="2"/>
  <c r="T51" i="2"/>
  <c r="T38" i="2"/>
  <c r="T68" i="2"/>
  <c r="T40" i="2"/>
  <c r="T26" i="2"/>
  <c r="T46" i="2"/>
  <c r="T22" i="2"/>
  <c r="T7" i="2"/>
  <c r="T56" i="2"/>
  <c r="Y19" i="2"/>
  <c r="Y50" i="2"/>
  <c r="Y57" i="2"/>
  <c r="Y14" i="2"/>
  <c r="Y66" i="2"/>
  <c r="Y12" i="2"/>
  <c r="Y32" i="2"/>
  <c r="Y21" i="2"/>
  <c r="Y83" i="2"/>
  <c r="Y70" i="2"/>
  <c r="Y60" i="2"/>
  <c r="Y63" i="2"/>
  <c r="Y41" i="2"/>
  <c r="Y74" i="2"/>
  <c r="Y62" i="2"/>
  <c r="Y76" i="2"/>
  <c r="Y43" i="2"/>
  <c r="Y10" i="2"/>
  <c r="Y53" i="2"/>
  <c r="Y73" i="2"/>
  <c r="Y75" i="2"/>
  <c r="Y34" i="2"/>
  <c r="Y65" i="2"/>
  <c r="Y25" i="2"/>
  <c r="Y58" i="2"/>
  <c r="Y35" i="2"/>
  <c r="Y81" i="2"/>
  <c r="Y40" i="2"/>
  <c r="Y59" i="2"/>
  <c r="Y8" i="2"/>
  <c r="Y39" i="2"/>
  <c r="Y78" i="2"/>
  <c r="Y68" i="2"/>
  <c r="Y17" i="2"/>
  <c r="Y49" i="2"/>
  <c r="Y54" i="2"/>
  <c r="Y37" i="2"/>
  <c r="Y52" i="2"/>
  <c r="Y26" i="2"/>
  <c r="Y22" i="2"/>
  <c r="Y13" i="2"/>
  <c r="Y72" i="2"/>
  <c r="Y77" i="2"/>
  <c r="Y15" i="2"/>
  <c r="Y55" i="2"/>
  <c r="Y24" i="2"/>
  <c r="Y29" i="2"/>
  <c r="Y69" i="2"/>
  <c r="Y42" i="2"/>
  <c r="Y47" i="2"/>
  <c r="Y18" i="2"/>
  <c r="Y38" i="2"/>
  <c r="Y11" i="2"/>
  <c r="Y61" i="2"/>
  <c r="Y46" i="2"/>
  <c r="Y44" i="2"/>
  <c r="Y71" i="2"/>
  <c r="Y30" i="2"/>
  <c r="Y48" i="2"/>
  <c r="Y6" i="2"/>
  <c r="Y56" i="2"/>
  <c r="Y82" i="2"/>
  <c r="Y51" i="2"/>
  <c r="Y5" i="2"/>
  <c r="Y80" i="2"/>
  <c r="Y31" i="2"/>
  <c r="Y20" i="2"/>
  <c r="Y45" i="2"/>
  <c r="Y28" i="2"/>
  <c r="Y33" i="2"/>
  <c r="Y9" i="2"/>
  <c r="Y27" i="2"/>
  <c r="Y23" i="2"/>
  <c r="Y79" i="2"/>
  <c r="Y67" i="2"/>
  <c r="Y16" i="2"/>
  <c r="Y36" i="2"/>
  <c r="Y7" i="2"/>
  <c r="Y64" i="2"/>
  <c r="I59" i="2"/>
  <c r="I36" i="2"/>
  <c r="I24" i="2"/>
  <c r="I6" i="2"/>
  <c r="I82" i="2"/>
  <c r="I39" i="2"/>
  <c r="I74" i="2"/>
  <c r="I55" i="2"/>
  <c r="I60" i="2"/>
  <c r="I23" i="2"/>
  <c r="I79" i="2"/>
  <c r="I25" i="2"/>
  <c r="I40" i="2"/>
  <c r="I56" i="2"/>
  <c r="I41" i="2"/>
  <c r="I13" i="2"/>
  <c r="I63" i="2"/>
  <c r="I37" i="2"/>
  <c r="I52" i="2"/>
  <c r="I46" i="2"/>
  <c r="I18" i="2"/>
  <c r="I78" i="2"/>
  <c r="I26" i="2"/>
  <c r="I31" i="2"/>
  <c r="I64" i="2"/>
  <c r="I12" i="2"/>
  <c r="I45" i="2"/>
  <c r="I14" i="2"/>
  <c r="I22" i="2"/>
  <c r="I83" i="2"/>
  <c r="I35" i="2"/>
  <c r="I50" i="2"/>
  <c r="I75" i="2"/>
  <c r="I69" i="2"/>
  <c r="I42" i="2"/>
  <c r="I34" i="2"/>
  <c r="I15" i="2"/>
  <c r="I27" i="2"/>
  <c r="I61" i="2"/>
  <c r="I20" i="2"/>
  <c r="I53" i="2"/>
  <c r="I48" i="2"/>
  <c r="I19" i="2"/>
  <c r="I44" i="2"/>
  <c r="I47" i="2"/>
  <c r="I16" i="2"/>
  <c r="I49" i="2"/>
  <c r="I77" i="2"/>
  <c r="I73" i="2"/>
  <c r="I66" i="2"/>
  <c r="I32" i="2"/>
  <c r="I72" i="2"/>
  <c r="I33" i="2"/>
  <c r="I8" i="2"/>
  <c r="I29" i="2"/>
  <c r="I80" i="2"/>
  <c r="I58" i="2"/>
  <c r="I54" i="2"/>
  <c r="I5" i="2"/>
  <c r="I21" i="2"/>
  <c r="I67" i="2"/>
  <c r="I70" i="2"/>
  <c r="I62" i="2"/>
  <c r="I28" i="2"/>
  <c r="I17" i="2"/>
  <c r="I30" i="2"/>
  <c r="I81" i="2"/>
  <c r="I43" i="2"/>
  <c r="I68" i="2"/>
  <c r="I51" i="2"/>
  <c r="I71" i="2"/>
  <c r="I10" i="2"/>
  <c r="I38" i="2"/>
  <c r="I57" i="2"/>
  <c r="I9" i="2"/>
  <c r="I76" i="2"/>
  <c r="I11" i="2"/>
  <c r="I7" i="2"/>
  <c r="I65" i="2"/>
  <c r="O39" i="2"/>
  <c r="O32" i="2"/>
  <c r="O69" i="2"/>
  <c r="O77" i="2"/>
  <c r="O14" i="2"/>
  <c r="O6" i="2"/>
  <c r="O40" i="2"/>
  <c r="O21" i="2"/>
  <c r="O30" i="2"/>
  <c r="O27" i="2"/>
  <c r="O79" i="2"/>
  <c r="O73" i="2"/>
  <c r="O12" i="2"/>
  <c r="O34" i="2"/>
  <c r="O20" i="2"/>
  <c r="O38" i="2"/>
  <c r="O44" i="2"/>
  <c r="O35" i="2"/>
  <c r="O19" i="2"/>
  <c r="O53" i="2"/>
  <c r="O29" i="2"/>
  <c r="O80" i="2"/>
  <c r="O48" i="2"/>
  <c r="O72" i="2"/>
  <c r="O42" i="2"/>
  <c r="O26" i="2"/>
  <c r="O57" i="2"/>
  <c r="O82" i="2"/>
  <c r="O8" i="2"/>
  <c r="O5" i="2"/>
  <c r="O22" i="2"/>
  <c r="O24" i="2"/>
  <c r="O33" i="2"/>
  <c r="O62" i="2"/>
  <c r="O74" i="2"/>
  <c r="O11" i="2"/>
  <c r="O75" i="2"/>
  <c r="O13" i="2"/>
  <c r="O63" i="2"/>
  <c r="O49" i="2"/>
  <c r="O31" i="2"/>
  <c r="O17" i="2"/>
  <c r="O16" i="2"/>
  <c r="O56" i="2"/>
  <c r="O55" i="2"/>
  <c r="O58" i="2"/>
  <c r="O60" i="2"/>
  <c r="O43" i="2"/>
  <c r="O51" i="2"/>
  <c r="O61" i="2"/>
  <c r="O37" i="2"/>
  <c r="O52" i="2"/>
  <c r="O50" i="2"/>
  <c r="O47" i="2"/>
  <c r="O68" i="2"/>
  <c r="O83" i="2"/>
  <c r="O65" i="2"/>
  <c r="O36" i="2"/>
  <c r="O18" i="2"/>
  <c r="O10" i="2"/>
  <c r="O25" i="2"/>
  <c r="O9" i="2"/>
  <c r="O76" i="2"/>
  <c r="O15" i="2"/>
  <c r="O66" i="2"/>
  <c r="O46" i="2"/>
  <c r="O45" i="2"/>
  <c r="O70" i="2"/>
  <c r="O78" i="2"/>
  <c r="O59" i="2"/>
  <c r="O28" i="2"/>
  <c r="O23" i="2"/>
  <c r="O81" i="2"/>
  <c r="O54" i="2"/>
  <c r="O41" i="2"/>
  <c r="O67" i="2"/>
  <c r="O64" i="2"/>
  <c r="O7" i="2"/>
  <c r="O71" i="2"/>
  <c r="U63" i="2"/>
  <c r="U28" i="2"/>
  <c r="U10" i="2"/>
  <c r="U79" i="2"/>
  <c r="U8" i="2"/>
  <c r="U48" i="2"/>
  <c r="U70" i="2"/>
  <c r="U15" i="2"/>
  <c r="U45" i="2"/>
  <c r="U59" i="2"/>
  <c r="U69" i="2"/>
  <c r="U72" i="2"/>
  <c r="U66" i="2"/>
  <c r="U36" i="2"/>
  <c r="U30" i="2"/>
  <c r="U49" i="2"/>
  <c r="U65" i="2"/>
  <c r="U19" i="2"/>
  <c r="U29" i="2"/>
  <c r="U53" i="2"/>
  <c r="U31" i="2"/>
  <c r="U26" i="2"/>
  <c r="U62" i="2"/>
  <c r="U67" i="2"/>
  <c r="U22" i="2"/>
  <c r="U41" i="2"/>
  <c r="U61" i="2"/>
  <c r="U6" i="2"/>
  <c r="U38" i="2"/>
  <c r="U14" i="2"/>
  <c r="U37" i="2"/>
  <c r="U9" i="2"/>
  <c r="U23" i="2"/>
  <c r="U68" i="2"/>
  <c r="U57" i="2"/>
  <c r="U64" i="2"/>
  <c r="U56" i="2"/>
  <c r="U25" i="2"/>
  <c r="U83" i="2"/>
  <c r="U12" i="2"/>
  <c r="U40" i="2"/>
  <c r="U18" i="2"/>
  <c r="U54" i="2"/>
  <c r="U39" i="2"/>
  <c r="U24" i="2"/>
  <c r="U47" i="2"/>
  <c r="U43" i="2"/>
  <c r="U11" i="2"/>
  <c r="U21" i="2"/>
  <c r="U78" i="2"/>
  <c r="U76" i="2"/>
  <c r="U75" i="2"/>
  <c r="U32" i="2"/>
  <c r="U17" i="2"/>
  <c r="U27" i="2"/>
  <c r="U42" i="2"/>
  <c r="U71" i="2"/>
  <c r="U58" i="2"/>
  <c r="U55" i="2"/>
  <c r="U5" i="2"/>
  <c r="U82" i="2"/>
  <c r="U33" i="2"/>
  <c r="U60" i="2"/>
  <c r="U73" i="2"/>
  <c r="U74" i="2"/>
  <c r="U46" i="2"/>
  <c r="U20" i="2"/>
  <c r="U52" i="2"/>
  <c r="U34" i="2"/>
  <c r="U80" i="2"/>
  <c r="U51" i="2"/>
  <c r="U50" i="2"/>
  <c r="U44" i="2"/>
  <c r="U77" i="2"/>
  <c r="U13" i="2"/>
  <c r="U35" i="2"/>
  <c r="U16" i="2"/>
  <c r="U7" i="2"/>
  <c r="U81" i="2"/>
  <c r="E75" i="2"/>
  <c r="E20" i="2"/>
  <c r="E79" i="2"/>
  <c r="E35" i="2"/>
  <c r="E12" i="2"/>
  <c r="E43" i="2"/>
  <c r="E49" i="2"/>
  <c r="E16" i="2"/>
  <c r="E66" i="2"/>
  <c r="E69" i="2"/>
  <c r="E64" i="2"/>
  <c r="E23" i="2"/>
  <c r="E67" i="2"/>
  <c r="E8" i="2"/>
  <c r="E65" i="2"/>
  <c r="E17" i="2"/>
  <c r="E15" i="2"/>
  <c r="E55" i="2"/>
  <c r="E77" i="2"/>
  <c r="E38" i="2"/>
  <c r="E24" i="2"/>
  <c r="E50" i="2"/>
  <c r="E57" i="2"/>
  <c r="E81" i="2"/>
  <c r="E25" i="2"/>
  <c r="E53" i="2"/>
  <c r="E28" i="2"/>
  <c r="E54" i="2"/>
  <c r="E63" i="2"/>
  <c r="E51" i="2"/>
  <c r="E36" i="2"/>
  <c r="E39" i="2"/>
  <c r="E31" i="2"/>
  <c r="E78" i="2"/>
  <c r="E40" i="2"/>
  <c r="E62" i="2"/>
  <c r="E32" i="2"/>
  <c r="E48" i="2"/>
  <c r="E68" i="2"/>
  <c r="E47" i="2"/>
  <c r="E19" i="2"/>
  <c r="E56" i="2"/>
  <c r="E22" i="2"/>
  <c r="E21" i="2"/>
  <c r="E80" i="2"/>
  <c r="E61" i="2"/>
  <c r="E30" i="2"/>
  <c r="E60" i="2"/>
  <c r="E26" i="2"/>
  <c r="E14" i="2"/>
  <c r="E44" i="2"/>
  <c r="E71" i="2"/>
  <c r="E52" i="2"/>
  <c r="E10" i="2"/>
  <c r="E13" i="2"/>
  <c r="E42" i="2"/>
  <c r="E72" i="2"/>
  <c r="E33" i="2"/>
  <c r="E73" i="2"/>
  <c r="E46" i="2"/>
  <c r="E82" i="2"/>
  <c r="E5" i="2"/>
  <c r="E37" i="2"/>
  <c r="E34" i="2"/>
  <c r="E76" i="2"/>
  <c r="E74" i="2"/>
  <c r="E59" i="2"/>
  <c r="E45" i="2"/>
  <c r="E41" i="2"/>
  <c r="E29" i="2"/>
  <c r="E6" i="2"/>
  <c r="E58" i="2"/>
  <c r="E11" i="2"/>
  <c r="E9" i="2"/>
  <c r="E18" i="2"/>
  <c r="E83" i="2"/>
  <c r="E70" i="2"/>
  <c r="E7" i="2"/>
  <c r="E27" i="2"/>
  <c r="K36" i="2"/>
  <c r="K65" i="2"/>
  <c r="K23" i="2"/>
  <c r="K43" i="2"/>
  <c r="K74" i="2"/>
  <c r="K31" i="2"/>
  <c r="K61" i="2"/>
  <c r="K47" i="2"/>
  <c r="K12" i="2"/>
  <c r="K55" i="2"/>
  <c r="K41" i="2"/>
  <c r="K54" i="2"/>
  <c r="K75" i="2"/>
  <c r="K39" i="2"/>
  <c r="K21" i="2"/>
  <c r="K70" i="2"/>
  <c r="K63" i="2"/>
  <c r="K46" i="2"/>
  <c r="K11" i="2"/>
  <c r="K35" i="2"/>
  <c r="K64" i="2"/>
  <c r="K57" i="2"/>
  <c r="K81" i="2"/>
  <c r="K69" i="2"/>
  <c r="K71" i="2"/>
  <c r="K66" i="2"/>
  <c r="K83" i="2"/>
  <c r="K77" i="2"/>
  <c r="K30" i="2"/>
  <c r="K26" i="2"/>
  <c r="K33" i="2"/>
  <c r="K56" i="2"/>
  <c r="K48" i="2"/>
  <c r="K38" i="2"/>
  <c r="K9" i="2"/>
  <c r="K5" i="2"/>
  <c r="K20" i="2"/>
  <c r="K18" i="2"/>
  <c r="K8" i="2"/>
  <c r="K45" i="2"/>
  <c r="K44" i="2"/>
  <c r="K79" i="2"/>
  <c r="K22" i="2"/>
  <c r="K52" i="2"/>
  <c r="K25" i="2"/>
  <c r="K40" i="2"/>
  <c r="K67" i="2"/>
  <c r="K10" i="2"/>
  <c r="K80" i="2"/>
  <c r="K14" i="2"/>
  <c r="K17" i="2"/>
  <c r="K13" i="2"/>
  <c r="K42" i="2"/>
  <c r="K62" i="2"/>
  <c r="K19" i="2"/>
  <c r="K73" i="2"/>
  <c r="K72" i="2"/>
  <c r="K32" i="2"/>
  <c r="K6" i="2"/>
  <c r="K51" i="2"/>
  <c r="K24" i="2"/>
  <c r="K58" i="2"/>
  <c r="K60" i="2"/>
  <c r="K28" i="2"/>
  <c r="K27" i="2"/>
  <c r="K34" i="2"/>
  <c r="K49" i="2"/>
  <c r="K29" i="2"/>
  <c r="K50" i="2"/>
  <c r="K76" i="2"/>
  <c r="K15" i="2"/>
  <c r="K16" i="2"/>
  <c r="K53" i="2"/>
  <c r="K82" i="2"/>
  <c r="K78" i="2"/>
  <c r="K59" i="2"/>
  <c r="K68" i="2"/>
  <c r="K7" i="2"/>
  <c r="K37" i="2"/>
  <c r="Q46" i="2"/>
  <c r="Q55" i="2"/>
  <c r="Q23" i="2"/>
  <c r="Q57" i="2"/>
  <c r="Q15" i="2"/>
  <c r="Q8" i="2"/>
  <c r="Q76" i="2"/>
  <c r="Q17" i="2"/>
  <c r="Q9" i="2"/>
  <c r="Q45" i="2"/>
  <c r="Q48" i="2"/>
  <c r="Q38" i="2"/>
  <c r="Q74" i="2"/>
  <c r="Q70" i="2"/>
  <c r="Q27" i="2"/>
  <c r="Q58" i="2"/>
  <c r="Q37" i="2"/>
  <c r="Q71" i="2"/>
  <c r="Q65" i="2"/>
  <c r="Q79" i="2"/>
  <c r="Q77" i="2"/>
  <c r="Q56" i="2"/>
  <c r="Q53" i="2"/>
  <c r="Q24" i="2"/>
  <c r="Q18" i="2"/>
  <c r="Q34" i="2"/>
  <c r="Q32" i="2"/>
  <c r="Q42" i="2"/>
  <c r="Q41" i="2"/>
  <c r="Q60" i="2"/>
  <c r="Q36" i="2"/>
  <c r="Q78" i="2"/>
  <c r="Q25" i="2"/>
  <c r="Q75" i="2"/>
  <c r="Q54" i="2"/>
  <c r="Q81" i="2"/>
  <c r="Q82" i="2"/>
  <c r="Q33" i="2"/>
  <c r="Q19" i="2"/>
  <c r="Q28" i="2"/>
  <c r="Q66" i="2"/>
  <c r="Q47" i="2"/>
  <c r="Q12" i="2"/>
  <c r="Q13" i="2"/>
  <c r="Q61" i="2"/>
  <c r="Q21" i="2"/>
  <c r="Q64" i="2"/>
  <c r="Q39" i="2"/>
  <c r="Q31" i="2"/>
  <c r="Q10" i="2"/>
  <c r="Q35" i="2"/>
  <c r="Q83" i="2"/>
  <c r="Q51" i="2"/>
  <c r="Q63" i="2"/>
  <c r="Q30" i="2"/>
  <c r="Q11" i="2"/>
  <c r="Q62" i="2"/>
  <c r="Q16" i="2"/>
  <c r="Q6" i="2"/>
  <c r="Q5" i="2"/>
  <c r="Q68" i="2"/>
  <c r="Q43" i="2"/>
  <c r="Q72" i="2"/>
  <c r="Q29" i="2"/>
  <c r="Q80" i="2"/>
  <c r="Q59" i="2"/>
  <c r="Q14" i="2"/>
  <c r="Q50" i="2"/>
  <c r="Q69" i="2"/>
  <c r="Q67" i="2"/>
  <c r="Q44" i="2"/>
  <c r="Q20" i="2"/>
  <c r="Q49" i="2"/>
  <c r="Q40" i="2"/>
  <c r="Q73" i="2"/>
  <c r="Q26" i="2"/>
  <c r="Q52" i="2"/>
  <c r="Q7" i="2"/>
  <c r="Q22" i="2"/>
  <c r="W43" i="2"/>
  <c r="W31" i="2"/>
  <c r="W55" i="2"/>
  <c r="W67" i="2"/>
  <c r="W65" i="2"/>
  <c r="W57" i="2"/>
  <c r="W20" i="2"/>
  <c r="W38" i="2"/>
  <c r="W49" i="2"/>
  <c r="W39" i="2"/>
  <c r="W21" i="2"/>
  <c r="W29" i="2"/>
  <c r="W17" i="2"/>
  <c r="W53" i="2"/>
  <c r="W73" i="2"/>
  <c r="W11" i="2"/>
  <c r="W8" i="2"/>
  <c r="W68" i="2"/>
  <c r="W66" i="2"/>
  <c r="W80" i="2"/>
  <c r="W13" i="2"/>
  <c r="W33" i="2"/>
  <c r="W40" i="2"/>
  <c r="W34" i="2"/>
  <c r="W37" i="2"/>
  <c r="W41" i="2"/>
  <c r="W82" i="2"/>
  <c r="W27" i="2"/>
  <c r="W16" i="2"/>
  <c r="W6" i="2"/>
  <c r="W69" i="2"/>
  <c r="W79" i="2"/>
  <c r="W75" i="2"/>
  <c r="W61" i="2"/>
  <c r="W18" i="2"/>
  <c r="W42" i="2"/>
  <c r="W5" i="2"/>
  <c r="W44" i="2"/>
  <c r="W30" i="2"/>
  <c r="W51" i="2"/>
  <c r="W50" i="2"/>
  <c r="W60" i="2"/>
  <c r="W74" i="2"/>
  <c r="W70" i="2"/>
  <c r="W83" i="2"/>
  <c r="W77" i="2"/>
  <c r="W25" i="2"/>
  <c r="W35" i="2"/>
  <c r="W71" i="2"/>
  <c r="W45" i="2"/>
  <c r="W9" i="2"/>
  <c r="W54" i="2"/>
  <c r="W46" i="2"/>
  <c r="W22" i="2"/>
  <c r="W23" i="2"/>
  <c r="W48" i="2"/>
  <c r="W14" i="2"/>
  <c r="W64" i="2"/>
  <c r="W72" i="2"/>
  <c r="W32" i="2"/>
  <c r="W28" i="2"/>
  <c r="W26" i="2"/>
  <c r="W52" i="2"/>
  <c r="W36" i="2"/>
  <c r="W59" i="2"/>
  <c r="W19" i="2"/>
  <c r="W63" i="2"/>
  <c r="W24" i="2"/>
  <c r="W15" i="2"/>
  <c r="W58" i="2"/>
  <c r="W56" i="2"/>
  <c r="W47" i="2"/>
  <c r="W10" i="2"/>
  <c r="W81" i="2"/>
  <c r="W78" i="2"/>
  <c r="W76" i="2"/>
  <c r="W62" i="2"/>
  <c r="W7" i="2"/>
  <c r="W12" i="2"/>
  <c r="G71" i="2"/>
  <c r="G65" i="2"/>
  <c r="G83" i="2"/>
  <c r="G41" i="2"/>
  <c r="G63" i="2"/>
  <c r="G48" i="2"/>
  <c r="G27" i="2"/>
  <c r="G54" i="2"/>
  <c r="G8" i="2"/>
  <c r="G62" i="2"/>
  <c r="G28" i="2"/>
  <c r="G40" i="2"/>
  <c r="G52" i="2"/>
  <c r="G67" i="2"/>
  <c r="G59" i="2"/>
  <c r="G73" i="2"/>
  <c r="G10" i="2"/>
  <c r="G34" i="2"/>
  <c r="G42" i="2"/>
  <c r="G77" i="2"/>
  <c r="G64" i="2"/>
  <c r="G25" i="2"/>
  <c r="G13" i="2"/>
  <c r="G38" i="2"/>
  <c r="G18" i="2"/>
  <c r="G37" i="2"/>
  <c r="G68" i="2"/>
  <c r="G45" i="2"/>
  <c r="G31" i="2"/>
  <c r="G58" i="2"/>
  <c r="G55" i="2"/>
  <c r="G69" i="2"/>
  <c r="G79" i="2"/>
  <c r="G78" i="2"/>
  <c r="G43" i="2"/>
  <c r="G80" i="2"/>
  <c r="G76" i="2"/>
  <c r="G82" i="2"/>
  <c r="G47" i="2"/>
  <c r="G46" i="2"/>
  <c r="G16" i="2"/>
  <c r="G60" i="2"/>
  <c r="G29" i="2"/>
  <c r="G57" i="2"/>
  <c r="G9" i="2"/>
  <c r="G17" i="2"/>
  <c r="G6" i="2"/>
  <c r="G36" i="2"/>
  <c r="G33" i="2"/>
  <c r="G61" i="2"/>
  <c r="G35" i="2"/>
  <c r="G75" i="2"/>
  <c r="G66" i="2"/>
  <c r="G23" i="2"/>
  <c r="G5" i="2"/>
  <c r="G12" i="2"/>
  <c r="G30" i="2"/>
  <c r="G81" i="2"/>
  <c r="G20" i="2"/>
  <c r="G19" i="2"/>
  <c r="G44" i="2"/>
  <c r="G22" i="2"/>
  <c r="G11" i="2"/>
  <c r="G53" i="2"/>
  <c r="G56" i="2"/>
  <c r="G50" i="2"/>
  <c r="G26" i="2"/>
  <c r="G32" i="2"/>
  <c r="G39" i="2"/>
  <c r="G51" i="2"/>
  <c r="G24" i="2"/>
  <c r="G49" i="2"/>
  <c r="G14" i="2"/>
  <c r="G21" i="2"/>
  <c r="G74" i="2"/>
  <c r="G70" i="2"/>
  <c r="G72" i="2"/>
  <c r="G7" i="2"/>
  <c r="G15" i="2"/>
  <c r="M66" i="2"/>
  <c r="M82" i="2"/>
  <c r="M56" i="2"/>
  <c r="M9" i="2"/>
  <c r="M73" i="2"/>
  <c r="M69" i="2"/>
  <c r="M61" i="2"/>
  <c r="M67" i="2"/>
  <c r="M45" i="2"/>
  <c r="M58" i="2"/>
  <c r="M51" i="2"/>
  <c r="M17" i="2"/>
  <c r="M47" i="2"/>
  <c r="M31" i="2"/>
  <c r="M80" i="2"/>
  <c r="M72" i="2"/>
  <c r="M38" i="2"/>
  <c r="M29" i="2"/>
  <c r="M13" i="2"/>
  <c r="M70" i="2"/>
  <c r="M64" i="2"/>
  <c r="M12" i="2"/>
  <c r="M32" i="2"/>
  <c r="M35" i="2"/>
  <c r="M41" i="2"/>
  <c r="M36" i="2"/>
  <c r="M77" i="2"/>
  <c r="M75" i="2"/>
  <c r="M28" i="2"/>
  <c r="M27" i="2"/>
  <c r="M39" i="2"/>
  <c r="M83" i="2"/>
  <c r="M76" i="2"/>
  <c r="M48" i="2"/>
  <c r="M20" i="2"/>
  <c r="M68" i="2"/>
  <c r="M44" i="2"/>
  <c r="M14" i="2"/>
  <c r="M78" i="2"/>
  <c r="M52" i="2"/>
  <c r="M59" i="2"/>
  <c r="M53" i="2"/>
  <c r="M57" i="2"/>
  <c r="M74" i="2"/>
  <c r="M37" i="2"/>
  <c r="M40" i="2"/>
  <c r="M8" i="2"/>
  <c r="M21" i="2"/>
  <c r="M65" i="2"/>
  <c r="M49" i="2"/>
  <c r="M24" i="2"/>
  <c r="M10" i="2"/>
  <c r="M26" i="2"/>
  <c r="M33" i="2"/>
  <c r="M16" i="2"/>
  <c r="M18" i="2"/>
  <c r="M30" i="2"/>
  <c r="M81" i="2"/>
  <c r="M23" i="2"/>
  <c r="M15" i="2"/>
  <c r="M63" i="2"/>
  <c r="M60" i="2"/>
  <c r="M42" i="2"/>
  <c r="M62" i="2"/>
  <c r="M79" i="2"/>
  <c r="M46" i="2"/>
  <c r="M43" i="2"/>
  <c r="M11" i="2"/>
  <c r="M71" i="2"/>
  <c r="M55" i="2"/>
  <c r="M54" i="2"/>
  <c r="M5" i="2"/>
  <c r="M50" i="2"/>
  <c r="M19" i="2"/>
  <c r="M34" i="2"/>
  <c r="M6" i="2"/>
  <c r="M25" i="2"/>
  <c r="M7" i="2"/>
  <c r="M22" i="2"/>
  <c r="S11" i="2"/>
  <c r="S56" i="2"/>
  <c r="S65" i="2"/>
  <c r="S73" i="2"/>
  <c r="S18" i="2"/>
  <c r="S31" i="2"/>
  <c r="S28" i="2"/>
  <c r="S66" i="2"/>
  <c r="S39" i="2"/>
  <c r="S61" i="2"/>
  <c r="S64" i="2"/>
  <c r="S83" i="2"/>
  <c r="S75" i="2"/>
  <c r="S54" i="2"/>
  <c r="S27" i="2"/>
  <c r="S5" i="2"/>
  <c r="S25" i="2"/>
  <c r="S62" i="2"/>
  <c r="S34" i="2"/>
  <c r="S24" i="2"/>
  <c r="S10" i="2"/>
  <c r="S76" i="2"/>
  <c r="S41" i="2"/>
  <c r="S52" i="2"/>
  <c r="S69" i="2"/>
  <c r="S9" i="2"/>
  <c r="S67" i="2"/>
  <c r="S36" i="2"/>
  <c r="S30" i="2"/>
  <c r="S17" i="2"/>
  <c r="S57" i="2"/>
  <c r="S42" i="2"/>
  <c r="S79" i="2"/>
  <c r="S43" i="2"/>
  <c r="S46" i="2"/>
  <c r="S37" i="2"/>
  <c r="S71" i="2"/>
  <c r="S6" i="2"/>
  <c r="S47" i="2"/>
  <c r="S22" i="2"/>
  <c r="S29" i="2"/>
  <c r="S49" i="2"/>
  <c r="S50" i="2"/>
  <c r="S32" i="2"/>
  <c r="S21" i="2"/>
  <c r="S33" i="2"/>
  <c r="S40" i="2"/>
  <c r="S20" i="2"/>
  <c r="S68" i="2"/>
  <c r="S26" i="2"/>
  <c r="S58" i="2"/>
  <c r="S12" i="2"/>
  <c r="S38" i="2"/>
  <c r="S59" i="2"/>
  <c r="S55" i="2"/>
  <c r="S80" i="2"/>
  <c r="S60" i="2"/>
  <c r="S82" i="2"/>
  <c r="S70" i="2"/>
  <c r="S78" i="2"/>
  <c r="S8" i="2"/>
  <c r="S14" i="2"/>
  <c r="S44" i="2"/>
  <c r="S72" i="2"/>
  <c r="S48" i="2"/>
  <c r="S13" i="2"/>
  <c r="S45" i="2"/>
  <c r="S16" i="2"/>
  <c r="S74" i="2"/>
  <c r="S19" i="2"/>
  <c r="S77" i="2"/>
  <c r="S23" i="2"/>
  <c r="S15" i="2"/>
  <c r="S63" i="2"/>
  <c r="S51" i="2"/>
  <c r="S53" i="2"/>
  <c r="S35" i="2"/>
  <c r="S7" i="2"/>
  <c r="S81" i="2"/>
  <c r="E12" i="25" l="1"/>
  <c r="D13" i="25"/>
  <c r="D15" i="25"/>
  <c r="D14" i="25" a="1"/>
  <c r="D14" i="25" s="1"/>
  <c r="B24" i="25" a="1"/>
  <c r="B24" i="25" s="1"/>
  <c r="B23" i="25"/>
  <c r="C22" i="25"/>
  <c r="B27" i="25"/>
  <c r="B25" i="25"/>
  <c r="C19" i="25" a="1"/>
  <c r="C19" i="25" s="1"/>
  <c r="C18" i="25"/>
  <c r="C20" i="25"/>
  <c r="D17" i="25"/>
  <c r="J5" i="26"/>
  <c r="J3" i="26"/>
  <c r="J4" i="26"/>
  <c r="H13" i="26"/>
  <c r="H14" i="26"/>
  <c r="H15" i="26"/>
  <c r="H9" i="26"/>
  <c r="H10" i="26"/>
  <c r="H8" i="26"/>
  <c r="F9" i="25" a="1"/>
  <c r="F9" i="25" s="1"/>
  <c r="F10" i="25"/>
  <c r="F8" i="25"/>
  <c r="J7" i="26"/>
  <c r="J12" i="26"/>
  <c r="D35" i="24"/>
  <c r="F35" i="24" s="1"/>
  <c r="K35" i="24"/>
  <c r="C36" i="24"/>
  <c r="K33" i="24"/>
  <c r="D34" i="24"/>
  <c r="D33" i="24"/>
  <c r="F33" i="24" s="1"/>
  <c r="D33" i="3" a="1"/>
  <c r="D33" i="3" s="1"/>
  <c r="B33" i="3" a="1"/>
  <c r="B33" i="3" s="1"/>
  <c r="D64" i="3" a="1"/>
  <c r="D64" i="3" s="1"/>
  <c r="B64" i="3" a="1"/>
  <c r="B64" i="3" s="1"/>
  <c r="B47" i="3" a="1"/>
  <c r="B47" i="3" s="1"/>
  <c r="D47" i="3" a="1"/>
  <c r="D47" i="3" s="1"/>
  <c r="B46" i="3" a="1"/>
  <c r="B46" i="3" s="1"/>
  <c r="D46" i="3" a="1"/>
  <c r="D46" i="3" s="1"/>
  <c r="B45" i="3" a="1"/>
  <c r="B45" i="3" s="1"/>
  <c r="D45" i="3" a="1"/>
  <c r="D45" i="3" s="1"/>
  <c r="B69" i="3" a="1"/>
  <c r="B69" i="3" s="1"/>
  <c r="D69" i="3" a="1"/>
  <c r="D69" i="3" s="1"/>
  <c r="B21" i="3" a="1"/>
  <c r="B21" i="3" s="1"/>
  <c r="D21" i="3" a="1"/>
  <c r="D21" i="3" s="1"/>
  <c r="B68" i="3" a="1"/>
  <c r="B68" i="3" s="1"/>
  <c r="D68" i="3" a="1"/>
  <c r="D68" i="3" s="1"/>
  <c r="B36" i="3" a="1"/>
  <c r="B36" i="3" s="1"/>
  <c r="D36" i="3" a="1"/>
  <c r="D36" i="3" s="1"/>
  <c r="D4" i="3" a="1"/>
  <c r="D4" i="3" s="1"/>
  <c r="B4" i="3" a="1"/>
  <c r="B4" i="3" s="1"/>
  <c r="D67" i="3" a="1"/>
  <c r="D67" i="3" s="1"/>
  <c r="B67" i="3" a="1"/>
  <c r="B67" i="3" s="1"/>
  <c r="B51" i="3" a="1"/>
  <c r="B51" i="3" s="1"/>
  <c r="D51" i="3" a="1"/>
  <c r="D51" i="3" s="1"/>
  <c r="D35" i="3" a="1"/>
  <c r="D35" i="3" s="1"/>
  <c r="B35" i="3" a="1"/>
  <c r="B35" i="3" s="1"/>
  <c r="D19" i="3" a="1"/>
  <c r="D19" i="3" s="1"/>
  <c r="B19" i="3" a="1"/>
  <c r="B19" i="3" s="1"/>
  <c r="D65" i="3" a="1"/>
  <c r="D65" i="3" s="1"/>
  <c r="B65" i="3" a="1"/>
  <c r="B65" i="3" s="1"/>
  <c r="B60" i="3" a="1"/>
  <c r="B60" i="3" s="1"/>
  <c r="D60" i="3" a="1"/>
  <c r="D60" i="3" s="1"/>
  <c r="D53" i="3" a="1"/>
  <c r="D53" i="3" s="1"/>
  <c r="B53" i="3" a="1"/>
  <c r="B53" i="3" s="1"/>
  <c r="D37" i="3" a="1"/>
  <c r="D37" i="3" s="1"/>
  <c r="B37" i="3" a="1"/>
  <c r="B37" i="3" s="1"/>
  <c r="D5" i="3" a="1"/>
  <c r="D5" i="3" s="1"/>
  <c r="B5" i="3" a="1"/>
  <c r="B5" i="3" s="1"/>
  <c r="D52" i="3" a="1"/>
  <c r="D52" i="3" s="1"/>
  <c r="B52" i="3" a="1"/>
  <c r="B52" i="3" s="1"/>
  <c r="D20" i="3" a="1"/>
  <c r="D20" i="3" s="1"/>
  <c r="B20" i="3" a="1"/>
  <c r="B20" i="3" s="1"/>
  <c r="D66" i="3" a="1"/>
  <c r="D66" i="3" s="1"/>
  <c r="B66" i="3" a="1"/>
  <c r="B66" i="3" s="1"/>
  <c r="B50" i="3" a="1"/>
  <c r="B50" i="3" s="1"/>
  <c r="D50" i="3" a="1"/>
  <c r="D50" i="3" s="1"/>
  <c r="D34" i="3" a="1"/>
  <c r="D34" i="3" s="1"/>
  <c r="B34" i="3" a="1"/>
  <c r="B34" i="3" s="1"/>
  <c r="B18" i="3" a="1"/>
  <c r="B18" i="3" s="1"/>
  <c r="D18" i="3" a="1"/>
  <c r="D18" i="3" s="1"/>
  <c r="B31" i="3" a="1"/>
  <c r="B31" i="3" s="1"/>
  <c r="D31" i="3" a="1"/>
  <c r="D31" i="3" s="1"/>
  <c r="D61" i="3" a="1"/>
  <c r="D61" i="3" s="1"/>
  <c r="B61" i="3" a="1"/>
  <c r="B61" i="3" s="1"/>
  <c r="D28" i="3" a="1"/>
  <c r="D28" i="3" s="1"/>
  <c r="B28" i="3" a="1"/>
  <c r="B28" i="3" s="1"/>
  <c r="B27" i="3" a="1"/>
  <c r="B27" i="3" s="1"/>
  <c r="D27" i="3" a="1"/>
  <c r="D27" i="3" s="1"/>
  <c r="D74" i="3" a="1"/>
  <c r="D74" i="3" s="1"/>
  <c r="B74" i="3" a="1"/>
  <c r="B74" i="3" s="1"/>
  <c r="B58" i="3" a="1"/>
  <c r="B58" i="3" s="1"/>
  <c r="D58" i="3" a="1"/>
  <c r="D58" i="3" s="1"/>
  <c r="B26" i="3" a="1"/>
  <c r="B26" i="3" s="1"/>
  <c r="D26" i="3" a="1"/>
  <c r="D26" i="3" s="1"/>
  <c r="D25" i="3" a="1"/>
  <c r="D25" i="3" s="1"/>
  <c r="B25" i="3" a="1"/>
  <c r="B25" i="3" s="1"/>
  <c r="D9" i="3" a="1"/>
  <c r="D9" i="3" s="1"/>
  <c r="B9" i="3" a="1"/>
  <c r="B9" i="3" s="1"/>
  <c r="B75" i="3" a="1"/>
  <c r="B75" i="3" s="1"/>
  <c r="D75" i="3" a="1"/>
  <c r="D75" i="3" s="1"/>
  <c r="D57" i="3" a="1"/>
  <c r="D57" i="3" s="1"/>
  <c r="B57" i="3" a="1"/>
  <c r="B57" i="3" s="1"/>
  <c r="B72" i="3" a="1"/>
  <c r="B72" i="3" s="1"/>
  <c r="D72" i="3" a="1"/>
  <c r="D72" i="3" s="1"/>
  <c r="D56" i="3" a="1"/>
  <c r="D56" i="3" s="1"/>
  <c r="B56" i="3" a="1"/>
  <c r="B56" i="3" s="1"/>
  <c r="B40" i="3" a="1"/>
  <c r="B40" i="3" s="1"/>
  <c r="D40" i="3" a="1"/>
  <c r="D40" i="3" s="1"/>
  <c r="D24" i="3" a="1"/>
  <c r="D24" i="3" s="1"/>
  <c r="B24" i="3" a="1"/>
  <c r="B24" i="3" s="1"/>
  <c r="B8" i="3" a="1"/>
  <c r="B8" i="3" s="1"/>
  <c r="D8" i="3" a="1"/>
  <c r="D8" i="3" s="1"/>
  <c r="D73" i="3" a="1"/>
  <c r="D73" i="3" s="1"/>
  <c r="B73" i="3" a="1"/>
  <c r="B73" i="3" s="1"/>
  <c r="B71" i="3" a="1"/>
  <c r="B71" i="3" s="1"/>
  <c r="D71" i="3" a="1"/>
  <c r="D71" i="3" s="1"/>
  <c r="D55" i="3" a="1"/>
  <c r="D55" i="3" s="1"/>
  <c r="B55" i="3" a="1"/>
  <c r="B55" i="3" s="1"/>
  <c r="B39" i="3" a="1"/>
  <c r="B39" i="3" s="1"/>
  <c r="D39" i="3" a="1"/>
  <c r="D39" i="3" s="1"/>
  <c r="B23" i="3" a="1"/>
  <c r="B23" i="3" s="1"/>
  <c r="D23" i="3" a="1"/>
  <c r="D23" i="3" s="1"/>
  <c r="D7" i="3" a="1"/>
  <c r="D7" i="3" s="1"/>
  <c r="B7" i="3" a="1"/>
  <c r="B7" i="3" s="1"/>
  <c r="B49" i="3" a="1"/>
  <c r="B49" i="3" s="1"/>
  <c r="D49" i="3" a="1"/>
  <c r="D49" i="3" s="1"/>
  <c r="B17" i="3" a="1"/>
  <c r="B17" i="3" s="1"/>
  <c r="D17" i="3" a="1"/>
  <c r="D17" i="3" s="1"/>
  <c r="D48" i="3" a="1"/>
  <c r="D48" i="3" s="1"/>
  <c r="B48" i="3" a="1"/>
  <c r="B48" i="3" s="1"/>
  <c r="B32" i="3" a="1"/>
  <c r="B32" i="3" s="1"/>
  <c r="D32" i="3" a="1"/>
  <c r="D32" i="3" s="1"/>
  <c r="D16" i="3" a="1"/>
  <c r="D16" i="3" s="1"/>
  <c r="B16" i="3" a="1"/>
  <c r="B16" i="3" s="1"/>
  <c r="D63" i="3" a="1"/>
  <c r="D63" i="3" s="1"/>
  <c r="B63" i="3" a="1"/>
  <c r="B63" i="3" s="1"/>
  <c r="B15" i="3" a="1"/>
  <c r="B15" i="3" s="1"/>
  <c r="D15" i="3" a="1"/>
  <c r="D15" i="3" s="1"/>
  <c r="D62" i="3" a="1"/>
  <c r="D62" i="3" s="1"/>
  <c r="B62" i="3" a="1"/>
  <c r="B62" i="3" s="1"/>
  <c r="B30" i="3" a="1"/>
  <c r="B30" i="3" s="1"/>
  <c r="D30" i="3" a="1"/>
  <c r="D30" i="3" s="1"/>
  <c r="B14" i="3" a="1"/>
  <c r="B14" i="3" s="1"/>
  <c r="D14" i="3" a="1"/>
  <c r="D14" i="3" s="1"/>
  <c r="D77" i="3" a="1"/>
  <c r="D77" i="3" s="1"/>
  <c r="B77" i="3" a="1"/>
  <c r="B77" i="3" s="1"/>
  <c r="B29" i="3" a="1"/>
  <c r="B29" i="3" s="1"/>
  <c r="D29" i="3" a="1"/>
  <c r="D29" i="3" s="1"/>
  <c r="B13" i="3" a="1"/>
  <c r="B13" i="3" s="1"/>
  <c r="D13" i="3" a="1"/>
  <c r="D13" i="3" s="1"/>
  <c r="D76" i="3" a="1"/>
  <c r="D76" i="3" s="1"/>
  <c r="B76" i="3" a="1"/>
  <c r="B76" i="3" s="1"/>
  <c r="D44" i="3" a="1"/>
  <c r="D44" i="3" s="1"/>
  <c r="B44" i="3" a="1"/>
  <c r="B44" i="3" s="1"/>
  <c r="B12" i="3" a="1"/>
  <c r="B12" i="3" s="1"/>
  <c r="D12" i="3" a="1"/>
  <c r="D12" i="3" s="1"/>
  <c r="B59" i="3" a="1"/>
  <c r="B59" i="3" s="1"/>
  <c r="D59" i="3" a="1"/>
  <c r="D59" i="3" s="1"/>
  <c r="D43" i="3" a="1"/>
  <c r="D43" i="3" s="1"/>
  <c r="B43" i="3" a="1"/>
  <c r="B43" i="3" s="1"/>
  <c r="B11" i="3" a="1"/>
  <c r="B11" i="3" s="1"/>
  <c r="D11" i="3" a="1"/>
  <c r="D11" i="3" s="1"/>
  <c r="B42" i="3" a="1"/>
  <c r="B42" i="3" s="1"/>
  <c r="D42" i="3" a="1"/>
  <c r="D42" i="3" s="1"/>
  <c r="D10" i="3" a="1"/>
  <c r="D10" i="3" s="1"/>
  <c r="B10" i="3" a="1"/>
  <c r="B10" i="3" s="1"/>
  <c r="B41" i="3" a="1"/>
  <c r="B41" i="3" s="1"/>
  <c r="D41" i="3" a="1"/>
  <c r="D41" i="3" s="1"/>
  <c r="B70" i="3" a="1"/>
  <c r="B70" i="3" s="1"/>
  <c r="D70" i="3" a="1"/>
  <c r="D70" i="3" s="1"/>
  <c r="B54" i="3" a="1"/>
  <c r="B54" i="3" s="1"/>
  <c r="D54" i="3" a="1"/>
  <c r="D54" i="3" s="1"/>
  <c r="D38" i="3" a="1"/>
  <c r="D38" i="3" s="1"/>
  <c r="B38" i="3" a="1"/>
  <c r="B38" i="3" s="1"/>
  <c r="B22" i="3" a="1"/>
  <c r="B22" i="3" s="1"/>
  <c r="D22" i="3" a="1"/>
  <c r="D22" i="3" s="1"/>
  <c r="D6" i="3" a="1"/>
  <c r="D6" i="3" s="1"/>
  <c r="B6" i="3" a="1"/>
  <c r="B6" i="3" s="1"/>
  <c r="B28" i="23"/>
  <c r="B3" i="3" a="1"/>
  <c r="B3" i="3" s="1"/>
  <c r="D3" i="3" a="1"/>
  <c r="D3" i="3" s="1"/>
  <c r="D20" i="25" l="1"/>
  <c r="E17" i="25"/>
  <c r="D19" i="25" a="1"/>
  <c r="D19" i="25" s="1"/>
  <c r="D18" i="25"/>
  <c r="B30" i="25"/>
  <c r="B28" i="25"/>
  <c r="B29" i="25" a="1"/>
  <c r="B29" i="25" s="1"/>
  <c r="C27" i="25"/>
  <c r="B32" i="25"/>
  <c r="D22" i="25"/>
  <c r="C23" i="25"/>
  <c r="C25" i="25"/>
  <c r="C24" i="25" a="1"/>
  <c r="C24" i="25" s="1"/>
  <c r="F12" i="25"/>
  <c r="E13" i="25"/>
  <c r="E14" i="25" a="1"/>
  <c r="E14" i="25" s="1"/>
  <c r="E15" i="25"/>
  <c r="J9" i="26"/>
  <c r="J10" i="26"/>
  <c r="J8" i="26"/>
  <c r="J14" i="26"/>
  <c r="J15" i="26"/>
  <c r="J13" i="26"/>
  <c r="D38" i="24"/>
  <c r="F38" i="24" s="1"/>
  <c r="K36" i="24"/>
  <c r="C39" i="24"/>
  <c r="K38" i="24"/>
  <c r="D36" i="24"/>
  <c r="F36" i="24" s="1"/>
  <c r="D37" i="24"/>
  <c r="B31" i="23"/>
  <c r="F14" i="25" l="1" a="1"/>
  <c r="F14" i="25" s="1"/>
  <c r="F13" i="25"/>
  <c r="F15" i="25"/>
  <c r="C32" i="25"/>
  <c r="B35" i="25"/>
  <c r="B34" i="25" a="1"/>
  <c r="B34" i="25" s="1"/>
  <c r="B37" i="25"/>
  <c r="B33" i="25"/>
  <c r="E22" i="25"/>
  <c r="D24" i="25" a="1"/>
  <c r="D24" i="25" s="1"/>
  <c r="D25" i="25"/>
  <c r="D23" i="25"/>
  <c r="C29" i="25" a="1"/>
  <c r="C29" i="25" s="1"/>
  <c r="C30" i="25"/>
  <c r="C28" i="25"/>
  <c r="D27" i="25"/>
  <c r="F17" i="25"/>
  <c r="E19" i="25" a="1"/>
  <c r="E19" i="25" s="1"/>
  <c r="E20" i="25"/>
  <c r="E18" i="25"/>
  <c r="D41" i="24"/>
  <c r="F41" i="24" s="1"/>
  <c r="K41" i="24"/>
  <c r="C42" i="24"/>
  <c r="K39" i="24"/>
  <c r="D40" i="24"/>
  <c r="D39" i="24"/>
  <c r="F39" i="24" s="1"/>
  <c r="B34" i="23"/>
  <c r="F18" i="25" l="1"/>
  <c r="F20" i="25"/>
  <c r="F19" i="25" a="1"/>
  <c r="F19" i="25" s="1"/>
  <c r="E27" i="25"/>
  <c r="D30" i="25"/>
  <c r="D29" i="25" a="1"/>
  <c r="D29" i="25" s="1"/>
  <c r="D28" i="25"/>
  <c r="B38" i="25"/>
  <c r="B42" i="25"/>
  <c r="C37" i="25"/>
  <c r="B40" i="25"/>
  <c r="B39" i="25" a="1"/>
  <c r="B39" i="25" s="1"/>
  <c r="E24" i="25" a="1"/>
  <c r="E24" i="25" s="1"/>
  <c r="E23" i="25"/>
  <c r="F22" i="25"/>
  <c r="E25" i="25"/>
  <c r="C33" i="25"/>
  <c r="D32" i="25"/>
  <c r="C35" i="25"/>
  <c r="C34" i="25" a="1"/>
  <c r="C34" i="25" s="1"/>
  <c r="D43" i="24"/>
  <c r="D42" i="24"/>
  <c r="F42" i="24" s="1"/>
  <c r="D44" i="24"/>
  <c r="F44" i="24" s="1"/>
  <c r="C46" i="24"/>
  <c r="B37" i="23"/>
  <c r="F23" i="25" l="1"/>
  <c r="F24" i="25" a="1"/>
  <c r="F24" i="25" s="1"/>
  <c r="F25" i="25"/>
  <c r="B45" i="25"/>
  <c r="C42" i="25"/>
  <c r="B44" i="25" a="1"/>
  <c r="B44" i="25" s="1"/>
  <c r="B47" i="25"/>
  <c r="B43" i="25"/>
  <c r="C38" i="25"/>
  <c r="D37" i="25"/>
  <c r="C40" i="25"/>
  <c r="C39" i="25" a="1"/>
  <c r="C39" i="25" s="1"/>
  <c r="E30" i="25"/>
  <c r="F27" i="25"/>
  <c r="E29" i="25" a="1"/>
  <c r="E29" i="25" s="1"/>
  <c r="E28" i="25"/>
  <c r="D34" i="25" a="1"/>
  <c r="D34" i="25" s="1"/>
  <c r="D33" i="25"/>
  <c r="E32" i="25"/>
  <c r="D35" i="25"/>
  <c r="D48" i="24"/>
  <c r="F48" i="24" s="1"/>
  <c r="C49" i="24"/>
  <c r="D46" i="24"/>
  <c r="F46" i="24" s="1"/>
  <c r="D47" i="24"/>
  <c r="B40" i="23"/>
  <c r="F28" i="25" l="1"/>
  <c r="F30" i="25"/>
  <c r="F29" i="25" a="1"/>
  <c r="F29" i="25" s="1"/>
  <c r="B48" i="25"/>
  <c r="C47" i="25"/>
  <c r="B50" i="25"/>
  <c r="B49" i="25" a="1"/>
  <c r="B49" i="25" s="1"/>
  <c r="C44" i="25" a="1"/>
  <c r="C44" i="25" s="1"/>
  <c r="C43" i="25"/>
  <c r="C45" i="25"/>
  <c r="D42" i="25"/>
  <c r="E37" i="25"/>
  <c r="D39" i="25" a="1"/>
  <c r="D39" i="25" s="1"/>
  <c r="D38" i="25"/>
  <c r="D40" i="25"/>
  <c r="E33" i="25"/>
  <c r="E34" i="25" a="1"/>
  <c r="E34" i="25" s="1"/>
  <c r="E35" i="25"/>
  <c r="F32" i="25"/>
  <c r="D49" i="24"/>
  <c r="F49" i="24" s="1"/>
  <c r="D51" i="24"/>
  <c r="F51" i="24" s="1"/>
  <c r="D50" i="24"/>
  <c r="C52" i="24"/>
  <c r="B43" i="23"/>
  <c r="D43" i="25" l="1"/>
  <c r="D44" i="25" a="1"/>
  <c r="D44" i="25" s="1"/>
  <c r="D45" i="25"/>
  <c r="E42" i="25"/>
  <c r="C49" i="25" a="1"/>
  <c r="C49" i="25" s="1"/>
  <c r="C48" i="25"/>
  <c r="D47" i="25"/>
  <c r="C50" i="25"/>
  <c r="E38" i="25"/>
  <c r="E40" i="25"/>
  <c r="E39" i="25" a="1"/>
  <c r="E39" i="25" s="1"/>
  <c r="F37" i="25"/>
  <c r="F34" i="25" a="1"/>
  <c r="F34" i="25" s="1"/>
  <c r="F35" i="25"/>
  <c r="F33" i="25"/>
  <c r="D54" i="24"/>
  <c r="F54" i="24" s="1"/>
  <c r="C55" i="24"/>
  <c r="D52" i="24"/>
  <c r="F52" i="24" s="1"/>
  <c r="D53" i="24"/>
  <c r="B46" i="23"/>
  <c r="E44" i="25" l="1" a="1"/>
  <c r="E44" i="25" s="1"/>
  <c r="E43" i="25"/>
  <c r="F42" i="25"/>
  <c r="E45" i="25"/>
  <c r="D48" i="25"/>
  <c r="D49" i="25" a="1"/>
  <c r="D49" i="25" s="1"/>
  <c r="D50" i="25"/>
  <c r="E47" i="25"/>
  <c r="F40" i="25"/>
  <c r="F38" i="25"/>
  <c r="F39" i="25" a="1"/>
  <c r="F39" i="25" s="1"/>
  <c r="D57" i="24"/>
  <c r="F57" i="24" s="1"/>
  <c r="C58" i="24"/>
  <c r="D55" i="24"/>
  <c r="F55" i="24" s="1"/>
  <c r="D56" i="24"/>
  <c r="B49" i="23"/>
  <c r="E49" i="25" l="1" a="1"/>
  <c r="E49" i="25" s="1"/>
  <c r="E50" i="25"/>
  <c r="E48" i="25"/>
  <c r="F47" i="25"/>
  <c r="F43" i="25"/>
  <c r="F45" i="25"/>
  <c r="F44" i="25" a="1"/>
  <c r="F44" i="25" s="1"/>
  <c r="D60" i="24"/>
  <c r="F60" i="24" s="1"/>
  <c r="C61" i="24"/>
  <c r="D58" i="24"/>
  <c r="F58" i="24" s="1"/>
  <c r="D59" i="24"/>
  <c r="B52" i="23"/>
  <c r="F49" i="25" l="1" a="1"/>
  <c r="F49" i="25" s="1"/>
  <c r="F48" i="25"/>
  <c r="F50" i="25"/>
  <c r="D63" i="24"/>
  <c r="F63" i="24" s="1"/>
  <c r="C64" i="24"/>
  <c r="D61" i="24"/>
  <c r="F61" i="24" s="1"/>
  <c r="D62" i="24"/>
  <c r="B55" i="23"/>
  <c r="D65" i="24" l="1"/>
  <c r="D64" i="24"/>
  <c r="F64" i="24" s="1"/>
  <c r="D66" i="24"/>
  <c r="F66" i="24" s="1"/>
  <c r="B58" i="23"/>
  <c r="B61" i="23" l="1"/>
  <c r="B64" i="23" l="1"/>
  <c r="B67" i="23" l="1"/>
  <c r="B70" i="23" l="1"/>
  <c r="B73" i="23" l="1"/>
  <c r="B76" i="23" l="1"/>
  <c r="B79" i="23" l="1"/>
  <c r="B82" i="23" l="1"/>
  <c r="B85" i="23" l="1"/>
  <c r="B88" i="23" l="1"/>
  <c r="B91" i="23" l="1"/>
  <c r="B94" i="23" l="1"/>
  <c r="B97" i="23" l="1"/>
  <c r="B100" i="23" l="1"/>
  <c r="B103" i="23" l="1"/>
  <c r="B106" i="23" l="1"/>
  <c r="B109" i="23" l="1"/>
  <c r="B112" i="23" l="1"/>
  <c r="B115" i="23" l="1"/>
  <c r="B118" i="23" l="1"/>
  <c r="B121" i="23" l="1"/>
  <c r="B124" i="23" l="1"/>
  <c r="B127" i="23" l="1"/>
  <c r="B130" i="23" l="1"/>
  <c r="B133" i="23" l="1"/>
  <c r="B136" i="23" l="1"/>
  <c r="B139" i="23" l="1"/>
  <c r="B142" i="23" l="1"/>
  <c r="B145" i="23" l="1"/>
  <c r="B148" i="23" l="1"/>
  <c r="B151" i="2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<sst xmlns="http://schemas.openxmlformats.org/spreadsheetml/2006/main" count="9200" uniqueCount="2590">
  <si>
    <t>十五音</t>
  </si>
  <si>
    <t>英</t>
    <phoneticPr fontId="2" type="noConversion"/>
  </si>
  <si>
    <t>邊</t>
  </si>
  <si>
    <t>頗</t>
  </si>
  <si>
    <t>門</t>
  </si>
  <si>
    <t>地</t>
  </si>
  <si>
    <t>他</t>
  </si>
  <si>
    <t>柳</t>
  </si>
  <si>
    <t>求</t>
  </si>
  <si>
    <t>去</t>
  </si>
  <si>
    <t>語</t>
  </si>
  <si>
    <t>喜</t>
  </si>
  <si>
    <t>曾</t>
  </si>
  <si>
    <t>出</t>
  </si>
  <si>
    <t>時</t>
  </si>
  <si>
    <t>入</t>
  </si>
  <si>
    <t>入</t>
    <phoneticPr fontId="2" type="noConversion"/>
  </si>
  <si>
    <t>漢字例</t>
    <phoneticPr fontId="2" type="noConversion"/>
  </si>
  <si>
    <t>恩</t>
    <phoneticPr fontId="2" type="noConversion"/>
  </si>
  <si>
    <t>比</t>
    <phoneticPr fontId="2" type="noConversion"/>
  </si>
  <si>
    <t>鼻</t>
    <phoneticPr fontId="2" type="noConversion"/>
  </si>
  <si>
    <t>文</t>
    <phoneticPr fontId="2" type="noConversion"/>
  </si>
  <si>
    <t>毛</t>
    <phoneticPr fontId="2" type="noConversion"/>
  </si>
  <si>
    <t>底</t>
    <phoneticPr fontId="2" type="noConversion"/>
  </si>
  <si>
    <t>替</t>
    <phoneticPr fontId="2" type="noConversion"/>
  </si>
  <si>
    <t>理</t>
    <phoneticPr fontId="2" type="noConversion"/>
  </si>
  <si>
    <t>耐</t>
    <phoneticPr fontId="2" type="noConversion"/>
  </si>
  <si>
    <t>己</t>
    <phoneticPr fontId="2" type="noConversion"/>
  </si>
  <si>
    <t>起</t>
    <phoneticPr fontId="2" type="noConversion"/>
  </si>
  <si>
    <t>禦</t>
    <phoneticPr fontId="2" type="noConversion"/>
  </si>
  <si>
    <t>雅</t>
    <phoneticPr fontId="2" type="noConversion"/>
  </si>
  <si>
    <t>非</t>
    <phoneticPr fontId="2" type="noConversion"/>
  </si>
  <si>
    <t>阻</t>
    <phoneticPr fontId="2" type="noConversion"/>
  </si>
  <si>
    <t>止</t>
    <phoneticPr fontId="2" type="noConversion"/>
  </si>
  <si>
    <t>取</t>
    <phoneticPr fontId="2" type="noConversion"/>
  </si>
  <si>
    <t>測</t>
    <phoneticPr fontId="2" type="noConversion"/>
  </si>
  <si>
    <t>詞</t>
    <phoneticPr fontId="2" type="noConversion"/>
  </si>
  <si>
    <t>施</t>
    <phoneticPr fontId="2" type="noConversion"/>
  </si>
  <si>
    <t>如</t>
    <phoneticPr fontId="2" type="noConversion"/>
  </si>
  <si>
    <t>二</t>
    <phoneticPr fontId="2" type="noConversion"/>
  </si>
  <si>
    <t>台羅拼音</t>
    <phoneticPr fontId="2" type="noConversion"/>
  </si>
  <si>
    <t>p</t>
  </si>
  <si>
    <t>ph</t>
  </si>
  <si>
    <t>b</t>
  </si>
  <si>
    <t>m</t>
  </si>
  <si>
    <t>t</t>
  </si>
  <si>
    <t>th</t>
  </si>
  <si>
    <t>l</t>
  </si>
  <si>
    <t>n</t>
  </si>
  <si>
    <t>k</t>
  </si>
  <si>
    <t>kh</t>
  </si>
  <si>
    <t>g</t>
  </si>
  <si>
    <t>ng</t>
  </si>
  <si>
    <t>h</t>
  </si>
  <si>
    <t>ts</t>
  </si>
  <si>
    <t>tsi</t>
  </si>
  <si>
    <t>tsh</t>
  </si>
  <si>
    <t>tshi</t>
  </si>
  <si>
    <t>s</t>
  </si>
  <si>
    <t>si</t>
  </si>
  <si>
    <t>j</t>
  </si>
  <si>
    <t>ji</t>
    <phoneticPr fontId="2" type="noConversion"/>
  </si>
  <si>
    <t>君（舒）</t>
  </si>
  <si>
    <t>君（促）</t>
  </si>
  <si>
    <t>堅（舒）</t>
  </si>
  <si>
    <t>堅（促）</t>
  </si>
  <si>
    <t>金（舒）</t>
  </si>
  <si>
    <t>金（促）</t>
  </si>
  <si>
    <t>規（舒）</t>
  </si>
  <si>
    <t>規（促）</t>
  </si>
  <si>
    <t>嘉（舒）</t>
  </si>
  <si>
    <t>嘉（促）</t>
  </si>
  <si>
    <t>干（舒）</t>
  </si>
  <si>
    <t>干（促）</t>
  </si>
  <si>
    <t>公（舒）</t>
  </si>
  <si>
    <t>公（促）</t>
  </si>
  <si>
    <t>乖（舒）</t>
  </si>
  <si>
    <t>乖（促）</t>
  </si>
  <si>
    <t>經（舒）</t>
  </si>
  <si>
    <t>經（促）</t>
  </si>
  <si>
    <t>觀（舒）</t>
  </si>
  <si>
    <t>觀（促）</t>
  </si>
  <si>
    <t>沽（舒）</t>
  </si>
  <si>
    <t>沽（促）</t>
  </si>
  <si>
    <t>嬌（舒）</t>
  </si>
  <si>
    <t>嬌（促）</t>
  </si>
  <si>
    <t>稽（舒）</t>
  </si>
  <si>
    <t>稽（促）</t>
  </si>
  <si>
    <t>恭（舒）</t>
  </si>
  <si>
    <t>恭（促）</t>
  </si>
  <si>
    <t>高（舒）</t>
  </si>
  <si>
    <t>高（促）</t>
  </si>
  <si>
    <t>皆（舒）</t>
  </si>
  <si>
    <t>皆（促）</t>
  </si>
  <si>
    <t>巾（舒）</t>
  </si>
  <si>
    <t>巾（促）</t>
  </si>
  <si>
    <t>姜（舒）</t>
  </si>
  <si>
    <t>姜（促）</t>
  </si>
  <si>
    <t>甘（舒）</t>
  </si>
  <si>
    <t>甘（促）</t>
  </si>
  <si>
    <t>瓜（舒）</t>
  </si>
  <si>
    <t>瓜（促）</t>
  </si>
  <si>
    <t>江（舒）</t>
  </si>
  <si>
    <t>江（促）</t>
  </si>
  <si>
    <t>兼（舒）</t>
  </si>
  <si>
    <t>兼（促）</t>
  </si>
  <si>
    <t>交（舒）</t>
  </si>
  <si>
    <t>交（促）</t>
  </si>
  <si>
    <t>迦（舒）</t>
  </si>
  <si>
    <t>迦（促）</t>
  </si>
  <si>
    <t>檜（舒）</t>
  </si>
  <si>
    <t>檜（促）</t>
  </si>
  <si>
    <t>監（舒）</t>
  </si>
  <si>
    <t>監（促）</t>
  </si>
  <si>
    <t>艍（舒）</t>
  </si>
  <si>
    <t>艍（促）</t>
  </si>
  <si>
    <t>膠（舒）</t>
  </si>
  <si>
    <t>膠（促）</t>
  </si>
  <si>
    <t>居（舒）</t>
  </si>
  <si>
    <t>居（促）</t>
  </si>
  <si>
    <t>丩（舒）</t>
  </si>
  <si>
    <t>丩（促）</t>
  </si>
  <si>
    <t>更（舒）</t>
  </si>
  <si>
    <t>更（促）</t>
  </si>
  <si>
    <t>褌（舒）</t>
  </si>
  <si>
    <t>褌（促）</t>
  </si>
  <si>
    <t>茄（舒）</t>
  </si>
  <si>
    <t>茄（促）</t>
  </si>
  <si>
    <t>梔（舒）</t>
  </si>
  <si>
    <t>梔（促）</t>
  </si>
  <si>
    <t>薑（舒）</t>
  </si>
  <si>
    <t>薑（促）</t>
  </si>
  <si>
    <t>驚（舒）</t>
  </si>
  <si>
    <t>驚（促）</t>
  </si>
  <si>
    <t>官（舒）</t>
  </si>
  <si>
    <t>官（促）</t>
  </si>
  <si>
    <t>鋼（舒）</t>
  </si>
  <si>
    <t>鋼（促）</t>
  </si>
  <si>
    <t>伽（舒）</t>
  </si>
  <si>
    <t>伽（促）</t>
  </si>
  <si>
    <t>閒（舒）</t>
  </si>
  <si>
    <t>閒（促）</t>
  </si>
  <si>
    <t>姑（舒）</t>
  </si>
  <si>
    <t>姑（促）</t>
  </si>
  <si>
    <t>姆（舒）</t>
  </si>
  <si>
    <t>姆（促）</t>
  </si>
  <si>
    <t>光（舒）</t>
  </si>
  <si>
    <t>光（促）</t>
  </si>
  <si>
    <t>閂（舒）</t>
  </si>
  <si>
    <t>閂（促）</t>
  </si>
  <si>
    <t>糜（舒）</t>
  </si>
  <si>
    <t>糜（促）</t>
  </si>
  <si>
    <t>嘄（舒）</t>
  </si>
  <si>
    <t>嘄（促）</t>
  </si>
  <si>
    <t>箴（舒）</t>
  </si>
  <si>
    <t>箴（促）</t>
  </si>
  <si>
    <t>爻（舒）</t>
  </si>
  <si>
    <t>爻（促）</t>
  </si>
  <si>
    <t>扛（舒）</t>
  </si>
  <si>
    <t>扛（促）</t>
  </si>
  <si>
    <t>牛（舒）</t>
  </si>
  <si>
    <t>牛（促）</t>
  </si>
  <si>
    <t>un</t>
  </si>
  <si>
    <t>ut</t>
  </si>
  <si>
    <t>ian</t>
  </si>
  <si>
    <t>iat</t>
  </si>
  <si>
    <t>im</t>
  </si>
  <si>
    <t>ip</t>
  </si>
  <si>
    <t>ui</t>
  </si>
  <si>
    <t>ee</t>
  </si>
  <si>
    <t>eeh</t>
  </si>
  <si>
    <t>an</t>
  </si>
  <si>
    <t>at</t>
  </si>
  <si>
    <t>ong</t>
  </si>
  <si>
    <t>ok</t>
  </si>
  <si>
    <t>uai</t>
  </si>
  <si>
    <t>uaih</t>
  </si>
  <si>
    <t>ing</t>
  </si>
  <si>
    <t>ik</t>
  </si>
  <si>
    <t>uan</t>
  </si>
  <si>
    <t>uat</t>
  </si>
  <si>
    <t>oo</t>
  </si>
  <si>
    <t>iau</t>
  </si>
  <si>
    <t>iauh</t>
  </si>
  <si>
    <t>e</t>
  </si>
  <si>
    <t>iong</t>
  </si>
  <si>
    <t>iok</t>
  </si>
  <si>
    <t>o</t>
  </si>
  <si>
    <t>oh</t>
  </si>
  <si>
    <t>ai</t>
  </si>
  <si>
    <t>in</t>
  </si>
  <si>
    <t>it</t>
  </si>
  <si>
    <t>iang</t>
  </si>
  <si>
    <t>iak</t>
  </si>
  <si>
    <t>am</t>
  </si>
  <si>
    <t>ap</t>
  </si>
  <si>
    <t>ua</t>
  </si>
  <si>
    <t>uah</t>
  </si>
  <si>
    <t>ang</t>
  </si>
  <si>
    <t>ak</t>
  </si>
  <si>
    <t>iam</t>
  </si>
  <si>
    <t>iap</t>
  </si>
  <si>
    <t>au</t>
  </si>
  <si>
    <t>auh</t>
  </si>
  <si>
    <t>ia</t>
  </si>
  <si>
    <t>iah</t>
  </si>
  <si>
    <t>ue</t>
  </si>
  <si>
    <t>ueh</t>
  </si>
  <si>
    <t>ann</t>
  </si>
  <si>
    <t>annh</t>
  </si>
  <si>
    <t>u</t>
  </si>
  <si>
    <t>uh</t>
  </si>
  <si>
    <t>a</t>
  </si>
  <si>
    <t>ah</t>
  </si>
  <si>
    <t>i</t>
  </si>
  <si>
    <t>ih</t>
  </si>
  <si>
    <t>iu</t>
  </si>
  <si>
    <t>enn</t>
  </si>
  <si>
    <t>ennh</t>
  </si>
  <si>
    <t>uinn</t>
  </si>
  <si>
    <t>io</t>
  </si>
  <si>
    <t>ioh</t>
  </si>
  <si>
    <t>inn</t>
  </si>
  <si>
    <t>innh</t>
  </si>
  <si>
    <t>ionn</t>
  </si>
  <si>
    <t>iannh</t>
  </si>
  <si>
    <t>uann</t>
  </si>
  <si>
    <t>eh</t>
  </si>
  <si>
    <t>ainn</t>
  </si>
  <si>
    <t>onn</t>
  </si>
  <si>
    <t>uang</t>
  </si>
  <si>
    <t>uak</t>
  </si>
  <si>
    <t>uainn</t>
  </si>
  <si>
    <t>uainnh</t>
  </si>
  <si>
    <t>uenn</t>
  </si>
  <si>
    <t>iaunn</t>
  </si>
  <si>
    <t>om</t>
  </si>
  <si>
    <t>aunn</t>
  </si>
  <si>
    <t>onnh</t>
  </si>
  <si>
    <t>iunn</t>
  </si>
  <si>
    <t>分</t>
    <phoneticPr fontId="2" type="noConversion"/>
  </si>
  <si>
    <t>掀</t>
    <phoneticPr fontId="2" type="noConversion"/>
  </si>
  <si>
    <t>佛</t>
    <phoneticPr fontId="2" type="noConversion"/>
  </si>
  <si>
    <t>結</t>
    <phoneticPr fontId="2" type="noConversion"/>
  </si>
  <si>
    <t>深</t>
    <phoneticPr fontId="2" type="noConversion"/>
  </si>
  <si>
    <t>擦</t>
    <phoneticPr fontId="2" type="noConversion"/>
  </si>
  <si>
    <t>其</t>
    <phoneticPr fontId="2" type="noConversion"/>
  </si>
  <si>
    <t>急</t>
    <phoneticPr fontId="2" type="noConversion"/>
  </si>
  <si>
    <t>歸</t>
    <phoneticPr fontId="2" type="noConversion"/>
  </si>
  <si>
    <t>加</t>
    <phoneticPr fontId="2" type="noConversion"/>
  </si>
  <si>
    <t>格</t>
    <phoneticPr fontId="2" type="noConversion"/>
  </si>
  <si>
    <t>蘭</t>
    <phoneticPr fontId="2" type="noConversion"/>
  </si>
  <si>
    <t>薄</t>
    <phoneticPr fontId="2" type="noConversion"/>
  </si>
  <si>
    <t>ooh</t>
  </si>
  <si>
    <t>ooh</t>
    <phoneticPr fontId="2" type="noConversion"/>
  </si>
  <si>
    <t>風</t>
    <phoneticPr fontId="2" type="noConversion"/>
  </si>
  <si>
    <t>服</t>
    <phoneticPr fontId="2" type="noConversion"/>
  </si>
  <si>
    <t>怪</t>
    <phoneticPr fontId="2" type="noConversion"/>
  </si>
  <si>
    <t>孬</t>
    <phoneticPr fontId="2" type="noConversion"/>
  </si>
  <si>
    <t>情</t>
    <phoneticPr fontId="2" type="noConversion"/>
  </si>
  <si>
    <t>團</t>
    <phoneticPr fontId="2" type="noConversion"/>
  </si>
  <si>
    <t>決</t>
    <phoneticPr fontId="2" type="noConversion"/>
  </si>
  <si>
    <t>姑</t>
    <phoneticPr fontId="2" type="noConversion"/>
  </si>
  <si>
    <t>鵰</t>
    <phoneticPr fontId="2" type="noConversion"/>
  </si>
  <si>
    <t>愀</t>
    <phoneticPr fontId="2" type="noConversion"/>
  </si>
  <si>
    <t>街</t>
    <phoneticPr fontId="2" type="noConversion"/>
  </si>
  <si>
    <t>中</t>
    <phoneticPr fontId="2" type="noConversion"/>
  </si>
  <si>
    <t>菊</t>
    <phoneticPr fontId="2" type="noConversion"/>
  </si>
  <si>
    <t>刀</t>
    <phoneticPr fontId="2" type="noConversion"/>
  </si>
  <si>
    <t>卓</t>
    <phoneticPr fontId="2" type="noConversion"/>
  </si>
  <si>
    <t>皆</t>
    <phoneticPr fontId="2" type="noConversion"/>
  </si>
  <si>
    <t>今</t>
    <phoneticPr fontId="2" type="noConversion"/>
  </si>
  <si>
    <t>乞</t>
    <phoneticPr fontId="2" type="noConversion"/>
  </si>
  <si>
    <t>湯</t>
    <phoneticPr fontId="2" type="noConversion"/>
  </si>
  <si>
    <t>漳</t>
    <phoneticPr fontId="2" type="noConversion"/>
  </si>
  <si>
    <t>鑠</t>
    <phoneticPr fontId="2" type="noConversion"/>
  </si>
  <si>
    <t>堪</t>
    <phoneticPr fontId="2" type="noConversion"/>
  </si>
  <si>
    <t>合</t>
    <phoneticPr fontId="2" type="noConversion"/>
  </si>
  <si>
    <t>呱</t>
    <phoneticPr fontId="2" type="noConversion"/>
  </si>
  <si>
    <t>割</t>
    <phoneticPr fontId="2" type="noConversion"/>
  </si>
  <si>
    <t>東</t>
    <phoneticPr fontId="2" type="noConversion"/>
  </si>
  <si>
    <t>北</t>
    <phoneticPr fontId="2" type="noConversion"/>
  </si>
  <si>
    <t>謙</t>
    <phoneticPr fontId="2" type="noConversion"/>
  </si>
  <si>
    <t>俠</t>
    <phoneticPr fontId="2" type="noConversion"/>
  </si>
  <si>
    <t>包</t>
    <phoneticPr fontId="2" type="noConversion"/>
  </si>
  <si>
    <t>𩛩</t>
    <phoneticPr fontId="2" type="noConversion"/>
  </si>
  <si>
    <t>爹</t>
    <phoneticPr fontId="2" type="noConversion"/>
  </si>
  <si>
    <t>壁</t>
    <phoneticPr fontId="2" type="noConversion"/>
  </si>
  <si>
    <t>魁</t>
    <phoneticPr fontId="2" type="noConversion"/>
  </si>
  <si>
    <t>郭</t>
    <phoneticPr fontId="2" type="noConversion"/>
  </si>
  <si>
    <t>擔</t>
    <phoneticPr fontId="2" type="noConversion"/>
  </si>
  <si>
    <t>喢</t>
    <phoneticPr fontId="2" type="noConversion"/>
  </si>
  <si>
    <t>丘</t>
    <phoneticPr fontId="2" type="noConversion"/>
  </si>
  <si>
    <t>焠</t>
    <phoneticPr fontId="2" type="noConversion"/>
  </si>
  <si>
    <t>咬</t>
    <phoneticPr fontId="2" type="noConversion"/>
  </si>
  <si>
    <t>搭</t>
    <phoneticPr fontId="2" type="noConversion"/>
  </si>
  <si>
    <t>摺</t>
    <phoneticPr fontId="2" type="noConversion"/>
  </si>
  <si>
    <t>抽</t>
    <phoneticPr fontId="2" type="noConversion"/>
  </si>
  <si>
    <t>青</t>
    <phoneticPr fontId="2" type="noConversion"/>
  </si>
  <si>
    <t>喀</t>
    <phoneticPr fontId="2" type="noConversion"/>
  </si>
  <si>
    <t>招</t>
    <phoneticPr fontId="2" type="noConversion"/>
  </si>
  <si>
    <t>借</t>
    <phoneticPr fontId="2" type="noConversion"/>
  </si>
  <si>
    <t>甜</t>
    <phoneticPr fontId="2" type="noConversion"/>
  </si>
  <si>
    <t>腔</t>
    <phoneticPr fontId="2" type="noConversion"/>
  </si>
  <si>
    <t>聽</t>
    <phoneticPr fontId="2" type="noConversion"/>
  </si>
  <si>
    <t>iann</t>
  </si>
  <si>
    <t>iann</t>
    <phoneticPr fontId="2" type="noConversion"/>
  </si>
  <si>
    <t>單</t>
    <phoneticPr fontId="2" type="noConversion"/>
  </si>
  <si>
    <t>短</t>
    <phoneticPr fontId="2" type="noConversion"/>
  </si>
  <si>
    <t>篋</t>
    <phoneticPr fontId="2" type="noConversion"/>
  </si>
  <si>
    <t>歹</t>
    <phoneticPr fontId="2" type="noConversion"/>
  </si>
  <si>
    <t>姆</t>
    <phoneticPr fontId="2" type="noConversion"/>
  </si>
  <si>
    <t>闖</t>
    <phoneticPr fontId="2" type="noConversion"/>
  </si>
  <si>
    <t>糜</t>
    <phoneticPr fontId="2" type="noConversion"/>
  </si>
  <si>
    <t>妹</t>
    <phoneticPr fontId="2" type="noConversion"/>
  </si>
  <si>
    <t>uennh</t>
    <phoneticPr fontId="2" type="noConversion"/>
  </si>
  <si>
    <t>嘄</t>
    <phoneticPr fontId="2" type="noConversion"/>
  </si>
  <si>
    <t>iaunnh</t>
    <phoneticPr fontId="2" type="noConversion"/>
  </si>
  <si>
    <t>岋</t>
    <phoneticPr fontId="2" type="noConversion"/>
  </si>
  <si>
    <t>丼</t>
    <phoneticPr fontId="2" type="noConversion"/>
  </si>
  <si>
    <t>喥</t>
    <phoneticPr fontId="2" type="noConversion"/>
  </si>
  <si>
    <t>op</t>
    <phoneticPr fontId="2" type="noConversion"/>
  </si>
  <si>
    <t>藕</t>
    <phoneticPr fontId="2" type="noConversion"/>
  </si>
  <si>
    <t>onnh</t>
    <phoneticPr fontId="2" type="noConversion"/>
  </si>
  <si>
    <t>十五音</t>
    <phoneticPr fontId="2" type="noConversion"/>
  </si>
  <si>
    <t>漢字例</t>
  </si>
  <si>
    <t>台羅拼音</t>
  </si>
  <si>
    <t>Ø</t>
  </si>
  <si>
    <t>ba</t>
  </si>
  <si>
    <t>ga</t>
  </si>
  <si>
    <t>ha</t>
  </si>
  <si>
    <t>ka</t>
  </si>
  <si>
    <t>kha</t>
  </si>
  <si>
    <t>la</t>
  </si>
  <si>
    <t>ma</t>
  </si>
  <si>
    <t>na</t>
  </si>
  <si>
    <t>nga</t>
  </si>
  <si>
    <t>pa</t>
  </si>
  <si>
    <t>pha</t>
  </si>
  <si>
    <t>sa</t>
  </si>
  <si>
    <t>ta</t>
  </si>
  <si>
    <t>tha</t>
  </si>
  <si>
    <t>tsa</t>
  </si>
  <si>
    <t>tsha</t>
  </si>
  <si>
    <t>bah</t>
  </si>
  <si>
    <t>hah</t>
  </si>
  <si>
    <t>kah</t>
  </si>
  <si>
    <t>khah</t>
  </si>
  <si>
    <t>lah</t>
  </si>
  <si>
    <t>nah</t>
  </si>
  <si>
    <t>pah</t>
  </si>
  <si>
    <t>phah</t>
  </si>
  <si>
    <t>sah</t>
  </si>
  <si>
    <t>tah</t>
  </si>
  <si>
    <t>thah</t>
  </si>
  <si>
    <t>tsah</t>
  </si>
  <si>
    <t>tshah</t>
  </si>
  <si>
    <t>bai</t>
  </si>
  <si>
    <t>gai</t>
  </si>
  <si>
    <t>hai</t>
  </si>
  <si>
    <t>kai</t>
  </si>
  <si>
    <t>khai</t>
  </si>
  <si>
    <t>lai</t>
  </si>
  <si>
    <t>mai</t>
  </si>
  <si>
    <t>nai</t>
  </si>
  <si>
    <t>ngai</t>
  </si>
  <si>
    <t>pai</t>
  </si>
  <si>
    <t>phai</t>
  </si>
  <si>
    <t>sai</t>
  </si>
  <si>
    <t>tai</t>
  </si>
  <si>
    <t>thai</t>
  </si>
  <si>
    <t>tsai</t>
  </si>
  <si>
    <t>tshai</t>
  </si>
  <si>
    <t>hainn</t>
  </si>
  <si>
    <t>kainn</t>
  </si>
  <si>
    <t>khainn</t>
  </si>
  <si>
    <t>phainn</t>
  </si>
  <si>
    <t>tainn</t>
  </si>
  <si>
    <t>tsainn</t>
  </si>
  <si>
    <t>bak</t>
  </si>
  <si>
    <t>gak</t>
  </si>
  <si>
    <t>hak</t>
  </si>
  <si>
    <t>kak</t>
  </si>
  <si>
    <t>khak</t>
  </si>
  <si>
    <t>lak</t>
  </si>
  <si>
    <t>pak</t>
  </si>
  <si>
    <t>phak</t>
  </si>
  <si>
    <t>sak</t>
  </si>
  <si>
    <t>tak</t>
  </si>
  <si>
    <t>thak</t>
  </si>
  <si>
    <t>tsak</t>
  </si>
  <si>
    <t>tshak</t>
  </si>
  <si>
    <t>gam</t>
  </si>
  <si>
    <t>ham</t>
  </si>
  <si>
    <t>kam</t>
  </si>
  <si>
    <t>kham</t>
  </si>
  <si>
    <t>lam</t>
  </si>
  <si>
    <t>sam</t>
  </si>
  <si>
    <t>tam</t>
  </si>
  <si>
    <t>tham</t>
  </si>
  <si>
    <t>tsam</t>
  </si>
  <si>
    <t>tsham</t>
  </si>
  <si>
    <t>ban</t>
  </si>
  <si>
    <t>gan</t>
  </si>
  <si>
    <t>han</t>
  </si>
  <si>
    <t>kan</t>
  </si>
  <si>
    <t>khan</t>
  </si>
  <si>
    <t>lan</t>
  </si>
  <si>
    <t>pan</t>
  </si>
  <si>
    <t>phan</t>
  </si>
  <si>
    <t>san</t>
  </si>
  <si>
    <t>tan</t>
  </si>
  <si>
    <t>than</t>
  </si>
  <si>
    <t>tsan</t>
  </si>
  <si>
    <t>tshan</t>
  </si>
  <si>
    <t>bang</t>
  </si>
  <si>
    <t>gang</t>
  </si>
  <si>
    <t>hang</t>
  </si>
  <si>
    <t>kang</t>
  </si>
  <si>
    <t>khang</t>
  </si>
  <si>
    <t>lang</t>
  </si>
  <si>
    <t>pang</t>
  </si>
  <si>
    <t>phang</t>
  </si>
  <si>
    <t>sang</t>
  </si>
  <si>
    <t>tang</t>
  </si>
  <si>
    <t>thang</t>
  </si>
  <si>
    <t>tsang</t>
  </si>
  <si>
    <t>tshang</t>
  </si>
  <si>
    <t>hann</t>
  </si>
  <si>
    <t>kann</t>
  </si>
  <si>
    <t>khann</t>
  </si>
  <si>
    <t>phann</t>
  </si>
  <si>
    <t>sann</t>
  </si>
  <si>
    <t>tann</t>
  </si>
  <si>
    <t>thann</t>
  </si>
  <si>
    <t>tsann</t>
  </si>
  <si>
    <t>tshann</t>
  </si>
  <si>
    <t>hannh</t>
  </si>
  <si>
    <t>sannh</t>
  </si>
  <si>
    <t>hap</t>
  </si>
  <si>
    <t>kap</t>
  </si>
  <si>
    <t>khap</t>
  </si>
  <si>
    <t>lap</t>
  </si>
  <si>
    <t>sap</t>
  </si>
  <si>
    <t>tap</t>
  </si>
  <si>
    <t>thap</t>
  </si>
  <si>
    <t>tsap</t>
  </si>
  <si>
    <t>tshap</t>
  </si>
  <si>
    <t>bat</t>
  </si>
  <si>
    <t>hat</t>
  </si>
  <si>
    <t>kat</t>
  </si>
  <si>
    <t>khat</t>
  </si>
  <si>
    <t>lat</t>
  </si>
  <si>
    <t>pat</t>
  </si>
  <si>
    <t>sat</t>
  </si>
  <si>
    <t>tat</t>
  </si>
  <si>
    <t>that</t>
  </si>
  <si>
    <t>tsat</t>
  </si>
  <si>
    <t>tshat</t>
  </si>
  <si>
    <t>bau</t>
  </si>
  <si>
    <t>gau</t>
  </si>
  <si>
    <t>hau</t>
  </si>
  <si>
    <t>kau</t>
  </si>
  <si>
    <t>khau</t>
  </si>
  <si>
    <t>lau</t>
  </si>
  <si>
    <t>mau</t>
  </si>
  <si>
    <t>nau</t>
  </si>
  <si>
    <t>ngau</t>
  </si>
  <si>
    <t>pau</t>
  </si>
  <si>
    <t>phau</t>
  </si>
  <si>
    <t>sau</t>
  </si>
  <si>
    <t>tau</t>
  </si>
  <si>
    <t>thau</t>
  </si>
  <si>
    <t>tsau</t>
  </si>
  <si>
    <t>tshau</t>
  </si>
  <si>
    <t>kauh</t>
  </si>
  <si>
    <t>lauh</t>
  </si>
  <si>
    <t>mauh</t>
  </si>
  <si>
    <t>nauh</t>
  </si>
  <si>
    <t>phauh</t>
  </si>
  <si>
    <t>tauh</t>
  </si>
  <si>
    <t>tshauh</t>
  </si>
  <si>
    <t>be</t>
  </si>
  <si>
    <t>ge</t>
  </si>
  <si>
    <t>he</t>
  </si>
  <si>
    <t>ke</t>
  </si>
  <si>
    <t>khe</t>
  </si>
  <si>
    <t>le</t>
  </si>
  <si>
    <t>me</t>
  </si>
  <si>
    <t>ne</t>
  </si>
  <si>
    <t>nge</t>
  </si>
  <si>
    <t>pe</t>
  </si>
  <si>
    <t>phe</t>
  </si>
  <si>
    <t>se</t>
  </si>
  <si>
    <t>te</t>
  </si>
  <si>
    <t>the</t>
  </si>
  <si>
    <t>tse</t>
  </si>
  <si>
    <t>tshe</t>
  </si>
  <si>
    <t>beh</t>
  </si>
  <si>
    <t>heh</t>
  </si>
  <si>
    <t>keh</t>
  </si>
  <si>
    <t>kheh</t>
  </si>
  <si>
    <t>leh</t>
  </si>
  <si>
    <t>meh</t>
  </si>
  <si>
    <t>neh</t>
  </si>
  <si>
    <t>ngeh</t>
  </si>
  <si>
    <t>peh</t>
  </si>
  <si>
    <t>seh</t>
  </si>
  <si>
    <t>teh</t>
  </si>
  <si>
    <t>theh</t>
  </si>
  <si>
    <t>tseh</t>
  </si>
  <si>
    <t>tsheh</t>
  </si>
  <si>
    <t>henn</t>
  </si>
  <si>
    <t>kenn</t>
  </si>
  <si>
    <t>khenn</t>
  </si>
  <si>
    <t>penn</t>
  </si>
  <si>
    <t>phenn</t>
  </si>
  <si>
    <t>senn</t>
  </si>
  <si>
    <t>tenn</t>
  </si>
  <si>
    <t>thenn</t>
  </si>
  <si>
    <t>tsenn</t>
  </si>
  <si>
    <t>tshenn</t>
  </si>
  <si>
    <t>hennh</t>
  </si>
  <si>
    <t>khennh</t>
  </si>
  <si>
    <t>bi</t>
  </si>
  <si>
    <t>gi</t>
  </si>
  <si>
    <t>hi</t>
  </si>
  <si>
    <t>ji</t>
  </si>
  <si>
    <t>ki</t>
  </si>
  <si>
    <t>khi</t>
  </si>
  <si>
    <t>li</t>
  </si>
  <si>
    <t>mi</t>
  </si>
  <si>
    <t>ni</t>
  </si>
  <si>
    <t>pi</t>
  </si>
  <si>
    <t>phi</t>
  </si>
  <si>
    <t>ti</t>
  </si>
  <si>
    <t>thi</t>
  </si>
  <si>
    <t>gia</t>
  </si>
  <si>
    <t>hia</t>
  </si>
  <si>
    <t>jia</t>
  </si>
  <si>
    <t>kia</t>
  </si>
  <si>
    <t>khia</t>
  </si>
  <si>
    <t>mia</t>
  </si>
  <si>
    <t>nia</t>
  </si>
  <si>
    <t>ngia</t>
  </si>
  <si>
    <t>sia</t>
  </si>
  <si>
    <t>tia</t>
  </si>
  <si>
    <t>tsia</t>
  </si>
  <si>
    <t>tshia</t>
  </si>
  <si>
    <t>giah</t>
  </si>
  <si>
    <t>hiah</t>
  </si>
  <si>
    <t>kiah</t>
  </si>
  <si>
    <t>khiah</t>
  </si>
  <si>
    <t>liah</t>
  </si>
  <si>
    <t>piah</t>
  </si>
  <si>
    <t>phiah</t>
  </si>
  <si>
    <t>siah</t>
  </si>
  <si>
    <t>tiah</t>
  </si>
  <si>
    <t>thiah</t>
  </si>
  <si>
    <t>tsiah</t>
  </si>
  <si>
    <t>tshiah</t>
  </si>
  <si>
    <t>khiak</t>
  </si>
  <si>
    <t>piak</t>
  </si>
  <si>
    <t>phiak</t>
  </si>
  <si>
    <t>siak</t>
  </si>
  <si>
    <t>tiak</t>
  </si>
  <si>
    <t>tshiak</t>
  </si>
  <si>
    <t>giam</t>
  </si>
  <si>
    <t>hiam</t>
  </si>
  <si>
    <t>jiam</t>
  </si>
  <si>
    <t>kiam</t>
  </si>
  <si>
    <t>khiam</t>
  </si>
  <si>
    <t>liam</t>
  </si>
  <si>
    <t>siam</t>
  </si>
  <si>
    <t>tiam</t>
  </si>
  <si>
    <t>thiam</t>
  </si>
  <si>
    <t>tsiam</t>
  </si>
  <si>
    <t>tshiam</t>
  </si>
  <si>
    <t>bian</t>
  </si>
  <si>
    <t>gian</t>
  </si>
  <si>
    <t>hian</t>
  </si>
  <si>
    <t>jian</t>
  </si>
  <si>
    <t>kian</t>
  </si>
  <si>
    <t>khian</t>
  </si>
  <si>
    <t>lian</t>
  </si>
  <si>
    <t>pian</t>
  </si>
  <si>
    <t>phian</t>
  </si>
  <si>
    <t>sian</t>
  </si>
  <si>
    <t>tian</t>
  </si>
  <si>
    <t>thian</t>
  </si>
  <si>
    <t>tsian</t>
  </si>
  <si>
    <t>tshian</t>
  </si>
  <si>
    <t>giang</t>
  </si>
  <si>
    <t>hiang</t>
  </si>
  <si>
    <t>jiang</t>
  </si>
  <si>
    <t>khiang</t>
  </si>
  <si>
    <t>liang</t>
  </si>
  <si>
    <t>piang</t>
  </si>
  <si>
    <t>phiang</t>
  </si>
  <si>
    <t>siang</t>
  </si>
  <si>
    <t>tsiang</t>
  </si>
  <si>
    <t>tshiang</t>
  </si>
  <si>
    <t>hiann</t>
  </si>
  <si>
    <t>kiann</t>
  </si>
  <si>
    <t>piann</t>
  </si>
  <si>
    <t>siann</t>
  </si>
  <si>
    <t>tiann</t>
  </si>
  <si>
    <t>thiann</t>
  </si>
  <si>
    <t>tsiann</t>
  </si>
  <si>
    <t>tshiann</t>
  </si>
  <si>
    <t>hiannh</t>
  </si>
  <si>
    <t>giap</t>
  </si>
  <si>
    <t>hiap</t>
  </si>
  <si>
    <t>jiap</t>
  </si>
  <si>
    <t>kiap</t>
  </si>
  <si>
    <t>khiap</t>
  </si>
  <si>
    <t>liap</t>
  </si>
  <si>
    <t>siap</t>
  </si>
  <si>
    <t>tiap</t>
  </si>
  <si>
    <t>thiap</t>
  </si>
  <si>
    <t>tsiap</t>
  </si>
  <si>
    <t>tshiap</t>
  </si>
  <si>
    <t>biat</t>
  </si>
  <si>
    <t>giat</t>
  </si>
  <si>
    <t>hiat</t>
  </si>
  <si>
    <t>jiat</t>
  </si>
  <si>
    <t>kiat</t>
  </si>
  <si>
    <t>khiat</t>
  </si>
  <si>
    <t>liat</t>
  </si>
  <si>
    <t>piat</t>
  </si>
  <si>
    <t>phiat</t>
  </si>
  <si>
    <t>siat</t>
  </si>
  <si>
    <t>tiat</t>
  </si>
  <si>
    <t>thiat</t>
  </si>
  <si>
    <t>tsiat</t>
  </si>
  <si>
    <t>tshiat</t>
  </si>
  <si>
    <t>biau</t>
  </si>
  <si>
    <t>giau</t>
  </si>
  <si>
    <t>hiau</t>
  </si>
  <si>
    <t>jiau</t>
  </si>
  <si>
    <t>kiau</t>
  </si>
  <si>
    <t>khiau</t>
  </si>
  <si>
    <t>liau</t>
  </si>
  <si>
    <t>miau</t>
  </si>
  <si>
    <t>niau</t>
  </si>
  <si>
    <t>ngiau</t>
  </si>
  <si>
    <t>piau</t>
  </si>
  <si>
    <t>phiau</t>
  </si>
  <si>
    <t>siau</t>
  </si>
  <si>
    <t>tiau</t>
  </si>
  <si>
    <t>thiau</t>
  </si>
  <si>
    <t>tsiau</t>
  </si>
  <si>
    <t>tshiau</t>
  </si>
  <si>
    <t>hiauh</t>
  </si>
  <si>
    <t>khiauh</t>
  </si>
  <si>
    <t>ngiauh</t>
  </si>
  <si>
    <t>bih</t>
  </si>
  <si>
    <t>khih</t>
  </si>
  <si>
    <t>mih</t>
  </si>
  <si>
    <t>nih</t>
  </si>
  <si>
    <t>pih</t>
  </si>
  <si>
    <t>phih</t>
  </si>
  <si>
    <t>sih</t>
  </si>
  <si>
    <t>tih</t>
  </si>
  <si>
    <t>thih</t>
  </si>
  <si>
    <t>tsih</t>
  </si>
  <si>
    <t>tshih</t>
  </si>
  <si>
    <t>bik</t>
  </si>
  <si>
    <t>gik</t>
  </si>
  <si>
    <t>hik</t>
  </si>
  <si>
    <t>kik</t>
  </si>
  <si>
    <t>lik</t>
  </si>
  <si>
    <t>pik</t>
  </si>
  <si>
    <t>phik</t>
  </si>
  <si>
    <t>sik</t>
  </si>
  <si>
    <t>tik</t>
  </si>
  <si>
    <t>thik</t>
  </si>
  <si>
    <t>tsik</t>
  </si>
  <si>
    <t>tshik</t>
  </si>
  <si>
    <t>gim</t>
  </si>
  <si>
    <t>him</t>
  </si>
  <si>
    <t>jim</t>
  </si>
  <si>
    <t>kim</t>
  </si>
  <si>
    <t>khim</t>
  </si>
  <si>
    <t>lim</t>
  </si>
  <si>
    <t>sim</t>
  </si>
  <si>
    <t>tim</t>
  </si>
  <si>
    <t>thim</t>
  </si>
  <si>
    <t>tsim</t>
  </si>
  <si>
    <t>tshim</t>
  </si>
  <si>
    <t>bin</t>
  </si>
  <si>
    <t>gin</t>
  </si>
  <si>
    <t>hin</t>
  </si>
  <si>
    <t>jin</t>
  </si>
  <si>
    <t>kin</t>
  </si>
  <si>
    <t>khin</t>
  </si>
  <si>
    <t>lin</t>
  </si>
  <si>
    <t>pin</t>
  </si>
  <si>
    <t>phin</t>
  </si>
  <si>
    <t>sin</t>
  </si>
  <si>
    <t>tin</t>
  </si>
  <si>
    <t>thin</t>
  </si>
  <si>
    <t>tsin</t>
  </si>
  <si>
    <t>tshin</t>
  </si>
  <si>
    <t>bing</t>
  </si>
  <si>
    <t>ging</t>
  </si>
  <si>
    <t>hing</t>
  </si>
  <si>
    <t>king</t>
  </si>
  <si>
    <t>khing</t>
  </si>
  <si>
    <t>ling</t>
  </si>
  <si>
    <t>ping</t>
  </si>
  <si>
    <t>phing</t>
  </si>
  <si>
    <t>sing</t>
  </si>
  <si>
    <t>ting</t>
  </si>
  <si>
    <t>thing</t>
  </si>
  <si>
    <t>tsing</t>
  </si>
  <si>
    <t>tshing</t>
  </si>
  <si>
    <t>hinn</t>
  </si>
  <si>
    <t>kinn</t>
  </si>
  <si>
    <t>khinn</t>
  </si>
  <si>
    <t>sinn</t>
  </si>
  <si>
    <t>tinn</t>
  </si>
  <si>
    <t>thinn</t>
  </si>
  <si>
    <t>tsinn</t>
  </si>
  <si>
    <t>tshinn</t>
  </si>
  <si>
    <t>bio</t>
  </si>
  <si>
    <t>gio</t>
  </si>
  <si>
    <t>hio</t>
  </si>
  <si>
    <t>jio</t>
  </si>
  <si>
    <t>kio</t>
  </si>
  <si>
    <t>khio</t>
  </si>
  <si>
    <t>lio</t>
  </si>
  <si>
    <t>pio</t>
  </si>
  <si>
    <t>phio</t>
  </si>
  <si>
    <t>sio</t>
  </si>
  <si>
    <t>tio</t>
  </si>
  <si>
    <t>thio</t>
  </si>
  <si>
    <t>tsio</t>
  </si>
  <si>
    <t>tshio</t>
  </si>
  <si>
    <t>gioh</t>
  </si>
  <si>
    <t>hioh</t>
  </si>
  <si>
    <t>kioh</t>
  </si>
  <si>
    <t>khioh</t>
  </si>
  <si>
    <t>lioh</t>
  </si>
  <si>
    <t>sioh</t>
  </si>
  <si>
    <t>tioh</t>
  </si>
  <si>
    <t>tsioh</t>
  </si>
  <si>
    <t>tshioh</t>
  </si>
  <si>
    <t>giok</t>
  </si>
  <si>
    <t>hiok</t>
  </si>
  <si>
    <t>jiok</t>
  </si>
  <si>
    <t>kiok</t>
  </si>
  <si>
    <t>khiok</t>
  </si>
  <si>
    <t>liok</t>
  </si>
  <si>
    <t>siok</t>
  </si>
  <si>
    <t>tiok</t>
  </si>
  <si>
    <t>thiok</t>
  </si>
  <si>
    <t>tsiok</t>
  </si>
  <si>
    <t>tshiok</t>
  </si>
  <si>
    <t>giong</t>
  </si>
  <si>
    <t>hiong</t>
  </si>
  <si>
    <t>jiong</t>
  </si>
  <si>
    <t>kiong</t>
  </si>
  <si>
    <t>khiong</t>
  </si>
  <si>
    <t>liong</t>
  </si>
  <si>
    <t>siong</t>
  </si>
  <si>
    <t>tiong</t>
  </si>
  <si>
    <t>thiong</t>
  </si>
  <si>
    <t>tsiong</t>
  </si>
  <si>
    <t>tshiong</t>
  </si>
  <si>
    <t>hip</t>
  </si>
  <si>
    <t>jip</t>
  </si>
  <si>
    <t>kip</t>
  </si>
  <si>
    <t>khip</t>
  </si>
  <si>
    <t>lip</t>
  </si>
  <si>
    <t>sip</t>
  </si>
  <si>
    <t>tsip</t>
  </si>
  <si>
    <t>tship</t>
  </si>
  <si>
    <t>bit</t>
  </si>
  <si>
    <t>hit</t>
  </si>
  <si>
    <t>jit</t>
  </si>
  <si>
    <t>kit</t>
  </si>
  <si>
    <t>khit</t>
  </si>
  <si>
    <t>pit</t>
  </si>
  <si>
    <t>phit</t>
  </si>
  <si>
    <t>sit</t>
  </si>
  <si>
    <t>tit</t>
  </si>
  <si>
    <t>tsit</t>
  </si>
  <si>
    <t>tshit</t>
  </si>
  <si>
    <t>biu</t>
  </si>
  <si>
    <t>giu</t>
  </si>
  <si>
    <t>hiu</t>
  </si>
  <si>
    <t>jiu</t>
  </si>
  <si>
    <t>kiu</t>
  </si>
  <si>
    <t>khiu</t>
  </si>
  <si>
    <t>liu</t>
  </si>
  <si>
    <t>niu</t>
  </si>
  <si>
    <t>piu</t>
  </si>
  <si>
    <t>siu</t>
  </si>
  <si>
    <t>tiu</t>
  </si>
  <si>
    <t>thiu</t>
  </si>
  <si>
    <t>tsiu</t>
  </si>
  <si>
    <t>tshiu</t>
  </si>
  <si>
    <t>hiunn</t>
  </si>
  <si>
    <t>kiunn</t>
  </si>
  <si>
    <t>khiunn</t>
  </si>
  <si>
    <t>siunn</t>
  </si>
  <si>
    <t>tiunn</t>
  </si>
  <si>
    <t>tsiunn</t>
  </si>
  <si>
    <t>tshiunn</t>
  </si>
  <si>
    <t>iunnh</t>
  </si>
  <si>
    <t>hiunnh</t>
  </si>
  <si>
    <t>hm</t>
  </si>
  <si>
    <t>mh</t>
  </si>
  <si>
    <t>hmh</t>
  </si>
  <si>
    <t>hng</t>
  </si>
  <si>
    <t>kng</t>
  </si>
  <si>
    <t>khng</t>
  </si>
  <si>
    <t>mng</t>
  </si>
  <si>
    <t>nng</t>
  </si>
  <si>
    <t>png</t>
  </si>
  <si>
    <t>sng</t>
  </si>
  <si>
    <t>tng</t>
  </si>
  <si>
    <t>thng</t>
  </si>
  <si>
    <t>tsng</t>
  </si>
  <si>
    <t>tshng</t>
  </si>
  <si>
    <t>ngh</t>
  </si>
  <si>
    <t>hngh</t>
  </si>
  <si>
    <t>phngh</t>
  </si>
  <si>
    <t>sngh</t>
  </si>
  <si>
    <t>tshngh</t>
  </si>
  <si>
    <t>bo</t>
  </si>
  <si>
    <t>go</t>
  </si>
  <si>
    <t>ho</t>
  </si>
  <si>
    <t>ko</t>
  </si>
  <si>
    <t>kho</t>
  </si>
  <si>
    <t>lo</t>
  </si>
  <si>
    <t>po</t>
  </si>
  <si>
    <t>pho</t>
  </si>
  <si>
    <t>so</t>
  </si>
  <si>
    <t>to</t>
  </si>
  <si>
    <t>tho</t>
  </si>
  <si>
    <t>tso</t>
  </si>
  <si>
    <t>tsho</t>
  </si>
  <si>
    <t>hoh</t>
  </si>
  <si>
    <t>koh</t>
  </si>
  <si>
    <t>loh</t>
  </si>
  <si>
    <t>poh</t>
  </si>
  <si>
    <t>phoh</t>
  </si>
  <si>
    <t>soh</t>
  </si>
  <si>
    <t>toh</t>
  </si>
  <si>
    <t>thoh</t>
  </si>
  <si>
    <t>tsoh</t>
  </si>
  <si>
    <t>tshoh</t>
  </si>
  <si>
    <t>bok</t>
  </si>
  <si>
    <t>gok</t>
  </si>
  <si>
    <t>hok</t>
  </si>
  <si>
    <t>kok</t>
  </si>
  <si>
    <t>khok</t>
  </si>
  <si>
    <t>lok</t>
  </si>
  <si>
    <t>pok</t>
  </si>
  <si>
    <t>phok</t>
  </si>
  <si>
    <t>sok</t>
  </si>
  <si>
    <t>tok</t>
  </si>
  <si>
    <t>thok</t>
  </si>
  <si>
    <t>tsok</t>
  </si>
  <si>
    <t>tshok</t>
  </si>
  <si>
    <t>som</t>
  </si>
  <si>
    <t>tom</t>
  </si>
  <si>
    <t>bong</t>
  </si>
  <si>
    <t>gong</t>
  </si>
  <si>
    <t>hong</t>
  </si>
  <si>
    <t>kong</t>
  </si>
  <si>
    <t>khong</t>
  </si>
  <si>
    <t>long</t>
  </si>
  <si>
    <t>pong</t>
  </si>
  <si>
    <t>phong</t>
  </si>
  <si>
    <t>song</t>
  </si>
  <si>
    <t>tong</t>
  </si>
  <si>
    <t>thong</t>
  </si>
  <si>
    <t>tsong</t>
  </si>
  <si>
    <t>tshong</t>
  </si>
  <si>
    <t>honn</t>
  </si>
  <si>
    <t>konn</t>
  </si>
  <si>
    <t>honnh</t>
  </si>
  <si>
    <t>boo</t>
  </si>
  <si>
    <t>goo</t>
  </si>
  <si>
    <t>hoo</t>
  </si>
  <si>
    <t>koo</t>
  </si>
  <si>
    <t>khoo</t>
  </si>
  <si>
    <t>loo</t>
  </si>
  <si>
    <t>moo</t>
  </si>
  <si>
    <t>noo</t>
  </si>
  <si>
    <t>ngoo</t>
  </si>
  <si>
    <t>poo</t>
  </si>
  <si>
    <t>phoo</t>
  </si>
  <si>
    <t>soo</t>
  </si>
  <si>
    <t>too</t>
  </si>
  <si>
    <t>thoo</t>
  </si>
  <si>
    <t>tsoo</t>
  </si>
  <si>
    <t>tshoo</t>
  </si>
  <si>
    <t>mooh</t>
  </si>
  <si>
    <t>bu</t>
  </si>
  <si>
    <t>gu</t>
  </si>
  <si>
    <t>hu</t>
  </si>
  <si>
    <t>ju</t>
  </si>
  <si>
    <t>ku</t>
  </si>
  <si>
    <t>khu</t>
  </si>
  <si>
    <t>lu</t>
  </si>
  <si>
    <t>pu</t>
  </si>
  <si>
    <t>phu</t>
  </si>
  <si>
    <t>su</t>
  </si>
  <si>
    <t>tu</t>
  </si>
  <si>
    <t>thu</t>
  </si>
  <si>
    <t>tsu</t>
  </si>
  <si>
    <t>tshu</t>
  </si>
  <si>
    <t>bua</t>
  </si>
  <si>
    <t>gua</t>
  </si>
  <si>
    <t>hua</t>
  </si>
  <si>
    <t>kua</t>
  </si>
  <si>
    <t>khua</t>
  </si>
  <si>
    <t>lua</t>
  </si>
  <si>
    <t>mua</t>
  </si>
  <si>
    <t>nua</t>
  </si>
  <si>
    <t>pua</t>
  </si>
  <si>
    <t>phua</t>
  </si>
  <si>
    <t>sua</t>
  </si>
  <si>
    <t>tua</t>
  </si>
  <si>
    <t>thua</t>
  </si>
  <si>
    <t>tsua</t>
  </si>
  <si>
    <t>tshua</t>
  </si>
  <si>
    <t>buah</t>
  </si>
  <si>
    <t>huah</t>
  </si>
  <si>
    <t>juah</t>
  </si>
  <si>
    <t>kuah</t>
  </si>
  <si>
    <t>khuah</t>
  </si>
  <si>
    <t>luah</t>
  </si>
  <si>
    <t>puah</t>
  </si>
  <si>
    <t>phuah</t>
  </si>
  <si>
    <t>suah</t>
  </si>
  <si>
    <t>thuah</t>
  </si>
  <si>
    <t>tsuah</t>
  </si>
  <si>
    <t>tshuah</t>
  </si>
  <si>
    <t>huai</t>
  </si>
  <si>
    <t>kuai</t>
  </si>
  <si>
    <t>khuai</t>
  </si>
  <si>
    <t>suai</t>
  </si>
  <si>
    <t>huainn</t>
  </si>
  <si>
    <t>kuainn</t>
  </si>
  <si>
    <t>suainn</t>
  </si>
  <si>
    <t>tsuainn</t>
  </si>
  <si>
    <t>buan</t>
  </si>
  <si>
    <t>guan</t>
  </si>
  <si>
    <t>huan</t>
  </si>
  <si>
    <t>kuan</t>
  </si>
  <si>
    <t>khuan</t>
  </si>
  <si>
    <t>luan</t>
  </si>
  <si>
    <t>puan</t>
  </si>
  <si>
    <t>phuan</t>
  </si>
  <si>
    <t>suan</t>
  </si>
  <si>
    <t>tuan</t>
  </si>
  <si>
    <t>thuan</t>
  </si>
  <si>
    <t>tsuan</t>
  </si>
  <si>
    <t>tshuan</t>
  </si>
  <si>
    <t>tshuang</t>
  </si>
  <si>
    <t>huann</t>
  </si>
  <si>
    <t>kuann</t>
  </si>
  <si>
    <t>khuann</t>
  </si>
  <si>
    <t>puann</t>
  </si>
  <si>
    <t>phuann</t>
  </si>
  <si>
    <t>suann</t>
  </si>
  <si>
    <t>tuann</t>
  </si>
  <si>
    <t>thuann</t>
  </si>
  <si>
    <t>tshuann</t>
  </si>
  <si>
    <t>buat</t>
  </si>
  <si>
    <t>guat</t>
  </si>
  <si>
    <t>huat</t>
  </si>
  <si>
    <t>kuat</t>
  </si>
  <si>
    <t>khuat</t>
  </si>
  <si>
    <t>luat</t>
  </si>
  <si>
    <t>puat</t>
  </si>
  <si>
    <t>phuat</t>
  </si>
  <si>
    <t>suat</t>
  </si>
  <si>
    <t>tuat</t>
  </si>
  <si>
    <t>thuat</t>
  </si>
  <si>
    <t>tsuat</t>
  </si>
  <si>
    <t>bue</t>
  </si>
  <si>
    <t>gue</t>
  </si>
  <si>
    <t>hue</t>
  </si>
  <si>
    <t>jue</t>
  </si>
  <si>
    <t>kue</t>
  </si>
  <si>
    <t>khue</t>
  </si>
  <si>
    <t>lue</t>
  </si>
  <si>
    <t>pue</t>
  </si>
  <si>
    <t>phue</t>
  </si>
  <si>
    <t>sue</t>
  </si>
  <si>
    <t>tue</t>
  </si>
  <si>
    <t>tsue</t>
  </si>
  <si>
    <t>tshue</t>
  </si>
  <si>
    <t>bueh</t>
  </si>
  <si>
    <t>gueh</t>
  </si>
  <si>
    <t>hueh</t>
  </si>
  <si>
    <t>kueh</t>
  </si>
  <si>
    <t>khueh</t>
  </si>
  <si>
    <t>pueh</t>
  </si>
  <si>
    <t>phueh</t>
  </si>
  <si>
    <t>sueh</t>
  </si>
  <si>
    <t>khuh</t>
  </si>
  <si>
    <t>puh</t>
  </si>
  <si>
    <t>phuh</t>
  </si>
  <si>
    <t>tuh</t>
  </si>
  <si>
    <t>thuh</t>
  </si>
  <si>
    <t>tsuh</t>
  </si>
  <si>
    <t>tshuh</t>
  </si>
  <si>
    <t>bui</t>
  </si>
  <si>
    <t>gui</t>
  </si>
  <si>
    <t>hui</t>
  </si>
  <si>
    <t>kui</t>
  </si>
  <si>
    <t>khui</t>
  </si>
  <si>
    <t>lui</t>
  </si>
  <si>
    <t>mui</t>
  </si>
  <si>
    <t>pui</t>
  </si>
  <si>
    <t>phui</t>
  </si>
  <si>
    <t>sui</t>
  </si>
  <si>
    <t>tui</t>
  </si>
  <si>
    <t>thui</t>
  </si>
  <si>
    <t>tsui</t>
  </si>
  <si>
    <t>tshui</t>
  </si>
  <si>
    <t>bun</t>
  </si>
  <si>
    <t>gun</t>
  </si>
  <si>
    <t>hun</t>
  </si>
  <si>
    <t>jun</t>
  </si>
  <si>
    <t>kun</t>
  </si>
  <si>
    <t>khun</t>
  </si>
  <si>
    <t>lun</t>
  </si>
  <si>
    <t>pun</t>
  </si>
  <si>
    <t>phun</t>
  </si>
  <si>
    <t>sun</t>
  </si>
  <si>
    <t>tun</t>
  </si>
  <si>
    <t>thun</t>
  </si>
  <si>
    <t>tsun</t>
  </si>
  <si>
    <t>tshun</t>
  </si>
  <si>
    <t>but</t>
  </si>
  <si>
    <t>hut</t>
  </si>
  <si>
    <t>kut</t>
  </si>
  <si>
    <t>khut</t>
  </si>
  <si>
    <t>lut</t>
  </si>
  <si>
    <t>put</t>
  </si>
  <si>
    <t>phut</t>
  </si>
  <si>
    <t>sut</t>
  </si>
  <si>
    <t>tut</t>
  </si>
  <si>
    <t>thut</t>
  </si>
  <si>
    <t>tsut</t>
  </si>
  <si>
    <t>tshut</t>
  </si>
  <si>
    <t>序號</t>
    <phoneticPr fontId="2" type="noConversion"/>
  </si>
  <si>
    <t>英</t>
  </si>
  <si>
    <t>韻序</t>
    <phoneticPr fontId="2" type="noConversion"/>
  </si>
  <si>
    <t>國際音標</t>
    <phoneticPr fontId="2" type="noConversion"/>
  </si>
  <si>
    <t>白話字</t>
    <phoneticPr fontId="2" type="noConversion"/>
  </si>
  <si>
    <t>閩拼方案</t>
    <phoneticPr fontId="2" type="noConversion"/>
  </si>
  <si>
    <t>注音二式</t>
    <phoneticPr fontId="2" type="noConversion"/>
  </si>
  <si>
    <t>方音符號</t>
  </si>
  <si>
    <t>台語注音</t>
  </si>
  <si>
    <t>台語音標</t>
    <phoneticPr fontId="2" type="noConversion"/>
  </si>
  <si>
    <t>音序</t>
    <phoneticPr fontId="2" type="noConversion"/>
  </si>
  <si>
    <t>新十五音</t>
    <phoneticPr fontId="2" type="noConversion"/>
  </si>
  <si>
    <t>ㄨㄣ</t>
  </si>
  <si>
    <t>ut̚</t>
  </si>
  <si>
    <t>ㄨㆵ</t>
  </si>
  <si>
    <t>ㄨㄉ</t>
  </si>
  <si>
    <t>ㄧㄢ</t>
  </si>
  <si>
    <t>ㄧㄚㆵ</t>
  </si>
  <si>
    <t>ㄧㄚㄉ</t>
  </si>
  <si>
    <t>ㄧㆬ</t>
  </si>
  <si>
    <t>ㄧㄇ</t>
  </si>
  <si>
    <t>ip̚</t>
  </si>
  <si>
    <t>一ㆴ</t>
  </si>
  <si>
    <t>ㄧㄅ</t>
  </si>
  <si>
    <t>ㄨㄧ</t>
  </si>
  <si>
    <t/>
  </si>
  <si>
    <t>ɛ</t>
  </si>
  <si>
    <t>ㄝ</t>
  </si>
  <si>
    <t>ɛʔ</t>
  </si>
  <si>
    <t>ㄝㆷ</t>
  </si>
  <si>
    <t>ㄝㄏ</t>
  </si>
  <si>
    <t>ㄢ</t>
  </si>
  <si>
    <t>at̚</t>
  </si>
  <si>
    <t>ㄚㆵ</t>
  </si>
  <si>
    <t>ㄚㄉ</t>
  </si>
  <si>
    <t>ㆲ</t>
  </si>
  <si>
    <t>ㄛㄥ</t>
  </si>
  <si>
    <t>ㆦㆻ</t>
  </si>
  <si>
    <t>ㄛㄍ</t>
  </si>
  <si>
    <t>oai</t>
  </si>
  <si>
    <t>ㄨㄞ</t>
  </si>
  <si>
    <t>uaiʔ</t>
  </si>
  <si>
    <t>oaih</t>
  </si>
  <si>
    <t>ㄨㄞㆷ</t>
  </si>
  <si>
    <t>ㄨㄞㄏ</t>
  </si>
  <si>
    <t>eng</t>
  </si>
  <si>
    <t>ek</t>
  </si>
  <si>
    <t>oan</t>
  </si>
  <si>
    <t>ㄨㄢ</t>
  </si>
  <si>
    <t>uat̚</t>
  </si>
  <si>
    <t>oat</t>
  </si>
  <si>
    <t>ㄨㄚㆵ</t>
  </si>
  <si>
    <t>ㄨㄚㄉ</t>
  </si>
  <si>
    <t>ɔ</t>
  </si>
  <si>
    <t>o͘</t>
  </si>
  <si>
    <t>ㆦ</t>
  </si>
  <si>
    <t>ㄛ</t>
  </si>
  <si>
    <t>iao</t>
  </si>
  <si>
    <t>ㄧㄠ</t>
  </si>
  <si>
    <t>iaoh</t>
  </si>
  <si>
    <t>ㄧㄠㆷ</t>
  </si>
  <si>
    <t>ㄧㄠㄏ</t>
  </si>
  <si>
    <t>ei</t>
  </si>
  <si>
    <t>ㆤ</t>
  </si>
  <si>
    <t>ㄧㆲ</t>
  </si>
  <si>
    <t>ㄧㄛㄥ</t>
  </si>
  <si>
    <t>iook</t>
  </si>
  <si>
    <t>ㄧㆦㆻ</t>
  </si>
  <si>
    <t>ㄧㄛㄍ</t>
  </si>
  <si>
    <t>ə</t>
  </si>
  <si>
    <t>or</t>
  </si>
  <si>
    <t>ㄜ</t>
  </si>
  <si>
    <t>əʔ</t>
  </si>
  <si>
    <t>orh</t>
  </si>
  <si>
    <t>ㄜㆷ</t>
  </si>
  <si>
    <t>ㄜㄏ</t>
  </si>
  <si>
    <t>ㄞ</t>
  </si>
  <si>
    <t>ㄧㄣ</t>
  </si>
  <si>
    <t>it̚</t>
  </si>
  <si>
    <t>ㄧㆵ</t>
  </si>
  <si>
    <t>ㄧㄉ</t>
  </si>
  <si>
    <t>ㄧㄤ</t>
  </si>
  <si>
    <t>ㄧㄚㆻ</t>
  </si>
  <si>
    <t>ㄧㄚㄍ</t>
  </si>
  <si>
    <t>ㆰ</t>
  </si>
  <si>
    <t>ㄚㄇ</t>
  </si>
  <si>
    <t>ap̚</t>
  </si>
  <si>
    <t>ㄚㆴ</t>
  </si>
  <si>
    <t>ㄚㄅ</t>
  </si>
  <si>
    <t>oa</t>
  </si>
  <si>
    <t>ㄨㄚ</t>
  </si>
  <si>
    <t>uaʔ</t>
  </si>
  <si>
    <t>oah</t>
  </si>
  <si>
    <t>ㄨㄚㆷ</t>
  </si>
  <si>
    <t>ㄨㄚㄏ</t>
  </si>
  <si>
    <t>ㄤ</t>
  </si>
  <si>
    <t>ak̚</t>
  </si>
  <si>
    <t>ㄚㆻ</t>
  </si>
  <si>
    <t>ㄚㄍ</t>
  </si>
  <si>
    <t>ㄧㆰ</t>
  </si>
  <si>
    <t>ㄧㄚㄇ</t>
  </si>
  <si>
    <t>ㄧㄚㆴ</t>
  </si>
  <si>
    <t>ㄧㄚㄅ</t>
  </si>
  <si>
    <t>ao</t>
  </si>
  <si>
    <t>ㄠ</t>
  </si>
  <si>
    <t>auʔ</t>
  </si>
  <si>
    <t>aoh</t>
  </si>
  <si>
    <t>ㄠㆷ</t>
  </si>
  <si>
    <t>ㄠㄏ</t>
  </si>
  <si>
    <t>ㄧㄚ</t>
  </si>
  <si>
    <t>ㄧㄚㆷ</t>
  </si>
  <si>
    <t>ㄧㄚㄏ</t>
  </si>
  <si>
    <t>oe</t>
  </si>
  <si>
    <t>ㄨㆤ</t>
  </si>
  <si>
    <t>ㄨㄝ</t>
  </si>
  <si>
    <t>oeh</t>
  </si>
  <si>
    <t>ㄨㆤㆷ</t>
  </si>
  <si>
    <t>ㄨㄝㄏ</t>
  </si>
  <si>
    <t>ã</t>
  </si>
  <si>
    <t>aⁿ</t>
  </si>
  <si>
    <t>ㆩ</t>
  </si>
  <si>
    <t>⁰ㄚ</t>
  </si>
  <si>
    <t>ãʔ</t>
  </si>
  <si>
    <t>ahⁿ</t>
  </si>
  <si>
    <t>ㆩㆷ</t>
  </si>
  <si>
    <t>⁰ㄚㄏ</t>
  </si>
  <si>
    <t>ㄨ</t>
  </si>
  <si>
    <t>uʔ</t>
  </si>
  <si>
    <t>ㄨㆷ</t>
  </si>
  <si>
    <t>ㄨㄏ</t>
  </si>
  <si>
    <t>ㄚ</t>
  </si>
  <si>
    <t>aʔ</t>
  </si>
  <si>
    <t>ㄚㆷ</t>
  </si>
  <si>
    <t>ㄚㄏ</t>
  </si>
  <si>
    <t>ㄧ</t>
  </si>
  <si>
    <t>iʔ</t>
  </si>
  <si>
    <t>ㄧㆷ</t>
  </si>
  <si>
    <t>ㄧㄏ</t>
  </si>
  <si>
    <t>ㄧㄨ</t>
  </si>
  <si>
    <t>eⁿ</t>
  </si>
  <si>
    <t>ㆥ</t>
  </si>
  <si>
    <t>⁰ㄝ</t>
  </si>
  <si>
    <t>ehⁿ</t>
  </si>
  <si>
    <t>ㆥㆷ</t>
  </si>
  <si>
    <t>⁰ㄝㄏ</t>
  </si>
  <si>
    <t>uĩ</t>
  </si>
  <si>
    <t>uiⁿ</t>
  </si>
  <si>
    <t>nui</t>
  </si>
  <si>
    <t>ㄨㆪ</t>
  </si>
  <si>
    <t>⁰ㄨㄧ</t>
  </si>
  <si>
    <t>ior</t>
  </si>
  <si>
    <t>ㄧㄜ</t>
  </si>
  <si>
    <t>iorh</t>
  </si>
  <si>
    <t>ㄧㄜㆷ</t>
  </si>
  <si>
    <t>ㄧㄜㄏ</t>
  </si>
  <si>
    <t>ĩ</t>
  </si>
  <si>
    <t>iⁿ</t>
  </si>
  <si>
    <t>ㆪ</t>
  </si>
  <si>
    <t>⁰ㄧ</t>
  </si>
  <si>
    <t>ioⁿ</t>
  </si>
  <si>
    <t>nioo</t>
  </si>
  <si>
    <t>ioonn</t>
  </si>
  <si>
    <t>ㄧㆧ</t>
  </si>
  <si>
    <t>⁰ㄧㄛ</t>
  </si>
  <si>
    <t>iaⁿ</t>
  </si>
  <si>
    <t>ㄧㆩ</t>
  </si>
  <si>
    <t>⁰ㄧㄚ</t>
  </si>
  <si>
    <t>uã</t>
  </si>
  <si>
    <t>oaⁿ</t>
  </si>
  <si>
    <t>ㄨㆩ</t>
  </si>
  <si>
    <t>⁰ㄨㄚ</t>
  </si>
  <si>
    <t>ㆭ</t>
  </si>
  <si>
    <t>ㄥ</t>
  </si>
  <si>
    <t>eʔ</t>
  </si>
  <si>
    <t>ㆤㆷ</t>
  </si>
  <si>
    <t>aiⁿ</t>
  </si>
  <si>
    <t>ㆮ</t>
  </si>
  <si>
    <t>⁰ㄞ</t>
  </si>
  <si>
    <t>oⁿ</t>
  </si>
  <si>
    <t>oonn</t>
  </si>
  <si>
    <t>ㆧ</t>
  </si>
  <si>
    <t>⁰ㄛ</t>
  </si>
  <si>
    <t>m̩</t>
  </si>
  <si>
    <t>ㆬ</t>
  </si>
  <si>
    <t>ㄇ</t>
  </si>
  <si>
    <t>oang</t>
  </si>
  <si>
    <t>ㄨㄤ</t>
  </si>
  <si>
    <t>uãi</t>
  </si>
  <si>
    <t>oaiⁿ</t>
  </si>
  <si>
    <t>nuai</t>
  </si>
  <si>
    <t>ㄨㆮ</t>
  </si>
  <si>
    <t>⁰ㄨㄞ</t>
  </si>
  <si>
    <t>uãiʔ</t>
  </si>
  <si>
    <t>uaihnn</t>
  </si>
  <si>
    <t>oaihⁿ</t>
  </si>
  <si>
    <t>ㄨㆮㆷ</t>
  </si>
  <si>
    <t>⁰ㄨㄞㄏ</t>
  </si>
  <si>
    <t>iauⁿ</t>
  </si>
  <si>
    <t>niao</t>
  </si>
  <si>
    <t>ㄧㆯ</t>
  </si>
  <si>
    <t>⁰ㄧㄠ</t>
  </si>
  <si>
    <t>oom</t>
  </si>
  <si>
    <t>ㆱ</t>
  </si>
  <si>
    <t>ㄛㄇ</t>
  </si>
  <si>
    <t>op</t>
  </si>
  <si>
    <t>oop</t>
  </si>
  <si>
    <t>ㆦㆴ</t>
  </si>
  <si>
    <t>ㄛㄅ</t>
  </si>
  <si>
    <t>ohnn</t>
  </si>
  <si>
    <t>ohⁿ</t>
  </si>
  <si>
    <t>niuh</t>
  </si>
  <si>
    <t>ㆧㆷ</t>
  </si>
  <si>
    <t>⁰ㄛㄏ</t>
  </si>
  <si>
    <t>iuⁿ</t>
  </si>
  <si>
    <t>ㄧㆫ</t>
  </si>
  <si>
    <t>⁰ㄧㄨ</t>
  </si>
  <si>
    <t>iuhⁿ</t>
  </si>
  <si>
    <t>ㄧㆫㆷ</t>
  </si>
  <si>
    <t>⁰ㄧㄨㄏ</t>
  </si>
  <si>
    <t>ㄌ</t>
  </si>
  <si>
    <t>ln</t>
  </si>
  <si>
    <t>ㄋ</t>
  </si>
  <si>
    <t>ㄅ</t>
  </si>
  <si>
    <t>ㄍ</t>
  </si>
  <si>
    <t>kʰ</t>
  </si>
  <si>
    <t>ㄎ</t>
  </si>
  <si>
    <t>d</t>
  </si>
  <si>
    <t>ㄉ</t>
  </si>
  <si>
    <t>pʰ</t>
  </si>
  <si>
    <t>ㄆ</t>
  </si>
  <si>
    <t>tʰ</t>
  </si>
  <si>
    <t>ㄊ</t>
  </si>
  <si>
    <t>ʦ</t>
  </si>
  <si>
    <t>z</t>
  </si>
  <si>
    <t>ch</t>
  </si>
  <si>
    <t>ㄗ</t>
  </si>
  <si>
    <t>ʨ</t>
  </si>
  <si>
    <t>zi</t>
  </si>
  <si>
    <t>chi</t>
  </si>
  <si>
    <t>ㄐ</t>
  </si>
  <si>
    <t>ʣ</t>
  </si>
  <si>
    <t>zz</t>
  </si>
  <si>
    <t>ㆡ</t>
  </si>
  <si>
    <t>ㄖ</t>
  </si>
  <si>
    <t>ʥ</t>
  </si>
  <si>
    <t>zzi</t>
  </si>
  <si>
    <t>jj</t>
  </si>
  <si>
    <t>ㆢ</t>
  </si>
  <si>
    <t>ㄙ</t>
  </si>
  <si>
    <t>ɕ</t>
  </si>
  <si>
    <t>sh</t>
  </si>
  <si>
    <t>ㄒ</t>
  </si>
  <si>
    <t>bb</t>
  </si>
  <si>
    <t>ㆠ</t>
  </si>
  <si>
    <t>ㄪ</t>
  </si>
  <si>
    <t>bbn</t>
  </si>
  <si>
    <t>ɡ</t>
  </si>
  <si>
    <t>gg</t>
  </si>
  <si>
    <t>ㆣ</t>
  </si>
  <si>
    <t>ㄫ</t>
  </si>
  <si>
    <t>ŋ</t>
  </si>
  <si>
    <t>ggn</t>
  </si>
  <si>
    <t xml:space="preserve">⁰ㄫ </t>
  </si>
  <si>
    <t>ʦʰ</t>
  </si>
  <si>
    <t>c</t>
  </si>
  <si>
    <t>chh</t>
  </si>
  <si>
    <t>ㄘ</t>
  </si>
  <si>
    <t>ʨʰ</t>
  </si>
  <si>
    <t>ci</t>
  </si>
  <si>
    <t>chhi</t>
  </si>
  <si>
    <t>ㄑ</t>
  </si>
  <si>
    <t>ㄏ</t>
  </si>
  <si>
    <t>uei</t>
  </si>
  <si>
    <t>褌</t>
    <phoneticPr fontId="2" type="noConversion"/>
  </si>
  <si>
    <t>e</t>
    <phoneticPr fontId="2" type="noConversion"/>
  </si>
  <si>
    <t>uak</t>
    <phoneticPr fontId="2" type="noConversion"/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</si>
  <si>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an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</si>
  <si>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at̚</t>
    </r>
  </si>
  <si>
    <r>
      <rPr>
        <sz val="16"/>
        <color theme="1"/>
        <rFont val="Noto Sans TC Medium"/>
        <family val="2"/>
        <charset val="136"/>
      </rPr>
      <t>ɔŋ</t>
    </r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</si>
  <si>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k̚</t>
    </r>
  </si>
  <si>
    <r>
      <rPr>
        <sz val="16"/>
        <color theme="1"/>
        <rFont val="Noto Sans TC Medium"/>
        <family val="2"/>
        <charset val="136"/>
      </rPr>
      <t>ɪŋ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</si>
  <si>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k</t>
    </r>
  </si>
  <si>
    <r>
      <rPr>
        <sz val="16"/>
        <color theme="1"/>
        <rFont val="Noto Sans TC Medium"/>
        <family val="2"/>
        <charset val="136"/>
      </rPr>
      <t>ɔ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</si>
  <si>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ʊ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</si>
  <si>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ʊ</t>
    </r>
    <r>
      <rPr>
        <sz val="16"/>
        <color theme="1"/>
        <rFont val="Charis SIL"/>
      </rPr>
      <t>ʔ</t>
    </r>
  </si>
  <si>
    <r>
      <rPr>
        <sz val="16"/>
        <color theme="1"/>
        <rFont val="Noto Sans TC Medium"/>
        <family val="2"/>
        <charset val="136"/>
      </rPr>
      <t>ɪɔŋ</t>
    </r>
  </si>
  <si>
    <r>
      <rPr>
        <sz val="16"/>
        <color theme="1"/>
        <rFont val="Noto Sans TC Medium"/>
        <family val="2"/>
        <charset val="136"/>
      </rPr>
      <t>ɪɔ</t>
    </r>
    <r>
      <rPr>
        <sz val="16"/>
        <color theme="1"/>
        <rFont val="Charis SIL"/>
      </rPr>
      <t>k̚</t>
    </r>
  </si>
  <si>
    <r>
      <t>a</t>
    </r>
    <r>
      <rPr>
        <sz val="16"/>
        <color theme="1"/>
        <rFont val="Noto Sans TC Medium"/>
        <family val="2"/>
        <charset val="136"/>
      </rPr>
      <t>ɪ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</si>
  <si>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  <r>
      <rPr>
        <sz val="16"/>
        <color theme="1"/>
        <rFont val="Noto Sans TC Medium"/>
        <family val="2"/>
        <charset val="136"/>
      </rPr>
      <t>ŋ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</si>
  <si>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ak̚</t>
    </r>
  </si>
  <si>
    <r>
      <t>a</t>
    </r>
    <r>
      <rPr>
        <sz val="16"/>
        <color theme="1"/>
        <rFont val="Noto Sans TC Medium"/>
        <family val="2"/>
        <charset val="136"/>
      </rPr>
      <t>ŋ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</si>
  <si>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am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</si>
  <si>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ap̚</t>
    </r>
  </si>
  <si>
    <r>
      <t>a</t>
    </r>
    <r>
      <rPr>
        <sz val="16"/>
        <color theme="1"/>
        <rFont val="Noto Sans TC Medium"/>
        <family val="2"/>
        <charset val="136"/>
      </rPr>
      <t>ʊ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</si>
  <si>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</si>
  <si>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aʔ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</si>
  <si>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u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</si>
  <si>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ə</t>
    </r>
  </si>
  <si>
    <r>
      <rPr>
        <sz val="16"/>
        <color theme="1"/>
        <rFont val="Arial"/>
        <family val="2"/>
        <charset val="254"/>
      </rPr>
      <t>ɪ</t>
    </r>
    <r>
      <rPr>
        <sz val="16"/>
        <color theme="1"/>
        <rFont val="Charis SIL"/>
      </rPr>
      <t>əʔ</t>
    </r>
    <phoneticPr fontId="2" type="noConversion"/>
  </si>
  <si>
    <t>ĩʔ</t>
    <phoneticPr fontId="2" type="noConversion"/>
  </si>
  <si>
    <r>
      <rPr>
        <sz val="16"/>
        <color theme="1"/>
        <rFont val="Noto Sans TC Medium"/>
        <family val="2"/>
        <charset val="136"/>
      </rPr>
      <t>ɪɔ</t>
    </r>
    <r>
      <rPr>
        <sz val="16"/>
        <color theme="1"/>
        <rFont val="Charis SIL"/>
      </rPr>
      <t>̃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</si>
  <si>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ã</t>
    </r>
  </si>
  <si>
    <r>
      <rPr>
        <sz val="16"/>
        <color theme="1"/>
        <rFont val="Noto Sans TC Medium"/>
        <family val="2"/>
        <charset val="136"/>
      </rPr>
      <t>ŋ</t>
    </r>
    <r>
      <rPr>
        <sz val="16"/>
        <color theme="1"/>
        <rFont val="Charis SIL"/>
      </rPr>
      <t>̍</t>
    </r>
  </si>
  <si>
    <r>
      <t>ã</t>
    </r>
    <r>
      <rPr>
        <sz val="16"/>
        <color theme="1"/>
        <rFont val="Noto Sans TC Medium"/>
        <family val="2"/>
        <charset val="136"/>
      </rPr>
      <t>ɪ</t>
    </r>
  </si>
  <si>
    <r>
      <t>ua</t>
    </r>
    <r>
      <rPr>
        <sz val="16"/>
        <color theme="1"/>
        <rFont val="Noto Sans TC Medium"/>
        <family val="2"/>
        <charset val="136"/>
      </rPr>
      <t>ŋ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</si>
  <si>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ã</t>
    </r>
    <r>
      <rPr>
        <sz val="16"/>
        <color theme="1"/>
        <rFont val="Noto Sans TC Medium"/>
        <family val="2"/>
        <charset val="136"/>
      </rPr>
      <t>ʊ</t>
    </r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</si>
  <si>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m</t>
    </r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</si>
  <si>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p̚</t>
    </r>
  </si>
  <si>
    <r>
      <rPr>
        <sz val="16"/>
        <color theme="1"/>
        <rFont val="Noto Sans TC Medium"/>
        <family val="2"/>
        <charset val="136"/>
      </rPr>
      <t>ɔ</t>
    </r>
    <r>
      <rPr>
        <sz val="16"/>
        <color theme="1"/>
        <rFont val="Charis SIL"/>
      </rPr>
      <t>̃ʔ</t>
    </r>
  </si>
  <si>
    <r>
      <rPr>
        <sz val="16"/>
        <color theme="1"/>
        <rFont val="Noto Sans TC Medium"/>
        <family val="2"/>
        <charset val="136"/>
      </rPr>
      <t>ɪ</t>
    </r>
    <r>
      <rPr>
        <sz val="16"/>
        <color theme="1"/>
        <rFont val="Charis SIL"/>
      </rPr>
      <t>ũ</t>
    </r>
  </si>
  <si>
    <t>uẽiʔ</t>
  </si>
  <si>
    <t>uẽi</t>
    <phoneticPr fontId="2" type="noConversion"/>
  </si>
  <si>
    <t>ɪãʊʔ</t>
  </si>
  <si>
    <t>ãʊ</t>
    <phoneticPr fontId="2" type="noConversion"/>
  </si>
  <si>
    <r>
      <rPr>
        <sz val="16"/>
        <color theme="1"/>
        <rFont val="Arial"/>
        <family val="2"/>
        <charset val="254"/>
      </rPr>
      <t>ɔ</t>
    </r>
    <r>
      <rPr>
        <sz val="16"/>
        <color theme="1"/>
        <rFont val="Charis SIL"/>
      </rPr>
      <t>̃</t>
    </r>
    <phoneticPr fontId="2" type="noConversion"/>
  </si>
  <si>
    <r>
      <rPr>
        <sz val="16"/>
        <color theme="2"/>
        <rFont val="Noto Sans TC Medium"/>
        <family val="2"/>
        <charset val="136"/>
      </rPr>
      <t>ɪ</t>
    </r>
    <r>
      <rPr>
        <sz val="16"/>
        <color theme="2"/>
        <rFont val="Charis SIL"/>
      </rPr>
      <t>ũʔ</t>
    </r>
  </si>
  <si>
    <t>國際音標2</t>
  </si>
  <si>
    <t>ɛŋ</t>
  </si>
  <si>
    <t>ɛk</t>
  </si>
  <si>
    <t>ing</t>
    <phoneticPr fontId="2" type="noConversion"/>
  </si>
  <si>
    <t>ik</t>
    <phoneticPr fontId="2" type="noConversion"/>
  </si>
  <si>
    <t>ㄧㄥ</t>
    <phoneticPr fontId="2" type="noConversion"/>
  </si>
  <si>
    <r>
      <rPr>
        <sz val="16"/>
        <color theme="1"/>
        <rFont val="Microsoft JhengHei"/>
        <family val="2"/>
      </rPr>
      <t>ㄧ</t>
    </r>
    <r>
      <rPr>
        <sz val="16"/>
        <color theme="1"/>
        <rFont val="Noto Sans TC"/>
        <family val="2"/>
        <charset val="136"/>
      </rPr>
      <t>ㆻ</t>
    </r>
    <phoneticPr fontId="2" type="noConversion"/>
  </si>
  <si>
    <r>
      <rPr>
        <sz val="16"/>
        <color theme="1"/>
        <rFont val="Microsoft JhengHei"/>
        <family val="2"/>
      </rPr>
      <t>ㄧ</t>
    </r>
    <r>
      <rPr>
        <sz val="16"/>
        <color theme="1"/>
        <rFont val="Noto Sans TC"/>
        <family val="2"/>
        <charset val="136"/>
      </rPr>
      <t>ㄍ</t>
    </r>
    <phoneticPr fontId="2" type="noConversion"/>
  </si>
  <si>
    <t>ou</t>
    <phoneticPr fontId="2" type="noConversion"/>
  </si>
  <si>
    <t>ueiʔ</t>
  </si>
  <si>
    <t>ue</t>
    <phoneticPr fontId="2" type="noConversion"/>
  </si>
  <si>
    <t>ueʔ</t>
    <phoneticPr fontId="2" type="noConversion"/>
  </si>
  <si>
    <t>eʔ</t>
    <phoneticPr fontId="2" type="noConversion"/>
  </si>
  <si>
    <t>君（舒）</t>
    <phoneticPr fontId="2" type="noConversion"/>
  </si>
  <si>
    <t>沽（促）</t>
    <phoneticPr fontId="2" type="noConversion"/>
  </si>
  <si>
    <t>ㄏ</t>
    <phoneticPr fontId="2" type="noConversion"/>
  </si>
  <si>
    <t>驚（促）</t>
    <phoneticPr fontId="2" type="noConversion"/>
  </si>
  <si>
    <t>鋼（促）</t>
    <phoneticPr fontId="2" type="noConversion"/>
  </si>
  <si>
    <t>姆（促）</t>
    <phoneticPr fontId="2" type="noConversion"/>
  </si>
  <si>
    <t>韻序</t>
  </si>
  <si>
    <t>韻母</t>
  </si>
  <si>
    <t>韻母</t>
    <phoneticPr fontId="2" type="noConversion"/>
  </si>
  <si>
    <t>國際音標</t>
  </si>
  <si>
    <t>er</t>
    <phoneticPr fontId="2" type="noConversion"/>
  </si>
  <si>
    <t>ir</t>
    <phoneticPr fontId="2" type="noConversion"/>
  </si>
  <si>
    <t>ɨ</t>
    <phoneticPr fontId="2" type="noConversion"/>
  </si>
  <si>
    <t>ə</t>
    <phoneticPr fontId="2" type="noConversion"/>
  </si>
  <si>
    <t>ㆨ</t>
  </si>
  <si>
    <t>ɛ</t>
    <phoneticPr fontId="2" type="noConversion"/>
  </si>
  <si>
    <t>ö/e</t>
    <phoneticPr fontId="2" type="noConversion"/>
  </si>
  <si>
    <t>ṳ/u</t>
    <phoneticPr fontId="2" type="noConversion"/>
  </si>
  <si>
    <t>ɛŋ</t>
    <phoneticPr fontId="2" type="noConversion"/>
  </si>
  <si>
    <t>促聲判斷</t>
    <phoneticPr fontId="2" type="noConversion"/>
  </si>
  <si>
    <t xml:space="preserve">    - xform/un([48])/ut$1/    # 君</t>
  </si>
  <si>
    <t xml:space="preserve">    - xform/ian([48])/iat$1/    # 堅</t>
  </si>
  <si>
    <t xml:space="preserve">    - xform/im([48])/ip$1/    # 金</t>
  </si>
  <si>
    <t xml:space="preserve">    - xform/ui([48])/$1/    # 規</t>
  </si>
  <si>
    <t xml:space="preserve">    - xform/([48])/ee$1/    # 規</t>
  </si>
  <si>
    <t xml:space="preserve">    - xform/ee([48])/eeh$1/    # 嘉</t>
  </si>
  <si>
    <t xml:space="preserve">    - xform/an([48])/at$1/    # 干</t>
  </si>
  <si>
    <t xml:space="preserve">    - xform/ong([48])/ok$1/    # 公</t>
  </si>
  <si>
    <t xml:space="preserve">    - xform/uai([48])/uaih$1/    # 乖</t>
  </si>
  <si>
    <t xml:space="preserve">    - xform/ing([48])/ik$1/    # 經</t>
  </si>
  <si>
    <t xml:space="preserve">    - xform/uan([48])/uat$1/    # 觀</t>
  </si>
  <si>
    <t xml:space="preserve">    - xform/oo([48])/ooh$1/    # 沽</t>
  </si>
  <si>
    <t xml:space="preserve">    - xform/iau([48])/iauh$1/    # 嬌</t>
  </si>
  <si>
    <t xml:space="preserve">    - xform/e([48])/$1/    # 稽</t>
  </si>
  <si>
    <t xml:space="preserve">    - xform/([48])/iong$1/    # </t>
  </si>
  <si>
    <t xml:space="preserve">    - xform/iong([48])/iok$1/    # 恭</t>
  </si>
  <si>
    <t xml:space="preserve">    - xform/o([48])/oh$1/    # 高</t>
  </si>
  <si>
    <t xml:space="preserve">    - xform/ai([48])/$1/    # 皆</t>
  </si>
  <si>
    <t xml:space="preserve">    - xform/([48])/in$1/    # </t>
  </si>
  <si>
    <t xml:space="preserve">    - xform/in([48])/it$1/    # 巾</t>
  </si>
  <si>
    <t xml:space="preserve">    - xform/iang([48])/iak$1/    # 姜</t>
  </si>
  <si>
    <t xml:space="preserve">    - xform/am([48])/ap$1/    # 甘</t>
  </si>
  <si>
    <t xml:space="preserve">    - xform/ua([48])/uah$1/    # 瓜</t>
  </si>
  <si>
    <t xml:space="preserve">    - xform/ang([48])/ak$1/    # 江</t>
  </si>
  <si>
    <t xml:space="preserve">    - xform/iam([48])/iap$1/    # 兼</t>
  </si>
  <si>
    <t xml:space="preserve">    - xform/au([48])/auh$1/    # 交</t>
  </si>
  <si>
    <t xml:space="preserve">    - xform/ia([48])/iah$1/    # 迦</t>
  </si>
  <si>
    <t xml:space="preserve">    - xform/ue([48])/ueh$1/    # 檜</t>
  </si>
  <si>
    <t xml:space="preserve">    - xform/ann([48])/annh$1/    # 監</t>
  </si>
  <si>
    <t xml:space="preserve">    - xform/u([48])/uh$1/    # 艍</t>
  </si>
  <si>
    <t xml:space="preserve">    - xform/a([48])/ah$1/    # 膠</t>
  </si>
  <si>
    <t xml:space="preserve">    - xform/i([48])/ih$1/    # 居</t>
  </si>
  <si>
    <t xml:space="preserve">    - xform/iu([48])/$1/    # 丩</t>
  </si>
  <si>
    <t xml:space="preserve">    - xform/([48])/enn$1/    # </t>
  </si>
  <si>
    <t xml:space="preserve">    - xform/enn([48])/ennh$1/    # 更</t>
  </si>
  <si>
    <t xml:space="preserve">    - xform/uinn([48])/$1/    # 褌</t>
  </si>
  <si>
    <t xml:space="preserve">    - xform/([48])/io$1/    # </t>
  </si>
  <si>
    <t xml:space="preserve">    - xform/io([48])/ioh$1/    # 茄</t>
  </si>
  <si>
    <t xml:space="preserve">    - xform/inn([48])/$1/    # 梔</t>
  </si>
  <si>
    <t xml:space="preserve">    - xform/([48])/ionn$1/    # 梔</t>
  </si>
  <si>
    <t xml:space="preserve">    - xform/ionn([48])/$1/    # 薑</t>
  </si>
  <si>
    <t xml:space="preserve">    - xform/([48])/iann$1/    # </t>
  </si>
  <si>
    <t xml:space="preserve">    - xform/iann([48])/iannh$1/    # 驚</t>
  </si>
  <si>
    <t xml:space="preserve">    - xform/uann([48])/$1/    # 官</t>
  </si>
  <si>
    <t xml:space="preserve">    - xform/([48])/ng$1/    # </t>
  </si>
  <si>
    <t xml:space="preserve">    - xform/ng([48])/ngh$1/    # 鋼</t>
  </si>
  <si>
    <t xml:space="preserve">    - xform/([48])/eh$1/    # 伽</t>
  </si>
  <si>
    <t xml:space="preserve">    - xform/ainn([48])/$1/    # 閒</t>
  </si>
  <si>
    <t xml:space="preserve">    - xform/([48])/onn$1/    # </t>
  </si>
  <si>
    <t xml:space="preserve">    - xform/onn([48])/$1/    # 姑</t>
  </si>
  <si>
    <t xml:space="preserve">    - xform/([48])/m$1/    # </t>
  </si>
  <si>
    <t xml:space="preserve">    - xform/m([48])/mh$1/    # 姆</t>
  </si>
  <si>
    <t xml:space="preserve">    - xform/uang([48])/$1/    # 光</t>
  </si>
  <si>
    <t xml:space="preserve">    - xform/([48])/uainn$1/    # 光</t>
  </si>
  <si>
    <t xml:space="preserve">    - xform/uainn([48])/uainnh$1/    # 閂</t>
  </si>
  <si>
    <t xml:space="preserve">    - xform/([48])/$1/    # 糜</t>
  </si>
  <si>
    <t xml:space="preserve">    - xform/([48])/iaunn$1/    # 糜</t>
  </si>
  <si>
    <t xml:space="preserve">    - xform/iaunn([48])/$1/    # 嘄</t>
  </si>
  <si>
    <t xml:space="preserve">    - xform/([48])/om$1/    # 嘄</t>
  </si>
  <si>
    <t xml:space="preserve">    - xform/om([48])/op$1/    # 箴</t>
  </si>
  <si>
    <t xml:space="preserve">    - xform/([48])/$1/    # 爻</t>
  </si>
  <si>
    <t xml:space="preserve">    - xform/([48])/$1/    # </t>
  </si>
  <si>
    <t xml:space="preserve">    - xform/([48])/onnh$1/    # 扛</t>
  </si>
  <si>
    <t xml:space="preserve">    - xform/iunn([48])/iunnh$1/    # 牛</t>
  </si>
  <si>
    <t xml:space="preserve">    - xform/er([48])/ir$1/    # </t>
  </si>
  <si>
    <t xml:space="preserve">    - xform/ir([48])/$1/    # </t>
  </si>
  <si>
    <t>字母長</t>
  </si>
  <si>
    <t>字母長</t>
    <phoneticPr fontId="2" type="noConversion"/>
  </si>
  <si>
    <r>
      <t>xform</t>
    </r>
    <r>
      <rPr>
        <sz val="12"/>
        <color theme="1"/>
        <rFont val="細明體"/>
        <family val="3"/>
        <charset val="136"/>
      </rPr>
      <t>轉換式</t>
    </r>
    <phoneticPr fontId="2" type="noConversion"/>
  </si>
  <si>
    <t>xform轉換式</t>
  </si>
  <si>
    <t xml:space="preserve">    - xform/un([48?])/ut$1/    # 君</t>
  </si>
  <si>
    <t xml:space="preserve">    - xform/ian([48?])/iat$1/    # 堅</t>
  </si>
  <si>
    <t xml:space="preserve">    - xform/im([48?])/ip$1/    # 金</t>
  </si>
  <si>
    <t xml:space="preserve">    - xform/ui([48?])/$1/    # 規</t>
  </si>
  <si>
    <t xml:space="preserve">    - xform/ee([48?])/eeh$1/    # 嘉</t>
  </si>
  <si>
    <t xml:space="preserve">    - xform/an([48?])/at$1/    # 干</t>
  </si>
  <si>
    <t xml:space="preserve">    - xform/ong([48?])/ok$1/    # 公</t>
  </si>
  <si>
    <t xml:space="preserve">    - xform/uai([48?])/uaih$1/    # 乖</t>
  </si>
  <si>
    <t xml:space="preserve">    - xform/ing([48?])/ik$1/    # 經</t>
  </si>
  <si>
    <t xml:space="preserve">    - xform/uan([48?])/uat$1/    # 觀</t>
  </si>
  <si>
    <t xml:space="preserve">    - xform/oo([48?])/ooh$1/    # 沽</t>
  </si>
  <si>
    <t xml:space="preserve">    - xform/iau([48?])/iauh$1/    # 嬌</t>
  </si>
  <si>
    <t xml:space="preserve">    - xform/e([48?])/$1/    # 稽</t>
  </si>
  <si>
    <t xml:space="preserve">    - xform/iong([48?])/iok$1/    # 恭</t>
  </si>
  <si>
    <t xml:space="preserve">    - xform/o([48?])/oh$1/    # 高</t>
  </si>
  <si>
    <t xml:space="preserve">    - xform/ai([48?])/$1/    # 皆</t>
  </si>
  <si>
    <t xml:space="preserve">    - xform/in([48?])/it$1/    # 巾</t>
  </si>
  <si>
    <t xml:space="preserve">    - xform/iang([48?])/iak$1/    # 姜</t>
  </si>
  <si>
    <t xml:space="preserve">    - xform/am([48?])/ap$1/    # 甘</t>
  </si>
  <si>
    <t xml:space="preserve">    - xform/ua([48?])/uah$1/    # 瓜</t>
  </si>
  <si>
    <t xml:space="preserve">    - xform/ang([48?])/ak$1/    # 江</t>
  </si>
  <si>
    <t xml:space="preserve">    - xform/iam([48?])/iap$1/    # 兼</t>
  </si>
  <si>
    <t xml:space="preserve">    - xform/au([48?])/auh$1/    # 交</t>
  </si>
  <si>
    <t xml:space="preserve">    - xform/ia([48?])/iah$1/    # 迦</t>
  </si>
  <si>
    <t xml:space="preserve">    - xform/ue([48?])/ueh$1/    # 檜</t>
  </si>
  <si>
    <t xml:space="preserve">    - xform/ann([48?])/annh$1/    # 監</t>
  </si>
  <si>
    <t xml:space="preserve">    - xform/u([48?])/uh$1/    # 艍</t>
  </si>
  <si>
    <t xml:space="preserve">    - xform/a([48?])/ah$1/    # 膠</t>
  </si>
  <si>
    <t xml:space="preserve">    - xform/i([48?])/ih$1/    # 居</t>
  </si>
  <si>
    <t xml:space="preserve">    - xform/iu([48?])/$1/    # 丩</t>
  </si>
  <si>
    <t xml:space="preserve">    - xform/enn([48?])/ennh$1/    # 更</t>
  </si>
  <si>
    <t xml:space="preserve">    - xform/uinn([48?])/$1/    # 褌</t>
  </si>
  <si>
    <t xml:space="preserve">    - xform/io([48?])/ioh$1/    # 茄</t>
  </si>
  <si>
    <t xml:space="preserve">    - xform/inn([48?])/$1/    # 梔</t>
  </si>
  <si>
    <t xml:space="preserve">    - xform/ionn([48?])/$1/    # 薑</t>
  </si>
  <si>
    <t xml:space="preserve">    - xform/iann([48?])/iannh$1/    # 驚</t>
  </si>
  <si>
    <t xml:space="preserve">    - xform/uann([48?])/$1/    # 官</t>
  </si>
  <si>
    <t xml:space="preserve">    - xform/ng([48?])/ngh$1/    # 鋼</t>
  </si>
  <si>
    <t xml:space="preserve">    - xform/ainn([48?])/$1/    # 閒</t>
  </si>
  <si>
    <t xml:space="preserve">    - xform/onn([48?])/$1/    # 姑</t>
  </si>
  <si>
    <t xml:space="preserve">    - xform/m([48?])/mh$1/    # 姆</t>
  </si>
  <si>
    <t xml:space="preserve">    - xform/uang([48?])/$1/    # 光</t>
  </si>
  <si>
    <t xml:space="preserve">    - xform/uainn([48?])/uainnh$1/    # 閂</t>
  </si>
  <si>
    <t xml:space="preserve">    - xform/iaunn([48?])/$1/    # 嘄</t>
  </si>
  <si>
    <t xml:space="preserve">    - xform/om([48?])/op$1/    # 箴</t>
  </si>
  <si>
    <t xml:space="preserve">    - xform/iunn([48?])/iunnh$1/    # 牛</t>
  </si>
  <si>
    <t xml:space="preserve">    - xform/er([48?])/ir$1/    # </t>
  </si>
  <si>
    <t xml:space="preserve">    - xform/ir([48?])/$1/    # </t>
  </si>
  <si>
    <t>TL</t>
    <phoneticPr fontId="2" type="noConversion"/>
  </si>
  <si>
    <t>BPM2</t>
    <phoneticPr fontId="2" type="noConversion"/>
  </si>
  <si>
    <t>iok</t>
    <phoneticPr fontId="2" type="noConversion"/>
  </si>
  <si>
    <t>iook</t>
    <phoneticPr fontId="2" type="noConversion"/>
  </si>
  <si>
    <t>oh</t>
    <phoneticPr fontId="2" type="noConversion"/>
  </si>
  <si>
    <t>orh</t>
    <phoneticPr fontId="2" type="noConversion"/>
  </si>
  <si>
    <t>o</t>
    <phoneticPr fontId="2" type="noConversion"/>
  </si>
  <si>
    <t>or</t>
    <phoneticPr fontId="2" type="noConversion"/>
  </si>
  <si>
    <t>ioh</t>
    <phoneticPr fontId="2" type="noConversion"/>
  </si>
  <si>
    <t>iorh</t>
    <phoneticPr fontId="2" type="noConversion"/>
  </si>
  <si>
    <t>io</t>
    <phoneticPr fontId="2" type="noConversion"/>
  </si>
  <si>
    <t>ior</t>
    <phoneticPr fontId="2" type="noConversion"/>
  </si>
  <si>
    <t>ionn</t>
    <phoneticPr fontId="2" type="noConversion"/>
  </si>
  <si>
    <t>ioonn</t>
    <phoneticPr fontId="2" type="noConversion"/>
  </si>
  <si>
    <t>onn</t>
    <phoneticPr fontId="2" type="noConversion"/>
  </si>
  <si>
    <t>oonn</t>
    <phoneticPr fontId="2" type="noConversion"/>
  </si>
  <si>
    <t>om</t>
    <phoneticPr fontId="2" type="noConversion"/>
  </si>
  <si>
    <t>oom</t>
    <phoneticPr fontId="2" type="noConversion"/>
  </si>
  <si>
    <t>oop</t>
    <phoneticPr fontId="2" type="noConversion"/>
  </si>
  <si>
    <t>門</t>
    <phoneticPr fontId="2" type="noConversion"/>
  </si>
  <si>
    <t>m</t>
    <phoneticPr fontId="2" type="noConversion"/>
  </si>
  <si>
    <t>出</t>
    <phoneticPr fontId="2" type="noConversion"/>
  </si>
  <si>
    <t>tshi</t>
    <phoneticPr fontId="2" type="noConversion"/>
  </si>
  <si>
    <t>語</t>
    <phoneticPr fontId="2" type="noConversion"/>
  </si>
  <si>
    <t>ng</t>
    <phoneticPr fontId="2" type="noConversion"/>
  </si>
  <si>
    <t>注音二式代</t>
    <phoneticPr fontId="2" type="noConversion"/>
  </si>
  <si>
    <t>bbn</t>
    <phoneticPr fontId="2" type="noConversion"/>
  </si>
  <si>
    <t>ln</t>
    <phoneticPr fontId="2" type="noConversion"/>
  </si>
  <si>
    <t>ggn</t>
    <phoneticPr fontId="2" type="noConversion"/>
  </si>
  <si>
    <t>chi</t>
    <phoneticPr fontId="2" type="noConversion"/>
  </si>
  <si>
    <t>jji</t>
    <phoneticPr fontId="2" type="noConversion"/>
  </si>
  <si>
    <t>shi</t>
    <phoneticPr fontId="2" type="noConversion"/>
  </si>
  <si>
    <t>si</t>
    <phoneticPr fontId="2" type="noConversion"/>
  </si>
  <si>
    <t>zzi</t>
    <phoneticPr fontId="2" type="noConversion"/>
  </si>
  <si>
    <t>ci</t>
    <phoneticPr fontId="2" type="noConversion"/>
  </si>
  <si>
    <t>zi</t>
    <phoneticPr fontId="2" type="noConversion"/>
  </si>
  <si>
    <t>方音符號</t>
    <phoneticPr fontId="2" type="noConversion"/>
  </si>
  <si>
    <t>ㄧㄥ</t>
  </si>
  <si>
    <t>ㄧㆻ</t>
  </si>
  <si>
    <t>ㆦㆷ</t>
  </si>
  <si>
    <t>ㄧㆩㆷ</t>
  </si>
  <si>
    <t>ㆭㆷ</t>
  </si>
  <si>
    <t>ㆬㆷ</t>
  </si>
  <si>
    <t>嘉（舒）</t>
    <phoneticPr fontId="2" type="noConversion"/>
  </si>
  <si>
    <t>嘉（促）</t>
    <phoneticPr fontId="2" type="noConversion"/>
  </si>
  <si>
    <t>薑（舒）</t>
    <phoneticPr fontId="2" type="noConversion"/>
  </si>
  <si>
    <t>扛（舒）</t>
    <phoneticPr fontId="2" type="noConversion"/>
  </si>
  <si>
    <t>君</t>
    <phoneticPr fontId="2" type="noConversion"/>
  </si>
  <si>
    <t>舒聲：</t>
    <phoneticPr fontId="2" type="noConversion"/>
  </si>
  <si>
    <t>促聲：</t>
    <phoneticPr fontId="2" type="noConversion"/>
  </si>
  <si>
    <t>閩拼調號</t>
    <phoneticPr fontId="58" type="noConversion"/>
  </si>
  <si>
    <t>四聲八調</t>
    <phoneticPr fontId="60" type="noConversion"/>
  </si>
  <si>
    <t>W調名</t>
    <phoneticPr fontId="2" type="noConversion"/>
  </si>
  <si>
    <t>調值</t>
    <phoneticPr fontId="2" type="noConversion"/>
  </si>
  <si>
    <t>聲調按鍵</t>
    <phoneticPr fontId="2" type="noConversion"/>
  </si>
  <si>
    <t>漢字</t>
    <phoneticPr fontId="2" type="noConversion"/>
  </si>
  <si>
    <t>按鍵輸入</t>
    <phoneticPr fontId="60" type="noConversion"/>
  </si>
  <si>
    <t>陰平</t>
  </si>
  <si>
    <t>高音調</t>
    <phoneticPr fontId="2" type="noConversion"/>
  </si>
  <si>
    <t>;</t>
    <phoneticPr fontId="2" type="noConversion"/>
  </si>
  <si>
    <t>君</t>
  </si>
  <si>
    <t>陽平</t>
  </si>
  <si>
    <t>低升調</t>
    <phoneticPr fontId="2" type="noConversion"/>
  </si>
  <si>
    <t>/</t>
    <phoneticPr fontId="2" type="noConversion"/>
  </si>
  <si>
    <t>群</t>
  </si>
  <si>
    <t>上声/陰上</t>
    <phoneticPr fontId="2" type="noConversion"/>
  </si>
  <si>
    <t>高降調</t>
    <phoneticPr fontId="2" type="noConversion"/>
  </si>
  <si>
    <t>\</t>
    <phoneticPr fontId="2" type="noConversion"/>
  </si>
  <si>
    <t>滾</t>
  </si>
  <si>
    <t>上声/陽上</t>
    <phoneticPr fontId="2" type="noConversion"/>
  </si>
  <si>
    <t>陰去</t>
  </si>
  <si>
    <t>低音調</t>
    <phoneticPr fontId="2" type="noConversion"/>
  </si>
  <si>
    <t>_</t>
    <phoneticPr fontId="2" type="noConversion"/>
  </si>
  <si>
    <t>棍</t>
  </si>
  <si>
    <t>陽去</t>
  </si>
  <si>
    <t>中音調</t>
    <phoneticPr fontId="2" type="noConversion"/>
  </si>
  <si>
    <t>-</t>
    <phoneticPr fontId="2" type="noConversion"/>
  </si>
  <si>
    <t>陰入</t>
  </si>
  <si>
    <t>低促調</t>
    <phoneticPr fontId="2" type="noConversion"/>
  </si>
  <si>
    <t>[</t>
    <phoneticPr fontId="2" type="noConversion"/>
  </si>
  <si>
    <t>骨</t>
  </si>
  <si>
    <t>陽入</t>
  </si>
  <si>
    <t>高促調</t>
    <phoneticPr fontId="2" type="noConversion"/>
  </si>
  <si>
    <t>]</t>
    <phoneticPr fontId="2" type="noConversion"/>
  </si>
  <si>
    <t>滑</t>
  </si>
  <si>
    <t>U+0304</t>
  </si>
  <si>
    <t>U+0300</t>
  </si>
  <si>
    <t>U+030C</t>
  </si>
  <si>
    <t>U+0301</t>
  </si>
  <si>
    <t>U+0307</t>
    <phoneticPr fontId="2" type="noConversion"/>
  </si>
  <si>
    <t>U+030D</t>
  </si>
  <si>
    <t>U+030B</t>
  </si>
  <si>
    <t>U+0325</t>
    <phoneticPr fontId="2" type="noConversion"/>
  </si>
  <si>
    <t>U+0330</t>
    <phoneticPr fontId="2" type="noConversion"/>
  </si>
  <si>
    <t>閩拼調號</t>
    <phoneticPr fontId="2" type="noConversion"/>
  </si>
  <si>
    <t>閩拼調符</t>
    <phoneticPr fontId="2" type="noConversion"/>
  </si>
  <si>
    <t>U+0302</t>
  </si>
  <si>
    <t>台羅調號</t>
    <phoneticPr fontId="58" type="noConversion"/>
  </si>
  <si>
    <t>台羅調符</t>
    <phoneticPr fontId="2" type="noConversion"/>
  </si>
  <si>
    <t>台羅調號</t>
    <phoneticPr fontId="2" type="noConversion"/>
  </si>
  <si>
    <t>◌̀</t>
  </si>
  <si>
    <t>◌́</t>
  </si>
  <si>
    <t>◌̂</t>
  </si>
  <si>
    <t>◌̄</t>
  </si>
  <si>
    <t>◌̋</t>
  </si>
  <si>
    <t>◌̌</t>
  </si>
  <si>
    <t>◌̍</t>
  </si>
  <si>
    <t>Unicode編碼</t>
    <phoneticPr fontId="60" type="noConversion"/>
  </si>
  <si>
    <t>字符示音</t>
    <phoneticPr fontId="2" type="noConversion"/>
  </si>
  <si>
    <t>字元</t>
    <phoneticPr fontId="2" type="noConversion"/>
  </si>
  <si>
    <t>字母標調</t>
    <phoneticPr fontId="2" type="noConversion"/>
  </si>
  <si>
    <t>拼音示範</t>
    <phoneticPr fontId="2" type="noConversion"/>
  </si>
  <si>
    <t>調號</t>
    <phoneticPr fontId="60" type="noConversion"/>
  </si>
  <si>
    <t>四聲八調</t>
    <phoneticPr fontId="2" type="noConversion"/>
  </si>
  <si>
    <t>陰平 (ㄚ)</t>
    <phoneticPr fontId="2" type="noConversion"/>
  </si>
  <si>
    <t>陰上 (ㄚˋ)</t>
    <phoneticPr fontId="2" type="noConversion"/>
  </si>
  <si>
    <t>黨</t>
    <phoneticPr fontId="2" type="noConversion"/>
  </si>
  <si>
    <t>文字</t>
  </si>
  <si>
    <t>Unicode序列</t>
  </si>
  <si>
    <t>用途</t>
  </si>
  <si>
    <t>備註</t>
  </si>
  <si>
    <t>陰去 (ㄚ˪)</t>
    <phoneticPr fontId="2" type="noConversion"/>
  </si>
  <si>
    <t>棟</t>
    <phoneticPr fontId="2" type="noConversion"/>
  </si>
  <si>
    <t>ㆻ</t>
  </si>
  <si>
    <t>U+31BBㆻ</t>
  </si>
  <si>
    <t>入聲韻尾-k</t>
  </si>
  <si>
    <t>原誤收ㆶ字，Unicode 13 (2020)增補</t>
  </si>
  <si>
    <t>陰入 (ㄚㆷ)</t>
    <phoneticPr fontId="2" type="noConversion"/>
  </si>
  <si>
    <t>督</t>
    <phoneticPr fontId="2" type="noConversion"/>
  </si>
  <si>
    <t>ㆴ˙ㆵ˙ㆻ˙ㆷ˙</t>
  </si>
  <si>
    <t>U+02D9˙</t>
  </si>
  <si>
    <t>第8聲調號</t>
  </si>
  <si>
    <t>寫在入聲韻尾後方</t>
  </si>
  <si>
    <t>陽平 (ㄚˊ)</t>
    <phoneticPr fontId="2" type="noConversion"/>
  </si>
  <si>
    <t>同</t>
    <phoneticPr fontId="2" type="noConversion"/>
  </si>
  <si>
    <t>ˋ</t>
  </si>
  <si>
    <t>U+02CBˋ</t>
  </si>
  <si>
    <t>第2聲調號</t>
  </si>
  <si>
    <t>陽上 (ㄚˋ)</t>
    <phoneticPr fontId="2" type="noConversion"/>
  </si>
  <si>
    <t>動</t>
    <phoneticPr fontId="2" type="noConversion"/>
  </si>
  <si>
    <t>˪</t>
  </si>
  <si>
    <t>U+02EA˪</t>
  </si>
  <si>
    <t>第3聲調號</t>
  </si>
  <si>
    <t>陽去 (ㄚ˫)</t>
    <phoneticPr fontId="2" type="noConversion"/>
  </si>
  <si>
    <t>洞</t>
    <phoneticPr fontId="2" type="noConversion"/>
  </si>
  <si>
    <t>ˊ</t>
  </si>
  <si>
    <t>U+02CAˊ</t>
  </si>
  <si>
    <t>第5聲調號</t>
  </si>
  <si>
    <t>陽入 (ㄚㆷ˙)</t>
    <phoneticPr fontId="2" type="noConversion"/>
  </si>
  <si>
    <t>毒</t>
    <phoneticPr fontId="2" type="noConversion"/>
  </si>
  <si>
    <t>˫</t>
  </si>
  <si>
    <t>U+02EB˫</t>
  </si>
  <si>
    <t>第7聲調號</t>
  </si>
  <si>
    <t>ㄚㆷ˙</t>
    <phoneticPr fontId="2" type="noConversion"/>
  </si>
  <si>
    <t>˙</t>
  </si>
  <si>
    <t>輕聲</t>
  </si>
  <si>
    <t>寫在音節前方或韻母後方</t>
  </si>
  <si>
    <t>"</t>
    <phoneticPr fontId="2" type="noConversion"/>
  </si>
  <si>
    <t>求</t>
    <phoneticPr fontId="2" type="noConversion"/>
  </si>
  <si>
    <t>注音調符</t>
    <phoneticPr fontId="2" type="noConversion"/>
  </si>
  <si>
    <t>注音調號</t>
    <phoneticPr fontId="2" type="noConversion"/>
  </si>
  <si>
    <t>調符</t>
    <phoneticPr fontId="2" type="noConversion"/>
  </si>
  <si>
    <t>ㄚˋ</t>
  </si>
  <si>
    <t>ㄚˊ</t>
    <phoneticPr fontId="2" type="noConversion"/>
  </si>
  <si>
    <t>ㄚ˪</t>
    <phoneticPr fontId="2" type="noConversion"/>
  </si>
  <si>
    <t>ㄚ˫</t>
    <phoneticPr fontId="2" type="noConversion"/>
  </si>
  <si>
    <t>U+02CB</t>
  </si>
  <si>
    <t>U+02EA</t>
  </si>
  <si>
    <t>U+02CA</t>
  </si>
  <si>
    <t>U+02EB</t>
  </si>
  <si>
    <t>U+02D9</t>
  </si>
  <si>
    <t>Unicode</t>
    <phoneticPr fontId="2" type="noConversion"/>
  </si>
  <si>
    <t>U+02CB</t>
    <phoneticPr fontId="2" type="noConversion"/>
  </si>
  <si>
    <t>U+02EA</t>
    <phoneticPr fontId="2" type="noConversion"/>
  </si>
  <si>
    <t>U+02CA</t>
    <phoneticPr fontId="2" type="noConversion"/>
  </si>
  <si>
    <t>U+02EB</t>
    <phoneticPr fontId="2" type="noConversion"/>
  </si>
  <si>
    <t>U+02D9</t>
    <phoneticPr fontId="2" type="noConversion"/>
  </si>
  <si>
    <t>jj</t>
    <phoneticPr fontId="2" type="noConversion"/>
  </si>
  <si>
    <t>ch</t>
    <phoneticPr fontId="2" type="noConversion"/>
  </si>
  <si>
    <t>雙唇音</t>
  </si>
  <si>
    <t>齦顎音</t>
  </si>
  <si>
    <t>軟顎音</t>
  </si>
  <si>
    <t>聲門音</t>
  </si>
  <si>
    <t>清音</t>
  </si>
  <si>
    <t>濁音</t>
  </si>
  <si>
    <t>鼻音</t>
  </si>
  <si>
    <t>[ m ]</t>
  </si>
  <si>
    <t>[ n ]</t>
  </si>
  <si>
    <t xml:space="preserve"> [ ŋ ]</t>
  </si>
  <si>
    <t>ggn</t>
    <phoneticPr fontId="87" type="noConversion"/>
  </si>
  <si>
    <t>毛</t>
  </si>
  <si>
    <t>塞音</t>
  </si>
  <si>
    <t>不送氣</t>
  </si>
  <si>
    <t>[ p ]</t>
  </si>
  <si>
    <t>[b]</t>
  </si>
  <si>
    <t>[ t ]</t>
  </si>
  <si>
    <t>[ k ]</t>
  </si>
  <si>
    <t>[ g ]</t>
  </si>
  <si>
    <t>[ ? ]</t>
  </si>
  <si>
    <t>送氣</t>
  </si>
  <si>
    <t>[ pʰ ]</t>
  </si>
  <si>
    <t>[ tʰ ]</t>
  </si>
  <si>
    <t>[ kʰ ]</t>
  </si>
  <si>
    <t>塞擦音</t>
  </si>
  <si>
    <t>[ ts ]</t>
  </si>
  <si>
    <t>[ ʣ ]</t>
  </si>
  <si>
    <t>[ ʨ ]</t>
  </si>
  <si>
    <t>zi</t>
    <phoneticPr fontId="87" type="noConversion"/>
  </si>
  <si>
    <t>[ ʥ ]</t>
  </si>
  <si>
    <t xml:space="preserve"> [ t͡sʰ ]</t>
  </si>
  <si>
    <t>[ ʨʰ ]</t>
  </si>
  <si>
    <t>ci</t>
    <phoneticPr fontId="87" type="noConversion"/>
  </si>
  <si>
    <t>擦音</t>
  </si>
  <si>
    <t>[ s ]</t>
  </si>
  <si>
    <t>[ ɕ ]</t>
  </si>
  <si>
    <t>si</t>
    <phoneticPr fontId="87" type="noConversion"/>
  </si>
  <si>
    <t>[ h ]</t>
  </si>
  <si>
    <t>邊音</t>
  </si>
  <si>
    <t>[ l ]</t>
  </si>
  <si>
    <t>舌尖。上齒背</t>
    <phoneticPr fontId="2" type="noConversion"/>
  </si>
  <si>
    <t>上脣。下脣</t>
    <phoneticPr fontId="2" type="noConversion"/>
  </si>
  <si>
    <t>舌尖中音（齒齦音）</t>
    <phoneticPr fontId="2" type="noConversion"/>
  </si>
  <si>
    <t>舌尖前音（齦顎音）</t>
    <phoneticPr fontId="2" type="noConversion"/>
  </si>
  <si>
    <t>舌根音（軟顎音）</t>
    <phoneticPr fontId="2" type="noConversion"/>
  </si>
  <si>
    <r>
      <rPr>
        <sz val="14"/>
        <color rgb="FF000000"/>
        <rFont val="Microsoft JhengHei UI"/>
        <family val="2"/>
        <charset val="136"/>
      </rPr>
      <t>㗋塞音（</t>
    </r>
    <r>
      <rPr>
        <sz val="14"/>
        <color rgb="FF000000"/>
        <rFont val="Noto Sans TC"/>
        <family val="2"/>
        <charset val="136"/>
      </rPr>
      <t>聲門音）</t>
    </r>
    <phoneticPr fontId="2" type="noConversion"/>
  </si>
  <si>
    <t>bbn</t>
    <phoneticPr fontId="86" type="noConversion"/>
  </si>
  <si>
    <t>ln</t>
    <phoneticPr fontId="86" type="noConversion"/>
  </si>
  <si>
    <t>m</t>
    <phoneticPr fontId="86" type="noConversion"/>
  </si>
  <si>
    <t>n</t>
    <phoneticPr fontId="86" type="noConversion"/>
  </si>
  <si>
    <t>ng</t>
    <phoneticPr fontId="87" type="noConversion"/>
  </si>
  <si>
    <t>ts</t>
    <phoneticPr fontId="87" type="noConversion"/>
  </si>
  <si>
    <t>tsh</t>
    <phoneticPr fontId="87" type="noConversion"/>
  </si>
  <si>
    <t>tsi</t>
    <phoneticPr fontId="87" type="noConversion"/>
  </si>
  <si>
    <t>tshi</t>
    <phoneticPr fontId="87" type="noConversion"/>
  </si>
  <si>
    <t>ji</t>
    <phoneticPr fontId="87" type="noConversion"/>
  </si>
  <si>
    <t>jji</t>
    <phoneticPr fontId="87" type="noConversion"/>
  </si>
  <si>
    <t>chi</t>
    <phoneticPr fontId="87" type="noConversion"/>
  </si>
  <si>
    <t>shi</t>
    <phoneticPr fontId="87" type="noConversion"/>
  </si>
  <si>
    <t>ㄅ</t>
    <phoneticPr fontId="87" type="noConversion"/>
  </si>
  <si>
    <t>比</t>
  </si>
  <si>
    <t>ㄆ</t>
    <phoneticPr fontId="87" type="noConversion"/>
  </si>
  <si>
    <t>鄙</t>
  </si>
  <si>
    <t>美</t>
  </si>
  <si>
    <t>bb</t>
    <phoneticPr fontId="86" type="noConversion"/>
  </si>
  <si>
    <t>舌尖中音</t>
    <phoneticPr fontId="87" type="noConversion"/>
  </si>
  <si>
    <t>齒齦音</t>
    <phoneticPr fontId="87" type="noConversion"/>
  </si>
  <si>
    <t>ㄉ</t>
    <phoneticPr fontId="87" type="noConversion"/>
  </si>
  <si>
    <t>底</t>
  </si>
  <si>
    <t>ㄊ</t>
    <phoneticPr fontId="87" type="noConversion"/>
  </si>
  <si>
    <t>恥</t>
  </si>
  <si>
    <t>ㄗ</t>
    <phoneticPr fontId="87" type="noConversion"/>
  </si>
  <si>
    <t>止</t>
  </si>
  <si>
    <t>ㄘ</t>
    <phoneticPr fontId="87" type="noConversion"/>
  </si>
  <si>
    <t>取</t>
  </si>
  <si>
    <t>ㄙ</t>
    <phoneticPr fontId="87" type="noConversion"/>
  </si>
  <si>
    <t>始</t>
  </si>
  <si>
    <t>ㆡ</t>
    <phoneticPr fontId="87" type="noConversion"/>
  </si>
  <si>
    <t>耳</t>
  </si>
  <si>
    <t>ㄌ</t>
    <phoneticPr fontId="87" type="noConversion"/>
  </si>
  <si>
    <t>理</t>
  </si>
  <si>
    <t>舌尖前音</t>
    <phoneticPr fontId="87" type="noConversion"/>
  </si>
  <si>
    <t>齦顎音</t>
    <phoneticPr fontId="87" type="noConversion"/>
  </si>
  <si>
    <t>ㄐ</t>
    <phoneticPr fontId="87" type="noConversion"/>
  </si>
  <si>
    <t>尖</t>
  </si>
  <si>
    <t>ㄑ</t>
    <phoneticPr fontId="87" type="noConversion"/>
  </si>
  <si>
    <t>手</t>
  </si>
  <si>
    <t>ㄒ</t>
    <phoneticPr fontId="87" type="noConversion"/>
  </si>
  <si>
    <t>ㆢ</t>
    <phoneticPr fontId="87" type="noConversion"/>
  </si>
  <si>
    <t>舌根音</t>
    <phoneticPr fontId="87" type="noConversion"/>
  </si>
  <si>
    <t>軟顎音</t>
    <phoneticPr fontId="87" type="noConversion"/>
  </si>
  <si>
    <t>ㄫ</t>
    <phoneticPr fontId="87" type="noConversion"/>
  </si>
  <si>
    <t>雅</t>
  </si>
  <si>
    <t>ㄍ</t>
    <phoneticPr fontId="87" type="noConversion"/>
  </si>
  <si>
    <t>己</t>
  </si>
  <si>
    <t>ㄎ</t>
    <phoneticPr fontId="87" type="noConversion"/>
  </si>
  <si>
    <t>起</t>
  </si>
  <si>
    <t>ㆣ</t>
    <phoneticPr fontId="87" type="noConversion"/>
  </si>
  <si>
    <t>我</t>
  </si>
  <si>
    <t>gg</t>
    <phoneticPr fontId="86" type="noConversion"/>
  </si>
  <si>
    <t>喉塞音</t>
    <phoneticPr fontId="87" type="noConversion"/>
  </si>
  <si>
    <t>聲門音</t>
    <phoneticPr fontId="87" type="noConversion"/>
  </si>
  <si>
    <t>ㄏ</t>
    <phoneticPr fontId="87" type="noConversion"/>
  </si>
  <si>
    <t>p</t>
    <phoneticPr fontId="87" type="noConversion"/>
  </si>
  <si>
    <t>ph</t>
    <phoneticPr fontId="87" type="noConversion"/>
  </si>
  <si>
    <t>ㆠ</t>
    <phoneticPr fontId="87" type="noConversion"/>
  </si>
  <si>
    <t>ㄇ</t>
    <phoneticPr fontId="87" type="noConversion"/>
  </si>
  <si>
    <t>m</t>
    <phoneticPr fontId="87" type="noConversion"/>
  </si>
  <si>
    <t>b</t>
    <phoneticPr fontId="87" type="noConversion"/>
  </si>
  <si>
    <t>t</t>
    <phoneticPr fontId="87" type="noConversion"/>
  </si>
  <si>
    <t>th</t>
    <phoneticPr fontId="87" type="noConversion"/>
  </si>
  <si>
    <t>ㄋ</t>
    <phoneticPr fontId="87" type="noConversion"/>
  </si>
  <si>
    <t>n</t>
    <phoneticPr fontId="87" type="noConversion"/>
  </si>
  <si>
    <t>k</t>
    <phoneticPr fontId="87" type="noConversion"/>
  </si>
  <si>
    <t>kh</t>
    <phoneticPr fontId="87" type="noConversion"/>
  </si>
  <si>
    <t>g</t>
    <phoneticPr fontId="87" type="noConversion"/>
  </si>
  <si>
    <t>Ø</t>
    <phoneticPr fontId="87" type="noConversion"/>
  </si>
  <si>
    <t>s</t>
    <phoneticPr fontId="87" type="noConversion"/>
  </si>
  <si>
    <t>l</t>
    <phoneticPr fontId="87" type="noConversion"/>
  </si>
  <si>
    <t>j</t>
    <phoneticPr fontId="87" type="noConversion"/>
  </si>
  <si>
    <t>h</t>
    <phoneticPr fontId="87" type="noConversion"/>
  </si>
  <si>
    <t>b</t>
    <phoneticPr fontId="86" type="noConversion"/>
  </si>
  <si>
    <t>閩拼方案</t>
    <phoneticPr fontId="87" type="noConversion"/>
  </si>
  <si>
    <t>台語注音二式</t>
    <phoneticPr fontId="87" type="noConversion"/>
  </si>
  <si>
    <t>舌尖前音</t>
    <phoneticPr fontId="2" type="noConversion"/>
  </si>
  <si>
    <t>舌尖中音</t>
    <phoneticPr fontId="2" type="noConversion"/>
  </si>
  <si>
    <t>舌根音</t>
    <phoneticPr fontId="2" type="noConversion"/>
  </si>
  <si>
    <t>㗋塞音</t>
    <phoneticPr fontId="2" type="noConversion"/>
  </si>
  <si>
    <t>z</t>
    <phoneticPr fontId="87" type="noConversion"/>
  </si>
  <si>
    <t>c</t>
    <phoneticPr fontId="87" type="noConversion"/>
  </si>
  <si>
    <t>d</t>
    <phoneticPr fontId="87" type="noConversion"/>
  </si>
  <si>
    <t>l</t>
    <phoneticPr fontId="86" type="noConversion"/>
  </si>
  <si>
    <t>Ø</t>
    <phoneticPr fontId="86" type="noConversion"/>
  </si>
  <si>
    <t>ng</t>
    <phoneticPr fontId="86" type="noConversion"/>
  </si>
  <si>
    <t>zz</t>
    <phoneticPr fontId="87" type="noConversion"/>
  </si>
  <si>
    <t>舌尖。上齒齦</t>
    <phoneticPr fontId="2" type="noConversion"/>
  </si>
  <si>
    <t>舌根軟顎</t>
    <phoneticPr fontId="87" type="noConversion"/>
  </si>
  <si>
    <t>氣管咽頭</t>
    <phoneticPr fontId="87" type="noConversion"/>
  </si>
  <si>
    <t>jji</t>
    <phoneticPr fontId="86" type="noConversion"/>
  </si>
  <si>
    <t>zz</t>
    <phoneticPr fontId="86" type="noConversion"/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</si>
  <si>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an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</si>
  <si>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at̚</t>
    </r>
  </si>
  <si>
    <r>
      <rPr>
        <b/>
        <sz val="20"/>
        <color theme="1"/>
        <rFont val="Noto Sans TC Medium"/>
        <family val="2"/>
        <charset val="136"/>
      </rPr>
      <t>ɔŋ</t>
    </r>
  </si>
  <si>
    <r>
      <rPr>
        <b/>
        <sz val="20"/>
        <color theme="1"/>
        <rFont val="Noto Sans TC Medium"/>
        <family val="2"/>
        <charset val="136"/>
      </rPr>
      <t>ɔ</t>
    </r>
    <r>
      <rPr>
        <b/>
        <sz val="20"/>
        <color theme="1"/>
        <rFont val="Charis SIL"/>
      </rPr>
      <t>k̚</t>
    </r>
  </si>
  <si>
    <r>
      <rPr>
        <b/>
        <sz val="20"/>
        <color theme="1"/>
        <rFont val="Noto Sans TC Medium"/>
        <family val="2"/>
        <charset val="136"/>
      </rPr>
      <t>ɪŋ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</si>
  <si>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k</t>
    </r>
  </si>
  <si>
    <r>
      <rPr>
        <b/>
        <sz val="20"/>
        <color theme="1"/>
        <rFont val="Noto Sans TC Medium"/>
        <family val="2"/>
        <charset val="136"/>
      </rPr>
      <t>ɔ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</si>
  <si>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</t>
    </r>
    <r>
      <rPr>
        <b/>
        <sz val="20"/>
        <color theme="1"/>
        <rFont val="Noto Sans TC Medium"/>
        <family val="2"/>
        <charset val="136"/>
      </rPr>
      <t>ʊ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</si>
  <si>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</t>
    </r>
    <r>
      <rPr>
        <b/>
        <sz val="20"/>
        <color theme="1"/>
        <rFont val="Noto Sans TC Medium"/>
        <family val="2"/>
        <charset val="136"/>
      </rPr>
      <t>ʊ</t>
    </r>
    <r>
      <rPr>
        <b/>
        <sz val="20"/>
        <color theme="1"/>
        <rFont val="Charis SIL"/>
      </rPr>
      <t>ʔ</t>
    </r>
  </si>
  <si>
    <r>
      <rPr>
        <b/>
        <sz val="20"/>
        <color theme="1"/>
        <rFont val="Noto Sans TC Medium"/>
        <family val="2"/>
        <charset val="136"/>
      </rPr>
      <t>ɪɔŋ</t>
    </r>
  </si>
  <si>
    <r>
      <rPr>
        <b/>
        <sz val="20"/>
        <color theme="1"/>
        <rFont val="Noto Sans TC Medium"/>
        <family val="2"/>
        <charset val="136"/>
      </rPr>
      <t>ɪɔ</t>
    </r>
    <r>
      <rPr>
        <b/>
        <sz val="20"/>
        <color theme="1"/>
        <rFont val="Charis SIL"/>
      </rPr>
      <t>k̚</t>
    </r>
  </si>
  <si>
    <r>
      <t>a</t>
    </r>
    <r>
      <rPr>
        <b/>
        <sz val="20"/>
        <color theme="1"/>
        <rFont val="Noto Sans TC Medium"/>
        <family val="2"/>
        <charset val="136"/>
      </rPr>
      <t>ɪ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</si>
  <si>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</t>
    </r>
    <r>
      <rPr>
        <b/>
        <sz val="20"/>
        <color theme="1"/>
        <rFont val="Noto Sans TC Medium"/>
        <family val="2"/>
        <charset val="136"/>
      </rPr>
      <t>ŋ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</si>
  <si>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ak̚</t>
    </r>
  </si>
  <si>
    <r>
      <t>a</t>
    </r>
    <r>
      <rPr>
        <b/>
        <sz val="20"/>
        <color theme="1"/>
        <rFont val="Noto Sans TC Medium"/>
        <family val="2"/>
        <charset val="136"/>
      </rPr>
      <t>ŋ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</si>
  <si>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am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</si>
  <si>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ap̚</t>
    </r>
  </si>
  <si>
    <r>
      <t>a</t>
    </r>
    <r>
      <rPr>
        <b/>
        <sz val="20"/>
        <color theme="1"/>
        <rFont val="Noto Sans TC Medium"/>
        <family val="2"/>
        <charset val="136"/>
      </rPr>
      <t>ʊ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</si>
  <si>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</si>
  <si>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aʔ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</si>
  <si>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u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</si>
  <si>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ə</t>
    </r>
  </si>
  <si>
    <r>
      <rPr>
        <b/>
        <sz val="20"/>
        <color theme="1"/>
        <rFont val="Arial"/>
        <family val="2"/>
        <charset val="254"/>
      </rPr>
      <t>ɪ</t>
    </r>
    <r>
      <rPr>
        <b/>
        <sz val="20"/>
        <color theme="1"/>
        <rFont val="Charis SIL"/>
      </rPr>
      <t>əʔ</t>
    </r>
    <phoneticPr fontId="2" type="noConversion"/>
  </si>
  <si>
    <r>
      <rPr>
        <b/>
        <sz val="20"/>
        <color theme="1"/>
        <rFont val="Noto Sans TC Medium"/>
        <family val="2"/>
        <charset val="136"/>
      </rPr>
      <t>ɪɔ</t>
    </r>
    <r>
      <rPr>
        <b/>
        <sz val="20"/>
        <color theme="1"/>
        <rFont val="Charis SIL"/>
      </rPr>
      <t>̃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</si>
  <si>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ã</t>
    </r>
  </si>
  <si>
    <r>
      <rPr>
        <b/>
        <sz val="20"/>
        <color theme="1"/>
        <rFont val="Noto Sans TC Medium"/>
        <family val="2"/>
        <charset val="136"/>
      </rPr>
      <t>ŋ</t>
    </r>
    <r>
      <rPr>
        <b/>
        <sz val="20"/>
        <color theme="1"/>
        <rFont val="Charis SIL"/>
      </rPr>
      <t>̍</t>
    </r>
  </si>
  <si>
    <r>
      <t>ã</t>
    </r>
    <r>
      <rPr>
        <b/>
        <sz val="20"/>
        <color theme="1"/>
        <rFont val="Noto Sans TC Medium"/>
        <family val="2"/>
        <charset val="136"/>
      </rPr>
      <t>ɪ</t>
    </r>
  </si>
  <si>
    <r>
      <t>ua</t>
    </r>
    <r>
      <rPr>
        <b/>
        <sz val="20"/>
        <color theme="1"/>
        <rFont val="Noto Sans TC Medium"/>
        <family val="2"/>
        <charset val="136"/>
      </rPr>
      <t>ŋ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</si>
  <si>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ã</t>
    </r>
    <r>
      <rPr>
        <b/>
        <sz val="20"/>
        <color theme="1"/>
        <rFont val="Noto Sans TC Medium"/>
        <family val="2"/>
        <charset val="136"/>
      </rPr>
      <t>ʊ</t>
    </r>
  </si>
  <si>
    <r>
      <rPr>
        <b/>
        <sz val="20"/>
        <color theme="1"/>
        <rFont val="Noto Sans TC Medium"/>
        <family val="2"/>
        <charset val="136"/>
      </rPr>
      <t>ɔ</t>
    </r>
    <r>
      <rPr>
        <b/>
        <sz val="20"/>
        <color theme="1"/>
        <rFont val="Charis SIL"/>
      </rPr>
      <t>m</t>
    </r>
  </si>
  <si>
    <r>
      <rPr>
        <b/>
        <sz val="20"/>
        <color theme="1"/>
        <rFont val="Noto Sans TC Medium"/>
        <family val="2"/>
        <charset val="136"/>
      </rPr>
      <t>ɔ</t>
    </r>
    <r>
      <rPr>
        <b/>
        <sz val="20"/>
        <color theme="1"/>
        <rFont val="Charis SIL"/>
      </rPr>
      <t>p̚</t>
    </r>
  </si>
  <si>
    <r>
      <rPr>
        <b/>
        <sz val="20"/>
        <color theme="1"/>
        <rFont val="Arial"/>
        <family val="2"/>
        <charset val="254"/>
      </rPr>
      <t>ɔ</t>
    </r>
    <r>
      <rPr>
        <b/>
        <sz val="20"/>
        <color theme="1"/>
        <rFont val="Charis SIL"/>
      </rPr>
      <t>̃</t>
    </r>
    <phoneticPr fontId="2" type="noConversion"/>
  </si>
  <si>
    <r>
      <rPr>
        <b/>
        <sz val="20"/>
        <color theme="1"/>
        <rFont val="Noto Sans TC Medium"/>
        <family val="2"/>
        <charset val="136"/>
      </rPr>
      <t>ɔ</t>
    </r>
    <r>
      <rPr>
        <b/>
        <sz val="20"/>
        <color theme="1"/>
        <rFont val="Charis SIL"/>
      </rPr>
      <t>̃ʔ</t>
    </r>
  </si>
  <si>
    <r>
      <rPr>
        <b/>
        <sz val="20"/>
        <color theme="1"/>
        <rFont val="Noto Sans TC Medium"/>
        <family val="2"/>
        <charset val="136"/>
      </rPr>
      <t>ɪ</t>
    </r>
    <r>
      <rPr>
        <b/>
        <sz val="20"/>
        <color theme="1"/>
        <rFont val="Charis SIL"/>
      </rPr>
      <t>ũ</t>
    </r>
  </si>
  <si>
    <r>
      <rPr>
        <b/>
        <sz val="20"/>
        <color theme="2"/>
        <rFont val="Noto Sans TC Medium"/>
        <family val="2"/>
        <charset val="136"/>
      </rPr>
      <t>ɪ</t>
    </r>
    <r>
      <rPr>
        <b/>
        <sz val="20"/>
        <color theme="2"/>
        <rFont val="Charis SIL"/>
      </rPr>
      <t>ũʔ</t>
    </r>
  </si>
  <si>
    <t>國際音標2</t>
    <phoneticPr fontId="2" type="noConversion"/>
  </si>
  <si>
    <t>ee</t>
    <phoneticPr fontId="2" type="noConversion"/>
  </si>
  <si>
    <t>ɛʔ</t>
    <phoneticPr fontId="2" type="noConversion"/>
  </si>
  <si>
    <t>eeh</t>
    <phoneticPr fontId="2" type="noConversion"/>
  </si>
  <si>
    <t>ei</t>
    <phoneticPr fontId="2" type="noConversion"/>
  </si>
  <si>
    <t>uei</t>
    <phoneticPr fontId="2" type="noConversion"/>
  </si>
  <si>
    <t>oe</t>
    <phoneticPr fontId="2" type="noConversion"/>
  </si>
  <si>
    <t>ueiʔ</t>
    <phoneticPr fontId="2" type="noConversion"/>
  </si>
  <si>
    <t>ueh</t>
    <phoneticPr fontId="2" type="noConversion"/>
  </si>
  <si>
    <t>oeh</t>
    <phoneticPr fontId="2" type="noConversion"/>
  </si>
  <si>
    <t>ㄧㆻ</t>
    <phoneticPr fontId="2" type="noConversion"/>
  </si>
  <si>
    <t>一</t>
    <phoneticPr fontId="2" type="noConversion"/>
  </si>
  <si>
    <t>三</t>
    <phoneticPr fontId="2" type="noConversion"/>
  </si>
  <si>
    <t>四</t>
    <phoneticPr fontId="2" type="noConversion"/>
  </si>
  <si>
    <t>五</t>
    <phoneticPr fontId="2" type="noConversion"/>
  </si>
  <si>
    <t>六</t>
    <phoneticPr fontId="2" type="noConversion"/>
  </si>
  <si>
    <t>七</t>
    <phoneticPr fontId="2" type="noConversion"/>
  </si>
  <si>
    <t>八</t>
    <phoneticPr fontId="2" type="noConversion"/>
  </si>
  <si>
    <t>註</t>
    <phoneticPr fontId="2" type="noConversion"/>
  </si>
  <si>
    <t>韻讀擬測</t>
  </si>
  <si>
    <t>郡</t>
  </si>
  <si>
    <t>滑</t>
    <phoneticPr fontId="2" type="noConversion"/>
  </si>
  <si>
    <t>k_un</t>
  </si>
  <si>
    <r>
      <t>k_u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</t>
    </r>
  </si>
  <si>
    <r>
      <t>k_u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</t>
    </r>
  </si>
  <si>
    <t>k_ut</t>
  </si>
  <si>
    <t>k_ûn</t>
  </si>
  <si>
    <t>k_ūn</t>
  </si>
  <si>
    <t>k_u̍t</t>
  </si>
  <si>
    <t>un、ut</t>
  </si>
  <si>
    <t>堅</t>
  </si>
  <si>
    <t>蹇</t>
  </si>
  <si>
    <t>見</t>
  </si>
  <si>
    <t>結</t>
  </si>
  <si>
    <t>○</t>
  </si>
  <si>
    <t>健</t>
  </si>
  <si>
    <t>傑</t>
  </si>
  <si>
    <t>k_ian</t>
  </si>
  <si>
    <r>
      <t>k_ia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</t>
    </r>
  </si>
  <si>
    <r>
      <t>k_ia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</t>
    </r>
  </si>
  <si>
    <t>k_iat</t>
  </si>
  <si>
    <t>k_iân</t>
  </si>
  <si>
    <t>k_iān</t>
  </si>
  <si>
    <t>k_ia̍t</t>
  </si>
  <si>
    <t>金</t>
  </si>
  <si>
    <t>錦</t>
  </si>
  <si>
    <t>禁</t>
  </si>
  <si>
    <t>急</t>
  </si>
  <si>
    <t>㦗</t>
  </si>
  <si>
    <t>及</t>
  </si>
  <si>
    <t>k_im</t>
  </si>
  <si>
    <r>
      <t>k_i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m</t>
    </r>
  </si>
  <si>
    <r>
      <t>k_i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m</t>
    </r>
  </si>
  <si>
    <t>k_ip</t>
  </si>
  <si>
    <t>k_îm</t>
  </si>
  <si>
    <t>k_īm</t>
  </si>
  <si>
    <t>k_i̍p</t>
  </si>
  <si>
    <t>im、ip</t>
  </si>
  <si>
    <t>規</t>
  </si>
  <si>
    <t>鬼</t>
  </si>
  <si>
    <t>季</t>
  </si>
  <si>
    <t>葵</t>
  </si>
  <si>
    <t>櫃</t>
  </si>
  <si>
    <t>k_ui</t>
  </si>
  <si>
    <r>
      <t>k_ui</t>
    </r>
    <r>
      <rPr>
        <sz val="12"/>
        <color theme="1"/>
        <rFont val="新細明體"/>
        <family val="1"/>
      </rPr>
      <t>́</t>
    </r>
  </si>
  <si>
    <r>
      <t>k_ui</t>
    </r>
    <r>
      <rPr>
        <sz val="12"/>
        <color theme="1"/>
        <rFont val="新細明體"/>
        <family val="1"/>
      </rPr>
      <t>̀</t>
    </r>
  </si>
  <si>
    <t>k_uih</t>
  </si>
  <si>
    <t>k_uî</t>
  </si>
  <si>
    <t>k_uī</t>
  </si>
  <si>
    <t>k_ui̍h</t>
  </si>
  <si>
    <t>ui、uih</t>
  </si>
  <si>
    <t>嘉</t>
    <phoneticPr fontId="2" type="noConversion"/>
  </si>
  <si>
    <t>賈</t>
    <phoneticPr fontId="2" type="noConversion"/>
  </si>
  <si>
    <t>嫁</t>
  </si>
  <si>
    <t>骼</t>
  </si>
  <si>
    <t>枷</t>
  </si>
  <si>
    <t>假</t>
  </si>
  <si>
    <t>下</t>
  </si>
  <si>
    <t>逆</t>
  </si>
  <si>
    <t>k_ee</t>
  </si>
  <si>
    <r>
      <t>k_e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e</t>
    </r>
  </si>
  <si>
    <r>
      <t>k_e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e</t>
    </r>
  </si>
  <si>
    <t>k_eeh</t>
  </si>
  <si>
    <t>k_êe</t>
  </si>
  <si>
    <t>k_ēe</t>
  </si>
  <si>
    <t>k_e̍h</t>
  </si>
  <si>
    <t>(c.f.稽&amp;伽)</t>
    <phoneticPr fontId="2" type="noConversion"/>
  </si>
  <si>
    <t>干</t>
  </si>
  <si>
    <t>柬</t>
  </si>
  <si>
    <t>澗</t>
  </si>
  <si>
    <t>葛</t>
  </si>
  <si>
    <t>k_an</t>
  </si>
  <si>
    <r>
      <t>k_a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</t>
    </r>
  </si>
  <si>
    <r>
      <t>k_a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</t>
    </r>
  </si>
  <si>
    <t>k_at</t>
  </si>
  <si>
    <t>k_ân</t>
  </si>
  <si>
    <t>k_ān</t>
  </si>
  <si>
    <t>k_a̍t</t>
  </si>
  <si>
    <t>an、ant</t>
  </si>
  <si>
    <t>公</t>
  </si>
  <si>
    <t>廣</t>
  </si>
  <si>
    <t>貢</t>
  </si>
  <si>
    <t>國</t>
  </si>
  <si>
    <t>狂</t>
  </si>
  <si>
    <t>咯</t>
  </si>
  <si>
    <t>k_ong</t>
  </si>
  <si>
    <r>
      <t>k_o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ng</t>
    </r>
  </si>
  <si>
    <r>
      <t>k_o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ng</t>
    </r>
  </si>
  <si>
    <t>k_ok</t>
  </si>
  <si>
    <t>k_ông</t>
  </si>
  <si>
    <t>k_ōng</t>
  </si>
  <si>
    <t>k_o̍k</t>
    <phoneticPr fontId="2" type="noConversion"/>
  </si>
  <si>
    <t>ong、ok</t>
  </si>
  <si>
    <t>乖</t>
  </si>
  <si>
    <t>拐</t>
  </si>
  <si>
    <t>怪</t>
  </si>
  <si>
    <t>k_uai</t>
  </si>
  <si>
    <r>
      <t>k_ua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i</t>
    </r>
  </si>
  <si>
    <r>
      <t>k_ua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i</t>
    </r>
  </si>
  <si>
    <t>k_uaih</t>
  </si>
  <si>
    <t>k_uâi</t>
  </si>
  <si>
    <t>k_uāi</t>
  </si>
  <si>
    <t>k_ua̍ih</t>
  </si>
  <si>
    <t>uai、uaih</t>
  </si>
  <si>
    <t>經</t>
  </si>
  <si>
    <t>景</t>
  </si>
  <si>
    <t>敬</t>
  </si>
  <si>
    <t>格</t>
  </si>
  <si>
    <t>煢</t>
    <phoneticPr fontId="2" type="noConversion"/>
  </si>
  <si>
    <t>勁</t>
    <phoneticPr fontId="2" type="noConversion"/>
  </si>
  <si>
    <t>極</t>
  </si>
  <si>
    <t>k_ing</t>
  </si>
  <si>
    <r>
      <t>k_i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ng</t>
    </r>
  </si>
  <si>
    <r>
      <t>k_i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ng</t>
    </r>
  </si>
  <si>
    <t>k_ik</t>
  </si>
  <si>
    <t>k_îng</t>
  </si>
  <si>
    <t>k_īng</t>
  </si>
  <si>
    <t>k_i̍k</t>
    <phoneticPr fontId="2" type="noConversion"/>
  </si>
  <si>
    <t>勁，又作梗。</t>
    <phoneticPr fontId="2" type="noConversion"/>
  </si>
  <si>
    <t>觀</t>
  </si>
  <si>
    <t>琯</t>
  </si>
  <si>
    <t>貫</t>
  </si>
  <si>
    <t>适</t>
    <phoneticPr fontId="2" type="noConversion"/>
  </si>
  <si>
    <t>權</t>
  </si>
  <si>
    <t>縣</t>
    <phoneticPr fontId="2" type="noConversion"/>
  </si>
  <si>
    <t>橜</t>
  </si>
  <si>
    <t>k_uan</t>
  </si>
  <si>
    <r>
      <t>k_ua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</t>
    </r>
  </si>
  <si>
    <r>
      <t>k_ua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</t>
    </r>
  </si>
  <si>
    <t>k_uat</t>
  </si>
  <si>
    <t>k_uân</t>
  </si>
  <si>
    <t>k_uān</t>
  </si>
  <si>
    <t>k_ua̍t</t>
  </si>
  <si>
    <t>适，又作決。縣，又作倦。</t>
    <phoneticPr fontId="2" type="noConversion"/>
  </si>
  <si>
    <t>uan、uat</t>
  </si>
  <si>
    <t>沽</t>
  </si>
  <si>
    <t>古</t>
  </si>
  <si>
    <t>固</t>
  </si>
  <si>
    <t>糊</t>
  </si>
  <si>
    <t>怙</t>
  </si>
  <si>
    <t>k_ou</t>
  </si>
  <si>
    <r>
      <t>k_o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u</t>
    </r>
  </si>
  <si>
    <r>
      <t>k_o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u</t>
    </r>
  </si>
  <si>
    <t>k_ouh</t>
  </si>
  <si>
    <t>k_ôu</t>
  </si>
  <si>
    <t>k_ōu</t>
  </si>
  <si>
    <t>k_o̍uh</t>
  </si>
  <si>
    <t>oo、ooh</t>
  </si>
  <si>
    <t>嬌</t>
  </si>
  <si>
    <t>皎</t>
  </si>
  <si>
    <t>呌</t>
  </si>
  <si>
    <t>勪</t>
  </si>
  <si>
    <t>橋</t>
    <phoneticPr fontId="2" type="noConversion"/>
  </si>
  <si>
    <t>轎</t>
  </si>
  <si>
    <t>噭</t>
  </si>
  <si>
    <t>k_iau</t>
  </si>
  <si>
    <r>
      <t>k_ia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u</t>
    </r>
  </si>
  <si>
    <r>
      <t>k_ia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u</t>
    </r>
  </si>
  <si>
    <t>k_iauh</t>
  </si>
  <si>
    <t>k_iâu</t>
  </si>
  <si>
    <t>k_iāu</t>
  </si>
  <si>
    <t>k_ia̍uh</t>
  </si>
  <si>
    <t>橋,又作喬。</t>
    <phoneticPr fontId="2" type="noConversion"/>
  </si>
  <si>
    <t>iau、iauh</t>
  </si>
  <si>
    <t>稽</t>
  </si>
  <si>
    <t>改</t>
  </si>
  <si>
    <t>計</t>
  </si>
  <si>
    <t>莢</t>
  </si>
  <si>
    <t>鮭</t>
  </si>
  <si>
    <t>易</t>
  </si>
  <si>
    <t>k_ei</t>
  </si>
  <si>
    <r>
      <t>k_e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i</t>
    </r>
  </si>
  <si>
    <r>
      <t>k_e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i</t>
    </r>
  </si>
  <si>
    <t>k_eih</t>
  </si>
  <si>
    <t>k_êi</t>
  </si>
  <si>
    <t>k_ēi</t>
  </si>
  <si>
    <t>k_e̍ih</t>
  </si>
  <si>
    <t>(c.f.嘉&amp;伽)</t>
    <phoneticPr fontId="2" type="noConversion"/>
  </si>
  <si>
    <t>e、eh</t>
  </si>
  <si>
    <t>恭</t>
  </si>
  <si>
    <t>拱</t>
  </si>
  <si>
    <t>供</t>
  </si>
  <si>
    <t>菊</t>
  </si>
  <si>
    <t>窮</t>
  </si>
  <si>
    <t>共</t>
  </si>
  <si>
    <t>局</t>
  </si>
  <si>
    <t>k_iong</t>
  </si>
  <si>
    <r>
      <t>k_io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ng</t>
    </r>
  </si>
  <si>
    <r>
      <t>k_io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ng</t>
    </r>
  </si>
  <si>
    <t>k_iok</t>
  </si>
  <si>
    <t>k_iông</t>
  </si>
  <si>
    <t>k_iōng</t>
  </si>
  <si>
    <t>k_io̍k</t>
    <phoneticPr fontId="2" type="noConversion"/>
  </si>
  <si>
    <t>iong、iok</t>
  </si>
  <si>
    <t>高</t>
  </si>
  <si>
    <t>果</t>
  </si>
  <si>
    <t>過</t>
  </si>
  <si>
    <t>閣</t>
  </si>
  <si>
    <t>翗</t>
  </si>
  <si>
    <t>膏</t>
  </si>
  <si>
    <t>k_o</t>
  </si>
  <si>
    <r>
      <t>k_o</t>
    </r>
    <r>
      <rPr>
        <sz val="12"/>
        <color theme="1"/>
        <rFont val="新細明體"/>
        <family val="1"/>
      </rPr>
      <t>́</t>
    </r>
  </si>
  <si>
    <r>
      <t>k_o</t>
    </r>
    <r>
      <rPr>
        <sz val="12"/>
        <color theme="1"/>
        <rFont val="新細明體"/>
        <family val="1"/>
      </rPr>
      <t>̀</t>
    </r>
  </si>
  <si>
    <t>k_oh</t>
  </si>
  <si>
    <t>k_ô</t>
  </si>
  <si>
    <t>k_ōh</t>
  </si>
  <si>
    <t>o、oh</t>
  </si>
  <si>
    <t>皆</t>
  </si>
  <si>
    <t>介</t>
  </si>
  <si>
    <t>k_ai</t>
  </si>
  <si>
    <r>
      <t>k_a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i</t>
    </r>
  </si>
  <si>
    <r>
      <t>k_a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i</t>
    </r>
  </si>
  <si>
    <t>k_aih</t>
  </si>
  <si>
    <t>k_âi</t>
  </si>
  <si>
    <t>k_āi</t>
  </si>
  <si>
    <t>k_a̍ih</t>
  </si>
  <si>
    <t>ai、aih</t>
  </si>
  <si>
    <t>巾</t>
  </si>
  <si>
    <t>謹</t>
  </si>
  <si>
    <t>艮</t>
  </si>
  <si>
    <t>吉</t>
  </si>
  <si>
    <t>近</t>
  </si>
  <si>
    <t>楗</t>
  </si>
  <si>
    <t>k_in</t>
  </si>
  <si>
    <r>
      <t>k_i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</t>
    </r>
  </si>
  <si>
    <r>
      <t>k_i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</t>
    </r>
  </si>
  <si>
    <t>k_it</t>
  </si>
  <si>
    <t>k_în</t>
  </si>
  <si>
    <t>k_īn</t>
  </si>
  <si>
    <t>k_i̍t</t>
  </si>
  <si>
    <t>in、it</t>
  </si>
  <si>
    <t>姜</t>
  </si>
  <si>
    <t>襁</t>
  </si>
  <si>
    <t>腳</t>
  </si>
  <si>
    <t>强</t>
  </si>
  <si>
    <t>倞</t>
  </si>
  <si>
    <t>矍</t>
  </si>
  <si>
    <t>k_iang</t>
  </si>
  <si>
    <r>
      <t>k_ia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ng</t>
    </r>
  </si>
  <si>
    <r>
      <t>k_ia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ng</t>
    </r>
  </si>
  <si>
    <t>k_iak</t>
  </si>
  <si>
    <t>k_iâng</t>
  </si>
  <si>
    <t>k_iāng</t>
  </si>
  <si>
    <t>k_ia̍k</t>
    <phoneticPr fontId="2" type="noConversion"/>
  </si>
  <si>
    <t>矍(按原稿作｛賏攵｝]</t>
    <phoneticPr fontId="2" type="noConversion"/>
  </si>
  <si>
    <t>甘</t>
  </si>
  <si>
    <t>敢</t>
  </si>
  <si>
    <t>鑑</t>
  </si>
  <si>
    <t>鴿</t>
  </si>
  <si>
    <t>銜</t>
  </si>
  <si>
    <t>𩼳</t>
  </si>
  <si>
    <t>k_am</t>
  </si>
  <si>
    <r>
      <t>k_a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m</t>
    </r>
  </si>
  <si>
    <r>
      <t>k_a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m</t>
    </r>
  </si>
  <si>
    <t>k_ap</t>
  </si>
  <si>
    <t>k_âm</t>
  </si>
  <si>
    <t>k_ām</t>
  </si>
  <si>
    <t>k_a̍p</t>
  </si>
  <si>
    <t>am、ap</t>
  </si>
  <si>
    <t>瓜</t>
  </si>
  <si>
    <t>𠙼</t>
  </si>
  <si>
    <t>卦</t>
  </si>
  <si>
    <t>嘓</t>
  </si>
  <si>
    <t>k_ua</t>
  </si>
  <si>
    <r>
      <t>k_ua</t>
    </r>
    <r>
      <rPr>
        <sz val="12"/>
        <color theme="1"/>
        <rFont val="新細明體"/>
        <family val="1"/>
      </rPr>
      <t>́</t>
    </r>
  </si>
  <si>
    <r>
      <t>k_ua</t>
    </r>
    <r>
      <rPr>
        <sz val="12"/>
        <color theme="1"/>
        <rFont val="新細明體"/>
        <family val="1"/>
      </rPr>
      <t>̀</t>
    </r>
  </si>
  <si>
    <t>k_uah</t>
  </si>
  <si>
    <t>k_uâ</t>
  </si>
  <si>
    <t>k_uā</t>
  </si>
  <si>
    <t>k_ua̍h</t>
  </si>
  <si>
    <t>ua、uah</t>
  </si>
  <si>
    <t>江</t>
  </si>
  <si>
    <t>港</t>
  </si>
  <si>
    <t>降</t>
  </si>
  <si>
    <t>角</t>
  </si>
  <si>
    <t>磔</t>
  </si>
  <si>
    <t>k_ang</t>
  </si>
  <si>
    <r>
      <t>k_a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ng</t>
    </r>
  </si>
  <si>
    <r>
      <t>k_a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ng</t>
    </r>
  </si>
  <si>
    <t>k_ak</t>
  </si>
  <si>
    <t>k_âng</t>
  </si>
  <si>
    <t>k_āng</t>
  </si>
  <si>
    <t>k_a̍k</t>
    <phoneticPr fontId="2" type="noConversion"/>
  </si>
  <si>
    <t>ang、ak</t>
  </si>
  <si>
    <t>兼</t>
  </si>
  <si>
    <t>檢</t>
  </si>
  <si>
    <t>劍</t>
  </si>
  <si>
    <t>夾</t>
  </si>
  <si>
    <t>鹹</t>
  </si>
  <si>
    <t>鐱</t>
  </si>
  <si>
    <t>k_iam</t>
  </si>
  <si>
    <r>
      <t>k_ia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m</t>
    </r>
  </si>
  <si>
    <r>
      <t>k_ia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m</t>
    </r>
  </si>
  <si>
    <t>k_iap</t>
  </si>
  <si>
    <t>k_iâm</t>
  </si>
  <si>
    <t>k_iām</t>
  </si>
  <si>
    <t>k_ia̍p</t>
  </si>
  <si>
    <t>鹹(按原稿空白)</t>
    <phoneticPr fontId="2" type="noConversion"/>
  </si>
  <si>
    <t>iam、iap</t>
  </si>
  <si>
    <t>交</t>
  </si>
  <si>
    <t>狡</t>
  </si>
  <si>
    <t>教</t>
  </si>
  <si>
    <t>𩛩</t>
  </si>
  <si>
    <t>侯</t>
  </si>
  <si>
    <t>厚</t>
  </si>
  <si>
    <t>k_au</t>
  </si>
  <si>
    <r>
      <t>k_a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u</t>
    </r>
  </si>
  <si>
    <r>
      <t>k_a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u</t>
    </r>
  </si>
  <si>
    <t>k_auh</t>
  </si>
  <si>
    <t>k_âu</t>
  </si>
  <si>
    <t>k_āu</t>
  </si>
  <si>
    <t>k_a̍uh</t>
  </si>
  <si>
    <t>au、auh</t>
  </si>
  <si>
    <t>迦</t>
  </si>
  <si>
    <t>寄</t>
  </si>
  <si>
    <t>伽</t>
  </si>
  <si>
    <t>崎</t>
  </si>
  <si>
    <t>屐</t>
  </si>
  <si>
    <t>k_ia</t>
  </si>
  <si>
    <r>
      <t>k_ia</t>
    </r>
    <r>
      <rPr>
        <sz val="12"/>
        <color theme="1"/>
        <rFont val="新細明體"/>
        <family val="1"/>
      </rPr>
      <t>́</t>
    </r>
  </si>
  <si>
    <r>
      <t>k_ia</t>
    </r>
    <r>
      <rPr>
        <sz val="12"/>
        <color theme="1"/>
        <rFont val="新細明體"/>
        <family val="1"/>
      </rPr>
      <t>̀</t>
    </r>
  </si>
  <si>
    <t>k_iah</t>
  </si>
  <si>
    <t>k_iâ</t>
  </si>
  <si>
    <t>k_iā</t>
  </si>
  <si>
    <t>k_ia̍h</t>
  </si>
  <si>
    <t>ia、iah</t>
  </si>
  <si>
    <t>檜</t>
  </si>
  <si>
    <t>粿</t>
  </si>
  <si>
    <t>郭</t>
  </si>
  <si>
    <t>趶</t>
  </si>
  <si>
    <t>䭝</t>
  </si>
  <si>
    <t>k_uei</t>
  </si>
  <si>
    <r>
      <t>k_ue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i</t>
    </r>
  </si>
  <si>
    <r>
      <t>k_ue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i</t>
    </r>
  </si>
  <si>
    <t>k_ueih</t>
  </si>
  <si>
    <t>k_uêi</t>
  </si>
  <si>
    <t>k_uēi</t>
  </si>
  <si>
    <t>k_ue̍ih</t>
  </si>
  <si>
    <t>ue、ueh</t>
  </si>
  <si>
    <t>監</t>
  </si>
  <si>
    <t>酵</t>
  </si>
  <si>
    <t>㩜</t>
  </si>
  <si>
    <t>k_ann</t>
  </si>
  <si>
    <r>
      <t>k_a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nn</t>
    </r>
  </si>
  <si>
    <r>
      <t>k_a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nn</t>
    </r>
  </si>
  <si>
    <t>k_annh</t>
  </si>
  <si>
    <t>k_ânn</t>
  </si>
  <si>
    <t>k_ānn</t>
  </si>
  <si>
    <t>k_a̍nnh</t>
  </si>
  <si>
    <t>ann、annh</t>
  </si>
  <si>
    <t>艍</t>
  </si>
  <si>
    <t>韮</t>
  </si>
  <si>
    <t>句</t>
  </si>
  <si>
    <t>𣢯</t>
  </si>
  <si>
    <t>𨬡</t>
  </si>
  <si>
    <t>舅</t>
  </si>
  <si>
    <t>k_u</t>
  </si>
  <si>
    <r>
      <t>k_u</t>
    </r>
    <r>
      <rPr>
        <sz val="12"/>
        <color theme="1"/>
        <rFont val="新細明體"/>
        <family val="1"/>
      </rPr>
      <t>́</t>
    </r>
  </si>
  <si>
    <r>
      <t>k_u</t>
    </r>
    <r>
      <rPr>
        <sz val="12"/>
        <color theme="1"/>
        <rFont val="新細明體"/>
        <family val="1"/>
      </rPr>
      <t>̀</t>
    </r>
  </si>
  <si>
    <t>k_uh</t>
  </si>
  <si>
    <t>k_û</t>
  </si>
  <si>
    <t>k_ū</t>
  </si>
  <si>
    <t>k_u̍h</t>
  </si>
  <si>
    <t>u、uh</t>
  </si>
  <si>
    <t>膠</t>
  </si>
  <si>
    <t>絞</t>
  </si>
  <si>
    <t>甲</t>
  </si>
  <si>
    <t>齩</t>
  </si>
  <si>
    <t>k_a</t>
  </si>
  <si>
    <r>
      <t>k_a</t>
    </r>
    <r>
      <rPr>
        <sz val="12"/>
        <color theme="1"/>
        <rFont val="新細明體"/>
        <family val="1"/>
      </rPr>
      <t>́</t>
    </r>
  </si>
  <si>
    <r>
      <t>k_a</t>
    </r>
    <r>
      <rPr>
        <sz val="12"/>
        <color theme="1"/>
        <rFont val="新細明體"/>
        <family val="1"/>
      </rPr>
      <t>̀</t>
    </r>
  </si>
  <si>
    <t>k_ah</t>
  </si>
  <si>
    <t>k_â</t>
  </si>
  <si>
    <t>k_ā</t>
  </si>
  <si>
    <t>k_a̍h</t>
  </si>
  <si>
    <t>a、ah</t>
  </si>
  <si>
    <t>居</t>
  </si>
  <si>
    <t>旣</t>
  </si>
  <si>
    <t>築</t>
  </si>
  <si>
    <t>期</t>
  </si>
  <si>
    <t>已</t>
  </si>
  <si>
    <t>具</t>
  </si>
  <si>
    <t>k_i</t>
  </si>
  <si>
    <r>
      <t>k_i</t>
    </r>
    <r>
      <rPr>
        <sz val="12"/>
        <color theme="1"/>
        <rFont val="新細明體"/>
        <family val="1"/>
      </rPr>
      <t>́</t>
    </r>
  </si>
  <si>
    <r>
      <t>k_i</t>
    </r>
    <r>
      <rPr>
        <sz val="12"/>
        <color theme="1"/>
        <rFont val="新細明體"/>
        <family val="1"/>
      </rPr>
      <t>̀</t>
    </r>
  </si>
  <si>
    <t>k_ih</t>
  </si>
  <si>
    <t>k_î</t>
  </si>
  <si>
    <t>k_ī</t>
  </si>
  <si>
    <t>k_i̍h</t>
  </si>
  <si>
    <t>己(按古作已)</t>
  </si>
  <si>
    <t>i、ih</t>
  </si>
  <si>
    <t>丩</t>
  </si>
  <si>
    <t>久</t>
  </si>
  <si>
    <t>救</t>
  </si>
  <si>
    <t>舊</t>
  </si>
  <si>
    <t>k_iu</t>
  </si>
  <si>
    <r>
      <t>k_iu</t>
    </r>
    <r>
      <rPr>
        <sz val="12"/>
        <color theme="1"/>
        <rFont val="新細明體"/>
        <family val="1"/>
      </rPr>
      <t>́</t>
    </r>
  </si>
  <si>
    <r>
      <t>k_iu</t>
    </r>
    <r>
      <rPr>
        <sz val="12"/>
        <color theme="1"/>
        <rFont val="新細明體"/>
        <family val="1"/>
      </rPr>
      <t>̀</t>
    </r>
  </si>
  <si>
    <t>k_iuh</t>
  </si>
  <si>
    <t>k_iû</t>
  </si>
  <si>
    <t>k_iū</t>
  </si>
  <si>
    <t>k_iu̍h</t>
  </si>
  <si>
    <t>iu、iuh</t>
  </si>
  <si>
    <t>更</t>
  </si>
  <si>
    <t>耞</t>
  </si>
  <si>
    <t>徑</t>
  </si>
  <si>
    <t>k_eenn</t>
  </si>
  <si>
    <r>
      <t>k_e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enn</t>
    </r>
  </si>
  <si>
    <r>
      <t>k_e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enn</t>
    </r>
  </si>
  <si>
    <t>k_eennh</t>
  </si>
  <si>
    <t>k_êenn</t>
  </si>
  <si>
    <t>k_ēenn</t>
  </si>
  <si>
    <t>k_e̍ennh</t>
  </si>
  <si>
    <t>enn、ennh</t>
  </si>
  <si>
    <t>捲</t>
  </si>
  <si>
    <t>卷</t>
  </si>
  <si>
    <t>k_uinn</t>
  </si>
  <si>
    <r>
      <t>k_ui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nn</t>
    </r>
  </si>
  <si>
    <r>
      <t>k_ui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nn</t>
    </r>
  </si>
  <si>
    <t>k_uinnh</t>
  </si>
  <si>
    <t>k_uînn</t>
  </si>
  <si>
    <t>k_uīnn</t>
  </si>
  <si>
    <t>k_ui̍nnh</t>
  </si>
  <si>
    <t>(c.f.鋼)</t>
    <phoneticPr fontId="2" type="noConversion"/>
  </si>
  <si>
    <t>茄</t>
  </si>
  <si>
    <t>k_io</t>
  </si>
  <si>
    <r>
      <t>k_io</t>
    </r>
    <r>
      <rPr>
        <sz val="12"/>
        <color theme="1"/>
        <rFont val="新細明體"/>
        <family val="1"/>
      </rPr>
      <t>́</t>
    </r>
  </si>
  <si>
    <r>
      <t>k_io</t>
    </r>
    <r>
      <rPr>
        <sz val="12"/>
        <color theme="1"/>
        <rFont val="新細明體"/>
        <family val="1"/>
      </rPr>
      <t>̀</t>
    </r>
  </si>
  <si>
    <t>k_ioh</t>
  </si>
  <si>
    <t>k_iô</t>
  </si>
  <si>
    <t>k_iō</t>
  </si>
  <si>
    <t>k_io̍h</t>
  </si>
  <si>
    <t>io、ioh</t>
  </si>
  <si>
    <t>梔</t>
    <phoneticPr fontId="2" type="noConversion"/>
  </si>
  <si>
    <t>墘</t>
  </si>
  <si>
    <t>k_inn</t>
  </si>
  <si>
    <r>
      <t>k_i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nn</t>
    </r>
  </si>
  <si>
    <r>
      <t>k_i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nn</t>
    </r>
  </si>
  <si>
    <t>k_innh</t>
  </si>
  <si>
    <t>k_înn</t>
  </si>
  <si>
    <t>k_īnn</t>
  </si>
  <si>
    <t>k_i̍nnh</t>
  </si>
  <si>
    <t>inn、innh</t>
  </si>
  <si>
    <t>薑</t>
  </si>
  <si>
    <t>強</t>
  </si>
  <si>
    <t>謽</t>
  </si>
  <si>
    <t>k_ionn</t>
  </si>
  <si>
    <r>
      <t>k_io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nn</t>
    </r>
  </si>
  <si>
    <r>
      <t>k_io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nn</t>
    </r>
  </si>
  <si>
    <t>k_ionnh</t>
  </si>
  <si>
    <t>k_iônn</t>
  </si>
  <si>
    <t>k_iōnn</t>
  </si>
  <si>
    <t>k_io̍nnh</t>
  </si>
  <si>
    <t>(c.f.牛)</t>
    <phoneticPr fontId="2" type="noConversion"/>
  </si>
  <si>
    <t>驚</t>
  </si>
  <si>
    <t>囝</t>
  </si>
  <si>
    <t>鏡</t>
  </si>
  <si>
    <t>行</t>
  </si>
  <si>
    <t>件</t>
  </si>
  <si>
    <t>k_iann</t>
  </si>
  <si>
    <r>
      <t>k_ia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nn</t>
    </r>
  </si>
  <si>
    <r>
      <t>k_ia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nn</t>
    </r>
  </si>
  <si>
    <t>k_iannh</t>
  </si>
  <si>
    <t>k_iânn</t>
  </si>
  <si>
    <t>k_iānn</t>
  </si>
  <si>
    <t>k_ia̍nnh</t>
  </si>
  <si>
    <t>iann、iannh</t>
  </si>
  <si>
    <t>官</t>
    <phoneticPr fontId="2" type="noConversion"/>
  </si>
  <si>
    <t>寡</t>
  </si>
  <si>
    <t>寒</t>
  </si>
  <si>
    <t>汗</t>
  </si>
  <si>
    <t>k_uann</t>
  </si>
  <si>
    <r>
      <t>k_ua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nn</t>
    </r>
  </si>
  <si>
    <r>
      <t>k_ua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nn</t>
    </r>
  </si>
  <si>
    <t>k_uannh</t>
  </si>
  <si>
    <t>k_uânn</t>
  </si>
  <si>
    <t>k_uānn</t>
  </si>
  <si>
    <t>k_ua̍nnh</t>
  </si>
  <si>
    <t>uann、uannh</t>
  </si>
  <si>
    <t>鋼</t>
  </si>
  <si>
    <t>槓</t>
  </si>
  <si>
    <t>k_ng</t>
  </si>
  <si>
    <r>
      <t>k_n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g</t>
    </r>
  </si>
  <si>
    <r>
      <t>k_n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g</t>
    </r>
  </si>
  <si>
    <t>k_ngh</t>
  </si>
  <si>
    <t>k_n̂g</t>
  </si>
  <si>
    <t>k_n̄g</t>
  </si>
  <si>
    <t>k_n̍gh</t>
  </si>
  <si>
    <t>(c.f.褌)</t>
    <phoneticPr fontId="2" type="noConversion"/>
  </si>
  <si>
    <t>ng、ngh</t>
  </si>
  <si>
    <t>瘸</t>
  </si>
  <si>
    <t>k_e</t>
  </si>
  <si>
    <r>
      <t>k_e</t>
    </r>
    <r>
      <rPr>
        <sz val="12"/>
        <color theme="1"/>
        <rFont val="新細明體"/>
        <family val="1"/>
      </rPr>
      <t>́</t>
    </r>
  </si>
  <si>
    <r>
      <t>k_e</t>
    </r>
    <r>
      <rPr>
        <sz val="12"/>
        <color theme="1"/>
        <rFont val="新細明體"/>
        <family val="1"/>
      </rPr>
      <t>̀</t>
    </r>
  </si>
  <si>
    <t>k_eh</t>
  </si>
  <si>
    <t>k_ê</t>
  </si>
  <si>
    <t>k_ē</t>
  </si>
  <si>
    <t>(c.f.稽&amp;嘉)</t>
    <phoneticPr fontId="2" type="noConversion"/>
  </si>
  <si>
    <t>閒</t>
  </si>
  <si>
    <t>𩈫</t>
  </si>
  <si>
    <t>k_ainn</t>
  </si>
  <si>
    <r>
      <t>k_a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inn</t>
    </r>
  </si>
  <si>
    <r>
      <t>k_a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inn</t>
    </r>
  </si>
  <si>
    <t>k_ainnh</t>
  </si>
  <si>
    <t>k_âinn</t>
  </si>
  <si>
    <t>k_āinn</t>
  </si>
  <si>
    <t>k_a̍innh</t>
  </si>
  <si>
    <t>姑</t>
  </si>
  <si>
    <t>k_onn</t>
  </si>
  <si>
    <r>
      <t>k_o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nn</t>
    </r>
  </si>
  <si>
    <r>
      <t>k_o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nn</t>
    </r>
  </si>
  <si>
    <t>k_onnh</t>
  </si>
  <si>
    <t>k_ônn</t>
  </si>
  <si>
    <t>k_ōnn</t>
  </si>
  <si>
    <t>k_o̍nnh</t>
  </si>
  <si>
    <t>(c.f.扛)</t>
    <phoneticPr fontId="2" type="noConversion"/>
  </si>
  <si>
    <t>oonn、oonnh</t>
  </si>
  <si>
    <t>姆</t>
  </si>
  <si>
    <t>k_m</t>
  </si>
  <si>
    <r>
      <t>k_m</t>
    </r>
    <r>
      <rPr>
        <sz val="12"/>
        <color theme="1"/>
        <rFont val="新細明體"/>
        <family val="1"/>
      </rPr>
      <t>́</t>
    </r>
  </si>
  <si>
    <r>
      <t>k_m</t>
    </r>
    <r>
      <rPr>
        <sz val="12"/>
        <color theme="1"/>
        <rFont val="新細明體"/>
        <family val="1"/>
      </rPr>
      <t>̀</t>
    </r>
  </si>
  <si>
    <t>k_mh</t>
  </si>
  <si>
    <t>k_m̂</t>
  </si>
  <si>
    <t>k_m̄</t>
  </si>
  <si>
    <t>k_m̍h</t>
  </si>
  <si>
    <t>m、mh</t>
  </si>
  <si>
    <t>光</t>
  </si>
  <si>
    <t>吷</t>
  </si>
  <si>
    <t>k_uang</t>
  </si>
  <si>
    <r>
      <t>k_ua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ng</t>
    </r>
  </si>
  <si>
    <r>
      <t>k_ua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ng</t>
    </r>
  </si>
  <si>
    <t>k_uak</t>
  </si>
  <si>
    <t>k_uâng</t>
  </si>
  <si>
    <t>k_uāng</t>
  </si>
  <si>
    <t>k_ua̍k</t>
    <phoneticPr fontId="2" type="noConversion"/>
  </si>
  <si>
    <t>uang、uak</t>
  </si>
  <si>
    <t>閂</t>
  </si>
  <si>
    <t>k_uainn</t>
  </si>
  <si>
    <r>
      <t>k_ua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inn</t>
    </r>
  </si>
  <si>
    <r>
      <t>k_ua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inn</t>
    </r>
  </si>
  <si>
    <t>k_uainnh</t>
  </si>
  <si>
    <t>k_uâinn</t>
  </si>
  <si>
    <t>k_uāinn</t>
  </si>
  <si>
    <t>k_ua̍innh</t>
  </si>
  <si>
    <t>(c.f.糜)</t>
    <phoneticPr fontId="2" type="noConversion"/>
  </si>
  <si>
    <t>糜</t>
  </si>
  <si>
    <t>k_ueinn</t>
  </si>
  <si>
    <r>
      <t>k_ue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inn</t>
    </r>
  </si>
  <si>
    <r>
      <t>k_ue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inn</t>
    </r>
  </si>
  <si>
    <t>k_ueinnh</t>
  </si>
  <si>
    <t>k_uêinn</t>
  </si>
  <si>
    <t>k_uēinn</t>
  </si>
  <si>
    <t>k_ue̍innh</t>
  </si>
  <si>
    <t>(c.f.閂)</t>
    <phoneticPr fontId="2" type="noConversion"/>
  </si>
  <si>
    <t>嘄</t>
  </si>
  <si>
    <t>k_iaunn</t>
  </si>
  <si>
    <r>
      <t>k_ia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unn</t>
    </r>
  </si>
  <si>
    <r>
      <t>k_ia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unn</t>
    </r>
  </si>
  <si>
    <t>k_iaunnh</t>
  </si>
  <si>
    <t>k_iâunn</t>
  </si>
  <si>
    <t>k_ia̍unnh</t>
  </si>
  <si>
    <t>iaunn、iaunnh</t>
  </si>
  <si>
    <t>箴</t>
  </si>
  <si>
    <t>譖</t>
  </si>
  <si>
    <t>k_om</t>
  </si>
  <si>
    <r>
      <t>k_o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m</t>
    </r>
  </si>
  <si>
    <r>
      <t>k_o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m</t>
    </r>
  </si>
  <si>
    <t>k_op</t>
  </si>
  <si>
    <t>k_ôm</t>
  </si>
  <si>
    <t>k_ōm</t>
  </si>
  <si>
    <t>k_o̍p</t>
  </si>
  <si>
    <t>om、op</t>
  </si>
  <si>
    <t>爻</t>
  </si>
  <si>
    <t>k_aunn</t>
  </si>
  <si>
    <r>
      <t>k_a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unn</t>
    </r>
  </si>
  <si>
    <r>
      <t>k_a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unn</t>
    </r>
  </si>
  <si>
    <t>k_aunnh</t>
  </si>
  <si>
    <t>k_âunn</t>
  </si>
  <si>
    <t>k_āunn</t>
  </si>
  <si>
    <t>k_a̍unnh</t>
  </si>
  <si>
    <t>aunn、aunnh</t>
  </si>
  <si>
    <t>扛</t>
  </si>
  <si>
    <t>k_oonn</t>
  </si>
  <si>
    <r>
      <t>k_o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onn</t>
    </r>
  </si>
  <si>
    <r>
      <t>k_o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onn</t>
    </r>
  </si>
  <si>
    <t>k_oonnh</t>
  </si>
  <si>
    <t>k_ôonn</t>
  </si>
  <si>
    <t>k_ōonn</t>
  </si>
  <si>
    <t>k_o̍onnh</t>
  </si>
  <si>
    <t>(c.f.姑)</t>
    <phoneticPr fontId="2" type="noConversion"/>
  </si>
  <si>
    <t>onn、onnh</t>
  </si>
  <si>
    <t>牛</t>
  </si>
  <si>
    <t>k_iunn</t>
  </si>
  <si>
    <r>
      <t>k_iu</t>
    </r>
    <r>
      <rPr>
        <sz val="12"/>
        <color theme="1"/>
        <rFont val="新細明體"/>
        <family val="1"/>
      </rPr>
      <t>́</t>
    </r>
    <r>
      <rPr>
        <sz val="12"/>
        <color theme="1"/>
        <rFont val="蘋方-繁 標準體"/>
        <charset val="136"/>
      </rPr>
      <t>nn</t>
    </r>
  </si>
  <si>
    <r>
      <t>k_iu</t>
    </r>
    <r>
      <rPr>
        <sz val="12"/>
        <color theme="1"/>
        <rFont val="新細明體"/>
        <family val="1"/>
      </rPr>
      <t>̀</t>
    </r>
    <r>
      <rPr>
        <sz val="12"/>
        <color theme="1"/>
        <rFont val="蘋方-繁 標準體"/>
        <charset val="136"/>
      </rPr>
      <t>nn</t>
    </r>
  </si>
  <si>
    <t>k_iunnh</t>
  </si>
  <si>
    <t>k_iûnn</t>
  </si>
  <si>
    <t>k_iūnn</t>
  </si>
  <si>
    <t>k_iu̍nnh</t>
  </si>
  <si>
    <t>(c.f.薑){牛}(齒音頂平)</t>
    <phoneticPr fontId="2" type="noConversion"/>
  </si>
  <si>
    <t>iunn、(iunnh)</t>
  </si>
  <si>
    <t>字母序</t>
    <phoneticPr fontId="2" type="noConversion"/>
  </si>
  <si>
    <t>上平</t>
    <phoneticPr fontId="2" type="noConversion"/>
  </si>
  <si>
    <t>上上</t>
    <phoneticPr fontId="2" type="noConversion"/>
  </si>
  <si>
    <t>上去</t>
    <phoneticPr fontId="2" type="noConversion"/>
  </si>
  <si>
    <t>上入</t>
    <phoneticPr fontId="2" type="noConversion"/>
  </si>
  <si>
    <t>下平</t>
    <phoneticPr fontId="2" type="noConversion"/>
  </si>
  <si>
    <t>下上</t>
    <phoneticPr fontId="2" type="noConversion"/>
  </si>
  <si>
    <t>下去</t>
    <phoneticPr fontId="2" type="noConversion"/>
  </si>
  <si>
    <t>下入</t>
    <phoneticPr fontId="2" type="noConversion"/>
  </si>
  <si>
    <t>促聲韻</t>
    <phoneticPr fontId="2" type="noConversion"/>
  </si>
  <si>
    <t>舒聲韻</t>
    <phoneticPr fontId="2" type="noConversion"/>
  </si>
  <si>
    <r>
      <t>ian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蘋方-繁 標準體"/>
        <family val="1"/>
      </rPr>
      <t>iat</t>
    </r>
    <phoneticPr fontId="2" type="noConversion"/>
  </si>
  <si>
    <r>
      <t>ee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eeh</t>
    </r>
    <phoneticPr fontId="2" type="noConversion"/>
  </si>
  <si>
    <r>
      <rPr>
        <sz val="12"/>
        <color theme="1"/>
        <rFont val="細明體-ExtB"/>
        <family val="1"/>
        <charset val="136"/>
      </rPr>
      <t>eng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ek</t>
    </r>
    <phoneticPr fontId="2" type="noConversion"/>
  </si>
  <si>
    <r>
      <rPr>
        <sz val="12"/>
        <color theme="1"/>
        <rFont val="細明體-ExtB"/>
        <family val="1"/>
        <charset val="136"/>
      </rPr>
      <t>e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eh</t>
    </r>
    <phoneticPr fontId="2" type="noConversion"/>
  </si>
  <si>
    <r>
      <rPr>
        <sz val="12"/>
        <color theme="1"/>
        <rFont val="細明體-ExtB"/>
        <family val="1"/>
        <charset val="136"/>
      </rPr>
      <t>an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at</t>
    </r>
    <phoneticPr fontId="2" type="noConversion"/>
  </si>
  <si>
    <r>
      <t>ing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ik</t>
    </r>
    <phoneticPr fontId="2" type="noConversion"/>
  </si>
  <si>
    <r>
      <t>iang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iak</t>
    </r>
    <phoneticPr fontId="2" type="noConversion"/>
  </si>
  <si>
    <r>
      <rPr>
        <sz val="12"/>
        <color theme="1"/>
        <rFont val="細明體-ExtB"/>
        <family val="1"/>
        <charset val="136"/>
      </rPr>
      <t>iong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iok</t>
    </r>
    <phoneticPr fontId="2" type="noConversion"/>
  </si>
  <si>
    <r>
      <t>uinn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uinnh</t>
    </r>
    <phoneticPr fontId="2" type="noConversion"/>
  </si>
  <si>
    <r>
      <rPr>
        <sz val="12"/>
        <color theme="1"/>
        <rFont val="細明體-ExtB"/>
        <family val="1"/>
        <charset val="136"/>
      </rPr>
      <t>ng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ngh</t>
    </r>
    <phoneticPr fontId="2" type="noConversion"/>
  </si>
  <si>
    <r>
      <t>ionn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ionnh</t>
    </r>
    <phoneticPr fontId="2" type="noConversion"/>
  </si>
  <si>
    <r>
      <rPr>
        <sz val="12"/>
        <color theme="1"/>
        <rFont val="細明體-ExtB"/>
        <family val="1"/>
        <charset val="136"/>
      </rPr>
      <t>iunn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iunnh</t>
    </r>
    <phoneticPr fontId="2" type="noConversion"/>
  </si>
  <si>
    <r>
      <t>ainn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ainnh</t>
    </r>
    <phoneticPr fontId="2" type="noConversion"/>
  </si>
  <si>
    <r>
      <t>uainn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uainnh</t>
    </r>
    <phoneticPr fontId="2" type="noConversion"/>
  </si>
  <si>
    <r>
      <rPr>
        <sz val="12"/>
        <color theme="1"/>
        <rFont val="細明體-ExtB"/>
        <family val="1"/>
        <charset val="136"/>
      </rPr>
      <t>uinn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uinnh</t>
    </r>
    <phoneticPr fontId="2" type="noConversion"/>
  </si>
  <si>
    <r>
      <t>uenn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uennh</t>
    </r>
    <phoneticPr fontId="2" type="noConversion"/>
  </si>
  <si>
    <r>
      <rPr>
        <sz val="12"/>
        <color theme="1"/>
        <rFont val="細明體-ExtB"/>
        <family val="1"/>
        <charset val="136"/>
      </rPr>
      <t>uainn</t>
    </r>
    <r>
      <rPr>
        <sz val="12"/>
        <color theme="1"/>
        <rFont val="Noto Sans TC"/>
        <family val="2"/>
        <charset val="136"/>
      </rPr>
      <t>、</t>
    </r>
    <r>
      <rPr>
        <sz val="12"/>
        <color theme="1"/>
        <rFont val="細明體-ExtB"/>
        <family val="1"/>
        <charset val="136"/>
      </rPr>
      <t>uainnh</t>
    </r>
    <phoneticPr fontId="2" type="noConversion"/>
  </si>
  <si>
    <t>iunnh</t>
    <phoneticPr fontId="2" type="noConversion"/>
  </si>
  <si>
    <t>ㆤ</t>
    <phoneticPr fontId="2" type="noConversion"/>
  </si>
  <si>
    <r>
      <rPr>
        <sz val="16"/>
        <color theme="1"/>
        <rFont val="Noto Sans TC"/>
        <family val="2"/>
        <charset val="136"/>
      </rPr>
      <t>ㄨㄧ</t>
    </r>
    <r>
      <rPr>
        <sz val="16"/>
        <color theme="1"/>
        <rFont val="細明體"/>
        <family val="3"/>
        <charset val="136"/>
      </rPr>
      <t>ㆷ</t>
    </r>
    <phoneticPr fontId="2" type="noConversion"/>
  </si>
  <si>
    <t>ㆯ</t>
    <phoneticPr fontId="2" type="noConversion"/>
  </si>
  <si>
    <r>
      <t>⁰</t>
    </r>
    <r>
      <rPr>
        <sz val="16"/>
        <color theme="1"/>
        <rFont val="Noto Sans TC"/>
        <family val="2"/>
        <charset val="136"/>
      </rPr>
      <t>ㄠ</t>
    </r>
    <phoneticPr fontId="2" type="noConversion"/>
  </si>
  <si>
    <t>aunn</t>
    <phoneticPr fontId="2" type="noConversion"/>
  </si>
  <si>
    <t>iauⁿ</t>
    <phoneticPr fontId="2" type="noConversion"/>
  </si>
  <si>
    <t>aoⁿ</t>
    <phoneticPr fontId="2" type="noConversion"/>
  </si>
  <si>
    <t>nau</t>
    <phoneticPr fontId="2" type="noConversion"/>
  </si>
  <si>
    <t>ㄨㆥ</t>
    <phoneticPr fontId="2" type="noConversion"/>
  </si>
  <si>
    <r>
      <t>⁰</t>
    </r>
    <r>
      <rPr>
        <sz val="16"/>
        <color theme="1"/>
        <rFont val="Noto Sans TC"/>
        <family val="2"/>
        <charset val="136"/>
      </rPr>
      <t>ㄨㄞ</t>
    </r>
    <phoneticPr fontId="2" type="noConversion"/>
  </si>
  <si>
    <r>
      <t>⁰</t>
    </r>
    <r>
      <rPr>
        <sz val="16"/>
        <color theme="1"/>
        <rFont val="Microsoft JhengHei"/>
        <family val="2"/>
        <charset val="136"/>
      </rPr>
      <t>ㄨㄝ</t>
    </r>
    <phoneticPr fontId="2" type="noConversion"/>
  </si>
  <si>
    <t>ㄝ</t>
    <phoneticPr fontId="2" type="noConversion"/>
  </si>
  <si>
    <t>ㄧˋ</t>
  </si>
  <si>
    <t>ㄧ˪</t>
  </si>
  <si>
    <t>ㄧˊ</t>
  </si>
  <si>
    <t>ㄧ˫</t>
  </si>
  <si>
    <t>ㄧㆷ˙</t>
  </si>
  <si>
    <t>i1</t>
  </si>
  <si>
    <t>i2</t>
  </si>
  <si>
    <t>i3</t>
  </si>
  <si>
    <t>ih4</t>
  </si>
  <si>
    <t>i5</t>
  </si>
  <si>
    <t>i6</t>
  </si>
  <si>
    <t>i7</t>
  </si>
  <si>
    <t>ih8</t>
  </si>
  <si>
    <t>鄙</t>
    <phoneticPr fontId="2" type="noConversion"/>
  </si>
  <si>
    <t>恥</t>
    <phoneticPr fontId="2" type="noConversion"/>
  </si>
  <si>
    <t>耳</t>
    <phoneticPr fontId="2" type="noConversion"/>
  </si>
  <si>
    <t>始</t>
    <phoneticPr fontId="2" type="noConversion"/>
  </si>
  <si>
    <t>以</t>
    <phoneticPr fontId="2" type="noConversion"/>
  </si>
  <si>
    <t>美</t>
    <phoneticPr fontId="2" type="noConversion"/>
  </si>
  <si>
    <t>喜</t>
    <phoneticPr fontId="2" type="noConversion"/>
  </si>
  <si>
    <t>韻+調</t>
    <phoneticPr fontId="2" type="noConversion"/>
  </si>
  <si>
    <t>【居】字韻。上上聲（二聲）</t>
    <phoneticPr fontId="2" type="noConversion"/>
  </si>
  <si>
    <t>《呼十五音法》：切音十五字字頭起連音呼</t>
    <phoneticPr fontId="2" type="noConversion"/>
  </si>
  <si>
    <t>切音字頭</t>
    <phoneticPr fontId="2" type="noConversion"/>
  </si>
  <si>
    <t>聲+韻+調</t>
    <phoneticPr fontId="2" type="noConversion"/>
  </si>
  <si>
    <t>十五音序</t>
    <phoneticPr fontId="2" type="noConversion"/>
  </si>
  <si>
    <t>經八邊</t>
    <phoneticPr fontId="2" type="noConversion"/>
  </si>
  <si>
    <t>舒聲韻</t>
    <phoneticPr fontId="2" type="noConversion"/>
  </si>
  <si>
    <t>促聲韻</t>
    <phoneticPr fontId="2" type="noConversion"/>
  </si>
  <si>
    <t>U+00AF</t>
  </si>
  <si>
    <t>U+00AF</t>
    <phoneticPr fontId="2" type="noConversion"/>
  </si>
  <si>
    <t>一二三四五六七八</t>
    <phoneticPr fontId="2" type="noConversion"/>
  </si>
  <si>
    <t>U+0304</t>
    <phoneticPr fontId="2" type="noConversion"/>
  </si>
  <si>
    <t xml:space="preserve"> </t>
    <phoneticPr fontId="2" type="noConversion"/>
  </si>
  <si>
    <t>aih</t>
  </si>
  <si>
    <t>iuh</t>
  </si>
  <si>
    <t>uinnh</t>
  </si>
  <si>
    <t>ionnh</t>
  </si>
  <si>
    <t>uannh</t>
  </si>
  <si>
    <t>ainnh</t>
  </si>
  <si>
    <t>uangh</t>
  </si>
  <si>
    <t>iaunnh</t>
  </si>
  <si>
    <t>aunnh</t>
  </si>
  <si>
    <t>清音+送氣</t>
    <phoneticPr fontId="86" type="noConversion"/>
  </si>
  <si>
    <t>h</t>
    <phoneticPr fontId="86" type="noConversion"/>
  </si>
  <si>
    <t>s</t>
    <phoneticPr fontId="86" type="noConversion"/>
  </si>
  <si>
    <t>濁音+邊音</t>
    <phoneticPr fontId="86" type="noConversion"/>
  </si>
  <si>
    <t>清音+擦音</t>
    <phoneticPr fontId="86" type="noConversion"/>
  </si>
  <si>
    <t>清音+（塞音/塞擦音）</t>
    <phoneticPr fontId="87" type="noConversion"/>
  </si>
  <si>
    <t>濁音+鼻音</t>
    <phoneticPr fontId="86" type="noConversion"/>
  </si>
  <si>
    <t>耐</t>
    <phoneticPr fontId="87" type="noConversion"/>
  </si>
  <si>
    <t>雅</t>
    <phoneticPr fontId="87" type="noConversion"/>
  </si>
  <si>
    <t>毛</t>
    <phoneticPr fontId="8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</si>
</sst>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General;;"/>
    <numFmt numFmtId="177" formatCode="[DBNum1][$-404]General"/>
  </numFmts>
  <fonts count="177">
    <font>
      <sz val="12"/>
      <color theme="1"/>
      <name val="新細明體"/>
      <family val="2"/>
      <charset val="136"/>
      <scheme val="minor"/>
    </font>
    <font>
      <sz val="14"/>
      <color theme="0"/>
      <name val="Noto Sans TC Black"/>
      <family val="2"/>
      <charset val="136"/>
    </font>
    <font>
      <sz val="9"/>
      <name val="新細明體"/>
      <family val="2"/>
      <charset val="136"/>
      <scheme val="minor"/>
    </font>
    <font>
      <sz val="16"/>
      <color theme="1"/>
      <name val="Charis SIL"/>
    </font>
    <font>
      <sz val="16"/>
      <color rgb="FFFF0000"/>
      <name val="Charis SIL"/>
    </font>
    <font>
      <sz val="24"/>
      <color theme="1"/>
      <name val="字咍源流明體 台羅方音 B"/>
      <family val="1"/>
      <charset val="136"/>
    </font>
    <font>
      <sz val="24"/>
      <color rgb="FFFF0000"/>
      <name val="字咍源流明體 台羅方音 B"/>
      <family val="1"/>
      <charset val="136"/>
    </font>
    <font>
      <sz val="16"/>
      <color theme="1"/>
      <name val="Noto Sans TC Medium"/>
      <family val="2"/>
      <charset val="136"/>
    </font>
    <font>
      <sz val="10"/>
      <color rgb="FF000000"/>
      <name val="Linux Libertine G"/>
      <family val="2"/>
    </font>
    <font>
      <sz val="18"/>
      <color theme="1"/>
      <name val="Calibri"/>
      <family val="2"/>
    </font>
    <font>
      <sz val="24"/>
      <color theme="2" tint="-0.249977111117893"/>
      <name val="字咍源流明體 台羅方音 B"/>
      <family val="1"/>
      <charset val="136"/>
    </font>
    <font>
      <sz val="16"/>
      <color theme="2" tint="-0.249977111117893"/>
      <name val="Noto Sans TC Medium"/>
      <family val="2"/>
      <charset val="136"/>
    </font>
    <font>
      <sz val="16"/>
      <color theme="2" tint="-0.249977111117893"/>
      <name val="Charis SIL"/>
    </font>
    <font>
      <sz val="24"/>
      <color rgb="FFFFC000"/>
      <name val="字咍源流明體 台羅方音 B"/>
      <family val="1"/>
      <charset val="136"/>
    </font>
    <font>
      <sz val="16"/>
      <color rgb="FFFFC000"/>
      <name val="Noto Sans TC Medium"/>
      <family val="2"/>
      <charset val="136"/>
    </font>
    <font>
      <sz val="16"/>
      <color rgb="FFFFC000"/>
      <name val="Charis SIL"/>
    </font>
    <font>
      <sz val="24"/>
      <color theme="2" tint="-9.9978637043366805E-2"/>
      <name val="字咍源流明體 台羅方音 B"/>
      <family val="1"/>
      <charset val="136"/>
    </font>
    <font>
      <sz val="16"/>
      <color theme="2" tint="-9.9978637043366805E-2"/>
      <name val="Noto Sans TC Medium"/>
      <family val="2"/>
      <charset val="136"/>
    </font>
    <font>
      <sz val="16"/>
      <color theme="2" tint="-9.9978637043366805E-2"/>
      <name val="Charis SIL"/>
    </font>
    <font>
      <sz val="24"/>
      <color theme="1"/>
      <name val="字咍源流明體 台羅方音 B"/>
      <family val="3"/>
      <charset val="136"/>
    </font>
    <font>
      <sz val="24"/>
      <color theme="1"/>
      <name val="細明體"/>
      <family val="2"/>
      <charset val="136"/>
    </font>
    <font>
      <sz val="12"/>
      <color theme="1"/>
      <name val="Charis SIL"/>
    </font>
    <font>
      <sz val="14"/>
      <color theme="1"/>
      <name val="Charis SIL"/>
    </font>
    <font>
      <b/>
      <sz val="16"/>
      <color theme="4"/>
      <name val="Noto Sans TC"/>
      <family val="2"/>
      <charset val="136"/>
    </font>
    <font>
      <sz val="12"/>
      <color theme="2"/>
      <name val="Charis SIL"/>
    </font>
    <font>
      <sz val="12"/>
      <color rgb="FFFF0000"/>
      <name val="Charis SIL"/>
    </font>
    <font>
      <sz val="16"/>
      <color theme="1"/>
      <name val="Noto Sans TC"/>
      <family val="2"/>
      <charset val="136"/>
    </font>
    <font>
      <sz val="16"/>
      <color theme="1"/>
      <name val="字咍源流明體 台羅方音 B"/>
      <family val="1"/>
      <charset val="136"/>
    </font>
    <font>
      <sz val="16"/>
      <color rgb="FFFF0000"/>
      <name val="字咍源流明體 台羅方音 B"/>
      <family val="1"/>
      <charset val="136"/>
    </font>
    <font>
      <strike/>
      <sz val="18"/>
      <color theme="1"/>
      <name val="新細明體"/>
      <family val="1"/>
      <charset val="136"/>
    </font>
    <font>
      <strike/>
      <sz val="24"/>
      <color theme="1"/>
      <name val="新細明體"/>
      <family val="1"/>
      <charset val="136"/>
    </font>
    <font>
      <strike/>
      <sz val="16"/>
      <color theme="2" tint="-0.249977111117893"/>
      <name val="新細明體"/>
      <family val="1"/>
      <charset val="136"/>
    </font>
    <font>
      <strike/>
      <sz val="16"/>
      <color theme="1"/>
      <name val="新細明體"/>
      <family val="1"/>
    </font>
    <font>
      <sz val="16"/>
      <color theme="1"/>
      <name val="Arial"/>
      <family val="2"/>
      <charset val="254"/>
    </font>
    <font>
      <strike/>
      <sz val="16"/>
      <color theme="1"/>
      <name val="Charis SIL"/>
    </font>
    <font>
      <sz val="16"/>
      <color theme="1"/>
      <name val="Charis SIL"/>
      <family val="2"/>
      <charset val="254"/>
    </font>
    <font>
      <sz val="16"/>
      <color theme="2"/>
      <name val="Noto Sans TC Medium"/>
      <family val="2"/>
      <charset val="136"/>
    </font>
    <font>
      <sz val="16"/>
      <color theme="2"/>
      <name val="Charis SIL"/>
    </font>
    <font>
      <sz val="16"/>
      <color theme="1"/>
      <name val="Microsoft JhengHei"/>
      <family val="2"/>
    </font>
    <font>
      <sz val="12"/>
      <color theme="1"/>
      <name val="Noto Sans TC"/>
      <family val="2"/>
      <charset val="136"/>
    </font>
    <font>
      <sz val="16"/>
      <color theme="2" tint="-9.9978637043366805E-2"/>
      <name val="Noto Sans TC Medium"/>
      <family val="2"/>
    </font>
    <font>
      <sz val="12"/>
      <color theme="1"/>
      <name val="細明體"/>
      <family val="3"/>
      <charset val="136"/>
    </font>
    <font>
      <sz val="12"/>
      <color theme="1"/>
      <name val="新細明體"/>
      <family val="1"/>
      <charset val="136"/>
    </font>
    <font>
      <sz val="16"/>
      <color theme="3" tint="0.249977111117893"/>
      <name val="字咍源流明體 台羅方音 B"/>
      <family val="1"/>
      <charset val="136"/>
    </font>
    <font>
      <sz val="24"/>
      <color theme="3" tint="0.249977111117893"/>
      <name val="字咍源流明體 台羅方音 B"/>
      <family val="1"/>
      <charset val="136"/>
    </font>
    <font>
      <sz val="16"/>
      <color theme="3" tint="0.249977111117893"/>
      <name val="Charis SIL"/>
    </font>
    <font>
      <sz val="16"/>
      <color theme="2" tint="-9.9978637043366805E-2"/>
      <name val="字咍源流明體 台羅方音 B"/>
      <family val="1"/>
      <charset val="136"/>
    </font>
    <font>
      <sz val="12"/>
      <color theme="3" tint="0.499984740745262"/>
      <name val="Charis SIL"/>
    </font>
    <font>
      <sz val="12"/>
      <color rgb="FFC00000"/>
      <name val="Noto Sans TC"/>
      <family val="2"/>
      <charset val="136"/>
    </font>
    <font>
      <sz val="12"/>
      <color rgb="FFC00000"/>
      <name val="Charis SIL"/>
    </font>
    <font>
      <sz val="12"/>
      <name val="Charis SIL"/>
    </font>
    <font>
      <sz val="12"/>
      <color theme="2" tint="-9.9978637043366805E-2"/>
      <name val="Charis SIL"/>
    </font>
    <font>
      <sz val="12"/>
      <color theme="7" tint="0.79998168889431442"/>
      <name val="Charis SIL"/>
    </font>
    <font>
      <sz val="48"/>
      <color theme="4"/>
      <name val="Noto Serif TC Black"/>
      <family val="1"/>
      <charset val="136"/>
    </font>
    <font>
      <sz val="12"/>
      <color theme="8" tint="0.39997558519241921"/>
      <name val="Charis SIL"/>
    </font>
    <font>
      <sz val="12"/>
      <color theme="4"/>
      <name val="Noto Sans TC Medium"/>
      <family val="2"/>
    </font>
    <font>
      <b/>
      <sz val="12"/>
      <color theme="4"/>
      <name val="Noto Sans TC Medium"/>
      <family val="2"/>
    </font>
    <font>
      <b/>
      <sz val="16"/>
      <color theme="0"/>
      <name val="Noto Sans TC"/>
      <family val="2"/>
    </font>
    <font>
      <sz val="9"/>
      <name val="黒体-繁"/>
      <family val="2"/>
      <charset val="136"/>
    </font>
    <font>
      <b/>
      <sz val="16"/>
      <color theme="0"/>
      <name val="Noto Sans TC Medium"/>
      <family val="2"/>
      <charset val="136"/>
    </font>
    <font>
      <sz val="9"/>
      <name val="新細明體"/>
      <family val="3"/>
      <charset val="136"/>
      <scheme val="minor"/>
    </font>
    <font>
      <sz val="12"/>
      <color theme="1"/>
      <name val="字咍源流明體 白話字 R"/>
      <family val="1"/>
      <charset val="136"/>
    </font>
    <font>
      <sz val="18"/>
      <color theme="1"/>
      <name val="Noto Sans TC"/>
      <family val="2"/>
    </font>
    <font>
      <sz val="16"/>
      <color theme="1"/>
      <name val="Noto Serif TC Black"/>
      <family val="1"/>
      <charset val="136"/>
    </font>
    <font>
      <sz val="16"/>
      <name val="Arial"/>
      <family val="2"/>
    </font>
    <font>
      <b/>
      <sz val="24"/>
      <color theme="1"/>
      <name val="字咍源雲明體 台羅方音 L"/>
      <family val="1"/>
      <charset val="136"/>
    </font>
    <font>
      <sz val="36"/>
      <color theme="1"/>
      <name val="Noto Serif TC Medium"/>
      <family val="1"/>
      <charset val="136"/>
    </font>
    <font>
      <sz val="18"/>
      <color theme="1"/>
      <name val="Noto Sans TC Medium"/>
      <family val="2"/>
      <charset val="136"/>
    </font>
    <font>
      <sz val="18"/>
      <color theme="1"/>
      <name val="ㄅ源雲注音明體 R"/>
      <family val="1"/>
      <charset val="136"/>
    </font>
    <font>
      <sz val="22"/>
      <color theme="1"/>
      <name val="ㄅ源雲注音明體 R"/>
      <family val="1"/>
      <charset val="136"/>
    </font>
    <font>
      <b/>
      <sz val="24"/>
      <color theme="1"/>
      <name val="細明體"/>
      <family val="1"/>
      <charset val="136"/>
    </font>
    <font>
      <sz val="24"/>
      <color theme="1"/>
      <name val="Charis SIL"/>
    </font>
    <font>
      <sz val="18"/>
      <color theme="1"/>
      <name val="Noto Serif TC Black"/>
      <family val="1"/>
      <charset val="136"/>
    </font>
    <font>
      <b/>
      <sz val="36"/>
      <color rgb="FFFF0000"/>
      <name val="Arial"/>
      <family val="2"/>
    </font>
    <font>
      <sz val="10"/>
      <color rgb="FF000000"/>
      <name val="新細明體"/>
      <family val="1"/>
      <charset val="136"/>
      <scheme val="minor"/>
    </font>
    <font>
      <sz val="12"/>
      <color theme="1"/>
      <name val="ㄅ源雲注音明體 M"/>
      <family val="1"/>
      <charset val="136"/>
    </font>
    <font>
      <sz val="16"/>
      <color theme="1"/>
      <name val="Noto Serif TC Black"/>
      <family val="1"/>
    </font>
    <font>
      <sz val="18"/>
      <color theme="1"/>
      <name val="Noto Serif TC Black"/>
      <family val="1"/>
    </font>
    <font>
      <sz val="28"/>
      <color theme="1"/>
      <name val="ㄅ源雲注音明體 M"/>
      <family val="1"/>
      <charset val="136"/>
    </font>
    <font>
      <sz val="12"/>
      <color theme="1"/>
      <name val="Noto Sans TC Black"/>
      <family val="2"/>
      <charset val="136"/>
    </font>
    <font>
      <sz val="12"/>
      <color theme="1"/>
      <name val="Noto Sans TC Medium"/>
      <family val="2"/>
      <charset val="136"/>
    </font>
    <font>
      <sz val="12"/>
      <color theme="1"/>
      <name val="Noto Sans TC Medium"/>
      <family val="2"/>
    </font>
    <font>
      <sz val="14"/>
      <color rgb="FF1155CC"/>
      <name val="蘋方-繁 標準體"/>
      <charset val="136"/>
    </font>
    <font>
      <sz val="14"/>
      <color rgb="FF000000"/>
      <name val="蘋方-繁 標準體"/>
      <charset val="136"/>
    </font>
    <font>
      <sz val="10"/>
      <color rgb="FF000000"/>
      <name val="蘋方-繁 標準體"/>
      <charset val="136"/>
    </font>
    <font>
      <sz val="14"/>
      <color rgb="FF999999"/>
      <name val="蘋方-繁 標準體"/>
      <charset val="136"/>
    </font>
    <font>
      <sz val="9"/>
      <name val="Noto Sans TC"/>
      <family val="2"/>
      <charset val="136"/>
    </font>
    <font>
      <sz val="9"/>
      <name val="cwTeX 仿宋體"/>
      <family val="3"/>
      <charset val="136"/>
    </font>
    <font>
      <sz val="14"/>
      <color rgb="FF000000"/>
      <name val="Noto Sans TC"/>
      <family val="2"/>
      <charset val="136"/>
    </font>
    <font>
      <sz val="14"/>
      <color rgb="FF000000"/>
      <name val="Microsoft JhengHei UI"/>
      <family val="2"/>
      <charset val="136"/>
    </font>
    <font>
      <sz val="14"/>
      <color rgb="FF000000"/>
      <name val="蘋方-繁 標準體"/>
      <family val="2"/>
      <charset val="136"/>
    </font>
    <font>
      <sz val="24"/>
      <color rgb="FFFF0000"/>
      <name val="蘋方-繁 標準體"/>
      <charset val="136"/>
    </font>
    <font>
      <sz val="24"/>
      <color rgb="FFFF0000"/>
      <name val="蘋方-繁 標準體"/>
      <family val="1"/>
      <charset val="136"/>
    </font>
    <font>
      <sz val="36"/>
      <color rgb="FF000000"/>
      <name val="Noto Serif TC Black"/>
      <family val="1"/>
      <charset val="136"/>
    </font>
    <font>
      <sz val="36"/>
      <color rgb="FF000000"/>
      <name val="Noto Serif TC Black"/>
      <family val="1"/>
    </font>
    <font>
      <b/>
      <sz val="20"/>
      <color theme="9"/>
      <name val="Charis SIL"/>
    </font>
    <font>
      <b/>
      <sz val="20"/>
      <color rgb="FF0070C0"/>
      <name val="Charis SIL"/>
    </font>
    <font>
      <sz val="18"/>
      <color theme="0" tint="-0.34998626667073579"/>
      <name val="Charis SIL"/>
    </font>
    <font>
      <sz val="20"/>
      <color rgb="FF0070C0"/>
      <name val="蘋方-繁 標準體"/>
      <charset val="136"/>
    </font>
    <font>
      <sz val="20"/>
      <color rgb="FF1155CC"/>
      <name val="蘋方-繁 標準體"/>
      <charset val="136"/>
    </font>
    <font>
      <sz val="20"/>
      <color rgb="FF1155CC"/>
      <name val="蘋方-繁 標準體"/>
      <family val="1"/>
      <charset val="136"/>
    </font>
    <font>
      <sz val="36"/>
      <name val="Noto Serif TC Black"/>
      <family val="1"/>
      <charset val="136"/>
    </font>
    <font>
      <sz val="36"/>
      <name val="Noto Serif TC Black"/>
      <family val="1"/>
    </font>
    <font>
      <sz val="20"/>
      <color rgb="FF0070C0"/>
      <name val="Noto Sans TC"/>
      <family val="2"/>
      <charset val="136"/>
    </font>
    <font>
      <sz val="22"/>
      <color theme="8"/>
      <name val="Noto Sans TC Black"/>
      <family val="2"/>
      <charset val="136"/>
    </font>
    <font>
      <b/>
      <sz val="36"/>
      <color rgb="FFC00000"/>
      <name val="Noto Serif TC Black"/>
      <family val="1"/>
    </font>
    <font>
      <sz val="22"/>
      <color theme="3" tint="0.499984740745262"/>
      <name val="Noto Sans TC Black"/>
      <family val="2"/>
      <charset val="136"/>
    </font>
    <font>
      <b/>
      <sz val="28"/>
      <color theme="9"/>
      <name val="Charis SIL"/>
    </font>
    <font>
      <b/>
      <sz val="28"/>
      <color rgb="FF0070C0"/>
      <name val="Charis SIL"/>
    </font>
    <font>
      <sz val="18"/>
      <color rgb="FF1155CC"/>
      <name val="Noto Sans TC Medium"/>
      <family val="2"/>
      <charset val="136"/>
    </font>
    <font>
      <sz val="18"/>
      <color rgb="FF000000"/>
      <name val="Noto Sans TC Medium"/>
      <family val="2"/>
      <charset val="136"/>
    </font>
    <font>
      <sz val="18"/>
      <color rgb="FF0070C0"/>
      <name val="Noto Sans TC Medium"/>
      <family val="2"/>
      <charset val="136"/>
    </font>
    <font>
      <sz val="32"/>
      <color rgb="FFC00000"/>
      <name val="Noto Sans TC Black"/>
      <family val="2"/>
      <charset val="136"/>
    </font>
    <font>
      <b/>
      <sz val="26"/>
      <color theme="9"/>
      <name val="Charis SIL"/>
    </font>
    <font>
      <b/>
      <sz val="26"/>
      <color rgb="FF0070C0"/>
      <name val="Charis SIL"/>
    </font>
    <font>
      <sz val="20"/>
      <color rgb="FF0070C0"/>
      <name val="Noto Sans TC Black"/>
      <family val="2"/>
      <charset val="136"/>
    </font>
    <font>
      <sz val="10"/>
      <color rgb="FF000000"/>
      <name val="Noto Sans TC Black"/>
      <family val="2"/>
      <charset val="136"/>
    </font>
    <font>
      <b/>
      <sz val="28"/>
      <color rgb="FFC00000"/>
      <name val="霞鶩文楷等寬 TC Medium"/>
      <family val="3"/>
      <charset val="136"/>
    </font>
    <font>
      <b/>
      <sz val="20"/>
      <color theme="1"/>
      <name val="Charis SIL"/>
    </font>
    <font>
      <b/>
      <sz val="20"/>
      <color theme="1"/>
      <name val="Noto Sans TC Medium"/>
      <family val="2"/>
      <charset val="136"/>
    </font>
    <font>
      <b/>
      <strike/>
      <sz val="20"/>
      <color theme="1"/>
      <name val="Charis SIL"/>
    </font>
    <font>
      <b/>
      <sz val="20"/>
      <color theme="1"/>
      <name val="Arial"/>
      <family val="2"/>
      <charset val="254"/>
    </font>
    <font>
      <b/>
      <sz val="20"/>
      <color theme="1"/>
      <name val="Charis SIL"/>
      <family val="2"/>
      <charset val="254"/>
    </font>
    <font>
      <b/>
      <sz val="20"/>
      <color theme="2"/>
      <name val="Charis SIL"/>
    </font>
    <font>
      <b/>
      <sz val="20"/>
      <color theme="2"/>
      <name val="Noto Sans TC Medium"/>
      <family val="2"/>
      <charset val="136"/>
    </font>
    <font>
      <strike/>
      <sz val="18"/>
      <color theme="2" tint="-0.249977111117893"/>
      <name val="Noto Sans TC Medium"/>
      <family val="2"/>
    </font>
    <font>
      <sz val="18"/>
      <color rgb="FFFFC000"/>
      <name val="Noto Sans TC Medium"/>
      <family val="2"/>
    </font>
    <font>
      <sz val="18"/>
      <color theme="2" tint="-0.249977111117893"/>
      <name val="Noto Sans TC Medium"/>
      <family val="2"/>
    </font>
    <font>
      <sz val="18"/>
      <color theme="2" tint="-9.9978637043366805E-2"/>
      <name val="Noto Sans TC Medium"/>
      <family val="2"/>
    </font>
    <font>
      <sz val="18"/>
      <color theme="2"/>
      <name val="Noto Sans TC Medium"/>
      <family val="2"/>
    </font>
    <font>
      <sz val="22"/>
      <color theme="2"/>
      <name val="Noto Sans TC Medium"/>
      <family val="2"/>
    </font>
    <font>
      <sz val="22"/>
      <color theme="1"/>
      <name val="Noto Sans TC Medium"/>
      <family val="2"/>
    </font>
    <font>
      <strike/>
      <sz val="22"/>
      <color theme="1"/>
      <name val="Noto Sans TC Medium"/>
      <family val="2"/>
    </font>
    <font>
      <sz val="12"/>
      <name val="新細明體"/>
      <family val="2"/>
      <charset val="136"/>
      <scheme val="minor"/>
    </font>
    <font>
      <sz val="18"/>
      <name val="Calibri"/>
      <family val="2"/>
    </font>
    <font>
      <strike/>
      <sz val="18"/>
      <name val="新細明體"/>
      <family val="1"/>
      <charset val="136"/>
    </font>
    <font>
      <sz val="12"/>
      <color rgb="FFC00000"/>
      <name val="蘋方-繁 標準體"/>
      <charset val="136"/>
    </font>
    <font>
      <sz val="12"/>
      <color theme="0" tint="-0.499984740745262"/>
      <name val="蘋方-繁 標準體"/>
      <charset val="136"/>
    </font>
    <font>
      <sz val="12"/>
      <color theme="1"/>
      <name val="蘋方-繁 標準體"/>
      <charset val="136"/>
    </font>
    <font>
      <sz val="12"/>
      <color theme="1"/>
      <name val="新細明體"/>
      <family val="1"/>
    </font>
    <font>
      <sz val="24"/>
      <color rgb="FFC00000"/>
      <name val="Noto Serif TC Black"/>
      <family val="1"/>
    </font>
    <font>
      <sz val="24"/>
      <color theme="1"/>
      <name val="Noto Serif TC Black"/>
      <family val="1"/>
    </font>
    <font>
      <sz val="16"/>
      <color theme="1"/>
      <name val="細明體"/>
      <family val="3"/>
      <charset val="136"/>
    </font>
    <font>
      <sz val="12"/>
      <color theme="1"/>
      <name val="細明體-ExtB"/>
      <family val="1"/>
      <charset val="136"/>
    </font>
    <font>
      <sz val="12"/>
      <color theme="1"/>
      <name val="蘋方-繁 標準體"/>
      <family val="1"/>
    </font>
    <font>
      <sz val="12"/>
      <color theme="1"/>
      <name val="蘋方-繁 標準體"/>
      <family val="1"/>
      <charset val="136"/>
    </font>
    <font>
      <b/>
      <sz val="12"/>
      <color theme="0"/>
      <name val="Noto Sans TC Medium"/>
      <family val="2"/>
      <charset val="136"/>
    </font>
    <font>
      <sz val="14"/>
      <color theme="0"/>
      <name val="Noto Sans TC Medium"/>
      <family val="2"/>
      <charset val="136"/>
    </font>
    <font>
      <sz val="16"/>
      <color theme="0"/>
      <name val="Noto Sans TC Medium"/>
      <family val="2"/>
      <charset val="136"/>
    </font>
    <font>
      <sz val="24"/>
      <color theme="0"/>
      <name val="Noto Sans TC Medium"/>
      <family val="2"/>
      <charset val="136"/>
    </font>
    <font>
      <sz val="16"/>
      <color rgb="FFFFFFCC"/>
      <name val="Noto Sans TC Medium"/>
      <family val="2"/>
      <charset val="136"/>
    </font>
    <font>
      <sz val="14"/>
      <color rgb="FFC00000"/>
      <name val="Noto Serif TC Black"/>
      <family val="1"/>
    </font>
    <font>
      <sz val="14"/>
      <name val="Noto Serif TC Black"/>
      <family val="1"/>
    </font>
    <font>
      <sz val="14"/>
      <color theme="3" tint="0.499984740745262"/>
      <name val="霞鶩文楷 TC Medium"/>
      <family val="1"/>
      <charset val="136"/>
    </font>
    <font>
      <sz val="14"/>
      <color theme="6" tint="0.39997558519241921"/>
      <name val="Noto Serif TC Black"/>
      <family val="1"/>
    </font>
    <font>
      <sz val="16"/>
      <color theme="1"/>
      <name val="Charis SIL"/>
      <family val="2"/>
      <charset val="136"/>
    </font>
    <font>
      <sz val="16"/>
      <color theme="1"/>
      <name val="Microsoft JhengHei"/>
      <family val="2"/>
      <charset val="136"/>
    </font>
    <font>
      <sz val="36"/>
      <color theme="1"/>
      <name val="Noto Serif TC Black"/>
      <family val="1"/>
    </font>
    <font>
      <b/>
      <sz val="18"/>
      <color theme="0"/>
      <name val="Noto Sans TC Medium"/>
      <family val="2"/>
      <charset val="136"/>
    </font>
    <font>
      <b/>
      <sz val="18"/>
      <color theme="1"/>
      <name val="Noto Sans TC Medium"/>
      <family val="2"/>
      <charset val="136"/>
    </font>
    <font>
      <sz val="72"/>
      <color theme="1"/>
      <name val="Noto Serif TC Black"/>
      <family val="1"/>
    </font>
    <font>
      <sz val="24"/>
      <color theme="3" tint="0.499984740745262"/>
      <name val="霞鶩文楷 TC Medium"/>
      <family val="1"/>
      <charset val="136"/>
    </font>
    <font>
      <sz val="24"/>
      <color theme="1"/>
      <name val="新細明體"/>
      <family val="2"/>
      <charset val="136"/>
      <scheme val="minor"/>
    </font>
    <font>
      <sz val="24"/>
      <color theme="6" tint="0.39997558519241921"/>
      <name val="Charis SIL"/>
    </font>
    <font>
      <sz val="24"/>
      <color theme="1"/>
      <name val="蘋方-繁 標準體"/>
      <charset val="136"/>
    </font>
    <font>
      <sz val="24"/>
      <color theme="0" tint="-0.499984740745262"/>
      <name val="蘋方-繁 標準體"/>
      <charset val="136"/>
    </font>
    <font>
      <sz val="24"/>
      <color theme="6" tint="0.39997558519241921"/>
      <name val="Noto Serif TC Black"/>
      <family val="1"/>
    </font>
    <font>
      <sz val="36"/>
      <color theme="1"/>
      <name val="霞鶩文楷等寬 TC Medium"/>
      <family val="3"/>
      <charset val="136"/>
    </font>
    <font>
      <sz val="12"/>
      <color theme="0" tint="-0.499984740745262"/>
      <name val="微軟正黑體"/>
      <family val="2"/>
      <charset val="136"/>
    </font>
    <font>
      <sz val="28"/>
      <color theme="1"/>
      <name val="新細明體"/>
      <family val="2"/>
      <charset val="136"/>
      <scheme val="minor"/>
    </font>
    <font>
      <sz val="18"/>
      <color theme="1"/>
      <name val="Noto Sans HK Medium"/>
      <family val="2"/>
      <charset val="136"/>
    </font>
    <font>
      <b/>
      <sz val="36"/>
      <color theme="1"/>
      <name val="霞鶩文楷等寬 TC Medium"/>
      <family val="3"/>
      <charset val="136"/>
    </font>
    <font>
      <sz val="36"/>
      <color rgb="FFFF0000"/>
      <name val="Noto Serif TC Black"/>
      <family val="1"/>
      <charset val="136"/>
    </font>
    <font>
      <sz val="18"/>
      <color rgb="FF0070C0"/>
      <name val="Noto Sans HK"/>
      <family val="2"/>
      <charset val="136"/>
    </font>
    <font>
      <sz val="18"/>
      <color rgb="FF000000"/>
      <name val="Noto Sans HK"/>
      <family val="2"/>
      <charset val="136"/>
    </font>
    <font>
      <sz val="22"/>
      <color rgb="FF000000"/>
      <name val="Noto Sans HK"/>
      <family val="2"/>
      <charset val="136"/>
    </font>
    <font>
      <sz val="24"/>
      <color rgb="FFC00000"/>
      <name val="Noto Sans TC Black"/>
      <family val="2"/>
      <charset val="136"/>
    </font>
  </fonts>
  <fills count="19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D25F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C9DAF8"/>
        <bgColor rgb="FFCFE2F3"/>
      </patternFill>
    </fill>
    <fill>
      <patternFill patternType="solid">
        <fgColor rgb="FFCFE2F3"/>
        <bgColor rgb="FFC9DAF8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50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2" tint="-9.9948118533890809E-2"/>
      </left>
      <right style="thin">
        <color theme="2" tint="-9.9948118533890809E-2"/>
      </right>
      <top style="thin">
        <color theme="2" tint="-9.9948118533890809E-2"/>
      </top>
      <bottom style="thin">
        <color theme="2" tint="-9.9948118533890809E-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indexed="64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indexed="64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/>
      <right/>
      <top style="thin">
        <color indexed="64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theme="0" tint="-0.14996795556505021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/>
      <right style="thin">
        <color theme="2" tint="-0.24994659260841701"/>
      </right>
      <top/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0" fontId="8" fillId="0" borderId="0"/>
    <xf numFmtId="0" fontId="26" fillId="0" borderId="0">
      <alignment vertical="center"/>
    </xf>
    <xf numFmtId="0" fontId="26" fillId="0" borderId="0">
      <alignment vertical="center"/>
    </xf>
    <xf numFmtId="0" fontId="74" fillId="0" borderId="0"/>
  </cellStyleXfs>
  <cellXfs count="54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2"/>
    </xf>
    <xf numFmtId="0" fontId="3" fillId="3" borderId="1" xfId="0" applyFont="1" applyFill="1" applyBorder="1" applyAlignment="1">
      <alignment horizontal="left" vertical="center" indent="2"/>
    </xf>
    <xf numFmtId="0" fontId="4" fillId="3" borderId="1" xfId="0" applyFont="1" applyFill="1" applyBorder="1" applyAlignment="1">
      <alignment horizontal="left" vertical="center" indent="2"/>
    </xf>
    <xf numFmtId="0" fontId="3" fillId="4" borderId="1" xfId="0" applyFont="1" applyFill="1" applyBorder="1" applyAlignment="1">
      <alignment horizontal="left" vertical="center" indent="2"/>
    </xf>
    <xf numFmtId="0" fontId="9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left" vertical="center" indent="1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76" fontId="15" fillId="0" borderId="1" xfId="0" applyNumberFormat="1" applyFont="1" applyBorder="1" applyAlignment="1">
      <alignment horizontal="left" vertical="center" indent="1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left" vertical="center" indent="1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76" fontId="18" fillId="0" borderId="1" xfId="0" applyNumberFormat="1" applyFont="1" applyBorder="1" applyAlignment="1">
      <alignment horizontal="left" vertical="center" indent="1"/>
    </xf>
    <xf numFmtId="0" fontId="19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Continuous" vertical="center"/>
    </xf>
    <xf numFmtId="0" fontId="1" fillId="5" borderId="1" xfId="0" applyFon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 indent="2"/>
    </xf>
    <xf numFmtId="0" fontId="4" fillId="5" borderId="1" xfId="0" applyFont="1" applyFill="1" applyBorder="1" applyAlignment="1">
      <alignment horizontal="left" vertical="center" indent="2"/>
    </xf>
    <xf numFmtId="0" fontId="21" fillId="0" borderId="0" xfId="0" applyFont="1">
      <alignment vertical="center"/>
    </xf>
    <xf numFmtId="0" fontId="3" fillId="0" borderId="2" xfId="0" applyFont="1" applyBorder="1" applyAlignment="1">
      <alignment horizontal="left" vertical="center" indent="2"/>
    </xf>
    <xf numFmtId="0" fontId="3" fillId="3" borderId="2" xfId="0" applyFont="1" applyFill="1" applyBorder="1" applyAlignment="1">
      <alignment horizontal="left" vertical="center" indent="2"/>
    </xf>
    <xf numFmtId="0" fontId="4" fillId="3" borderId="2" xfId="0" applyFont="1" applyFill="1" applyBorder="1" applyAlignment="1">
      <alignment horizontal="left" vertical="center" indent="2"/>
    </xf>
    <xf numFmtId="0" fontId="3" fillId="4" borderId="2" xfId="0" applyFont="1" applyFill="1" applyBorder="1" applyAlignment="1">
      <alignment horizontal="left" vertical="center" indent="2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6" borderId="0" xfId="0" applyFont="1" applyFill="1">
      <alignment vertical="center"/>
    </xf>
    <xf numFmtId="0" fontId="24" fillId="6" borderId="0" xfId="0" applyFont="1" applyFill="1">
      <alignment vertical="center"/>
    </xf>
    <xf numFmtId="0" fontId="25" fillId="3" borderId="0" xfId="0" applyFont="1" applyFill="1" applyAlignment="1">
      <alignment horizontal="center" vertical="center"/>
    </xf>
    <xf numFmtId="0" fontId="21" fillId="0" borderId="7" xfId="0" applyFont="1" applyBorder="1">
      <alignment vertical="center"/>
    </xf>
    <xf numFmtId="0" fontId="9" fillId="7" borderId="1" xfId="0" applyFont="1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>
      <alignment horizontal="left" vertical="center" indent="1"/>
    </xf>
    <xf numFmtId="0" fontId="11" fillId="7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7" fillId="7" borderId="1" xfId="0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20" fillId="7" borderId="1" xfId="0" applyFont="1" applyFill="1" applyBorder="1" applyAlignment="1">
      <alignment horizontal="center" vertical="center"/>
    </xf>
    <xf numFmtId="0" fontId="9" fillId="7" borderId="5" xfId="0" applyFont="1" applyFill="1" applyBorder="1">
      <alignment vertical="center"/>
    </xf>
    <xf numFmtId="0" fontId="5" fillId="7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 indent="2"/>
    </xf>
    <xf numFmtId="0" fontId="27" fillId="3" borderId="1" xfId="0" applyFont="1" applyFill="1" applyBorder="1" applyAlignment="1">
      <alignment horizontal="center" vertical="center"/>
    </xf>
    <xf numFmtId="0" fontId="28" fillId="3" borderId="1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4" borderId="1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9" fillId="7" borderId="3" xfId="0" applyFont="1" applyFill="1" applyBorder="1">
      <alignment vertical="center"/>
    </xf>
    <xf numFmtId="0" fontId="5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176" fontId="3" fillId="7" borderId="3" xfId="0" applyNumberFormat="1" applyFont="1" applyFill="1" applyBorder="1" applyAlignment="1">
      <alignment horizontal="left" vertical="center" indent="1"/>
    </xf>
    <xf numFmtId="0" fontId="23" fillId="6" borderId="8" xfId="0" applyFont="1" applyFill="1" applyBorder="1" applyAlignment="1">
      <alignment horizontal="center" vertical="center"/>
    </xf>
    <xf numFmtId="0" fontId="29" fillId="7" borderId="1" xfId="0" applyFont="1" applyFill="1" applyBorder="1">
      <alignment vertical="center"/>
    </xf>
    <xf numFmtId="0" fontId="30" fillId="8" borderId="1" xfId="0" applyFont="1" applyFill="1" applyBorder="1" applyAlignment="1">
      <alignment horizontal="center" vertical="center"/>
    </xf>
    <xf numFmtId="0" fontId="31" fillId="7" borderId="1" xfId="0" applyFont="1" applyFill="1" applyBorder="1" applyAlignment="1">
      <alignment horizontal="center" vertical="center"/>
    </xf>
    <xf numFmtId="176" fontId="32" fillId="7" borderId="1" xfId="0" applyNumberFormat="1" applyFont="1" applyFill="1" applyBorder="1" applyAlignment="1">
      <alignment horizontal="left" vertical="center" indent="1"/>
    </xf>
    <xf numFmtId="0" fontId="3" fillId="7" borderId="3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4" fillId="7" borderId="1" xfId="0" applyFont="1" applyFill="1" applyBorder="1" applyAlignment="1">
      <alignment horizontal="center" vertical="center"/>
    </xf>
    <xf numFmtId="176" fontId="34" fillId="7" borderId="1" xfId="0" applyNumberFormat="1" applyFont="1" applyFill="1" applyBorder="1" applyAlignment="1">
      <alignment horizontal="left" vertical="center" indent="1"/>
    </xf>
    <xf numFmtId="0" fontId="35" fillId="7" borderId="1" xfId="0" applyFont="1" applyFill="1" applyBorder="1" applyAlignment="1">
      <alignment horizontal="center" vertical="center"/>
    </xf>
    <xf numFmtId="0" fontId="36" fillId="7" borderId="5" xfId="0" applyFont="1" applyFill="1" applyBorder="1" applyAlignment="1">
      <alignment horizontal="center" vertical="center"/>
    </xf>
    <xf numFmtId="0" fontId="37" fillId="7" borderId="1" xfId="0" applyFont="1" applyFill="1" applyBorder="1" applyAlignment="1">
      <alignment horizontal="center" vertical="center"/>
    </xf>
    <xf numFmtId="176" fontId="37" fillId="7" borderId="1" xfId="0" applyNumberFormat="1" applyFont="1" applyFill="1" applyBorder="1" applyAlignment="1">
      <alignment horizontal="left" vertical="center" indent="1"/>
    </xf>
    <xf numFmtId="0" fontId="23" fillId="6" borderId="9" xfId="0" applyFont="1" applyFill="1" applyBorder="1" applyAlignment="1">
      <alignment horizontal="center" vertical="center"/>
    </xf>
    <xf numFmtId="0" fontId="26" fillId="0" borderId="6" xfId="0" applyFont="1" applyBorder="1" applyAlignment="1">
      <alignment horizontal="left" vertical="center" indent="2"/>
    </xf>
    <xf numFmtId="0" fontId="39" fillId="0" borderId="0" xfId="0" applyFont="1">
      <alignment vertical="center"/>
    </xf>
    <xf numFmtId="0" fontId="25" fillId="6" borderId="0" xfId="0" applyFont="1" applyFill="1">
      <alignment vertical="center"/>
    </xf>
    <xf numFmtId="0" fontId="40" fillId="7" borderId="5" xfId="0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center" vertical="center"/>
    </xf>
    <xf numFmtId="176" fontId="3" fillId="7" borderId="5" xfId="0" applyNumberFormat="1" applyFont="1" applyFill="1" applyBorder="1" applyAlignment="1">
      <alignment horizontal="left" vertical="center" indent="1"/>
    </xf>
    <xf numFmtId="0" fontId="33" fillId="7" borderId="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0" fillId="7" borderId="0" xfId="0" applyFill="1">
      <alignment vertical="center"/>
    </xf>
    <xf numFmtId="0" fontId="39" fillId="6" borderId="0" xfId="0" applyFont="1" applyFill="1" applyAlignment="1">
      <alignment horizontal="center" vertical="center"/>
    </xf>
    <xf numFmtId="0" fontId="42" fillId="0" borderId="0" xfId="0" applyFont="1">
      <alignment vertical="center"/>
    </xf>
    <xf numFmtId="0" fontId="28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left" vertical="center" indent="2"/>
    </xf>
    <xf numFmtId="0" fontId="43" fillId="3" borderId="1" xfId="0" applyFont="1" applyFill="1" applyBorder="1" applyAlignment="1">
      <alignment horizontal="center" vertical="center"/>
    </xf>
    <xf numFmtId="0" fontId="44" fillId="3" borderId="1" xfId="0" applyFont="1" applyFill="1" applyBorder="1" applyAlignment="1">
      <alignment horizontal="center" vertical="center"/>
    </xf>
    <xf numFmtId="0" fontId="45" fillId="3" borderId="1" xfId="0" applyFont="1" applyFill="1" applyBorder="1" applyAlignment="1">
      <alignment horizontal="center" vertical="center"/>
    </xf>
    <xf numFmtId="0" fontId="45" fillId="3" borderId="2" xfId="0" applyFont="1" applyFill="1" applyBorder="1" applyAlignment="1">
      <alignment horizontal="left" vertical="center" indent="2"/>
    </xf>
    <xf numFmtId="0" fontId="46" fillId="4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2" xfId="0" applyFont="1" applyFill="1" applyBorder="1" applyAlignment="1">
      <alignment horizontal="left" vertical="center" indent="2"/>
    </xf>
    <xf numFmtId="0" fontId="43" fillId="0" borderId="1" xfId="0" applyFont="1" applyBorder="1" applyAlignment="1">
      <alignment horizontal="center" vertical="center"/>
    </xf>
    <xf numFmtId="0" fontId="44" fillId="0" borderId="1" xfId="0" applyFont="1" applyBorder="1" applyAlignment="1">
      <alignment horizontal="center" vertical="center"/>
    </xf>
    <xf numFmtId="0" fontId="45" fillId="0" borderId="1" xfId="0" applyFont="1" applyBorder="1" applyAlignment="1">
      <alignment horizontal="center" vertical="center"/>
    </xf>
    <xf numFmtId="0" fontId="45" fillId="0" borderId="2" xfId="0" applyFont="1" applyBorder="1" applyAlignment="1">
      <alignment horizontal="left" vertical="center" indent="2"/>
    </xf>
    <xf numFmtId="0" fontId="28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0" fontId="26" fillId="0" borderId="2" xfId="0" applyFont="1" applyBorder="1" applyAlignment="1">
      <alignment horizontal="left" vertical="center" indent="2"/>
    </xf>
    <xf numFmtId="0" fontId="46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 indent="2"/>
    </xf>
    <xf numFmtId="0" fontId="46" fillId="0" borderId="5" xfId="0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6" xfId="0" applyFont="1" applyBorder="1" applyAlignment="1">
      <alignment horizontal="left" vertical="center" indent="2"/>
    </xf>
    <xf numFmtId="0" fontId="47" fillId="6" borderId="0" xfId="0" applyFont="1" applyFill="1">
      <alignment vertical="center"/>
    </xf>
    <xf numFmtId="0" fontId="47" fillId="3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9" fillId="6" borderId="0" xfId="0" applyFont="1" applyFill="1">
      <alignment vertical="center"/>
    </xf>
    <xf numFmtId="0" fontId="49" fillId="3" borderId="0" xfId="0" applyFont="1" applyFill="1" applyAlignment="1">
      <alignment horizontal="center" vertical="center"/>
    </xf>
    <xf numFmtId="0" fontId="50" fillId="3" borderId="0" xfId="0" applyFont="1" applyFill="1" applyAlignment="1">
      <alignment horizontal="center" vertical="center"/>
    </xf>
    <xf numFmtId="0" fontId="39" fillId="6" borderId="0" xfId="0" applyFont="1" applyFill="1">
      <alignment vertical="center"/>
    </xf>
    <xf numFmtId="0" fontId="51" fillId="0" borderId="7" xfId="0" applyFont="1" applyBorder="1">
      <alignment vertical="center"/>
    </xf>
    <xf numFmtId="0" fontId="52" fillId="6" borderId="0" xfId="0" applyFont="1" applyFill="1">
      <alignment vertical="center"/>
    </xf>
    <xf numFmtId="0" fontId="21" fillId="3" borderId="0" xfId="0" applyFont="1" applyFill="1">
      <alignment vertical="center"/>
    </xf>
    <xf numFmtId="0" fontId="21" fillId="0" borderId="15" xfId="0" applyFont="1" applyBorder="1">
      <alignment vertical="center"/>
    </xf>
    <xf numFmtId="0" fontId="21" fillId="0" borderId="16" xfId="0" applyFont="1" applyBorder="1">
      <alignment vertical="center"/>
    </xf>
    <xf numFmtId="0" fontId="54" fillId="4" borderId="16" xfId="0" applyFont="1" applyFill="1" applyBorder="1">
      <alignment vertical="center"/>
    </xf>
    <xf numFmtId="0" fontId="54" fillId="4" borderId="17" xfId="0" applyFont="1" applyFill="1" applyBorder="1">
      <alignment vertical="center"/>
    </xf>
    <xf numFmtId="0" fontId="21" fillId="0" borderId="18" xfId="0" applyFont="1" applyBorder="1">
      <alignment vertical="center"/>
    </xf>
    <xf numFmtId="0" fontId="21" fillId="0" borderId="19" xfId="0" applyFont="1" applyBorder="1">
      <alignment vertical="center"/>
    </xf>
    <xf numFmtId="0" fontId="54" fillId="4" borderId="19" xfId="0" applyFont="1" applyFill="1" applyBorder="1">
      <alignment vertical="center"/>
    </xf>
    <xf numFmtId="0" fontId="54" fillId="4" borderId="20" xfId="0" applyFont="1" applyFill="1" applyBorder="1">
      <alignment vertical="center"/>
    </xf>
    <xf numFmtId="0" fontId="21" fillId="0" borderId="21" xfId="0" applyFont="1" applyBorder="1">
      <alignment vertical="center"/>
    </xf>
    <xf numFmtId="0" fontId="21" fillId="0" borderId="22" xfId="0" applyFont="1" applyBorder="1">
      <alignment vertical="center"/>
    </xf>
    <xf numFmtId="0" fontId="54" fillId="4" borderId="22" xfId="0" applyFont="1" applyFill="1" applyBorder="1">
      <alignment vertical="center"/>
    </xf>
    <xf numFmtId="0" fontId="54" fillId="4" borderId="23" xfId="0" applyFont="1" applyFill="1" applyBorder="1">
      <alignment vertical="center"/>
    </xf>
    <xf numFmtId="0" fontId="21" fillId="6" borderId="10" xfId="0" applyFont="1" applyFill="1" applyBorder="1">
      <alignment vertical="center"/>
    </xf>
    <xf numFmtId="0" fontId="21" fillId="6" borderId="11" xfId="0" applyFont="1" applyFill="1" applyBorder="1">
      <alignment vertical="center"/>
    </xf>
    <xf numFmtId="0" fontId="47" fillId="3" borderId="11" xfId="0" applyFont="1" applyFill="1" applyBorder="1" applyAlignment="1">
      <alignment horizontal="center" vertical="center"/>
    </xf>
    <xf numFmtId="0" fontId="47" fillId="3" borderId="12" xfId="0" applyFont="1" applyFill="1" applyBorder="1" applyAlignment="1">
      <alignment horizontal="center" vertical="center"/>
    </xf>
    <xf numFmtId="177" fontId="21" fillId="3" borderId="0" xfId="0" applyNumberFormat="1" applyFont="1" applyFill="1" applyAlignment="1">
      <alignment horizontal="center" vertical="center"/>
    </xf>
    <xf numFmtId="0" fontId="21" fillId="9" borderId="13" xfId="0" applyFont="1" applyFill="1" applyBorder="1">
      <alignment vertical="center"/>
    </xf>
    <xf numFmtId="0" fontId="24" fillId="9" borderId="0" xfId="0" applyFont="1" applyFill="1">
      <alignment vertical="center"/>
    </xf>
    <xf numFmtId="0" fontId="21" fillId="9" borderId="0" xfId="0" applyFont="1" applyFill="1">
      <alignment vertical="center"/>
    </xf>
    <xf numFmtId="0" fontId="24" fillId="9" borderId="14" xfId="0" applyFont="1" applyFill="1" applyBorder="1">
      <alignment vertical="center"/>
    </xf>
    <xf numFmtId="0" fontId="47" fillId="3" borderId="24" xfId="0" applyFont="1" applyFill="1" applyBorder="1" applyAlignment="1">
      <alignment horizontal="center" vertical="center"/>
    </xf>
    <xf numFmtId="0" fontId="21" fillId="3" borderId="25" xfId="0" applyFont="1" applyFill="1" applyBorder="1" applyAlignment="1">
      <alignment horizontal="center" vertical="center"/>
    </xf>
    <xf numFmtId="0" fontId="21" fillId="3" borderId="25" xfId="0" applyFont="1" applyFill="1" applyBorder="1">
      <alignment vertical="center"/>
    </xf>
    <xf numFmtId="0" fontId="50" fillId="3" borderId="26" xfId="0" applyFont="1" applyFill="1" applyBorder="1" applyAlignment="1">
      <alignment horizontal="center" vertical="center"/>
    </xf>
    <xf numFmtId="0" fontId="47" fillId="3" borderId="27" xfId="0" applyFont="1" applyFill="1" applyBorder="1" applyAlignment="1">
      <alignment horizontal="center" vertical="center"/>
    </xf>
    <xf numFmtId="0" fontId="25" fillId="3" borderId="28" xfId="0" applyFont="1" applyFill="1" applyBorder="1" applyAlignment="1">
      <alignment horizontal="center" vertical="center"/>
    </xf>
    <xf numFmtId="0" fontId="21" fillId="3" borderId="28" xfId="0" applyFont="1" applyFill="1" applyBorder="1">
      <alignment vertical="center"/>
    </xf>
    <xf numFmtId="0" fontId="50" fillId="3" borderId="29" xfId="0" applyFont="1" applyFill="1" applyBorder="1" applyAlignment="1">
      <alignment horizontal="center" vertical="center"/>
    </xf>
    <xf numFmtId="0" fontId="21" fillId="3" borderId="28" xfId="0" applyFont="1" applyFill="1" applyBorder="1" applyAlignment="1">
      <alignment horizontal="center" vertical="center"/>
    </xf>
    <xf numFmtId="0" fontId="47" fillId="3" borderId="30" xfId="0" applyFont="1" applyFill="1" applyBorder="1" applyAlignment="1">
      <alignment horizontal="center" vertical="center"/>
    </xf>
    <xf numFmtId="0" fontId="21" fillId="3" borderId="31" xfId="0" applyFont="1" applyFill="1" applyBorder="1" applyAlignment="1">
      <alignment horizontal="center" vertical="center"/>
    </xf>
    <xf numFmtId="0" fontId="21" fillId="3" borderId="31" xfId="0" applyFont="1" applyFill="1" applyBorder="1">
      <alignment vertical="center"/>
    </xf>
    <xf numFmtId="0" fontId="50" fillId="3" borderId="32" xfId="0" applyFont="1" applyFill="1" applyBorder="1" applyAlignment="1">
      <alignment horizontal="center" vertical="center"/>
    </xf>
    <xf numFmtId="177" fontId="50" fillId="3" borderId="0" xfId="0" applyNumberFormat="1" applyFont="1" applyFill="1" applyAlignment="1">
      <alignment horizontal="center" vertical="center"/>
    </xf>
    <xf numFmtId="177" fontId="49" fillId="3" borderId="0" xfId="0" applyNumberFormat="1" applyFont="1" applyFill="1" applyAlignment="1">
      <alignment horizontal="center" vertical="center"/>
    </xf>
    <xf numFmtId="0" fontId="49" fillId="3" borderId="14" xfId="0" applyFont="1" applyFill="1" applyBorder="1" applyAlignment="1">
      <alignment horizontal="center" vertical="center"/>
    </xf>
    <xf numFmtId="177" fontId="49" fillId="3" borderId="14" xfId="0" applyNumberFormat="1" applyFont="1" applyFill="1" applyBorder="1" applyAlignment="1">
      <alignment horizontal="center" vertical="center"/>
    </xf>
    <xf numFmtId="0" fontId="55" fillId="6" borderId="0" xfId="0" applyFont="1" applyFill="1">
      <alignment vertical="center"/>
    </xf>
    <xf numFmtId="0" fontId="56" fillId="6" borderId="0" xfId="0" applyFont="1" applyFill="1">
      <alignment vertical="center"/>
    </xf>
    <xf numFmtId="0" fontId="25" fillId="3" borderId="29" xfId="0" applyFont="1" applyFill="1" applyBorder="1" applyAlignment="1">
      <alignment horizontal="center" vertical="center"/>
    </xf>
    <xf numFmtId="0" fontId="21" fillId="0" borderId="16" xfId="0" applyFont="1" applyBorder="1" applyAlignment="1">
      <alignment horizontal="center" vertical="center"/>
    </xf>
    <xf numFmtId="0" fontId="54" fillId="4" borderId="16" xfId="0" applyFont="1" applyFill="1" applyBorder="1" applyAlignment="1">
      <alignment horizontal="center" vertical="center"/>
    </xf>
    <xf numFmtId="0" fontId="54" fillId="4" borderId="17" xfId="0" applyFont="1" applyFill="1" applyBorder="1" applyAlignment="1">
      <alignment horizontal="center" vertical="center"/>
    </xf>
    <xf numFmtId="0" fontId="21" fillId="0" borderId="19" xfId="0" applyFont="1" applyBorder="1" applyAlignment="1">
      <alignment horizontal="center" vertical="center"/>
    </xf>
    <xf numFmtId="0" fontId="54" fillId="4" borderId="19" xfId="0" applyFont="1" applyFill="1" applyBorder="1" applyAlignment="1">
      <alignment horizontal="center" vertical="center"/>
    </xf>
    <xf numFmtId="0" fontId="54" fillId="4" borderId="20" xfId="0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54" fillId="4" borderId="22" xfId="0" applyFont="1" applyFill="1" applyBorder="1" applyAlignment="1">
      <alignment horizontal="center" vertical="center"/>
    </xf>
    <xf numFmtId="0" fontId="54" fillId="4" borderId="23" xfId="0" applyFont="1" applyFill="1" applyBorder="1" applyAlignment="1">
      <alignment horizontal="center" vertical="center"/>
    </xf>
    <xf numFmtId="0" fontId="57" fillId="10" borderId="8" xfId="2" applyFont="1" applyFill="1" applyBorder="1" applyAlignment="1">
      <alignment horizontal="center" vertical="center"/>
    </xf>
    <xf numFmtId="0" fontId="59" fillId="10" borderId="8" xfId="0" applyFont="1" applyFill="1" applyBorder="1" applyAlignment="1">
      <alignment horizontal="center" vertical="center"/>
    </xf>
    <xf numFmtId="0" fontId="61" fillId="0" borderId="0" xfId="0" applyFont="1" applyAlignment="1">
      <alignment horizontal="center" vertical="center"/>
    </xf>
    <xf numFmtId="0" fontId="62" fillId="0" borderId="8" xfId="2" applyFont="1" applyBorder="1" applyAlignment="1">
      <alignment horizontal="center" vertical="center"/>
    </xf>
    <xf numFmtId="0" fontId="63" fillId="0" borderId="8" xfId="3" applyFont="1" applyBorder="1" applyAlignment="1">
      <alignment horizontal="center" vertical="center"/>
    </xf>
    <xf numFmtId="0" fontId="64" fillId="0" borderId="8" xfId="1" applyFont="1" applyBorder="1" applyAlignment="1">
      <alignment horizontal="center" vertical="center"/>
    </xf>
    <xf numFmtId="0" fontId="65" fillId="0" borderId="8" xfId="3" applyFont="1" applyBorder="1" applyAlignment="1">
      <alignment horizontal="center"/>
    </xf>
    <xf numFmtId="0" fontId="66" fillId="0" borderId="8" xfId="3" applyFont="1" applyBorder="1" applyAlignment="1">
      <alignment horizontal="center"/>
    </xf>
    <xf numFmtId="0" fontId="67" fillId="0" borderId="0" xfId="0" applyFont="1" applyAlignment="1">
      <alignment horizontal="center" vertical="center"/>
    </xf>
    <xf numFmtId="0" fontId="62" fillId="11" borderId="8" xfId="2" applyFont="1" applyFill="1" applyBorder="1" applyAlignment="1">
      <alignment horizontal="center" vertical="center"/>
    </xf>
    <xf numFmtId="0" fontId="63" fillId="11" borderId="8" xfId="3" applyFont="1" applyFill="1" applyBorder="1" applyAlignment="1">
      <alignment horizontal="center" vertical="center"/>
    </xf>
    <xf numFmtId="0" fontId="64" fillId="11" borderId="8" xfId="1" applyFont="1" applyFill="1" applyBorder="1" applyAlignment="1">
      <alignment horizontal="center" vertical="center"/>
    </xf>
    <xf numFmtId="0" fontId="65" fillId="11" borderId="8" xfId="3" applyFont="1" applyFill="1" applyBorder="1" applyAlignment="1">
      <alignment horizontal="center"/>
    </xf>
    <xf numFmtId="0" fontId="66" fillId="11" borderId="8" xfId="3" applyFont="1" applyFill="1" applyBorder="1" applyAlignment="1">
      <alignment horizontal="center"/>
    </xf>
    <xf numFmtId="0" fontId="63" fillId="12" borderId="8" xfId="3" applyFont="1" applyFill="1" applyBorder="1" applyAlignment="1">
      <alignment horizontal="center" vertical="center"/>
    </xf>
    <xf numFmtId="0" fontId="64" fillId="12" borderId="8" xfId="1" applyFont="1" applyFill="1" applyBorder="1" applyAlignment="1">
      <alignment horizontal="center" vertical="center"/>
    </xf>
    <xf numFmtId="0" fontId="65" fillId="12" borderId="8" xfId="3" applyFont="1" applyFill="1" applyBorder="1" applyAlignment="1">
      <alignment horizontal="center"/>
    </xf>
    <xf numFmtId="0" fontId="66" fillId="12" borderId="8" xfId="3" applyFont="1" applyFill="1" applyBorder="1" applyAlignment="1">
      <alignment horizontal="center"/>
    </xf>
    <xf numFmtId="0" fontId="68" fillId="0" borderId="0" xfId="0" applyFont="1">
      <alignment vertical="center"/>
    </xf>
    <xf numFmtId="0" fontId="69" fillId="0" borderId="0" xfId="0" applyFont="1" applyAlignment="1">
      <alignment horizontal="center" vertical="center"/>
    </xf>
    <xf numFmtId="0" fontId="70" fillId="0" borderId="8" xfId="3" applyFont="1" applyBorder="1" applyAlignment="1">
      <alignment horizontal="center"/>
    </xf>
    <xf numFmtId="0" fontId="71" fillId="0" borderId="8" xfId="3" applyFont="1" applyBorder="1" applyAlignment="1">
      <alignment horizontal="center"/>
    </xf>
    <xf numFmtId="0" fontId="71" fillId="11" borderId="8" xfId="3" applyFont="1" applyFill="1" applyBorder="1" applyAlignment="1">
      <alignment horizontal="center"/>
    </xf>
    <xf numFmtId="0" fontId="71" fillId="12" borderId="8" xfId="3" applyFont="1" applyFill="1" applyBorder="1" applyAlignment="1">
      <alignment horizontal="center"/>
    </xf>
    <xf numFmtId="0" fontId="67" fillId="0" borderId="33" xfId="0" applyFont="1" applyBorder="1" applyAlignment="1">
      <alignment horizontal="center" vertical="center"/>
    </xf>
    <xf numFmtId="0" fontId="69" fillId="0" borderId="33" xfId="0" applyFont="1" applyBorder="1" applyAlignment="1">
      <alignment horizontal="center" vertical="center"/>
    </xf>
    <xf numFmtId="0" fontId="67" fillId="0" borderId="33" xfId="0" applyFont="1" applyBorder="1" applyAlignment="1">
      <alignment horizontal="left" vertical="center"/>
    </xf>
    <xf numFmtId="0" fontId="71" fillId="0" borderId="8" xfId="3" applyFont="1" applyBorder="1" applyAlignment="1">
      <alignment horizontal="left" indent="1"/>
    </xf>
    <xf numFmtId="0" fontId="71" fillId="11" borderId="8" xfId="3" applyFont="1" applyFill="1" applyBorder="1" applyAlignment="1">
      <alignment horizontal="left" indent="1"/>
    </xf>
    <xf numFmtId="0" fontId="71" fillId="12" borderId="8" xfId="3" applyFont="1" applyFill="1" applyBorder="1" applyAlignment="1">
      <alignment horizontal="left" indent="1"/>
    </xf>
    <xf numFmtId="0" fontId="62" fillId="6" borderId="8" xfId="2" applyFont="1" applyFill="1" applyBorder="1" applyAlignment="1">
      <alignment horizontal="center" vertical="center"/>
    </xf>
    <xf numFmtId="0" fontId="63" fillId="6" borderId="8" xfId="3" applyFont="1" applyFill="1" applyBorder="1" applyAlignment="1">
      <alignment horizontal="center" vertical="center"/>
    </xf>
    <xf numFmtId="0" fontId="64" fillId="6" borderId="8" xfId="1" applyFont="1" applyFill="1" applyBorder="1" applyAlignment="1">
      <alignment horizontal="center" vertical="center"/>
    </xf>
    <xf numFmtId="0" fontId="65" fillId="6" borderId="8" xfId="3" applyFont="1" applyFill="1" applyBorder="1" applyAlignment="1">
      <alignment horizontal="center"/>
    </xf>
    <xf numFmtId="0" fontId="66" fillId="6" borderId="8" xfId="3" applyFont="1" applyFill="1" applyBorder="1" applyAlignment="1">
      <alignment horizontal="center"/>
    </xf>
    <xf numFmtId="0" fontId="71" fillId="6" borderId="8" xfId="3" applyFont="1" applyFill="1" applyBorder="1" applyAlignment="1">
      <alignment horizontal="left" indent="1"/>
    </xf>
    <xf numFmtId="0" fontId="63" fillId="14" borderId="8" xfId="3" applyFont="1" applyFill="1" applyBorder="1" applyAlignment="1">
      <alignment horizontal="center" vertical="center"/>
    </xf>
    <xf numFmtId="0" fontId="72" fillId="14" borderId="8" xfId="3" applyFont="1" applyFill="1" applyBorder="1" applyAlignment="1">
      <alignment horizontal="left" vertical="center"/>
    </xf>
    <xf numFmtId="0" fontId="75" fillId="0" borderId="0" xfId="0" applyFont="1">
      <alignment vertical="center"/>
    </xf>
    <xf numFmtId="0" fontId="76" fillId="13" borderId="8" xfId="3" applyFont="1" applyFill="1" applyBorder="1" applyAlignment="1">
      <alignment horizontal="center" vertical="center"/>
    </xf>
    <xf numFmtId="0" fontId="77" fillId="13" borderId="8" xfId="3" applyFont="1" applyFill="1" applyBorder="1" applyAlignment="1">
      <alignment horizontal="left" vertical="center"/>
    </xf>
    <xf numFmtId="0" fontId="0" fillId="6" borderId="0" xfId="0" applyFill="1">
      <alignment vertical="center"/>
    </xf>
    <xf numFmtId="0" fontId="78" fillId="0" borderId="0" xfId="0" applyFont="1">
      <alignment vertical="center"/>
    </xf>
    <xf numFmtId="0" fontId="79" fillId="0" borderId="0" xfId="0" applyFont="1" applyAlignment="1">
      <alignment horizontal="center" vertical="center"/>
    </xf>
    <xf numFmtId="0" fontId="80" fillId="0" borderId="0" xfId="0" applyFont="1" applyAlignment="1">
      <alignment horizontal="center" vertical="center"/>
    </xf>
    <xf numFmtId="0" fontId="81" fillId="0" borderId="0" xfId="0" applyFont="1" applyAlignment="1">
      <alignment horizontal="center" vertical="center"/>
    </xf>
    <xf numFmtId="0" fontId="43" fillId="3" borderId="2" xfId="0" applyFont="1" applyFill="1" applyBorder="1" applyAlignment="1">
      <alignment horizontal="center" vertical="center"/>
    </xf>
    <xf numFmtId="0" fontId="28" fillId="3" borderId="2" xfId="0" applyFont="1" applyFill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0" fontId="27" fillId="4" borderId="2" xfId="0" applyFont="1" applyFill="1" applyBorder="1" applyAlignment="1">
      <alignment horizontal="center" vertical="center"/>
    </xf>
    <xf numFmtId="0" fontId="46" fillId="4" borderId="2" xfId="0" applyFont="1" applyFill="1" applyBorder="1" applyAlignment="1">
      <alignment horizontal="center" vertical="center"/>
    </xf>
    <xf numFmtId="0" fontId="27" fillId="3" borderId="2" xfId="0" applyFont="1" applyFill="1" applyBorder="1" applyAlignment="1">
      <alignment horizontal="center" vertical="center"/>
    </xf>
    <xf numFmtId="0" fontId="28" fillId="4" borderId="2" xfId="0" applyFont="1" applyFill="1" applyBorder="1" applyAlignment="1">
      <alignment horizontal="center" vertical="center"/>
    </xf>
    <xf numFmtId="0" fontId="27" fillId="0" borderId="6" xfId="0" applyFont="1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/>
    </xf>
    <xf numFmtId="0" fontId="45" fillId="3" borderId="37" xfId="0" applyFont="1" applyFill="1" applyBorder="1" applyAlignment="1">
      <alignment horizontal="left" vertical="center" indent="2"/>
    </xf>
    <xf numFmtId="0" fontId="4" fillId="3" borderId="37" xfId="0" applyFont="1" applyFill="1" applyBorder="1" applyAlignment="1">
      <alignment horizontal="left" vertical="center" indent="2"/>
    </xf>
    <xf numFmtId="0" fontId="3" fillId="0" borderId="37" xfId="0" applyFont="1" applyBorder="1" applyAlignment="1">
      <alignment horizontal="left" vertical="center" indent="2"/>
    </xf>
    <xf numFmtId="0" fontId="3" fillId="4" borderId="37" xfId="0" applyFont="1" applyFill="1" applyBorder="1" applyAlignment="1">
      <alignment horizontal="left" vertical="center" indent="2"/>
    </xf>
    <xf numFmtId="0" fontId="18" fillId="4" borderId="37" xfId="0" applyFont="1" applyFill="1" applyBorder="1" applyAlignment="1">
      <alignment horizontal="left" vertical="center" indent="2"/>
    </xf>
    <xf numFmtId="0" fontId="3" fillId="3" borderId="37" xfId="0" applyFont="1" applyFill="1" applyBorder="1" applyAlignment="1">
      <alignment horizontal="left" vertical="center" indent="2"/>
    </xf>
    <xf numFmtId="0" fontId="4" fillId="4" borderId="37" xfId="0" applyFont="1" applyFill="1" applyBorder="1" applyAlignment="1">
      <alignment horizontal="left" vertical="center" indent="2"/>
    </xf>
    <xf numFmtId="0" fontId="3" fillId="0" borderId="34" xfId="0" applyFont="1" applyBorder="1" applyAlignment="1">
      <alignment horizontal="left" vertical="center" indent="2"/>
    </xf>
    <xf numFmtId="0" fontId="1" fillId="2" borderId="35" xfId="0" applyFont="1" applyFill="1" applyBorder="1" applyAlignment="1">
      <alignment horizontal="center" vertical="center"/>
    </xf>
    <xf numFmtId="0" fontId="43" fillId="3" borderId="35" xfId="0" applyFont="1" applyFill="1" applyBorder="1" applyAlignment="1">
      <alignment horizontal="center" vertical="center"/>
    </xf>
    <xf numFmtId="0" fontId="44" fillId="3" borderId="35" xfId="0" applyFont="1" applyFill="1" applyBorder="1" applyAlignment="1">
      <alignment horizontal="center" vertical="center"/>
    </xf>
    <xf numFmtId="0" fontId="45" fillId="3" borderId="35" xfId="0" applyFont="1" applyFill="1" applyBorder="1" applyAlignment="1">
      <alignment horizontal="center" vertical="center"/>
    </xf>
    <xf numFmtId="0" fontId="45" fillId="3" borderId="35" xfId="0" applyFont="1" applyFill="1" applyBorder="1" applyAlignment="1">
      <alignment horizontal="left" vertical="center" indent="2"/>
    </xf>
    <xf numFmtId="0" fontId="28" fillId="3" borderId="35" xfId="0" applyFont="1" applyFill="1" applyBorder="1" applyAlignment="1">
      <alignment horizontal="center" vertical="center"/>
    </xf>
    <xf numFmtId="0" fontId="6" fillId="3" borderId="35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left" vertical="center" indent="2"/>
    </xf>
    <xf numFmtId="0" fontId="27" fillId="0" borderId="35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0" fontId="3" fillId="0" borderId="35" xfId="0" applyFont="1" applyBorder="1" applyAlignment="1">
      <alignment horizontal="left" vertical="center" indent="2"/>
    </xf>
    <xf numFmtId="0" fontId="27" fillId="4" borderId="35" xfId="0" applyFont="1" applyFill="1" applyBorder="1" applyAlignment="1">
      <alignment horizontal="center" vertical="center"/>
    </xf>
    <xf numFmtId="0" fontId="5" fillId="4" borderId="35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left" vertical="center" indent="2"/>
    </xf>
    <xf numFmtId="0" fontId="46" fillId="4" borderId="35" xfId="0" applyFont="1" applyFill="1" applyBorder="1" applyAlignment="1">
      <alignment horizontal="center" vertical="center"/>
    </xf>
    <xf numFmtId="0" fontId="16" fillId="4" borderId="35" xfId="0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center" vertical="center"/>
    </xf>
    <xf numFmtId="0" fontId="18" fillId="4" borderId="35" xfId="0" applyFont="1" applyFill="1" applyBorder="1" applyAlignment="1">
      <alignment horizontal="left" vertical="center" indent="2"/>
    </xf>
    <xf numFmtId="0" fontId="27" fillId="3" borderId="35" xfId="0" applyFont="1" applyFill="1" applyBorder="1" applyAlignment="1">
      <alignment horizontal="center" vertical="center"/>
    </xf>
    <xf numFmtId="0" fontId="5" fillId="3" borderId="35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center" vertical="center"/>
    </xf>
    <xf numFmtId="0" fontId="3" fillId="3" borderId="35" xfId="0" applyFont="1" applyFill="1" applyBorder="1" applyAlignment="1">
      <alignment horizontal="left" vertical="center" indent="2"/>
    </xf>
    <xf numFmtId="0" fontId="28" fillId="4" borderId="35" xfId="0" applyFont="1" applyFill="1" applyBorder="1" applyAlignment="1">
      <alignment horizontal="center" vertical="center"/>
    </xf>
    <xf numFmtId="0" fontId="6" fillId="4" borderId="35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center" vertical="center"/>
    </xf>
    <xf numFmtId="0" fontId="4" fillId="4" borderId="35" xfId="0" applyFont="1" applyFill="1" applyBorder="1" applyAlignment="1">
      <alignment horizontal="left" vertical="center" indent="2"/>
    </xf>
    <xf numFmtId="0" fontId="26" fillId="0" borderId="35" xfId="0" applyFont="1" applyBorder="1" applyAlignment="1">
      <alignment horizontal="center" vertical="center"/>
    </xf>
    <xf numFmtId="0" fontId="45" fillId="3" borderId="35" xfId="0" applyFont="1" applyFill="1" applyBorder="1" applyAlignment="1">
      <alignment horizontal="left" vertical="center" indent="3"/>
    </xf>
    <xf numFmtId="0" fontId="4" fillId="3" borderId="35" xfId="0" applyFont="1" applyFill="1" applyBorder="1" applyAlignment="1">
      <alignment horizontal="left" vertical="center" indent="3"/>
    </xf>
    <xf numFmtId="0" fontId="3" fillId="0" borderId="35" xfId="0" applyFont="1" applyBorder="1" applyAlignment="1">
      <alignment horizontal="left" vertical="center" indent="3"/>
    </xf>
    <xf numFmtId="0" fontId="3" fillId="4" borderId="35" xfId="0" applyFont="1" applyFill="1" applyBorder="1" applyAlignment="1">
      <alignment horizontal="left" vertical="center" indent="3"/>
    </xf>
    <xf numFmtId="0" fontId="18" fillId="4" borderId="35" xfId="0" applyFont="1" applyFill="1" applyBorder="1" applyAlignment="1">
      <alignment horizontal="left" vertical="center" indent="3"/>
    </xf>
    <xf numFmtId="0" fontId="3" fillId="3" borderId="35" xfId="0" applyFont="1" applyFill="1" applyBorder="1" applyAlignment="1">
      <alignment horizontal="left" vertical="center" indent="3"/>
    </xf>
    <xf numFmtId="0" fontId="4" fillId="4" borderId="35" xfId="0" applyFont="1" applyFill="1" applyBorder="1" applyAlignment="1">
      <alignment horizontal="left" vertical="center" indent="3"/>
    </xf>
    <xf numFmtId="0" fontId="82" fillId="0" borderId="0" xfId="1" applyFont="1" applyAlignment="1">
      <alignment horizontal="center" vertical="center" textRotation="255"/>
    </xf>
    <xf numFmtId="0" fontId="84" fillId="0" borderId="0" xfId="1" applyFont="1"/>
    <xf numFmtId="0" fontId="98" fillId="0" borderId="0" xfId="1" applyFont="1" applyAlignment="1">
      <alignment horizontal="center" vertical="center" textRotation="255"/>
    </xf>
    <xf numFmtId="0" fontId="98" fillId="0" borderId="0" xfId="1" applyFont="1" applyAlignment="1">
      <alignment vertical="center" textRotation="255"/>
    </xf>
    <xf numFmtId="0" fontId="110" fillId="0" borderId="0" xfId="1" applyFont="1"/>
    <xf numFmtId="0" fontId="111" fillId="0" borderId="0" xfId="1" applyFont="1" applyAlignment="1">
      <alignment horizontal="center" vertical="center" textRotation="255"/>
    </xf>
    <xf numFmtId="0" fontId="111" fillId="0" borderId="0" xfId="1" applyFont="1"/>
    <xf numFmtId="0" fontId="115" fillId="0" borderId="0" xfId="1" applyFont="1" applyAlignment="1">
      <alignment vertical="center"/>
    </xf>
    <xf numFmtId="0" fontId="116" fillId="0" borderId="0" xfId="1" applyFont="1"/>
    <xf numFmtId="0" fontId="23" fillId="6" borderId="39" xfId="0" applyFont="1" applyFill="1" applyBorder="1" applyAlignment="1">
      <alignment horizontal="center" vertical="center"/>
    </xf>
    <xf numFmtId="176" fontId="3" fillId="7" borderId="43" xfId="0" applyNumberFormat="1" applyFont="1" applyFill="1" applyBorder="1" applyAlignment="1">
      <alignment horizontal="left" vertical="center" indent="1"/>
    </xf>
    <xf numFmtId="176" fontId="3" fillId="7" borderId="44" xfId="0" applyNumberFormat="1" applyFont="1" applyFill="1" applyBorder="1" applyAlignment="1">
      <alignment horizontal="left" vertical="center" indent="1"/>
    </xf>
    <xf numFmtId="176" fontId="32" fillId="7" borderId="44" xfId="0" applyNumberFormat="1" applyFont="1" applyFill="1" applyBorder="1" applyAlignment="1">
      <alignment horizontal="left" vertical="center" indent="1"/>
    </xf>
    <xf numFmtId="176" fontId="37" fillId="7" borderId="44" xfId="0" applyNumberFormat="1" applyFont="1" applyFill="1" applyBorder="1" applyAlignment="1">
      <alignment horizontal="left" vertical="center" indent="1"/>
    </xf>
    <xf numFmtId="0" fontId="23" fillId="6" borderId="35" xfId="0" applyFont="1" applyFill="1" applyBorder="1" applyAlignment="1">
      <alignment horizontal="center" vertical="center"/>
    </xf>
    <xf numFmtId="0" fontId="5" fillId="7" borderId="35" xfId="0" applyFont="1" applyFill="1" applyBorder="1" applyAlignment="1">
      <alignment horizontal="center" vertical="center"/>
    </xf>
    <xf numFmtId="0" fontId="30" fillId="8" borderId="35" xfId="0" applyFont="1" applyFill="1" applyBorder="1" applyAlignment="1">
      <alignment horizontal="center" vertical="center"/>
    </xf>
    <xf numFmtId="0" fontId="13" fillId="7" borderId="35" xfId="0" applyFont="1" applyFill="1" applyBorder="1" applyAlignment="1">
      <alignment horizontal="center" vertical="center"/>
    </xf>
    <xf numFmtId="0" fontId="10" fillId="7" borderId="35" xfId="0" applyFont="1" applyFill="1" applyBorder="1" applyAlignment="1">
      <alignment horizontal="center" vertical="center"/>
    </xf>
    <xf numFmtId="0" fontId="16" fillId="7" borderId="35" xfId="0" applyFont="1" applyFill="1" applyBorder="1" applyAlignment="1">
      <alignment horizontal="center" vertical="center"/>
    </xf>
    <xf numFmtId="0" fontId="19" fillId="7" borderId="35" xfId="0" applyFont="1" applyFill="1" applyBorder="1" applyAlignment="1">
      <alignment horizontal="center" vertical="center"/>
    </xf>
    <xf numFmtId="0" fontId="6" fillId="7" borderId="35" xfId="0" applyFont="1" applyFill="1" applyBorder="1" applyAlignment="1">
      <alignment horizontal="center" vertical="center"/>
    </xf>
    <xf numFmtId="0" fontId="20" fillId="7" borderId="35" xfId="0" applyFont="1" applyFill="1" applyBorder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118" fillId="7" borderId="35" xfId="0" applyFont="1" applyFill="1" applyBorder="1" applyAlignment="1">
      <alignment horizontal="center" vertical="center"/>
    </xf>
    <xf numFmtId="0" fontId="120" fillId="7" borderId="35" xfId="0" applyFont="1" applyFill="1" applyBorder="1" applyAlignment="1">
      <alignment horizontal="center" vertical="center"/>
    </xf>
    <xf numFmtId="0" fontId="122" fillId="7" borderId="35" xfId="0" applyFont="1" applyFill="1" applyBorder="1" applyAlignment="1">
      <alignment horizontal="center" vertical="center"/>
    </xf>
    <xf numFmtId="0" fontId="123" fillId="7" borderId="35" xfId="0" applyFont="1" applyFill="1" applyBorder="1" applyAlignment="1">
      <alignment horizontal="center" vertical="center"/>
    </xf>
    <xf numFmtId="0" fontId="67" fillId="7" borderId="35" xfId="0" applyFont="1" applyFill="1" applyBorder="1" applyAlignment="1">
      <alignment horizontal="center" vertical="center"/>
    </xf>
    <xf numFmtId="0" fontId="125" fillId="7" borderId="35" xfId="0" applyFont="1" applyFill="1" applyBorder="1" applyAlignment="1">
      <alignment horizontal="center" vertical="center"/>
    </xf>
    <xf numFmtId="0" fontId="126" fillId="7" borderId="35" xfId="0" applyFont="1" applyFill="1" applyBorder="1" applyAlignment="1">
      <alignment horizontal="center" vertical="center"/>
    </xf>
    <xf numFmtId="0" fontId="127" fillId="7" borderId="35" xfId="0" applyFont="1" applyFill="1" applyBorder="1" applyAlignment="1">
      <alignment horizontal="center" vertical="center"/>
    </xf>
    <xf numFmtId="0" fontId="128" fillId="7" borderId="35" xfId="0" applyFont="1" applyFill="1" applyBorder="1" applyAlignment="1">
      <alignment horizontal="center" vertical="center"/>
    </xf>
    <xf numFmtId="0" fontId="129" fillId="7" borderId="35" xfId="0" applyFont="1" applyFill="1" applyBorder="1" applyAlignment="1">
      <alignment horizontal="center" vertical="center"/>
    </xf>
    <xf numFmtId="176" fontId="130" fillId="7" borderId="35" xfId="0" applyNumberFormat="1" applyFont="1" applyFill="1" applyBorder="1" applyAlignment="1">
      <alignment horizontal="left" vertical="center" indent="1"/>
    </xf>
    <xf numFmtId="176" fontId="131" fillId="7" borderId="35" xfId="0" applyNumberFormat="1" applyFont="1" applyFill="1" applyBorder="1" applyAlignment="1">
      <alignment horizontal="left" vertical="center" indent="1"/>
    </xf>
    <xf numFmtId="176" fontId="132" fillId="7" borderId="35" xfId="0" applyNumberFormat="1" applyFont="1" applyFill="1" applyBorder="1" applyAlignment="1">
      <alignment horizontal="left" vertical="center" indent="1"/>
    </xf>
    <xf numFmtId="0" fontId="133" fillId="0" borderId="0" xfId="0" applyFont="1" applyAlignment="1">
      <alignment horizontal="center" vertical="center"/>
    </xf>
    <xf numFmtId="0" fontId="134" fillId="7" borderId="35" xfId="0" applyFont="1" applyFill="1" applyBorder="1" applyAlignment="1">
      <alignment horizontal="center" vertical="center"/>
    </xf>
    <xf numFmtId="0" fontId="135" fillId="7" borderId="35" xfId="0" applyFont="1" applyFill="1" applyBorder="1" applyAlignment="1">
      <alignment horizontal="center" vertical="center"/>
    </xf>
    <xf numFmtId="0" fontId="136" fillId="0" borderId="0" xfId="0" applyFont="1">
      <alignment vertical="center"/>
    </xf>
    <xf numFmtId="49" fontId="136" fillId="0" borderId="0" xfId="0" applyNumberFormat="1" applyFont="1">
      <alignment vertical="center"/>
    </xf>
    <xf numFmtId="0" fontId="137" fillId="0" borderId="0" xfId="0" applyFont="1">
      <alignment vertical="center"/>
    </xf>
    <xf numFmtId="49" fontId="138" fillId="0" borderId="0" xfId="0" applyNumberFormat="1" applyFont="1">
      <alignment vertical="center"/>
    </xf>
    <xf numFmtId="0" fontId="138" fillId="0" borderId="0" xfId="0" applyFont="1">
      <alignment vertical="center"/>
    </xf>
    <xf numFmtId="0" fontId="76" fillId="0" borderId="0" xfId="0" applyFont="1" applyAlignment="1">
      <alignment horizontal="center" vertical="center"/>
    </xf>
    <xf numFmtId="0" fontId="140" fillId="0" borderId="0" xfId="0" applyFont="1" applyAlignment="1">
      <alignment horizontal="center" vertical="center"/>
    </xf>
    <xf numFmtId="0" fontId="141" fillId="0" borderId="0" xfId="0" applyFont="1" applyAlignment="1">
      <alignment horizontal="center" vertical="center"/>
    </xf>
    <xf numFmtId="49" fontId="145" fillId="0" borderId="0" xfId="0" applyNumberFormat="1" applyFont="1">
      <alignment vertical="center"/>
    </xf>
    <xf numFmtId="49" fontId="143" fillId="0" borderId="0" xfId="0" applyNumberFormat="1" applyFont="1">
      <alignment vertical="center"/>
    </xf>
    <xf numFmtId="0" fontId="141" fillId="0" borderId="35" xfId="0" applyFont="1" applyBorder="1" applyAlignment="1">
      <alignment horizontal="center" vertical="center"/>
    </xf>
    <xf numFmtId="0" fontId="146" fillId="18" borderId="35" xfId="0" applyFont="1" applyFill="1" applyBorder="1" applyAlignment="1">
      <alignment horizontal="center" vertical="center"/>
    </xf>
    <xf numFmtId="0" fontId="149" fillId="18" borderId="46" xfId="0" applyFont="1" applyFill="1" applyBorder="1" applyAlignment="1">
      <alignment horizontal="center" vertical="center"/>
    </xf>
    <xf numFmtId="0" fontId="150" fillId="18" borderId="45" xfId="0" applyFont="1" applyFill="1" applyBorder="1" applyAlignment="1">
      <alignment horizontal="center" vertical="center"/>
    </xf>
    <xf numFmtId="0" fontId="140" fillId="0" borderId="35" xfId="0" applyFont="1" applyBorder="1" applyAlignment="1">
      <alignment horizontal="center" vertical="center"/>
    </xf>
    <xf numFmtId="0" fontId="151" fillId="4" borderId="35" xfId="0" applyFont="1" applyFill="1" applyBorder="1" applyAlignment="1">
      <alignment horizontal="center" vertical="center"/>
    </xf>
    <xf numFmtId="0" fontId="152" fillId="4" borderId="35" xfId="0" applyFont="1" applyFill="1" applyBorder="1" applyAlignment="1">
      <alignment horizontal="center" vertical="center"/>
    </xf>
    <xf numFmtId="0" fontId="141" fillId="0" borderId="48" xfId="0" applyFont="1" applyBorder="1" applyAlignment="1">
      <alignment horizontal="center" vertical="center"/>
    </xf>
    <xf numFmtId="0" fontId="154" fillId="0" borderId="46" xfId="0" applyFont="1" applyBorder="1" applyAlignment="1">
      <alignment horizontal="center" vertical="center"/>
    </xf>
    <xf numFmtId="177" fontId="149" fillId="18" borderId="46" xfId="0" applyNumberFormat="1" applyFont="1" applyFill="1" applyBorder="1" applyAlignment="1">
      <alignment horizontal="center" vertical="center"/>
    </xf>
    <xf numFmtId="0" fontId="140" fillId="0" borderId="48" xfId="0" applyFont="1" applyBorder="1" applyAlignment="1">
      <alignment horizontal="center" vertical="center"/>
    </xf>
    <xf numFmtId="0" fontId="153" fillId="0" borderId="45" xfId="0" applyFont="1" applyBorder="1" applyAlignment="1">
      <alignment horizontal="center" vertical="top"/>
    </xf>
    <xf numFmtId="0" fontId="63" fillId="14" borderId="49" xfId="3" applyFont="1" applyFill="1" applyBorder="1" applyAlignment="1">
      <alignment horizontal="center" vertical="center"/>
    </xf>
    <xf numFmtId="0" fontId="76" fillId="13" borderId="49" xfId="3" applyFont="1" applyFill="1" applyBorder="1" applyAlignment="1">
      <alignment horizontal="center" vertical="center"/>
    </xf>
    <xf numFmtId="0" fontId="73" fillId="14" borderId="40" xfId="1" applyFont="1" applyFill="1" applyBorder="1" applyAlignment="1">
      <alignment horizontal="center" vertical="center"/>
    </xf>
    <xf numFmtId="0" fontId="73" fillId="13" borderId="40" xfId="1" quotePrefix="1" applyFont="1" applyFill="1" applyBorder="1" applyAlignment="1">
      <alignment horizontal="center" vertical="center"/>
    </xf>
    <xf numFmtId="0" fontId="73" fillId="13" borderId="40" xfId="1" applyFont="1" applyFill="1" applyBorder="1" applyAlignment="1">
      <alignment horizontal="center" vertical="center"/>
    </xf>
    <xf numFmtId="0" fontId="73" fillId="14" borderId="40" xfId="1" quotePrefix="1" applyFont="1" applyFill="1" applyBorder="1" applyAlignment="1">
      <alignment horizontal="center" vertical="center"/>
    </xf>
    <xf numFmtId="0" fontId="59" fillId="10" borderId="39" xfId="0" applyFont="1" applyFill="1" applyBorder="1" applyAlignment="1">
      <alignment horizontal="center" vertical="center"/>
    </xf>
    <xf numFmtId="0" fontId="59" fillId="10" borderId="9" xfId="0" applyFont="1" applyFill="1" applyBorder="1" applyAlignment="1">
      <alignment horizontal="center" vertical="center"/>
    </xf>
    <xf numFmtId="0" fontId="57" fillId="10" borderId="41" xfId="2" applyFont="1" applyFill="1" applyBorder="1" applyAlignment="1">
      <alignment horizontal="center" vertical="center"/>
    </xf>
    <xf numFmtId="0" fontId="76" fillId="13" borderId="12" xfId="3" applyFont="1" applyFill="1" applyBorder="1" applyAlignment="1">
      <alignment horizontal="center" vertical="center"/>
    </xf>
    <xf numFmtId="0" fontId="76" fillId="13" borderId="42" xfId="3" applyFont="1" applyFill="1" applyBorder="1" applyAlignment="1">
      <alignment horizontal="center" vertical="center"/>
    </xf>
    <xf numFmtId="0" fontId="77" fillId="13" borderId="42" xfId="3" applyFont="1" applyFill="1" applyBorder="1" applyAlignment="1">
      <alignment horizontal="left" vertical="center"/>
    </xf>
    <xf numFmtId="0" fontId="73" fillId="13" borderId="10" xfId="1" applyFont="1" applyFill="1" applyBorder="1" applyAlignment="1">
      <alignment horizontal="center" vertical="center"/>
    </xf>
    <xf numFmtId="176" fontId="26" fillId="7" borderId="1" xfId="0" applyNumberFormat="1" applyFont="1" applyFill="1" applyBorder="1" applyAlignment="1">
      <alignment horizontal="left" vertical="center" indent="1"/>
    </xf>
    <xf numFmtId="176" fontId="155" fillId="7" borderId="1" xfId="0" applyNumberFormat="1" applyFont="1" applyFill="1" applyBorder="1" applyAlignment="1">
      <alignment horizontal="left" vertical="center" indent="1"/>
    </xf>
    <xf numFmtId="176" fontId="156" fillId="7" borderId="1" xfId="0" applyNumberFormat="1" applyFont="1" applyFill="1" applyBorder="1" applyAlignment="1">
      <alignment horizontal="left" vertical="center" indent="1"/>
    </xf>
    <xf numFmtId="0" fontId="153" fillId="4" borderId="45" xfId="0" applyFont="1" applyFill="1" applyBorder="1" applyAlignment="1">
      <alignment horizontal="center" vertical="top"/>
    </xf>
    <xf numFmtId="0" fontId="141" fillId="4" borderId="48" xfId="0" applyFont="1" applyFill="1" applyBorder="1" applyAlignment="1">
      <alignment horizontal="center" vertical="center"/>
    </xf>
    <xf numFmtId="0" fontId="154" fillId="4" borderId="46" xfId="0" applyFont="1" applyFill="1" applyBorder="1" applyAlignment="1">
      <alignment horizontal="center" vertical="center"/>
    </xf>
    <xf numFmtId="0" fontId="147" fillId="18" borderId="46" xfId="0" applyFont="1" applyFill="1" applyBorder="1" applyAlignment="1">
      <alignment horizontal="center" vertical="center"/>
    </xf>
    <xf numFmtId="0" fontId="158" fillId="18" borderId="46" xfId="0" applyFont="1" applyFill="1" applyBorder="1" applyAlignment="1">
      <alignment horizontal="center" vertical="center"/>
    </xf>
    <xf numFmtId="0" fontId="159" fillId="0" borderId="0" xfId="0" applyFont="1">
      <alignment vertical="center"/>
    </xf>
    <xf numFmtId="0" fontId="162" fillId="0" borderId="0" xfId="0" applyFont="1" applyAlignment="1"/>
    <xf numFmtId="0" fontId="71" fillId="0" borderId="0" xfId="0" applyFont="1" applyAlignment="1">
      <alignment vertical="top"/>
    </xf>
    <xf numFmtId="0" fontId="157" fillId="0" borderId="48" xfId="0" applyFont="1" applyBorder="1" applyAlignment="1">
      <alignment horizontal="center" vertical="center"/>
    </xf>
    <xf numFmtId="0" fontId="161" fillId="0" borderId="45" xfId="0" applyFont="1" applyBorder="1" applyAlignment="1">
      <alignment horizontal="center"/>
    </xf>
    <xf numFmtId="0" fontId="160" fillId="0" borderId="48" xfId="0" applyFont="1" applyBorder="1" applyAlignment="1">
      <alignment horizontal="center" vertical="center"/>
    </xf>
    <xf numFmtId="0" fontId="163" fillId="0" borderId="46" xfId="0" applyFont="1" applyBorder="1" applyAlignment="1">
      <alignment horizontal="center" vertical="top"/>
    </xf>
    <xf numFmtId="0" fontId="161" fillId="0" borderId="45" xfId="0" applyFont="1" applyBorder="1" applyAlignment="1">
      <alignment horizontal="center" vertical="top"/>
    </xf>
    <xf numFmtId="0" fontId="166" fillId="0" borderId="46" xfId="0" applyFont="1" applyBorder="1" applyAlignment="1">
      <alignment horizontal="center" vertical="center"/>
    </xf>
    <xf numFmtId="0" fontId="164" fillId="0" borderId="0" xfId="0" applyFont="1" applyAlignment="1">
      <alignment horizontal="center" vertical="center"/>
    </xf>
    <xf numFmtId="0" fontId="165" fillId="0" borderId="0" xfId="0" applyFont="1" applyAlignment="1">
      <alignment horizontal="center" vertical="center"/>
    </xf>
    <xf numFmtId="0" fontId="162" fillId="0" borderId="0" xfId="0" applyFont="1" applyAlignment="1">
      <alignment horizontal="center" vertical="center"/>
    </xf>
    <xf numFmtId="0" fontId="167" fillId="0" borderId="0" xfId="0" applyFont="1" applyAlignment="1">
      <alignment horizontal="center" vertical="center"/>
    </xf>
    <xf numFmtId="0" fontId="169" fillId="0" borderId="0" xfId="0" applyFont="1" applyAlignment="1">
      <alignment horizontal="center" vertical="center"/>
    </xf>
    <xf numFmtId="0" fontId="168" fillId="0" borderId="0" xfId="0" applyFont="1" applyAlignment="1">
      <alignment horizontal="center" vertical="center"/>
    </xf>
    <xf numFmtId="0" fontId="170" fillId="0" borderId="0" xfId="0" applyFont="1" applyAlignment="1">
      <alignment horizontal="center" vertical="center"/>
    </xf>
    <xf numFmtId="0" fontId="171" fillId="0" borderId="0" xfId="0" applyFont="1" applyAlignment="1">
      <alignment horizontal="center" vertical="center"/>
    </xf>
    <xf numFmtId="0" fontId="157" fillId="0" borderId="0" xfId="0" applyFont="1" applyAlignment="1">
      <alignment horizontal="center" vertical="center"/>
    </xf>
    <xf numFmtId="0" fontId="99" fillId="16" borderId="8" xfId="1" applyFont="1" applyFill="1" applyBorder="1" applyAlignment="1">
      <alignment horizontal="center" vertical="center"/>
    </xf>
    <xf numFmtId="0" fontId="98" fillId="15" borderId="8" xfId="1" applyFont="1" applyFill="1" applyBorder="1" applyAlignment="1">
      <alignment horizontal="center" vertical="center" textRotation="255"/>
    </xf>
    <xf numFmtId="0" fontId="98" fillId="15" borderId="40" xfId="1" applyFont="1" applyFill="1" applyBorder="1" applyAlignment="1">
      <alignment horizontal="center" vertical="center" textRotation="255"/>
    </xf>
    <xf numFmtId="0" fontId="101" fillId="0" borderId="10" xfId="1" applyFont="1" applyBorder="1" applyAlignment="1">
      <alignment horizontal="center" vertical="center"/>
    </xf>
    <xf numFmtId="0" fontId="102" fillId="0" borderId="11" xfId="1" applyFont="1" applyBorder="1" applyAlignment="1">
      <alignment horizontal="center" vertical="center"/>
    </xf>
    <xf numFmtId="0" fontId="102" fillId="0" borderId="13" xfId="1" applyFont="1" applyBorder="1" applyAlignment="1">
      <alignment horizontal="center" vertical="center"/>
    </xf>
    <xf numFmtId="0" fontId="102" fillId="0" borderId="0" xfId="1" applyFont="1" applyAlignment="1">
      <alignment horizontal="center" vertical="center"/>
    </xf>
    <xf numFmtId="0" fontId="106" fillId="0" borderId="11" xfId="1" applyFont="1" applyBorder="1" applyAlignment="1">
      <alignment horizontal="center" vertical="center"/>
    </xf>
    <xf numFmtId="0" fontId="106" fillId="0" borderId="12" xfId="1" applyFont="1" applyBorder="1" applyAlignment="1">
      <alignment horizontal="center" vertical="center"/>
    </xf>
    <xf numFmtId="0" fontId="106" fillId="0" borderId="0" xfId="1" applyFont="1" applyAlignment="1">
      <alignment horizontal="center" vertical="center"/>
    </xf>
    <xf numFmtId="0" fontId="106" fillId="0" borderId="14" xfId="1" applyFont="1" applyBorder="1" applyAlignment="1">
      <alignment horizontal="center" vertical="center"/>
    </xf>
    <xf numFmtId="0" fontId="100" fillId="16" borderId="42" xfId="1" applyFont="1" applyFill="1" applyBorder="1" applyAlignment="1">
      <alignment horizontal="center" vertical="center"/>
    </xf>
    <xf numFmtId="0" fontId="105" fillId="0" borderId="13" xfId="1" applyFont="1" applyBorder="1" applyAlignment="1">
      <alignment horizontal="center" vertical="center"/>
    </xf>
    <xf numFmtId="0" fontId="105" fillId="0" borderId="0" xfId="1" applyFont="1" applyAlignment="1">
      <alignment horizontal="center" vertical="center"/>
    </xf>
    <xf numFmtId="0" fontId="105" fillId="0" borderId="41" xfId="1" applyFont="1" applyBorder="1" applyAlignment="1">
      <alignment horizontal="center" vertical="center"/>
    </xf>
    <xf numFmtId="0" fontId="105" fillId="0" borderId="38" xfId="1" applyFont="1" applyBorder="1" applyAlignment="1">
      <alignment horizontal="center" vertical="center"/>
    </xf>
    <xf numFmtId="0" fontId="104" fillId="0" borderId="0" xfId="1" applyFont="1" applyAlignment="1">
      <alignment horizontal="center" vertical="center"/>
    </xf>
    <xf numFmtId="0" fontId="104" fillId="0" borderId="14" xfId="1" applyFont="1" applyBorder="1" applyAlignment="1">
      <alignment horizontal="center" vertical="center"/>
    </xf>
    <xf numFmtId="0" fontId="104" fillId="0" borderId="38" xfId="1" applyFont="1" applyBorder="1" applyAlignment="1">
      <alignment horizontal="center" vertical="center"/>
    </xf>
    <xf numFmtId="0" fontId="104" fillId="0" borderId="39" xfId="1" applyFont="1" applyBorder="1" applyAlignment="1">
      <alignment horizontal="center" vertical="center"/>
    </xf>
    <xf numFmtId="0" fontId="117" fillId="0" borderId="13" xfId="1" applyFont="1" applyBorder="1" applyAlignment="1">
      <alignment horizontal="center" vertical="center"/>
    </xf>
    <xf numFmtId="0" fontId="117" fillId="0" borderId="0" xfId="1" applyFont="1" applyAlignment="1">
      <alignment horizontal="center" vertical="center"/>
    </xf>
    <xf numFmtId="0" fontId="117" fillId="0" borderId="41" xfId="1" applyFont="1" applyBorder="1" applyAlignment="1">
      <alignment horizontal="center" vertical="center"/>
    </xf>
    <xf numFmtId="0" fontId="117" fillId="0" borderId="38" xfId="1" applyFont="1" applyBorder="1" applyAlignment="1">
      <alignment horizontal="center" vertical="center"/>
    </xf>
    <xf numFmtId="0" fontId="101" fillId="17" borderId="10" xfId="1" applyFont="1" applyFill="1" applyBorder="1" applyAlignment="1">
      <alignment horizontal="center" vertical="center"/>
    </xf>
    <xf numFmtId="0" fontId="102" fillId="17" borderId="11" xfId="1" applyFont="1" applyFill="1" applyBorder="1" applyAlignment="1">
      <alignment horizontal="center" vertical="center"/>
    </xf>
    <xf numFmtId="0" fontId="102" fillId="17" borderId="13" xfId="1" applyFont="1" applyFill="1" applyBorder="1" applyAlignment="1">
      <alignment horizontal="center" vertical="center"/>
    </xf>
    <xf numFmtId="0" fontId="102" fillId="17" borderId="0" xfId="1" applyFont="1" applyFill="1" applyAlignment="1">
      <alignment horizontal="center" vertical="center"/>
    </xf>
    <xf numFmtId="0" fontId="106" fillId="17" borderId="11" xfId="1" applyFont="1" applyFill="1" applyBorder="1" applyAlignment="1">
      <alignment horizontal="center" vertical="center"/>
    </xf>
    <xf numFmtId="0" fontId="106" fillId="17" borderId="12" xfId="1" applyFont="1" applyFill="1" applyBorder="1" applyAlignment="1">
      <alignment horizontal="center" vertical="center"/>
    </xf>
    <xf numFmtId="0" fontId="106" fillId="17" borderId="0" xfId="1" applyFont="1" applyFill="1" applyAlignment="1">
      <alignment horizontal="center" vertical="center"/>
    </xf>
    <xf numFmtId="0" fontId="106" fillId="17" borderId="14" xfId="1" applyFont="1" applyFill="1" applyBorder="1" applyAlignment="1">
      <alignment horizontal="center" vertical="center"/>
    </xf>
    <xf numFmtId="0" fontId="117" fillId="17" borderId="13" xfId="1" applyFont="1" applyFill="1" applyBorder="1" applyAlignment="1">
      <alignment horizontal="center" vertical="center"/>
    </xf>
    <xf numFmtId="0" fontId="117" fillId="17" borderId="0" xfId="1" applyFont="1" applyFill="1" applyAlignment="1">
      <alignment horizontal="center" vertical="center"/>
    </xf>
    <xf numFmtId="0" fontId="117" fillId="17" borderId="41" xfId="1" applyFont="1" applyFill="1" applyBorder="1" applyAlignment="1">
      <alignment horizontal="center" vertical="center"/>
    </xf>
    <xf numFmtId="0" fontId="117" fillId="17" borderId="38" xfId="1" applyFont="1" applyFill="1" applyBorder="1" applyAlignment="1">
      <alignment horizontal="center" vertical="center"/>
    </xf>
    <xf numFmtId="0" fontId="104" fillId="17" borderId="0" xfId="1" applyFont="1" applyFill="1" applyAlignment="1">
      <alignment horizontal="center" vertical="center"/>
    </xf>
    <xf numFmtId="0" fontId="104" fillId="17" borderId="14" xfId="1" applyFont="1" applyFill="1" applyBorder="1" applyAlignment="1">
      <alignment horizontal="center" vertical="center"/>
    </xf>
    <xf numFmtId="0" fontId="104" fillId="17" borderId="38" xfId="1" applyFont="1" applyFill="1" applyBorder="1" applyAlignment="1">
      <alignment horizontal="center" vertical="center"/>
    </xf>
    <xf numFmtId="0" fontId="104" fillId="17" borderId="39" xfId="1" applyFont="1" applyFill="1" applyBorder="1" applyAlignment="1">
      <alignment horizontal="center" vertical="center"/>
    </xf>
    <xf numFmtId="0" fontId="105" fillId="17" borderId="13" xfId="1" applyFont="1" applyFill="1" applyBorder="1" applyAlignment="1">
      <alignment horizontal="center" vertical="center"/>
    </xf>
    <xf numFmtId="0" fontId="105" fillId="17" borderId="0" xfId="1" applyFont="1" applyFill="1" applyAlignment="1">
      <alignment horizontal="center" vertical="center"/>
    </xf>
    <xf numFmtId="0" fontId="105" fillId="17" borderId="41" xfId="1" applyFont="1" applyFill="1" applyBorder="1" applyAlignment="1">
      <alignment horizontal="center" vertical="center"/>
    </xf>
    <xf numFmtId="0" fontId="105" fillId="17" borderId="38" xfId="1" applyFont="1" applyFill="1" applyBorder="1" applyAlignment="1">
      <alignment horizontal="center" vertical="center"/>
    </xf>
    <xf numFmtId="0" fontId="103" fillId="15" borderId="8" xfId="1" applyFont="1" applyFill="1" applyBorder="1" applyAlignment="1">
      <alignment horizontal="center" vertical="center" textRotation="255"/>
    </xf>
    <xf numFmtId="0" fontId="101" fillId="17" borderId="11" xfId="1" applyFont="1" applyFill="1" applyBorder="1" applyAlignment="1">
      <alignment horizontal="center" vertical="center"/>
    </xf>
    <xf numFmtId="0" fontId="101" fillId="17" borderId="13" xfId="1" applyFont="1" applyFill="1" applyBorder="1" applyAlignment="1">
      <alignment horizontal="center" vertical="center"/>
    </xf>
    <xf numFmtId="0" fontId="101" fillId="17" borderId="0" xfId="1" applyFont="1" applyFill="1" applyAlignment="1">
      <alignment horizontal="center" vertical="center"/>
    </xf>
    <xf numFmtId="0" fontId="113" fillId="0" borderId="11" xfId="1" applyFont="1" applyBorder="1" applyAlignment="1">
      <alignment horizontal="center" vertical="center"/>
    </xf>
    <xf numFmtId="0" fontId="113" fillId="0" borderId="12" xfId="1" applyFont="1" applyBorder="1" applyAlignment="1">
      <alignment horizontal="center" vertical="center"/>
    </xf>
    <xf numFmtId="0" fontId="113" fillId="0" borderId="0" xfId="1" applyFont="1" applyAlignment="1">
      <alignment horizontal="center" vertical="center"/>
    </xf>
    <xf numFmtId="0" fontId="113" fillId="0" borderId="14" xfId="1" applyFont="1" applyBorder="1" applyAlignment="1">
      <alignment horizontal="center" vertical="center"/>
    </xf>
    <xf numFmtId="0" fontId="114" fillId="0" borderId="0" xfId="1" applyFont="1" applyAlignment="1">
      <alignment horizontal="center" vertical="center"/>
    </xf>
    <xf numFmtId="0" fontId="114" fillId="0" borderId="14" xfId="1" applyFont="1" applyBorder="1" applyAlignment="1">
      <alignment horizontal="center" vertical="center"/>
    </xf>
    <xf numFmtId="0" fontId="114" fillId="0" borderId="38" xfId="1" applyFont="1" applyBorder="1" applyAlignment="1">
      <alignment horizontal="center" vertical="center"/>
    </xf>
    <xf numFmtId="0" fontId="114" fillId="0" borderId="39" xfId="1" applyFont="1" applyBorder="1" applyAlignment="1">
      <alignment horizontal="center" vertical="center"/>
    </xf>
    <xf numFmtId="0" fontId="107" fillId="0" borderId="11" xfId="1" applyFont="1" applyBorder="1" applyAlignment="1">
      <alignment horizontal="center" vertical="center"/>
    </xf>
    <xf numFmtId="0" fontId="107" fillId="0" borderId="12" xfId="1" applyFont="1" applyBorder="1" applyAlignment="1">
      <alignment horizontal="center" vertical="center"/>
    </xf>
    <xf numFmtId="0" fontId="107" fillId="0" borderId="0" xfId="1" applyFont="1" applyAlignment="1">
      <alignment horizontal="center" vertical="center"/>
    </xf>
    <xf numFmtId="0" fontId="107" fillId="0" borderId="14" xfId="1" applyFont="1" applyBorder="1" applyAlignment="1">
      <alignment horizontal="center" vertical="center"/>
    </xf>
    <xf numFmtId="0" fontId="108" fillId="0" borderId="0" xfId="1" applyFont="1" applyAlignment="1">
      <alignment horizontal="center" vertical="center"/>
    </xf>
    <xf numFmtId="0" fontId="108" fillId="0" borderId="14" xfId="1" applyFont="1" applyBorder="1" applyAlignment="1">
      <alignment horizontal="center" vertical="center"/>
    </xf>
    <xf numFmtId="0" fontId="108" fillId="0" borderId="38" xfId="1" applyFont="1" applyBorder="1" applyAlignment="1">
      <alignment horizontal="center" vertical="center"/>
    </xf>
    <xf numFmtId="0" fontId="108" fillId="0" borderId="39" xfId="1" applyFont="1" applyBorder="1" applyAlignment="1">
      <alignment horizontal="center" vertical="center"/>
    </xf>
    <xf numFmtId="0" fontId="112" fillId="0" borderId="13" xfId="1" applyFont="1" applyBorder="1" applyAlignment="1">
      <alignment horizontal="center" vertical="center"/>
    </xf>
    <xf numFmtId="0" fontId="112" fillId="0" borderId="0" xfId="1" applyFont="1" applyAlignment="1">
      <alignment horizontal="center" vertical="center"/>
    </xf>
    <xf numFmtId="0" fontId="112" fillId="0" borderId="41" xfId="1" applyFont="1" applyBorder="1" applyAlignment="1">
      <alignment horizontal="center" vertical="center"/>
    </xf>
    <xf numFmtId="0" fontId="112" fillId="0" borderId="38" xfId="1" applyFont="1" applyBorder="1" applyAlignment="1">
      <alignment horizontal="center" vertical="center"/>
    </xf>
    <xf numFmtId="0" fontId="112" fillId="17" borderId="13" xfId="1" applyFont="1" applyFill="1" applyBorder="1" applyAlignment="1">
      <alignment horizontal="center" vertical="center"/>
    </xf>
    <xf numFmtId="0" fontId="112" fillId="17" borderId="0" xfId="1" applyFont="1" applyFill="1" applyAlignment="1">
      <alignment horizontal="center" vertical="center"/>
    </xf>
    <xf numFmtId="0" fontId="112" fillId="17" borderId="41" xfId="1" applyFont="1" applyFill="1" applyBorder="1" applyAlignment="1">
      <alignment horizontal="center" vertical="center"/>
    </xf>
    <xf numFmtId="0" fontId="112" fillId="17" borderId="38" xfId="1" applyFont="1" applyFill="1" applyBorder="1" applyAlignment="1">
      <alignment horizontal="center" vertical="center"/>
    </xf>
    <xf numFmtId="0" fontId="114" fillId="17" borderId="0" xfId="1" applyFont="1" applyFill="1" applyAlignment="1">
      <alignment horizontal="center" vertical="center"/>
    </xf>
    <xf numFmtId="0" fontId="114" fillId="17" borderId="14" xfId="1" applyFont="1" applyFill="1" applyBorder="1" applyAlignment="1">
      <alignment horizontal="center" vertical="center"/>
    </xf>
    <xf numFmtId="0" fontId="114" fillId="17" borderId="38" xfId="1" applyFont="1" applyFill="1" applyBorder="1" applyAlignment="1">
      <alignment horizontal="center" vertical="center"/>
    </xf>
    <xf numFmtId="0" fontId="114" fillId="17" borderId="39" xfId="1" applyFont="1" applyFill="1" applyBorder="1" applyAlignment="1">
      <alignment horizontal="center" vertical="center"/>
    </xf>
    <xf numFmtId="0" fontId="113" fillId="17" borderId="11" xfId="1" applyFont="1" applyFill="1" applyBorder="1" applyAlignment="1">
      <alignment horizontal="center" vertical="center"/>
    </xf>
    <xf numFmtId="0" fontId="113" fillId="17" borderId="12" xfId="1" applyFont="1" applyFill="1" applyBorder="1" applyAlignment="1">
      <alignment horizontal="center" vertical="center"/>
    </xf>
    <xf numFmtId="0" fontId="113" fillId="17" borderId="0" xfId="1" applyFont="1" applyFill="1" applyAlignment="1">
      <alignment horizontal="center" vertical="center"/>
    </xf>
    <xf numFmtId="0" fontId="113" fillId="17" borderId="14" xfId="1" applyFont="1" applyFill="1" applyBorder="1" applyAlignment="1">
      <alignment horizontal="center" vertical="center"/>
    </xf>
    <xf numFmtId="0" fontId="93" fillId="17" borderId="10" xfId="1" applyFont="1" applyFill="1" applyBorder="1" applyAlignment="1">
      <alignment horizontal="center"/>
    </xf>
    <xf numFmtId="0" fontId="93" fillId="17" borderId="11" xfId="1" applyFont="1" applyFill="1" applyBorder="1" applyAlignment="1">
      <alignment horizontal="center"/>
    </xf>
    <xf numFmtId="0" fontId="93" fillId="17" borderId="13" xfId="1" applyFont="1" applyFill="1" applyBorder="1" applyAlignment="1">
      <alignment horizontal="center"/>
    </xf>
    <xf numFmtId="0" fontId="93" fillId="17" borderId="0" xfId="1" applyFont="1" applyFill="1" applyAlignment="1">
      <alignment horizontal="center"/>
    </xf>
    <xf numFmtId="0" fontId="93" fillId="0" borderId="10" xfId="1" applyFont="1" applyBorder="1" applyAlignment="1">
      <alignment horizontal="center"/>
    </xf>
    <xf numFmtId="0" fontId="93" fillId="0" borderId="11" xfId="1" applyFont="1" applyBorder="1" applyAlignment="1">
      <alignment horizontal="center"/>
    </xf>
    <xf numFmtId="0" fontId="93" fillId="0" borderId="13" xfId="1" applyFont="1" applyBorder="1" applyAlignment="1">
      <alignment horizontal="center"/>
    </xf>
    <xf numFmtId="0" fontId="93" fillId="0" borderId="0" xfId="1" applyFont="1" applyAlignment="1">
      <alignment horizontal="center"/>
    </xf>
    <xf numFmtId="0" fontId="111" fillId="15" borderId="8" xfId="1" applyFont="1" applyFill="1" applyBorder="1" applyAlignment="1">
      <alignment horizontal="center" vertical="center"/>
    </xf>
    <xf numFmtId="0" fontId="109" fillId="16" borderId="8" xfId="1" applyFont="1" applyFill="1" applyBorder="1" applyAlignment="1">
      <alignment horizontal="center" vertical="center" textRotation="255"/>
    </xf>
    <xf numFmtId="0" fontId="85" fillId="0" borderId="13" xfId="1" applyFont="1" applyBorder="1" applyAlignment="1">
      <alignment horizontal="center" vertical="top"/>
    </xf>
    <xf numFmtId="0" fontId="85" fillId="0" borderId="0" xfId="1" applyFont="1" applyAlignment="1">
      <alignment horizontal="center" vertical="top"/>
    </xf>
    <xf numFmtId="0" fontId="85" fillId="0" borderId="41" xfId="1" applyFont="1" applyBorder="1" applyAlignment="1">
      <alignment horizontal="center" vertical="top"/>
    </xf>
    <xf numFmtId="0" fontId="85" fillId="0" borderId="38" xfId="1" applyFont="1" applyBorder="1" applyAlignment="1">
      <alignment horizontal="center" vertical="top"/>
    </xf>
    <xf numFmtId="0" fontId="109" fillId="16" borderId="40" xfId="1" applyFont="1" applyFill="1" applyBorder="1" applyAlignment="1">
      <alignment horizontal="center" vertical="center" textRotation="255"/>
    </xf>
    <xf numFmtId="0" fontId="147" fillId="18" borderId="45" xfId="0" applyFont="1" applyFill="1" applyBorder="1" applyAlignment="1">
      <alignment horizontal="center" vertical="center" textRotation="255"/>
    </xf>
    <xf numFmtId="0" fontId="147" fillId="18" borderId="46" xfId="0" applyFont="1" applyFill="1" applyBorder="1" applyAlignment="1">
      <alignment horizontal="center" vertical="center" textRotation="255"/>
    </xf>
    <xf numFmtId="0" fontId="146" fillId="18" borderId="45" xfId="0" applyFont="1" applyFill="1" applyBorder="1" applyAlignment="1">
      <alignment horizontal="center" vertical="center"/>
    </xf>
    <xf numFmtId="0" fontId="146" fillId="18" borderId="48" xfId="0" applyFont="1" applyFill="1" applyBorder="1" applyAlignment="1">
      <alignment horizontal="center" vertical="center"/>
    </xf>
    <xf numFmtId="0" fontId="146" fillId="18" borderId="46" xfId="0" applyFont="1" applyFill="1" applyBorder="1" applyAlignment="1">
      <alignment horizontal="center" vertical="center"/>
    </xf>
    <xf numFmtId="177" fontId="149" fillId="9" borderId="0" xfId="0" applyNumberFormat="1" applyFont="1" applyFill="1" applyAlignment="1">
      <alignment horizontal="center" vertical="center"/>
    </xf>
    <xf numFmtId="177" fontId="149" fillId="9" borderId="47" xfId="0" applyNumberFormat="1" applyFont="1" applyFill="1" applyBorder="1" applyAlignment="1">
      <alignment horizontal="center" vertical="center"/>
    </xf>
    <xf numFmtId="0" fontId="148" fillId="18" borderId="45" xfId="0" applyFont="1" applyFill="1" applyBorder="1" applyAlignment="1">
      <alignment horizontal="center" vertical="center"/>
    </xf>
    <xf numFmtId="0" fontId="148" fillId="18" borderId="46" xfId="0" applyFont="1" applyFill="1" applyBorder="1" applyAlignment="1">
      <alignment horizontal="center" vertical="center"/>
    </xf>
    <xf numFmtId="0" fontId="150" fillId="18" borderId="45" xfId="0" applyFont="1" applyFill="1" applyBorder="1" applyAlignment="1">
      <alignment horizontal="center" vertical="center"/>
    </xf>
    <xf numFmtId="0" fontId="150" fillId="18" borderId="46" xfId="0" applyFont="1" applyFill="1" applyBorder="1" applyAlignment="1">
      <alignment horizontal="center" vertical="center"/>
    </xf>
    <xf numFmtId="0" fontId="83" fillId="15" borderId="8" xfId="1" applyFont="1" applyFill="1" applyBorder="1" applyAlignment="1">
      <alignment horizontal="center" vertical="center"/>
    </xf>
    <xf numFmtId="0" fontId="88" fillId="15" borderId="8" xfId="1" applyFont="1" applyFill="1" applyBorder="1" applyAlignment="1">
      <alignment horizontal="center" vertical="center"/>
    </xf>
    <xf numFmtId="0" fontId="90" fillId="15" borderId="8" xfId="1" applyFont="1" applyFill="1" applyBorder="1" applyAlignment="1">
      <alignment horizontal="center" vertical="center"/>
    </xf>
    <xf numFmtId="0" fontId="82" fillId="16" borderId="8" xfId="1" applyFont="1" applyFill="1" applyBorder="1" applyAlignment="1">
      <alignment horizontal="center" vertical="center" textRotation="255"/>
    </xf>
    <xf numFmtId="0" fontId="94" fillId="0" borderId="11" xfId="1" applyFont="1" applyBorder="1" applyAlignment="1">
      <alignment horizontal="center"/>
    </xf>
    <xf numFmtId="0" fontId="94" fillId="0" borderId="13" xfId="1" applyFont="1" applyBorder="1" applyAlignment="1">
      <alignment horizontal="center"/>
    </xf>
    <xf numFmtId="0" fontId="94" fillId="0" borderId="0" xfId="1" applyFont="1" applyAlignment="1">
      <alignment horizontal="center"/>
    </xf>
    <xf numFmtId="0" fontId="95" fillId="0" borderId="11" xfId="1" applyFont="1" applyBorder="1" applyAlignment="1">
      <alignment horizontal="center" vertical="center"/>
    </xf>
    <xf numFmtId="0" fontId="95" fillId="0" borderId="12" xfId="1" applyFont="1" applyBorder="1" applyAlignment="1">
      <alignment horizontal="center" vertical="center"/>
    </xf>
    <xf numFmtId="0" fontId="95" fillId="0" borderId="0" xfId="1" applyFont="1" applyAlignment="1">
      <alignment horizontal="center" vertical="center"/>
    </xf>
    <xf numFmtId="0" fontId="95" fillId="0" borderId="14" xfId="1" applyFont="1" applyBorder="1" applyAlignment="1">
      <alignment horizontal="center" vertical="center"/>
    </xf>
    <xf numFmtId="0" fontId="94" fillId="17" borderId="11" xfId="1" applyFont="1" applyFill="1" applyBorder="1" applyAlignment="1">
      <alignment horizontal="center"/>
    </xf>
    <xf numFmtId="0" fontId="94" fillId="17" borderId="13" xfId="1" applyFont="1" applyFill="1" applyBorder="1" applyAlignment="1">
      <alignment horizontal="center"/>
    </xf>
    <xf numFmtId="0" fontId="94" fillId="17" borderId="0" xfId="1" applyFont="1" applyFill="1" applyAlignment="1">
      <alignment horizontal="center"/>
    </xf>
    <xf numFmtId="0" fontId="95" fillId="17" borderId="11" xfId="1" applyFont="1" applyFill="1" applyBorder="1" applyAlignment="1">
      <alignment horizontal="center" vertical="center"/>
    </xf>
    <xf numFmtId="0" fontId="95" fillId="17" borderId="12" xfId="1" applyFont="1" applyFill="1" applyBorder="1" applyAlignment="1">
      <alignment horizontal="center" vertical="center"/>
    </xf>
    <xf numFmtId="0" fontId="95" fillId="17" borderId="0" xfId="1" applyFont="1" applyFill="1" applyAlignment="1">
      <alignment horizontal="center" vertical="center"/>
    </xf>
    <xf numFmtId="0" fontId="95" fillId="17" borderId="14" xfId="1" applyFont="1" applyFill="1" applyBorder="1" applyAlignment="1">
      <alignment horizontal="center" vertical="center"/>
    </xf>
    <xf numFmtId="0" fontId="96" fillId="17" borderId="0" xfId="1" applyFont="1" applyFill="1" applyAlignment="1">
      <alignment horizontal="center" vertical="center"/>
    </xf>
    <xf numFmtId="0" fontId="96" fillId="17" borderId="14" xfId="1" applyFont="1" applyFill="1" applyBorder="1" applyAlignment="1">
      <alignment horizontal="center" vertical="center"/>
    </xf>
    <xf numFmtId="0" fontId="96" fillId="17" borderId="38" xfId="1" applyFont="1" applyFill="1" applyBorder="1" applyAlignment="1">
      <alignment horizontal="center" vertical="center"/>
    </xf>
    <xf numFmtId="0" fontId="96" fillId="17" borderId="39" xfId="1" applyFont="1" applyFill="1" applyBorder="1" applyAlignment="1">
      <alignment horizontal="center" vertical="center"/>
    </xf>
    <xf numFmtId="0" fontId="96" fillId="0" borderId="0" xfId="1" applyFont="1" applyAlignment="1">
      <alignment horizontal="center" vertical="center"/>
    </xf>
    <xf numFmtId="0" fontId="96" fillId="0" borderId="14" xfId="1" applyFont="1" applyBorder="1" applyAlignment="1">
      <alignment horizontal="center" vertical="center"/>
    </xf>
    <xf numFmtId="0" fontId="96" fillId="0" borderId="38" xfId="1" applyFont="1" applyBorder="1" applyAlignment="1">
      <alignment horizontal="center" vertical="center"/>
    </xf>
    <xf numFmtId="0" fontId="96" fillId="0" borderId="39" xfId="1" applyFont="1" applyBorder="1" applyAlignment="1">
      <alignment horizontal="center" vertical="center"/>
    </xf>
    <xf numFmtId="0" fontId="91" fillId="0" borderId="41" xfId="1" applyFont="1" applyBorder="1" applyAlignment="1">
      <alignment horizontal="center" vertical="center"/>
    </xf>
    <xf numFmtId="0" fontId="92" fillId="0" borderId="38" xfId="1" applyFont="1" applyBorder="1" applyAlignment="1">
      <alignment horizontal="center" vertical="center"/>
    </xf>
    <xf numFmtId="0" fontId="91" fillId="17" borderId="41" xfId="1" applyFont="1" applyFill="1" applyBorder="1" applyAlignment="1">
      <alignment horizontal="center" vertical="center"/>
    </xf>
    <xf numFmtId="0" fontId="92" fillId="17" borderId="38" xfId="1" applyFont="1" applyFill="1" applyBorder="1" applyAlignment="1">
      <alignment horizontal="center" vertical="center"/>
    </xf>
    <xf numFmtId="0" fontId="97" fillId="17" borderId="13" xfId="1" applyFont="1" applyFill="1" applyBorder="1" applyAlignment="1">
      <alignment horizontal="center" vertical="center"/>
    </xf>
    <xf numFmtId="0" fontId="97" fillId="17" borderId="0" xfId="1" applyFont="1" applyFill="1" applyAlignment="1">
      <alignment horizontal="center" vertical="center"/>
    </xf>
    <xf numFmtId="0" fontId="82" fillId="16" borderId="40" xfId="1" applyFont="1" applyFill="1" applyBorder="1" applyAlignment="1">
      <alignment horizontal="center" vertical="center" textRotation="255"/>
    </xf>
    <xf numFmtId="0" fontId="96" fillId="17" borderId="0" xfId="1" applyFont="1" applyFill="1" applyAlignment="1">
      <alignment horizontal="center" vertical="center" wrapText="1"/>
    </xf>
    <xf numFmtId="0" fontId="97" fillId="0" borderId="13" xfId="1" applyFont="1" applyBorder="1" applyAlignment="1">
      <alignment horizontal="center" vertical="center"/>
    </xf>
    <xf numFmtId="0" fontId="97" fillId="0" borderId="0" xfId="1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53" fillId="6" borderId="13" xfId="0" applyFont="1" applyFill="1" applyBorder="1" applyAlignment="1">
      <alignment horizontal="center" vertical="center"/>
    </xf>
    <xf numFmtId="0" fontId="53" fillId="6" borderId="0" xfId="0" applyFont="1" applyFill="1" applyAlignment="1">
      <alignment horizontal="center" vertical="center"/>
    </xf>
    <xf numFmtId="0" fontId="172" fillId="17" borderId="10" xfId="1" applyFont="1" applyFill="1" applyBorder="1" applyAlignment="1">
      <alignment horizontal="center"/>
    </xf>
    <xf numFmtId="0" fontId="172" fillId="17" borderId="11" xfId="1" applyFont="1" applyFill="1" applyBorder="1" applyAlignment="1">
      <alignment horizontal="center"/>
    </xf>
    <xf numFmtId="0" fontId="172" fillId="17" borderId="13" xfId="1" applyFont="1" applyFill="1" applyBorder="1" applyAlignment="1">
      <alignment horizontal="center"/>
    </xf>
    <xf numFmtId="0" fontId="172" fillId="17" borderId="0" xfId="1" applyFont="1" applyFill="1" applyAlignment="1">
      <alignment horizontal="center"/>
    </xf>
    <xf numFmtId="0" fontId="173" fillId="0" borderId="0" xfId="1" applyFont="1"/>
    <xf numFmtId="0" fontId="174" fillId="0" borderId="0" xfId="1" applyFont="1"/>
    <xf numFmtId="0" fontId="175" fillId="0" borderId="0" xfId="1" applyFont="1"/>
    <xf numFmtId="0" fontId="84" fillId="0" borderId="0" xfId="1" applyFont="1" applyBorder="1"/>
    <xf numFmtId="0" fontId="176" fillId="0" borderId="0" xfId="1" applyFont="1" applyBorder="1" applyAlignment="1">
      <alignment horizontal="center" vertical="center"/>
    </xf>
  </cellXfs>
  <cellStyles count="5">
    <cellStyle name="一般" xfId="0" builtinId="0"/>
    <cellStyle name="一般 2" xfId="1" xr:uid="{E57FFF29-A59B-46E2-A496-66E529F383CC}"/>
    <cellStyle name="一般 3" xfId="2" xr:uid="{F888E77A-A456-43DD-9C20-165504F95D19}"/>
    <cellStyle name="一般 4 2" xfId="4" xr:uid="{CEAA240F-EC45-4C06-A593-C0B1F90AAB64}"/>
    <cellStyle name="一般 5" xfId="3" xr:uid="{A64DC614-F54F-40BB-971A-8B5B94C0F2B5}"/>
  </cellStyles>
  <dxfs count="146">
    <dxf>
      <fill>
        <patternFill>
          <bgColor theme="2"/>
        </patternFill>
      </fill>
    </dxf>
    <dxf>
      <fill>
        <patternFill>
          <bgColor theme="2"/>
        </patternFill>
      </fill>
    </dxf>
    <dxf>
      <font>
        <b/>
        <i val="0"/>
        <color rgb="FFFF0000"/>
      </font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color rgb="FF7030A0"/>
      </font>
      <fill>
        <patternFill patternType="none">
          <bgColor auto="1"/>
        </patternFill>
      </fill>
    </dxf>
    <dxf>
      <font>
        <color rgb="FF00B050"/>
      </font>
      <fill>
        <patternFill patternType="none">
          <bgColor auto="1"/>
        </patternFill>
      </fill>
    </dxf>
    <dxf>
      <fill>
        <patternFill>
          <bgColor rgb="FFFFFFCC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FF0000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erif TC Black"/>
        <family val="1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Medium"/>
        <family val="2"/>
        <charset val="136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36"/>
        <color rgb="FFFF0000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Noto Serif TC Black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Noto Serif TC Black"/>
        <family val="1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0"/>
        <name val="Noto Sans TC Medium"/>
        <family val="2"/>
        <charset val="136"/>
        <scheme val="none"/>
      </font>
      <fill>
        <patternFill patternType="solid">
          <fgColor indexed="64"/>
          <bgColor rgb="FF0070C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numFmt numFmtId="176" formatCode="General;;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9.9978637043366805E-2"/>
        <name val="Noto Sans TC Medium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字咍源流明體 台羅方音 B"/>
        <family val="1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bottom style="thin">
          <color rgb="FFBFBFBF"/>
        </bottom>
      </border>
    </dxf>
    <dxf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9.9978637043366805E-2"/>
        <name val="Charis SIL"/>
        <scheme val="none"/>
      </font>
      <fill>
        <patternFill patternType="none">
          <fgColor indexed="64"/>
          <bgColor indexed="65"/>
        </patternFill>
      </fill>
      <alignment horizontal="left" vertical="center" textRotation="0" wrapText="0" indent="2" justifyLastLine="0" shrinkToFit="0" readingOrder="0"/>
      <border diagonalUp="0" diagonalDown="0">
        <left style="thin">
          <color theme="0" tint="-0.24994659260841701"/>
        </left>
        <right/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  <border outline="0">
        <left style="thin">
          <color theme="0" tint="-0.2499465926084170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fill>
        <patternFill patternType="none">
          <fgColor indexed="64"/>
          <bgColor auto="1"/>
        </patternFill>
      </fill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none">
          <fgColor indexed="64"/>
          <bgColor auto="1"/>
        </patternFill>
      </fill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Black"/>
        <family val="2"/>
        <charset val="136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left style="thin">
          <color theme="0" tint="-0.24994659260841701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alignment horizontal="left" vertical="center" textRotation="0" wrapText="0" indent="2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theme="0" tint="-0.24994659260841701"/>
        </top>
      </border>
    </dxf>
    <dxf>
      <border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Black"/>
        <family val="2"/>
        <charset val="136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ill>
        <patternFill patternType="solid">
          <fgColor indexed="64"/>
          <bgColor theme="0"/>
        </patternFill>
      </fill>
      <border outline="0">
        <left style="thin">
          <color theme="2" tint="-0.24994659260841701"/>
        </left>
      </border>
    </dxf>
    <dxf>
      <font>
        <outline val="0"/>
        <shadow val="0"/>
        <u val="none"/>
        <vertAlign val="baseline"/>
        <sz val="22"/>
        <name val="Noto Sans TC Medium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/>
        <sz val="20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/>
        <sz val="20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sz val="20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sz val="20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haris SIL"/>
        <scheme val="none"/>
      </font>
      <numFmt numFmtId="176" formatCode="General;;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Charis SI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2" tint="-9.9978637043366805E-2"/>
        <name val="Noto Sans TC Medium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字咍源流明體 台羅方音 B"/>
        <family val="1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border outline="0">
        <bottom style="thin">
          <color rgb="FFBFBFBF"/>
        </bottom>
      </border>
    </dxf>
    <dxf>
      <fill>
        <patternFill patternType="solid">
          <fgColor rgb="FF000000"/>
          <bgColor rgb="FFFFFFFF"/>
        </patternFill>
      </fill>
    </dxf>
    <dxf>
      <border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0" formatCode="General"/>
      <border outline="0">
        <left style="thin">
          <color theme="2" tint="-0.24994659260841701"/>
        </left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numFmt numFmtId="0" formatCode="General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numFmt numFmtId="0" formatCode="General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numFmt numFmtId="0" formatCode="General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numFmt numFmtId="0" formatCode="General"/>
      <border diagonalUp="0" diagonalDown="0" outline="0">
        <left/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alignment horizontal="left" vertical="center" textRotation="0" wrapText="0" relativeIndent="1" justifyLastLine="0" shrinkToFit="0" readingOrder="0"/>
      <border diagonalUp="0" diagonalDown="0" outline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</border>
    </dxf>
    <dxf>
      <numFmt numFmtId="0" formatCode="General"/>
      <border diagonalUp="0" diagonalDown="0" outline="0">
        <left style="thin">
          <color theme="2" tint="-0.24994659260841701"/>
        </left>
        <right/>
        <top style="thin">
          <color theme="2" tint="-0.24994659260841701"/>
        </top>
        <bottom style="thin">
          <color theme="2" tint="-0.24994659260841701"/>
        </bottom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alignment horizontal="left" vertical="center" textRotation="0" wrapText="0" indent="2" justifyLastLine="0" shrinkToFit="0" readingOrder="0"/>
      <border diagonalUp="0" diagonalDown="0">
        <left style="thin">
          <color theme="2" tint="-0.24994659260841701"/>
        </left>
        <right style="thin">
          <color theme="2" tint="-0.24994659260841701"/>
        </right>
        <top style="thin">
          <color theme="2" tint="-0.24994659260841701"/>
        </top>
        <bottom style="thin">
          <color theme="2" tint="-0.24994659260841701"/>
        </bottom>
        <vertical style="thin">
          <color theme="2" tint="-0.24994659260841701"/>
        </vertical>
        <horizontal style="thin">
          <color theme="2" tint="-0.24994659260841701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字咍源流明體 台羅方音 B"/>
        <family val="1"/>
        <charset val="136"/>
        <scheme val="none"/>
      </font>
      <alignment horizontal="left" vertical="center" textRotation="0" wrapText="0" indent="2" justifyLastLine="0" shrinkToFit="0" readingOrder="0"/>
      <border diagonalUp="0" diagonalDown="0" outline="0">
        <left/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Noto Sans TC Black"/>
        <family val="2"/>
        <charset val="136"/>
        <scheme val="none"/>
      </font>
      <fill>
        <patternFill patternType="solid">
          <fgColor indexed="64"/>
          <bgColor theme="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/>
        <bottom/>
      </border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numFmt numFmtId="176" formatCode="General;;"/>
      <fill>
        <patternFill patternType="solid">
          <fgColor indexed="64"/>
          <bgColor theme="0"/>
        </patternFill>
      </fill>
      <alignment horizontal="left" vertical="center" textRotation="0" wrapText="0" indent="1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Charis SIL"/>
        <scheme val="none"/>
      </font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2" tint="-9.9978637043366805E-2"/>
        <name val="Noto Sans TC Medium"/>
        <family val="2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4"/>
        <color theme="1"/>
        <name val="字咍源流明體 台羅方音 B"/>
        <family val="1"/>
        <charset val="136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border diagonalUp="0" diagonalDown="0" outline="0">
        <left style="thin">
          <color theme="0" tint="-0.24994659260841701"/>
        </left>
        <right style="thin">
          <color theme="0" tint="-0.24994659260841701"/>
        </right>
        <top style="thin">
          <color theme="0" tint="-0.24994659260841701"/>
        </top>
        <bottom style="thin">
          <color theme="0" tint="-0.24994659260841701"/>
        </bottom>
      </border>
    </dxf>
    <dxf>
      <border outline="0">
        <bottom style="thin">
          <color theme="0" tint="-0.24994659260841701"/>
        </bottom>
      </border>
    </dxf>
    <dxf>
      <fill>
        <patternFill patternType="solid">
          <fgColor indexed="64"/>
          <bgColor theme="0"/>
        </patternFill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4"/>
        <name val="Noto Sans TC"/>
        <family val="2"/>
        <charset val="136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1" defaultTableStyle="TableStyleMedium2" defaultPivotStyle="PivotStyleLight16">
    <tableStyle name="表格樣式 1" pivot="0" count="0" xr9:uid="{FF4CEA85-678A-4E77-9D38-29103EC1D20A}"/>
  </tableStyles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externalLink" Target="externalLinks/externalLink1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e853628f16e3ee33/&#27827;&#27931;&#35441;/&#28450;&#35486;&#27880;&#38899;&#23565;&#29031;&#34920;.xlsx" TargetMode="External"/><Relationship Id="rId1" Type="http://schemas.openxmlformats.org/officeDocument/2006/relationships/externalLinkPath" Target="https://d.docs.live.net/e853628f16e3ee33/&#27827;&#27931;&#35441;/&#28450;&#35486;&#27880;&#38899;&#23565;&#29031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iau-Im/Documents/D100_&#24409;&#38598;&#38597;&#20439;&#36890;&#21313;&#20116;&#38899;&#23383;&#20856;.xlsx" TargetMode="External"/><Relationship Id="rId2" Type="http://schemas.openxmlformats.org/officeDocument/2006/relationships/externalLinkPath" Target="file:///C:\Users\AlanJui\work\Piau-Im\Documents\D100_&#24409;&#38598;&#38597;&#20439;&#36890;&#21313;&#20116;&#38899;&#23383;&#20856;.xlsx" TargetMode="External"/><Relationship Id="rId1" Type="http://schemas.openxmlformats.org/officeDocument/2006/relationships/externalLinkPath" Target="/Users/AlanJui/work/Piau-Im/Documents/D100_&#24409;&#38598;&#38597;&#20439;&#36890;&#21313;&#20116;&#38899;&#23383;&#20856;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work/Piau-Im/output7/&#12304;&#27827;&#27931;&#25991;&#35712;&#27880;&#38899;-&#38313;&#25340;&#35519;&#34399;&#12305;&#12298;&#23450;&#39080;&#27874;&#12299;.xlsx" TargetMode="External"/><Relationship Id="rId2" Type="http://schemas.openxmlformats.org/officeDocument/2006/relationships/externalLinkPath" Target="file:///C:\work\Piau-Im\output7\&#12304;&#27827;&#27931;&#25991;&#35712;&#27880;&#38899;-&#38313;&#25340;&#35519;&#34399;&#12305;&#12298;&#23450;&#39080;&#27874;&#12299;.xlsx" TargetMode="External"/><Relationship Id="rId1" Type="http://schemas.openxmlformats.org/officeDocument/2006/relationships/externalLinkPath" Target="/work/Piau-Im/output7/&#12304;&#27827;&#27931;&#25991;&#35712;&#27880;&#38899;-&#38313;&#25340;&#35519;&#34399;&#12305;&#12298;&#23450;&#39080;&#27874;&#1229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昔時賢文"/>
      <sheetName val="昔時賢文 (自動翻譯)"/>
      <sheetName val="字典01"/>
      <sheetName val="雅俗通字庫"/>
      <sheetName val="注音聲母碼"/>
      <sheetName val="注音韻母碼"/>
      <sheetName val="方音-音節表"/>
      <sheetName val="台語ㄅㄆㄇ-聲母碼"/>
      <sheetName val="台語ㄅㄆㄇ-韻母碼"/>
      <sheetName val="台語ㄅㄆㄇ轉換對照表"/>
      <sheetName val="聲調表"/>
      <sheetName val="聲母碼"/>
      <sheetName val="韻母碼 (台羅)"/>
      <sheetName val="聲母對照表"/>
      <sheetName val="十五音-聲母"/>
      <sheetName val="韻母碼"/>
      <sheetName val="韻母對照表"/>
      <sheetName val="十五音-韻母"/>
      <sheetName val="十五音韻母比較表"/>
      <sheetName val="十五音-韻母八音反切"/>
      <sheetName val="方音-聲母"/>
      <sheetName val="方音-韻母"/>
      <sheetName val="方音．組合韻母表"/>
      <sheetName val="方音符號表"/>
      <sheetName val="方音符號．鍵盤"/>
      <sheetName val="閩拼-聲母"/>
      <sheetName val="閩拼-韻母"/>
      <sheetName val="聲母對照表（舊）"/>
      <sheetName val="韻母對照表（舊）"/>
      <sheetName val="閩拼-韻母八音反切"/>
      <sheetName val="閩拼-聲調"/>
      <sheetName val="白話字-音節表"/>
      <sheetName val="白話字-韻母八音反切"/>
      <sheetName val="台羅拼音-音節表"/>
      <sheetName val="台羅-韻母八音反切"/>
      <sheetName val="增補彙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D6">
            <v>1</v>
          </cell>
          <cell r="E6" t="str">
            <v>b</v>
          </cell>
          <cell r="F6" t="str">
            <v>b</v>
          </cell>
          <cell r="G6" t="str">
            <v>門</v>
          </cell>
          <cell r="H6" t="str">
            <v>b</v>
          </cell>
          <cell r="I6" t="str">
            <v>b</v>
          </cell>
          <cell r="J6" t="str">
            <v>bb</v>
          </cell>
          <cell r="K6" t="str">
            <v>ㆠ</v>
          </cell>
        </row>
        <row r="7">
          <cell r="D7">
            <v>2</v>
          </cell>
          <cell r="E7" t="str">
            <v>ch</v>
          </cell>
          <cell r="F7" t="str">
            <v>ʦ</v>
          </cell>
          <cell r="G7" t="str">
            <v>曾</v>
          </cell>
          <cell r="H7" t="str">
            <v>ch</v>
          </cell>
          <cell r="I7" t="str">
            <v>ts</v>
          </cell>
          <cell r="J7" t="str">
            <v>z</v>
          </cell>
          <cell r="K7" t="str">
            <v>ㄗ</v>
          </cell>
        </row>
        <row r="8">
          <cell r="D8">
            <v>3</v>
          </cell>
          <cell r="E8" t="str">
            <v>chh</v>
          </cell>
          <cell r="F8" t="str">
            <v>ʦʰ</v>
          </cell>
          <cell r="G8" t="str">
            <v>出</v>
          </cell>
          <cell r="H8" t="str">
            <v>chh</v>
          </cell>
          <cell r="I8" t="str">
            <v>tsh</v>
          </cell>
          <cell r="J8" t="str">
            <v>c</v>
          </cell>
          <cell r="K8" t="str">
            <v>ㄘ</v>
          </cell>
        </row>
        <row r="9">
          <cell r="D9">
            <v>4</v>
          </cell>
          <cell r="E9" t="str">
            <v>g</v>
          </cell>
          <cell r="F9" t="str">
            <v>ɡ</v>
          </cell>
          <cell r="G9" t="str">
            <v>語</v>
          </cell>
          <cell r="H9" t="str">
            <v>g</v>
          </cell>
          <cell r="I9" t="str">
            <v>g</v>
          </cell>
          <cell r="J9" t="str">
            <v>gg</v>
          </cell>
          <cell r="K9" t="str">
            <v>ㆣ</v>
          </cell>
        </row>
        <row r="10">
          <cell r="D10">
            <v>5</v>
          </cell>
          <cell r="E10" t="str">
            <v>h</v>
          </cell>
          <cell r="F10" t="str">
            <v>h</v>
          </cell>
          <cell r="G10" t="str">
            <v>喜</v>
          </cell>
          <cell r="H10" t="str">
            <v>h</v>
          </cell>
          <cell r="I10" t="str">
            <v>h</v>
          </cell>
          <cell r="J10" t="str">
            <v>h</v>
          </cell>
          <cell r="K10" t="str">
            <v>ㄏ</v>
          </cell>
        </row>
        <row r="11">
          <cell r="D11">
            <v>6</v>
          </cell>
          <cell r="E11" t="str">
            <v>j</v>
          </cell>
          <cell r="F11" t="str">
            <v>ʣ</v>
          </cell>
          <cell r="G11" t="str">
            <v>入</v>
          </cell>
          <cell r="H11" t="str">
            <v>j</v>
          </cell>
          <cell r="I11" t="str">
            <v>j</v>
          </cell>
          <cell r="J11" t="str">
            <v>zz</v>
          </cell>
          <cell r="K11" t="str">
            <v>ㆡ</v>
          </cell>
        </row>
        <row r="12">
          <cell r="D12">
            <v>7</v>
          </cell>
          <cell r="E12" t="str">
            <v>k</v>
          </cell>
          <cell r="F12" t="str">
            <v>k</v>
          </cell>
          <cell r="G12" t="str">
            <v>求</v>
          </cell>
          <cell r="H12" t="str">
            <v>k</v>
          </cell>
          <cell r="I12" t="str">
            <v>k</v>
          </cell>
          <cell r="J12" t="str">
            <v>g</v>
          </cell>
          <cell r="K12" t="str">
            <v>ㄍ</v>
          </cell>
        </row>
        <row r="13">
          <cell r="D13">
            <v>8</v>
          </cell>
          <cell r="E13" t="str">
            <v>kh</v>
          </cell>
          <cell r="F13" t="str">
            <v>kʰ</v>
          </cell>
          <cell r="G13" t="str">
            <v>去</v>
          </cell>
          <cell r="H13" t="str">
            <v>kh</v>
          </cell>
          <cell r="I13" t="str">
            <v>kh</v>
          </cell>
          <cell r="J13" t="str">
            <v>k</v>
          </cell>
          <cell r="K13" t="str">
            <v>ㄎ</v>
          </cell>
        </row>
        <row r="14">
          <cell r="D14">
            <v>9</v>
          </cell>
          <cell r="E14" t="str">
            <v>l</v>
          </cell>
          <cell r="F14" t="str">
            <v>l</v>
          </cell>
          <cell r="G14" t="str">
            <v>柳</v>
          </cell>
          <cell r="H14" t="str">
            <v>l</v>
          </cell>
          <cell r="I14" t="str">
            <v>l</v>
          </cell>
          <cell r="J14" t="str">
            <v>l</v>
          </cell>
          <cell r="K14" t="str">
            <v>ㄌ</v>
          </cell>
        </row>
        <row r="15">
          <cell r="D15">
            <v>10</v>
          </cell>
          <cell r="E15" t="str">
            <v>m</v>
          </cell>
          <cell r="F15" t="str">
            <v>m</v>
          </cell>
          <cell r="G15" t="str">
            <v>毛</v>
          </cell>
          <cell r="H15" t="str">
            <v>m</v>
          </cell>
          <cell r="I15" t="str">
            <v>m</v>
          </cell>
          <cell r="J15" t="str">
            <v>bbn</v>
          </cell>
          <cell r="K15" t="str">
            <v>ㄇ</v>
          </cell>
        </row>
        <row r="16">
          <cell r="D16">
            <v>11</v>
          </cell>
          <cell r="E16" t="str">
            <v>n</v>
          </cell>
          <cell r="F16" t="str">
            <v>n</v>
          </cell>
          <cell r="G16" t="str">
            <v>耐</v>
          </cell>
          <cell r="H16" t="str">
            <v>n</v>
          </cell>
          <cell r="I16" t="str">
            <v>n</v>
          </cell>
          <cell r="J16" t="str">
            <v>ln</v>
          </cell>
          <cell r="K16" t="str">
            <v>ㄋ</v>
          </cell>
        </row>
        <row r="17">
          <cell r="D17">
            <v>12</v>
          </cell>
          <cell r="E17" t="str">
            <v>ng</v>
          </cell>
          <cell r="F17" t="str">
            <v>ŋ</v>
          </cell>
          <cell r="G17" t="str">
            <v>雅</v>
          </cell>
          <cell r="H17" t="str">
            <v>ng</v>
          </cell>
          <cell r="I17" t="str">
            <v>ng</v>
          </cell>
          <cell r="J17" t="str">
            <v>ggn</v>
          </cell>
          <cell r="K17" t="str">
            <v>ㄫ</v>
          </cell>
        </row>
        <row r="18">
          <cell r="D18">
            <v>13</v>
          </cell>
          <cell r="E18" t="str">
            <v>p</v>
          </cell>
          <cell r="F18" t="str">
            <v>p</v>
          </cell>
          <cell r="G18" t="str">
            <v>邊</v>
          </cell>
          <cell r="H18" t="str">
            <v>p</v>
          </cell>
          <cell r="I18" t="str">
            <v>p</v>
          </cell>
          <cell r="J18" t="str">
            <v>b</v>
          </cell>
          <cell r="K18" t="str">
            <v>ㄅ</v>
          </cell>
        </row>
        <row r="19">
          <cell r="D19">
            <v>14</v>
          </cell>
          <cell r="E19" t="str">
            <v>ph</v>
          </cell>
          <cell r="F19" t="str">
            <v>pʰ</v>
          </cell>
          <cell r="G19" t="str">
            <v>頗</v>
          </cell>
          <cell r="H19" t="str">
            <v>ph</v>
          </cell>
          <cell r="I19" t="str">
            <v>ph</v>
          </cell>
          <cell r="J19" t="str">
            <v>p</v>
          </cell>
          <cell r="K19" t="str">
            <v>ㄆ</v>
          </cell>
        </row>
        <row r="20">
          <cell r="D20">
            <v>15</v>
          </cell>
          <cell r="E20" t="str">
            <v>s</v>
          </cell>
          <cell r="F20" t="str">
            <v>s</v>
          </cell>
          <cell r="G20" t="str">
            <v>時</v>
          </cell>
          <cell r="H20" t="str">
            <v>s</v>
          </cell>
          <cell r="I20" t="str">
            <v>s</v>
          </cell>
          <cell r="J20" t="str">
            <v>s</v>
          </cell>
          <cell r="K20" t="str">
            <v>ㄙ</v>
          </cell>
        </row>
        <row r="21">
          <cell r="D21">
            <v>16</v>
          </cell>
          <cell r="E21" t="str">
            <v>t</v>
          </cell>
          <cell r="F21" t="str">
            <v>t</v>
          </cell>
          <cell r="G21" t="str">
            <v>地</v>
          </cell>
          <cell r="H21" t="str">
            <v>t</v>
          </cell>
          <cell r="I21" t="str">
            <v>t</v>
          </cell>
          <cell r="J21" t="str">
            <v>d</v>
          </cell>
          <cell r="K21" t="str">
            <v>ㄉ</v>
          </cell>
        </row>
        <row r="22">
          <cell r="D22">
            <v>17</v>
          </cell>
          <cell r="E22" t="str">
            <v>th</v>
          </cell>
          <cell r="F22" t="str">
            <v>tʰ</v>
          </cell>
          <cell r="G22" t="str">
            <v>他</v>
          </cell>
          <cell r="H22" t="str">
            <v>th</v>
          </cell>
          <cell r="I22" t="str">
            <v>th</v>
          </cell>
          <cell r="J22" t="str">
            <v>t</v>
          </cell>
          <cell r="K22" t="str">
            <v>ㄊ</v>
          </cell>
        </row>
      </sheetData>
      <sheetData sheetId="12" refreshError="1"/>
      <sheetData sheetId="13" refreshError="1"/>
      <sheetData sheetId="14" refreshError="1"/>
      <sheetData sheetId="15">
        <row r="5">
          <cell r="F5">
            <v>1</v>
          </cell>
          <cell r="G5" t="str">
            <v>a</v>
          </cell>
          <cell r="H5" t="str">
            <v>a</v>
          </cell>
          <cell r="I5" t="str">
            <v>膠</v>
          </cell>
          <cell r="J5" t="str">
            <v>a</v>
          </cell>
          <cell r="K5" t="str">
            <v>a</v>
          </cell>
          <cell r="L5" t="str">
            <v>a</v>
          </cell>
          <cell r="M5" t="str">
            <v>ㄚ</v>
          </cell>
        </row>
        <row r="6">
          <cell r="F6">
            <v>2</v>
          </cell>
          <cell r="G6" t="str">
            <v>ann</v>
          </cell>
          <cell r="H6" t="str">
            <v>ã</v>
          </cell>
          <cell r="I6" t="str">
            <v>監</v>
          </cell>
          <cell r="J6" t="str">
            <v>aⁿ</v>
          </cell>
          <cell r="K6" t="str">
            <v>ann</v>
          </cell>
          <cell r="L6" t="str">
            <v>na</v>
          </cell>
          <cell r="M6" t="str">
            <v>ㆩ</v>
          </cell>
        </row>
        <row r="7">
          <cell r="F7">
            <v>3</v>
          </cell>
          <cell r="G7" t="str">
            <v>ah</v>
          </cell>
          <cell r="H7" t="str">
            <v>a?</v>
          </cell>
          <cell r="I7" t="str">
            <v>膠</v>
          </cell>
          <cell r="J7" t="str">
            <v>ah</v>
          </cell>
          <cell r="K7" t="str">
            <v>ah</v>
          </cell>
          <cell r="L7" t="str">
            <v>ah</v>
          </cell>
          <cell r="M7" t="str">
            <v>ㄚㆷ</v>
          </cell>
        </row>
        <row r="8">
          <cell r="F8">
            <v>4</v>
          </cell>
          <cell r="G8" t="str">
            <v>ahnn</v>
          </cell>
          <cell r="H8" t="str">
            <v>ã?</v>
          </cell>
          <cell r="I8" t="str">
            <v>監</v>
          </cell>
          <cell r="J8" t="str">
            <v>ahⁿ</v>
          </cell>
          <cell r="K8" t="str">
            <v>annh</v>
          </cell>
          <cell r="L8" t="str">
            <v>nah</v>
          </cell>
          <cell r="M8" t="str">
            <v>ㆩㆷ</v>
          </cell>
        </row>
        <row r="9">
          <cell r="F9">
            <v>5</v>
          </cell>
          <cell r="G9" t="str">
            <v>ai</v>
          </cell>
          <cell r="H9" t="str">
            <v>ai</v>
          </cell>
          <cell r="I9" t="str">
            <v>皆</v>
          </cell>
          <cell r="J9" t="str">
            <v>ai</v>
          </cell>
          <cell r="K9" t="str">
            <v>ai</v>
          </cell>
          <cell r="L9" t="str">
            <v>ai</v>
          </cell>
          <cell r="M9" t="str">
            <v>ㄞ</v>
          </cell>
        </row>
        <row r="10">
          <cell r="F10">
            <v>6</v>
          </cell>
          <cell r="G10" t="str">
            <v>ainn</v>
          </cell>
          <cell r="H10" t="str">
            <v>ãĩ</v>
          </cell>
          <cell r="I10" t="str">
            <v>閒</v>
          </cell>
          <cell r="J10" t="str">
            <v>aiⁿ</v>
          </cell>
          <cell r="K10" t="str">
            <v>ainn</v>
          </cell>
          <cell r="L10" t="str">
            <v>nai</v>
          </cell>
          <cell r="M10" t="str">
            <v>ㆮ</v>
          </cell>
        </row>
        <row r="11">
          <cell r="F11">
            <v>7</v>
          </cell>
          <cell r="G11" t="str">
            <v>ak</v>
          </cell>
          <cell r="H11" t="str">
            <v>ak̚</v>
          </cell>
          <cell r="I11" t="str">
            <v>江</v>
          </cell>
          <cell r="J11" t="str">
            <v>ak</v>
          </cell>
          <cell r="K11" t="str">
            <v>ak</v>
          </cell>
          <cell r="L11" t="str">
            <v>ak</v>
          </cell>
          <cell r="M11" t="str">
            <v>ㄚㆻ</v>
          </cell>
        </row>
        <row r="12">
          <cell r="F12">
            <v>8</v>
          </cell>
          <cell r="G12" t="str">
            <v>am</v>
          </cell>
          <cell r="H12" t="str">
            <v>am</v>
          </cell>
          <cell r="I12" t="str">
            <v>甘</v>
          </cell>
          <cell r="J12" t="str">
            <v>am</v>
          </cell>
          <cell r="K12" t="str">
            <v>am</v>
          </cell>
          <cell r="L12" t="str">
            <v>am</v>
          </cell>
          <cell r="M12" t="str">
            <v>ㆰ</v>
          </cell>
        </row>
        <row r="13">
          <cell r="F13">
            <v>9</v>
          </cell>
          <cell r="G13" t="str">
            <v>an</v>
          </cell>
          <cell r="H13" t="str">
            <v>an</v>
          </cell>
          <cell r="I13" t="str">
            <v>干</v>
          </cell>
          <cell r="J13" t="str">
            <v>an</v>
          </cell>
          <cell r="K13" t="str">
            <v>an</v>
          </cell>
          <cell r="L13" t="str">
            <v>an</v>
          </cell>
          <cell r="M13" t="str">
            <v>ㄢ</v>
          </cell>
        </row>
        <row r="14">
          <cell r="F14">
            <v>10</v>
          </cell>
          <cell r="G14" t="str">
            <v>ang</v>
          </cell>
          <cell r="H14" t="str">
            <v>aŋ</v>
          </cell>
          <cell r="I14" t="str">
            <v>江</v>
          </cell>
          <cell r="J14" t="str">
            <v>ang</v>
          </cell>
          <cell r="K14" t="str">
            <v>ang</v>
          </cell>
          <cell r="L14" t="str">
            <v>ang</v>
          </cell>
          <cell r="M14" t="str">
            <v>ㄤ</v>
          </cell>
        </row>
        <row r="15">
          <cell r="F15">
            <v>11</v>
          </cell>
          <cell r="G15" t="str">
            <v>ap</v>
          </cell>
          <cell r="H15" t="str">
            <v>ap̚</v>
          </cell>
          <cell r="I15" t="str">
            <v>甘</v>
          </cell>
          <cell r="J15" t="str">
            <v>ap</v>
          </cell>
          <cell r="K15" t="str">
            <v>ap</v>
          </cell>
          <cell r="L15" t="str">
            <v>ap</v>
          </cell>
          <cell r="M15" t="str">
            <v>ㄚㆴ</v>
          </cell>
        </row>
        <row r="16">
          <cell r="F16">
            <v>12</v>
          </cell>
          <cell r="G16" t="str">
            <v>at</v>
          </cell>
          <cell r="H16" t="str">
            <v>at̚</v>
          </cell>
          <cell r="I16" t="str">
            <v>干</v>
          </cell>
          <cell r="J16" t="str">
            <v>at</v>
          </cell>
          <cell r="K16" t="str">
            <v>ap</v>
          </cell>
          <cell r="L16" t="str">
            <v>at</v>
          </cell>
          <cell r="M16" t="str">
            <v>ㄚㆵ</v>
          </cell>
        </row>
        <row r="17">
          <cell r="F17">
            <v>13</v>
          </cell>
          <cell r="G17" t="str">
            <v>au</v>
          </cell>
          <cell r="H17" t="str">
            <v>aʊ</v>
          </cell>
          <cell r="I17" t="str">
            <v>交</v>
          </cell>
          <cell r="J17" t="str">
            <v>au</v>
          </cell>
          <cell r="K17" t="str">
            <v>au</v>
          </cell>
          <cell r="L17" t="str">
            <v>ao</v>
          </cell>
          <cell r="M17" t="str">
            <v>ㄠ</v>
          </cell>
        </row>
        <row r="18">
          <cell r="F18">
            <v>14</v>
          </cell>
          <cell r="G18" t="str">
            <v>auh</v>
          </cell>
          <cell r="H18" t="str">
            <v>au?</v>
          </cell>
          <cell r="I18" t="str">
            <v>交</v>
          </cell>
          <cell r="J18" t="str">
            <v>auh</v>
          </cell>
          <cell r="K18" t="str">
            <v>auh</v>
          </cell>
          <cell r="L18" t="str">
            <v>aoh</v>
          </cell>
          <cell r="M18" t="str">
            <v>ㄠㆷ</v>
          </cell>
        </row>
        <row r="19">
          <cell r="F19">
            <v>15</v>
          </cell>
          <cell r="G19" t="str">
            <v>e</v>
          </cell>
          <cell r="H19" t="str">
            <v>e</v>
          </cell>
          <cell r="I19" t="str">
            <v>伽</v>
          </cell>
          <cell r="J19" t="str">
            <v>e</v>
          </cell>
          <cell r="K19" t="str">
            <v>e</v>
          </cell>
          <cell r="L19" t="str">
            <v>e</v>
          </cell>
          <cell r="M19" t="str">
            <v>ㆤ</v>
          </cell>
        </row>
        <row r="20">
          <cell r="F20">
            <v>16</v>
          </cell>
          <cell r="G20" t="str">
            <v>enn</v>
          </cell>
          <cell r="H20" t="str">
            <v>ẽ</v>
          </cell>
          <cell r="I20" t="str">
            <v>更</v>
          </cell>
          <cell r="J20" t="str">
            <v>eⁿ</v>
          </cell>
          <cell r="K20" t="str">
            <v>enn</v>
          </cell>
          <cell r="L20" t="str">
            <v>ne</v>
          </cell>
          <cell r="M20" t="str">
            <v>ㆥ</v>
          </cell>
        </row>
        <row r="21">
          <cell r="F21">
            <v>17</v>
          </cell>
          <cell r="G21" t="str">
            <v>eh</v>
          </cell>
          <cell r="H21" t="str">
            <v>e?</v>
          </cell>
          <cell r="I21" t="str">
            <v>伽</v>
          </cell>
          <cell r="J21" t="str">
            <v>eh</v>
          </cell>
          <cell r="K21" t="str">
            <v>eh</v>
          </cell>
          <cell r="L21" t="str">
            <v>eh</v>
          </cell>
          <cell r="M21" t="str">
            <v>ㆤㆷ</v>
          </cell>
        </row>
        <row r="22">
          <cell r="F22">
            <v>18</v>
          </cell>
          <cell r="G22" t="str">
            <v>ehnn</v>
          </cell>
          <cell r="H22" t="str">
            <v>ẽ?</v>
          </cell>
          <cell r="I22" t="str">
            <v>更</v>
          </cell>
          <cell r="J22" t="str">
            <v>ehⁿ</v>
          </cell>
          <cell r="K22" t="str">
            <v>ennh</v>
          </cell>
          <cell r="L22" t="str">
            <v>neh</v>
          </cell>
          <cell r="M22" t="str">
            <v>ㆥㆷ</v>
          </cell>
        </row>
        <row r="23">
          <cell r="F23">
            <v>19</v>
          </cell>
          <cell r="G23" t="str">
            <v>ek</v>
          </cell>
          <cell r="H23" t="str">
            <v>ik̚</v>
          </cell>
          <cell r="I23" t="str">
            <v>經</v>
          </cell>
          <cell r="J23" t="str">
            <v>ek</v>
          </cell>
          <cell r="K23" t="str">
            <v>ik</v>
          </cell>
          <cell r="L23" t="str">
            <v>ik</v>
          </cell>
          <cell r="M23" t="str">
            <v>ㄧㆻ</v>
          </cell>
        </row>
        <row r="24">
          <cell r="F24">
            <v>20</v>
          </cell>
          <cell r="G24" t="str">
            <v>eng</v>
          </cell>
          <cell r="H24" t="str">
            <v>ɪŋ</v>
          </cell>
          <cell r="I24" t="str">
            <v>經</v>
          </cell>
          <cell r="J24" t="str">
            <v>eng</v>
          </cell>
          <cell r="K24" t="str">
            <v>ing</v>
          </cell>
          <cell r="L24" t="str">
            <v>ing</v>
          </cell>
          <cell r="M24" t="str">
            <v>ㄧㄥ</v>
          </cell>
        </row>
        <row r="25">
          <cell r="F25">
            <v>21</v>
          </cell>
          <cell r="G25" t="str">
            <v>i</v>
          </cell>
          <cell r="H25" t="str">
            <v>i</v>
          </cell>
          <cell r="I25" t="str">
            <v>居</v>
          </cell>
          <cell r="J25" t="str">
            <v>i</v>
          </cell>
          <cell r="K25" t="str">
            <v>i</v>
          </cell>
          <cell r="L25" t="str">
            <v>i</v>
          </cell>
          <cell r="M25" t="str">
            <v>ㄧ</v>
          </cell>
        </row>
        <row r="26">
          <cell r="F26">
            <v>22</v>
          </cell>
          <cell r="G26" t="str">
            <v>inn</v>
          </cell>
          <cell r="H26" t="str">
            <v>ĩ</v>
          </cell>
          <cell r="I26" t="str">
            <v>梔</v>
          </cell>
          <cell r="J26" t="str">
            <v>iⁿ</v>
          </cell>
          <cell r="K26" t="str">
            <v>inn</v>
          </cell>
          <cell r="L26" t="str">
            <v>ni</v>
          </cell>
          <cell r="M26" t="str">
            <v>ㆪ</v>
          </cell>
        </row>
        <row r="27">
          <cell r="F27">
            <v>23</v>
          </cell>
          <cell r="G27" t="str">
            <v>ia</v>
          </cell>
          <cell r="H27" t="str">
            <v>ia</v>
          </cell>
          <cell r="I27" t="str">
            <v>迦</v>
          </cell>
          <cell r="J27" t="str">
            <v>ia</v>
          </cell>
          <cell r="K27" t="str">
            <v>ia</v>
          </cell>
          <cell r="L27" t="str">
            <v>ia</v>
          </cell>
          <cell r="M27" t="str">
            <v>ㄧㄚ</v>
          </cell>
        </row>
        <row r="28">
          <cell r="F28">
            <v>24</v>
          </cell>
          <cell r="G28" t="str">
            <v>iann</v>
          </cell>
          <cell r="H28" t="str">
            <v>ĩã</v>
          </cell>
          <cell r="I28" t="str">
            <v>驚</v>
          </cell>
          <cell r="J28" t="str">
            <v>iaⁿ</v>
          </cell>
          <cell r="K28" t="str">
            <v>iann</v>
          </cell>
          <cell r="L28" t="str">
            <v>nia</v>
          </cell>
          <cell r="M28" t="str">
            <v>ㄧㆩ</v>
          </cell>
        </row>
        <row r="29">
          <cell r="F29">
            <v>25</v>
          </cell>
          <cell r="G29" t="str">
            <v>iah</v>
          </cell>
          <cell r="H29" t="str">
            <v>ia?</v>
          </cell>
          <cell r="I29" t="str">
            <v>迦</v>
          </cell>
          <cell r="J29" t="str">
            <v>iah</v>
          </cell>
          <cell r="K29" t="str">
            <v>iah</v>
          </cell>
          <cell r="L29" t="str">
            <v>iah</v>
          </cell>
          <cell r="M29" t="str">
            <v>ㄧㄚㆷ</v>
          </cell>
        </row>
        <row r="30">
          <cell r="F30">
            <v>26</v>
          </cell>
          <cell r="G30" t="str">
            <v>iannh</v>
          </cell>
          <cell r="H30" t="str">
            <v>iãh</v>
          </cell>
          <cell r="I30" t="str">
            <v>驚</v>
          </cell>
          <cell r="J30" t="str">
            <v>iahⁿ</v>
          </cell>
          <cell r="K30" t="str">
            <v>iannh</v>
          </cell>
          <cell r="L30" t="str">
            <v>niah</v>
          </cell>
          <cell r="M30" t="str">
            <v>ㄧㆩㆷ</v>
          </cell>
        </row>
        <row r="31">
          <cell r="F31">
            <v>27</v>
          </cell>
          <cell r="G31" t="str">
            <v>iak</v>
          </cell>
          <cell r="H31" t="str">
            <v>iak̚</v>
          </cell>
          <cell r="I31" t="str">
            <v>姜</v>
          </cell>
          <cell r="J31" t="str">
            <v>iak</v>
          </cell>
          <cell r="K31" t="str">
            <v>iak</v>
          </cell>
          <cell r="L31" t="str">
            <v>iak</v>
          </cell>
          <cell r="M31" t="str">
            <v>ㄧㄚㆻ</v>
          </cell>
        </row>
        <row r="32">
          <cell r="F32">
            <v>28</v>
          </cell>
          <cell r="G32" t="str">
            <v>iam</v>
          </cell>
          <cell r="H32" t="str">
            <v>iam</v>
          </cell>
          <cell r="I32" t="str">
            <v>兼</v>
          </cell>
          <cell r="J32" t="str">
            <v>iam</v>
          </cell>
          <cell r="K32" t="str">
            <v>iam</v>
          </cell>
          <cell r="L32" t="str">
            <v>iam</v>
          </cell>
          <cell r="M32" t="str">
            <v>ㄧㆰ</v>
          </cell>
        </row>
        <row r="33">
          <cell r="F33">
            <v>29</v>
          </cell>
          <cell r="G33" t="str">
            <v>ian</v>
          </cell>
          <cell r="H33" t="str">
            <v>ian</v>
          </cell>
          <cell r="I33" t="str">
            <v>堅</v>
          </cell>
          <cell r="J33" t="str">
            <v>ian</v>
          </cell>
          <cell r="K33" t="str">
            <v>ian</v>
          </cell>
          <cell r="L33" t="str">
            <v>ian</v>
          </cell>
          <cell r="M33" t="str">
            <v>ㄧㄢ</v>
          </cell>
        </row>
        <row r="34">
          <cell r="F34">
            <v>30</v>
          </cell>
          <cell r="G34" t="str">
            <v>iang</v>
          </cell>
          <cell r="H34" t="str">
            <v>iaŋ</v>
          </cell>
          <cell r="I34" t="str">
            <v>姜</v>
          </cell>
          <cell r="J34" t="str">
            <v>iang</v>
          </cell>
          <cell r="K34" t="str">
            <v>iang</v>
          </cell>
          <cell r="L34" t="str">
            <v>iang</v>
          </cell>
          <cell r="M34" t="str">
            <v>ㄧㄤ</v>
          </cell>
        </row>
        <row r="35">
          <cell r="F35">
            <v>31</v>
          </cell>
          <cell r="G35" t="str">
            <v>iap</v>
          </cell>
          <cell r="H35" t="str">
            <v>iap̚</v>
          </cell>
          <cell r="I35" t="str">
            <v>兼</v>
          </cell>
          <cell r="J35" t="str">
            <v>iap</v>
          </cell>
          <cell r="K35" t="str">
            <v>iap</v>
          </cell>
          <cell r="L35" t="str">
            <v>iap</v>
          </cell>
          <cell r="M35" t="str">
            <v>ㄧㄚㆴ</v>
          </cell>
        </row>
        <row r="36">
          <cell r="F36">
            <v>32</v>
          </cell>
          <cell r="G36" t="str">
            <v>iat</v>
          </cell>
          <cell r="H36" t="str">
            <v>iat̚</v>
          </cell>
          <cell r="I36" t="str">
            <v>堅</v>
          </cell>
          <cell r="J36" t="str">
            <v>iat</v>
          </cell>
          <cell r="K36" t="str">
            <v>iat</v>
          </cell>
          <cell r="L36" t="str">
            <v>iat</v>
          </cell>
          <cell r="M36" t="str">
            <v>ㄧㄚㆵ</v>
          </cell>
        </row>
        <row r="37">
          <cell r="F37">
            <v>33</v>
          </cell>
          <cell r="G37" t="str">
            <v>iau</v>
          </cell>
          <cell r="H37" t="str">
            <v>iaʊ</v>
          </cell>
          <cell r="I37" t="str">
            <v>嬌</v>
          </cell>
          <cell r="J37" t="str">
            <v>iau</v>
          </cell>
          <cell r="K37" t="str">
            <v>iau</v>
          </cell>
          <cell r="L37" t="str">
            <v>iao</v>
          </cell>
          <cell r="M37" t="str">
            <v>ㄧㄠ</v>
          </cell>
        </row>
        <row r="38">
          <cell r="F38">
            <v>34</v>
          </cell>
          <cell r="G38" t="str">
            <v>iaunn</v>
          </cell>
          <cell r="H38" t="str">
            <v>ĩãũ</v>
          </cell>
          <cell r="I38" t="str">
            <v>嘄</v>
          </cell>
          <cell r="J38" t="str">
            <v>iauⁿ</v>
          </cell>
          <cell r="K38" t="str">
            <v>iaunn</v>
          </cell>
          <cell r="L38" t="str">
            <v>niao</v>
          </cell>
          <cell r="M38" t="str">
            <v>ㄧㆯ</v>
          </cell>
        </row>
        <row r="39">
          <cell r="F39">
            <v>35</v>
          </cell>
          <cell r="G39" t="str">
            <v>iauh</v>
          </cell>
          <cell r="H39" t="str">
            <v>iau?</v>
          </cell>
          <cell r="I39" t="str">
            <v>嬌</v>
          </cell>
          <cell r="J39" t="str">
            <v>iauh</v>
          </cell>
          <cell r="K39" t="str">
            <v>iauh</v>
          </cell>
          <cell r="L39" t="str">
            <v>iaoh</v>
          </cell>
          <cell r="M39" t="str">
            <v>ㄧㄠㆷ</v>
          </cell>
        </row>
        <row r="40">
          <cell r="F40">
            <v>36</v>
          </cell>
          <cell r="G40" t="str">
            <v>ih</v>
          </cell>
          <cell r="H40" t="str">
            <v>i?</v>
          </cell>
          <cell r="I40" t="str">
            <v>居</v>
          </cell>
          <cell r="J40" t="str">
            <v>ih</v>
          </cell>
          <cell r="K40" t="str">
            <v>ih</v>
          </cell>
          <cell r="L40" t="str">
            <v>ih</v>
          </cell>
          <cell r="M40" t="str">
            <v>ㄧㆷ</v>
          </cell>
        </row>
        <row r="41">
          <cell r="F41">
            <v>37</v>
          </cell>
          <cell r="G41" t="str">
            <v>im</v>
          </cell>
          <cell r="H41" t="str">
            <v>im</v>
          </cell>
          <cell r="I41" t="str">
            <v>金</v>
          </cell>
          <cell r="J41" t="str">
            <v>im</v>
          </cell>
          <cell r="K41" t="str">
            <v>im</v>
          </cell>
          <cell r="L41" t="str">
            <v>im</v>
          </cell>
          <cell r="M41" t="str">
            <v>ㄧㆬ</v>
          </cell>
        </row>
        <row r="42">
          <cell r="F42">
            <v>38</v>
          </cell>
          <cell r="G42" t="str">
            <v>in</v>
          </cell>
          <cell r="H42" t="str">
            <v>in</v>
          </cell>
          <cell r="I42" t="str">
            <v>巾</v>
          </cell>
          <cell r="J42" t="str">
            <v>in</v>
          </cell>
          <cell r="K42" t="str">
            <v>in</v>
          </cell>
          <cell r="L42" t="str">
            <v>in</v>
          </cell>
          <cell r="M42" t="str">
            <v>ㄧㄣ</v>
          </cell>
        </row>
        <row r="43">
          <cell r="F43">
            <v>39</v>
          </cell>
          <cell r="G43" t="str">
            <v>io</v>
          </cell>
          <cell r="H43" t="str">
            <v>io</v>
          </cell>
          <cell r="I43" t="str">
            <v>茄</v>
          </cell>
          <cell r="J43" t="str">
            <v>io</v>
          </cell>
          <cell r="K43" t="str">
            <v>io</v>
          </cell>
          <cell r="L43" t="str">
            <v>io</v>
          </cell>
          <cell r="M43" t="str">
            <v>ㄧㄜ</v>
          </cell>
        </row>
        <row r="44">
          <cell r="F44">
            <v>40</v>
          </cell>
          <cell r="G44" t="str">
            <v>ioh</v>
          </cell>
          <cell r="H44" t="str">
            <v>iə?</v>
          </cell>
          <cell r="I44" t="str">
            <v>茄</v>
          </cell>
          <cell r="J44" t="str">
            <v>ioh</v>
          </cell>
          <cell r="K44" t="str">
            <v>ioh</v>
          </cell>
          <cell r="L44" t="str">
            <v>ioh</v>
          </cell>
          <cell r="M44" t="str">
            <v>ㄧㄜㆷ</v>
          </cell>
        </row>
        <row r="45">
          <cell r="F45">
            <v>41</v>
          </cell>
          <cell r="G45" t="str">
            <v>iok</v>
          </cell>
          <cell r="H45" t="str">
            <v>iɔk̚</v>
          </cell>
          <cell r="I45" t="str">
            <v>恭</v>
          </cell>
          <cell r="J45" t="str">
            <v>iok</v>
          </cell>
          <cell r="K45" t="str">
            <v>iok</v>
          </cell>
          <cell r="L45" t="str">
            <v>iok</v>
          </cell>
          <cell r="M45" t="str">
            <v>ㄧㆦㆻ</v>
          </cell>
        </row>
        <row r="46">
          <cell r="F46">
            <v>42</v>
          </cell>
          <cell r="G46" t="str">
            <v>iong</v>
          </cell>
          <cell r="H46" t="str">
            <v>iɔŋ</v>
          </cell>
          <cell r="I46" t="str">
            <v>恭</v>
          </cell>
          <cell r="J46" t="str">
            <v>iong</v>
          </cell>
          <cell r="K46" t="str">
            <v>iong</v>
          </cell>
          <cell r="L46" t="str">
            <v>iong</v>
          </cell>
          <cell r="M46" t="str">
            <v>ㄧㆲ</v>
          </cell>
        </row>
        <row r="47">
          <cell r="F47">
            <v>43</v>
          </cell>
          <cell r="G47" t="str">
            <v>ip</v>
          </cell>
          <cell r="H47" t="str">
            <v>ip̚</v>
          </cell>
          <cell r="I47" t="str">
            <v>金</v>
          </cell>
          <cell r="J47" t="str">
            <v>ip</v>
          </cell>
          <cell r="K47" t="str">
            <v>ip</v>
          </cell>
          <cell r="L47" t="str">
            <v>ip</v>
          </cell>
          <cell r="M47" t="str">
            <v>ㄧㆴ</v>
          </cell>
        </row>
        <row r="48">
          <cell r="F48">
            <v>44</v>
          </cell>
          <cell r="G48" t="str">
            <v>it</v>
          </cell>
          <cell r="H48" t="str">
            <v>it̚</v>
          </cell>
          <cell r="I48" t="str">
            <v>巾</v>
          </cell>
          <cell r="J48" t="str">
            <v>it</v>
          </cell>
          <cell r="K48" t="str">
            <v>it</v>
          </cell>
          <cell r="L48" t="str">
            <v>it</v>
          </cell>
          <cell r="M48" t="str">
            <v>ㄧㆵ</v>
          </cell>
        </row>
        <row r="49">
          <cell r="F49">
            <v>45</v>
          </cell>
          <cell r="G49" t="str">
            <v>iu</v>
          </cell>
          <cell r="H49" t="str">
            <v>iu</v>
          </cell>
          <cell r="I49" t="str">
            <v>丩</v>
          </cell>
          <cell r="J49" t="str">
            <v>iu</v>
          </cell>
          <cell r="K49" t="str">
            <v>iu</v>
          </cell>
          <cell r="L49" t="str">
            <v>iu</v>
          </cell>
          <cell r="M49" t="str">
            <v>ㄧㄨ</v>
          </cell>
        </row>
        <row r="50">
          <cell r="F50">
            <v>46</v>
          </cell>
          <cell r="G50" t="str">
            <v>iunn</v>
          </cell>
          <cell r="H50" t="str">
            <v>ĩũ</v>
          </cell>
          <cell r="I50" t="str">
            <v>牛</v>
          </cell>
          <cell r="J50" t="str">
            <v>iuⁿ</v>
          </cell>
          <cell r="K50" t="str">
            <v>iunn</v>
          </cell>
          <cell r="L50" t="str">
            <v>niu</v>
          </cell>
          <cell r="M50" t="str">
            <v>ㄧㆫ</v>
          </cell>
        </row>
        <row r="51">
          <cell r="F51">
            <v>47</v>
          </cell>
          <cell r="G51" t="str">
            <v>iunnh</v>
          </cell>
          <cell r="H51" t="str">
            <v>iũh</v>
          </cell>
          <cell r="I51" t="str">
            <v>牛</v>
          </cell>
          <cell r="J51" t="str">
            <v>iuhⁿ</v>
          </cell>
          <cell r="K51" t="str">
            <v>iunnh</v>
          </cell>
          <cell r="L51" t="str">
            <v>niuh</v>
          </cell>
          <cell r="M51" t="str">
            <v>ㄧㆫㆷ</v>
          </cell>
        </row>
        <row r="52">
          <cell r="F52">
            <v>48</v>
          </cell>
          <cell r="G52" t="str">
            <v>m</v>
          </cell>
          <cell r="H52" t="str">
            <v>m̩</v>
          </cell>
          <cell r="I52" t="str">
            <v>姆</v>
          </cell>
          <cell r="J52" t="str">
            <v>m</v>
          </cell>
          <cell r="K52" t="str">
            <v>m</v>
          </cell>
          <cell r="L52" t="str">
            <v>m</v>
          </cell>
          <cell r="M52" t="str">
            <v>ㆬ</v>
          </cell>
        </row>
        <row r="53">
          <cell r="F53">
            <v>49</v>
          </cell>
          <cell r="G53" t="str">
            <v>mh</v>
          </cell>
          <cell r="H53" t="str">
            <v>m̩h</v>
          </cell>
          <cell r="I53" t="str">
            <v>姆</v>
          </cell>
          <cell r="J53" t="str">
            <v>mh</v>
          </cell>
          <cell r="K53" t="str">
            <v>mh</v>
          </cell>
          <cell r="L53" t="str">
            <v>mh</v>
          </cell>
          <cell r="M53" t="str">
            <v>ㆬㆷ</v>
          </cell>
        </row>
        <row r="54">
          <cell r="F54">
            <v>50</v>
          </cell>
          <cell r="G54" t="str">
            <v>ng</v>
          </cell>
          <cell r="H54" t="str">
            <v>ŋ̍</v>
          </cell>
          <cell r="I54" t="str">
            <v>鋼</v>
          </cell>
          <cell r="J54" t="str">
            <v>ng</v>
          </cell>
          <cell r="K54" t="str">
            <v>ng</v>
          </cell>
          <cell r="L54" t="str">
            <v>ng</v>
          </cell>
          <cell r="M54" t="str">
            <v>ㆭ</v>
          </cell>
        </row>
        <row r="55">
          <cell r="F55">
            <v>51</v>
          </cell>
          <cell r="G55" t="str">
            <v>ngh</v>
          </cell>
          <cell r="H55" t="str">
            <v>ŋ̍h</v>
          </cell>
          <cell r="I55" t="str">
            <v>鋼</v>
          </cell>
          <cell r="J55" t="str">
            <v>ngh</v>
          </cell>
          <cell r="K55" t="str">
            <v>ngh</v>
          </cell>
          <cell r="L55" t="str">
            <v>ngh</v>
          </cell>
          <cell r="M55" t="str">
            <v>ㆭㆷ</v>
          </cell>
        </row>
        <row r="56">
          <cell r="F56">
            <v>52</v>
          </cell>
          <cell r="G56" t="str">
            <v>o</v>
          </cell>
          <cell r="H56" t="str">
            <v>o</v>
          </cell>
          <cell r="I56" t="str">
            <v>高</v>
          </cell>
          <cell r="J56" t="str">
            <v>o</v>
          </cell>
          <cell r="K56" t="str">
            <v>o</v>
          </cell>
          <cell r="L56" t="str">
            <v>o</v>
          </cell>
          <cell r="M56" t="str">
            <v>ㄜ</v>
          </cell>
        </row>
        <row r="57">
          <cell r="F57">
            <v>53</v>
          </cell>
          <cell r="G57" t="str">
            <v>onn</v>
          </cell>
          <cell r="H57" t="str">
            <v>ɔ̃</v>
          </cell>
          <cell r="I57" t="str">
            <v>姑</v>
          </cell>
          <cell r="J57" t="str">
            <v>oⁿ</v>
          </cell>
          <cell r="K57" t="str">
            <v>onn</v>
          </cell>
          <cell r="L57" t="str">
            <v>noo</v>
          </cell>
          <cell r="M57" t="str">
            <v>ㆧ</v>
          </cell>
        </row>
        <row r="58">
          <cell r="F58">
            <v>54</v>
          </cell>
          <cell r="G58" t="str">
            <v>oo</v>
          </cell>
          <cell r="H58" t="str">
            <v>ɔ</v>
          </cell>
          <cell r="I58" t="str">
            <v>沽</v>
          </cell>
          <cell r="J58" t="str">
            <v>o͘</v>
          </cell>
          <cell r="K58" t="str">
            <v>oo</v>
          </cell>
          <cell r="L58" t="str">
            <v>oo</v>
          </cell>
          <cell r="M58" t="str">
            <v>ㆦ</v>
          </cell>
        </row>
        <row r="59">
          <cell r="F59">
            <v>55</v>
          </cell>
          <cell r="G59" t="str">
            <v>oa</v>
          </cell>
          <cell r="H59" t="str">
            <v>ua</v>
          </cell>
          <cell r="I59" t="str">
            <v>瓜</v>
          </cell>
          <cell r="J59" t="str">
            <v>oa</v>
          </cell>
          <cell r="K59" t="str">
            <v>ua</v>
          </cell>
          <cell r="L59" t="str">
            <v>ua</v>
          </cell>
          <cell r="M59" t="str">
            <v>ㄨㄚ</v>
          </cell>
        </row>
        <row r="60">
          <cell r="F60">
            <v>56</v>
          </cell>
          <cell r="G60" t="str">
            <v>oann</v>
          </cell>
          <cell r="H60" t="str">
            <v>ũã</v>
          </cell>
          <cell r="I60" t="str">
            <v>官</v>
          </cell>
          <cell r="J60" t="str">
            <v>oaⁿ</v>
          </cell>
          <cell r="K60" t="str">
            <v>uann</v>
          </cell>
          <cell r="L60" t="str">
            <v>nua</v>
          </cell>
          <cell r="M60" t="str">
            <v>ㄨㆩ</v>
          </cell>
        </row>
        <row r="61">
          <cell r="F61">
            <v>57</v>
          </cell>
          <cell r="G61" t="str">
            <v>oah</v>
          </cell>
          <cell r="H61" t="str">
            <v>ua?</v>
          </cell>
          <cell r="I61" t="str">
            <v>瓜</v>
          </cell>
          <cell r="J61" t="str">
            <v>oah</v>
          </cell>
          <cell r="K61" t="str">
            <v>uah</v>
          </cell>
          <cell r="L61" t="str">
            <v>uah</v>
          </cell>
          <cell r="M61" t="str">
            <v>ㄨㄚㆷ</v>
          </cell>
        </row>
        <row r="62">
          <cell r="F62">
            <v>58</v>
          </cell>
          <cell r="G62" t="str">
            <v>oai</v>
          </cell>
          <cell r="H62" t="str">
            <v>uai</v>
          </cell>
          <cell r="I62" t="str">
            <v>乖</v>
          </cell>
          <cell r="J62" t="str">
            <v>oai</v>
          </cell>
          <cell r="K62" t="str">
            <v>uai</v>
          </cell>
          <cell r="L62" t="str">
            <v>uai</v>
          </cell>
          <cell r="M62" t="str">
            <v>ㄨㄞ</v>
          </cell>
        </row>
        <row r="63">
          <cell r="F63">
            <v>59</v>
          </cell>
          <cell r="G63" t="str">
            <v>oainn</v>
          </cell>
          <cell r="H63" t="str">
            <v>ũãĩ</v>
          </cell>
          <cell r="I63" t="str">
            <v>閂</v>
          </cell>
          <cell r="J63" t="str">
            <v>oaiⁿ</v>
          </cell>
          <cell r="K63" t="str">
            <v>uainn</v>
          </cell>
          <cell r="L63" t="str">
            <v>nuai</v>
          </cell>
          <cell r="M63" t="str">
            <v>ㄨㆮ</v>
          </cell>
        </row>
        <row r="64">
          <cell r="F64">
            <v>60</v>
          </cell>
          <cell r="G64" t="str">
            <v>oan</v>
          </cell>
          <cell r="H64" t="str">
            <v>uan</v>
          </cell>
          <cell r="I64" t="str">
            <v>觀</v>
          </cell>
          <cell r="J64" t="str">
            <v>oan</v>
          </cell>
          <cell r="K64" t="str">
            <v>uan</v>
          </cell>
          <cell r="L64" t="str">
            <v>uan</v>
          </cell>
          <cell r="M64" t="str">
            <v>ㄨㄢ</v>
          </cell>
        </row>
        <row r="65">
          <cell r="F65">
            <v>61</v>
          </cell>
          <cell r="G65" t="str">
            <v>oang</v>
          </cell>
          <cell r="H65" t="str">
            <v>uaŋ</v>
          </cell>
          <cell r="I65" t="str">
            <v>光</v>
          </cell>
          <cell r="J65" t="str">
            <v>oang</v>
          </cell>
          <cell r="K65" t="str">
            <v>uang</v>
          </cell>
          <cell r="L65" t="str">
            <v>uang</v>
          </cell>
          <cell r="M65" t="str">
            <v>ㄨㄤ</v>
          </cell>
        </row>
        <row r="66">
          <cell r="F66">
            <v>62</v>
          </cell>
          <cell r="G66" t="str">
            <v>oat</v>
          </cell>
          <cell r="H66" t="str">
            <v>uat̚</v>
          </cell>
          <cell r="I66" t="str">
            <v>觀</v>
          </cell>
          <cell r="J66" t="str">
            <v>oat</v>
          </cell>
          <cell r="K66" t="str">
            <v>uat</v>
          </cell>
          <cell r="L66" t="str">
            <v>uat</v>
          </cell>
          <cell r="M66" t="str">
            <v>ㄨㄚㆵ</v>
          </cell>
        </row>
        <row r="67">
          <cell r="F67">
            <v>63</v>
          </cell>
          <cell r="G67" t="str">
            <v>oe</v>
          </cell>
          <cell r="H67" t="str">
            <v>ue</v>
          </cell>
          <cell r="I67" t="str">
            <v>檜</v>
          </cell>
          <cell r="J67" t="str">
            <v>oe</v>
          </cell>
          <cell r="K67" t="str">
            <v>ue</v>
          </cell>
          <cell r="L67" t="str">
            <v>ue</v>
          </cell>
          <cell r="M67" t="str">
            <v>ㄨㆤ</v>
          </cell>
        </row>
        <row r="68">
          <cell r="F68">
            <v>64</v>
          </cell>
          <cell r="G68" t="str">
            <v>oeh</v>
          </cell>
          <cell r="H68" t="str">
            <v>ue?</v>
          </cell>
          <cell r="I68" t="str">
            <v>檜</v>
          </cell>
          <cell r="J68" t="str">
            <v>oeh</v>
          </cell>
          <cell r="K68" t="str">
            <v>ueh</v>
          </cell>
          <cell r="L68" t="str">
            <v>ueh</v>
          </cell>
          <cell r="M68" t="str">
            <v>ㄨㆤㆷ</v>
          </cell>
        </row>
        <row r="69">
          <cell r="F69">
            <v>65</v>
          </cell>
          <cell r="G69" t="str">
            <v>oh</v>
          </cell>
          <cell r="H69" t="str">
            <v>ə?</v>
          </cell>
          <cell r="I69" t="str">
            <v>高</v>
          </cell>
          <cell r="J69" t="str">
            <v>oh</v>
          </cell>
          <cell r="K69" t="str">
            <v>oh</v>
          </cell>
          <cell r="L69" t="str">
            <v>oh</v>
          </cell>
          <cell r="M69" t="str">
            <v>ㄜㆷ</v>
          </cell>
        </row>
        <row r="70">
          <cell r="F70">
            <v>67</v>
          </cell>
          <cell r="G70" t="str">
            <v>onnh</v>
          </cell>
          <cell r="H70" t="str">
            <v>ɔ̃?</v>
          </cell>
          <cell r="I70" t="str">
            <v>姑</v>
          </cell>
          <cell r="J70" t="str">
            <v>ohⁿ</v>
          </cell>
          <cell r="K70" t="str">
            <v>onnh</v>
          </cell>
          <cell r="L70" t="str">
            <v>nooh</v>
          </cell>
          <cell r="M70" t="str">
            <v>ㆧㆷ</v>
          </cell>
        </row>
        <row r="71">
          <cell r="F71">
            <v>68</v>
          </cell>
          <cell r="G71" t="str">
            <v>ok</v>
          </cell>
          <cell r="H71" t="str">
            <v>ɔk̚</v>
          </cell>
          <cell r="I71" t="str">
            <v>公</v>
          </cell>
          <cell r="J71" t="str">
            <v>ok</v>
          </cell>
          <cell r="K71" t="str">
            <v>ok</v>
          </cell>
          <cell r="L71" t="str">
            <v>ok</v>
          </cell>
          <cell r="M71" t="str">
            <v>ㆦㆻ</v>
          </cell>
        </row>
        <row r="72">
          <cell r="F72">
            <v>69</v>
          </cell>
          <cell r="G72" t="str">
            <v>om</v>
          </cell>
          <cell r="H72" t="str">
            <v>ɔm</v>
          </cell>
          <cell r="I72" t="str">
            <v>箴</v>
          </cell>
          <cell r="J72" t="str">
            <v>om</v>
          </cell>
          <cell r="K72" t="str">
            <v>om</v>
          </cell>
          <cell r="L72" t="str">
            <v>om</v>
          </cell>
          <cell r="M72" t="str">
            <v>ㆱ</v>
          </cell>
        </row>
        <row r="73">
          <cell r="F73">
            <v>70</v>
          </cell>
          <cell r="G73" t="str">
            <v>ong</v>
          </cell>
          <cell r="H73" t="str">
            <v>ɔŋ</v>
          </cell>
          <cell r="I73" t="str">
            <v>公</v>
          </cell>
          <cell r="J73" t="str">
            <v>ong</v>
          </cell>
          <cell r="K73" t="str">
            <v>ong</v>
          </cell>
          <cell r="L73" t="str">
            <v>ong</v>
          </cell>
          <cell r="M73" t="str">
            <v>ㆲ</v>
          </cell>
        </row>
        <row r="74">
          <cell r="F74">
            <v>71</v>
          </cell>
          <cell r="G74" t="str">
            <v>u</v>
          </cell>
          <cell r="H74" t="str">
            <v>u</v>
          </cell>
          <cell r="I74" t="str">
            <v>艍</v>
          </cell>
          <cell r="J74" t="str">
            <v>u</v>
          </cell>
          <cell r="K74" t="str">
            <v>u</v>
          </cell>
          <cell r="L74" t="str">
            <v>u</v>
          </cell>
          <cell r="M74" t="str">
            <v>ㄨ</v>
          </cell>
        </row>
        <row r="75">
          <cell r="F75">
            <v>72</v>
          </cell>
          <cell r="G75" t="str">
            <v>uh</v>
          </cell>
          <cell r="H75" t="str">
            <v>u?</v>
          </cell>
          <cell r="I75" t="str">
            <v>艍</v>
          </cell>
          <cell r="J75" t="str">
            <v>uh</v>
          </cell>
          <cell r="K75" t="str">
            <v>uh</v>
          </cell>
          <cell r="L75" t="str">
            <v>uh</v>
          </cell>
          <cell r="M75" t="str">
            <v>ㄨㆷ</v>
          </cell>
        </row>
        <row r="76">
          <cell r="F76">
            <v>73</v>
          </cell>
          <cell r="G76" t="str">
            <v>ui</v>
          </cell>
          <cell r="H76" t="str">
            <v>ui</v>
          </cell>
          <cell r="I76" t="str">
            <v>規</v>
          </cell>
          <cell r="J76" t="str">
            <v>ui</v>
          </cell>
          <cell r="K76" t="str">
            <v>ui</v>
          </cell>
          <cell r="L76" t="str">
            <v>ui</v>
          </cell>
          <cell r="M76" t="str">
            <v>ㄨㄧ</v>
          </cell>
        </row>
        <row r="77">
          <cell r="F77">
            <v>74</v>
          </cell>
          <cell r="G77" t="str">
            <v>un</v>
          </cell>
          <cell r="H77" t="str">
            <v>un</v>
          </cell>
          <cell r="I77" t="str">
            <v>君</v>
          </cell>
          <cell r="J77" t="str">
            <v>un</v>
          </cell>
          <cell r="K77" t="str">
            <v>un</v>
          </cell>
          <cell r="L77" t="str">
            <v>un</v>
          </cell>
          <cell r="M77" t="str">
            <v>ㄨㄣ</v>
          </cell>
        </row>
        <row r="78">
          <cell r="F78">
            <v>75</v>
          </cell>
          <cell r="G78" t="str">
            <v>ut</v>
          </cell>
          <cell r="H78" t="str">
            <v>ut̚</v>
          </cell>
          <cell r="I78" t="str">
            <v>君</v>
          </cell>
          <cell r="J78" t="str">
            <v>ut</v>
          </cell>
          <cell r="K78" t="str">
            <v>ut</v>
          </cell>
          <cell r="L78" t="str">
            <v>ut</v>
          </cell>
          <cell r="M78" t="str">
            <v>ㄨㆵ</v>
          </cell>
        </row>
      </sheetData>
      <sheetData sheetId="16">
        <row r="6">
          <cell r="B6">
            <v>1</v>
          </cell>
          <cell r="C6">
            <v>1</v>
          </cell>
          <cell r="D6" t="str">
            <v>君</v>
          </cell>
          <cell r="E6" t="str">
            <v>舒聲</v>
          </cell>
          <cell r="F6" t="str">
            <v>un</v>
          </cell>
          <cell r="G6" t="str">
            <v>un</v>
          </cell>
          <cell r="H6" t="str">
            <v>un</v>
          </cell>
          <cell r="I6" t="str">
            <v>un</v>
          </cell>
          <cell r="J6" t="str">
            <v>un</v>
          </cell>
          <cell r="K6" t="str">
            <v>ㄨㄣ</v>
          </cell>
        </row>
        <row r="7">
          <cell r="B7">
            <v>2</v>
          </cell>
          <cell r="C7">
            <v>1</v>
          </cell>
          <cell r="D7" t="str">
            <v>君</v>
          </cell>
          <cell r="E7" t="str">
            <v>入聲</v>
          </cell>
          <cell r="F7" t="str">
            <v>ut</v>
          </cell>
          <cell r="G7" t="str">
            <v>ut̚</v>
          </cell>
          <cell r="H7" t="str">
            <v>ut</v>
          </cell>
          <cell r="I7" t="str">
            <v>ut</v>
          </cell>
          <cell r="J7" t="str">
            <v>ut</v>
          </cell>
          <cell r="K7" t="str">
            <v>ㄨㆵ</v>
          </cell>
        </row>
        <row r="8">
          <cell r="B8">
            <v>3</v>
          </cell>
          <cell r="C8">
            <v>2</v>
          </cell>
          <cell r="D8" t="str">
            <v>堅</v>
          </cell>
          <cell r="E8" t="str">
            <v>舒聲</v>
          </cell>
          <cell r="F8" t="str">
            <v>ian</v>
          </cell>
          <cell r="G8" t="str">
            <v>ian</v>
          </cell>
          <cell r="H8" t="str">
            <v>ian</v>
          </cell>
          <cell r="I8" t="str">
            <v>ian</v>
          </cell>
          <cell r="J8" t="str">
            <v>ian</v>
          </cell>
          <cell r="K8" t="str">
            <v>ㄧㄢ</v>
          </cell>
        </row>
        <row r="9">
          <cell r="B9">
            <v>4</v>
          </cell>
          <cell r="C9">
            <v>2</v>
          </cell>
          <cell r="D9" t="str">
            <v>堅</v>
          </cell>
          <cell r="E9" t="str">
            <v>入聲</v>
          </cell>
          <cell r="F9" t="str">
            <v>iat</v>
          </cell>
          <cell r="G9" t="str">
            <v>iat̚</v>
          </cell>
          <cell r="H9" t="str">
            <v>iat</v>
          </cell>
          <cell r="I9" t="str">
            <v>iat</v>
          </cell>
          <cell r="J9" t="str">
            <v>iat</v>
          </cell>
          <cell r="K9" t="str">
            <v>ㄧㄚㆵ</v>
          </cell>
        </row>
        <row r="10">
          <cell r="B10">
            <v>5</v>
          </cell>
          <cell r="C10">
            <v>3</v>
          </cell>
          <cell r="D10" t="str">
            <v>金</v>
          </cell>
          <cell r="E10" t="str">
            <v>舒聲</v>
          </cell>
          <cell r="F10" t="str">
            <v>im</v>
          </cell>
          <cell r="G10" t="str">
            <v>im</v>
          </cell>
          <cell r="H10" t="str">
            <v>im</v>
          </cell>
          <cell r="I10" t="str">
            <v>im</v>
          </cell>
          <cell r="J10" t="str">
            <v>im</v>
          </cell>
          <cell r="K10" t="str">
            <v>ㄧㆬ</v>
          </cell>
        </row>
        <row r="11">
          <cell r="B11">
            <v>6</v>
          </cell>
          <cell r="C11">
            <v>3</v>
          </cell>
          <cell r="D11" t="str">
            <v>金</v>
          </cell>
          <cell r="E11" t="str">
            <v>入聲</v>
          </cell>
          <cell r="F11" t="str">
            <v>ip</v>
          </cell>
          <cell r="G11" t="str">
            <v>ip̚</v>
          </cell>
          <cell r="H11" t="str">
            <v>ip</v>
          </cell>
          <cell r="I11" t="str">
            <v>ip</v>
          </cell>
          <cell r="J11" t="str">
            <v>ip</v>
          </cell>
          <cell r="K11" t="str">
            <v>ㄧㆴ</v>
          </cell>
        </row>
        <row r="12">
          <cell r="B12">
            <v>7</v>
          </cell>
          <cell r="C12">
            <v>4</v>
          </cell>
          <cell r="D12" t="str">
            <v>規</v>
          </cell>
          <cell r="E12" t="str">
            <v>舒聲</v>
          </cell>
          <cell r="F12" t="str">
            <v>ui</v>
          </cell>
          <cell r="G12" t="str">
            <v>ui</v>
          </cell>
          <cell r="H12" t="str">
            <v>ui</v>
          </cell>
          <cell r="I12" t="str">
            <v>ui</v>
          </cell>
          <cell r="J12" t="str">
            <v>ui</v>
          </cell>
          <cell r="K12" t="str">
            <v>ㄨㄧ</v>
          </cell>
        </row>
        <row r="13">
          <cell r="B13">
            <v>8</v>
          </cell>
          <cell r="C13">
            <v>4</v>
          </cell>
          <cell r="D13" t="str">
            <v>規</v>
          </cell>
          <cell r="E13" t="str">
            <v>入聲</v>
          </cell>
          <cell r="F13" t="str">
            <v>uih</v>
          </cell>
          <cell r="G13" t="str">
            <v>ui?</v>
          </cell>
          <cell r="H13" t="str">
            <v>uih</v>
          </cell>
          <cell r="I13" t="str">
            <v>uih</v>
          </cell>
          <cell r="J13" t="str">
            <v>uih</v>
          </cell>
          <cell r="K13" t="str">
            <v>ㄨㄧㆷ</v>
          </cell>
        </row>
        <row r="14">
          <cell r="B14">
            <v>9</v>
          </cell>
          <cell r="C14">
            <v>5</v>
          </cell>
          <cell r="D14" t="str">
            <v>嘉</v>
          </cell>
          <cell r="E14" t="str">
            <v>舒聲</v>
          </cell>
          <cell r="F14" t="str">
            <v>ee</v>
          </cell>
          <cell r="G14" t="str">
            <v>ɛ</v>
          </cell>
          <cell r="H14" t="str">
            <v>ee</v>
          </cell>
          <cell r="I14" t="str">
            <v>ee</v>
          </cell>
          <cell r="J14" t="str">
            <v>e</v>
          </cell>
          <cell r="K14" t="str">
            <v>ㄝ</v>
          </cell>
        </row>
        <row r="15">
          <cell r="B15">
            <v>10</v>
          </cell>
          <cell r="C15">
            <v>5</v>
          </cell>
          <cell r="D15" t="str">
            <v>嘉</v>
          </cell>
          <cell r="E15" t="str">
            <v>入聲</v>
          </cell>
          <cell r="F15" t="str">
            <v>eeh</v>
          </cell>
          <cell r="G15" t="str">
            <v>ɛ?</v>
          </cell>
          <cell r="H15" t="str">
            <v>eeh</v>
          </cell>
          <cell r="I15" t="str">
            <v>eh</v>
          </cell>
          <cell r="J15" t="str">
            <v>eh</v>
          </cell>
          <cell r="K15" t="str">
            <v>ㄝㆷ</v>
          </cell>
        </row>
        <row r="16">
          <cell r="B16">
            <v>11</v>
          </cell>
          <cell r="C16">
            <v>6</v>
          </cell>
          <cell r="D16" t="str">
            <v>干</v>
          </cell>
          <cell r="E16" t="str">
            <v>舒聲</v>
          </cell>
          <cell r="F16" t="str">
            <v>an</v>
          </cell>
          <cell r="G16" t="str">
            <v>an</v>
          </cell>
          <cell r="H16" t="str">
            <v>an</v>
          </cell>
          <cell r="I16" t="str">
            <v>an</v>
          </cell>
          <cell r="J16" t="str">
            <v>an</v>
          </cell>
          <cell r="K16" t="str">
            <v>ㄢ</v>
          </cell>
        </row>
        <row r="17">
          <cell r="B17">
            <v>12</v>
          </cell>
          <cell r="C17">
            <v>6</v>
          </cell>
          <cell r="D17" t="str">
            <v>干</v>
          </cell>
          <cell r="E17" t="str">
            <v>入聲</v>
          </cell>
          <cell r="F17" t="str">
            <v>at</v>
          </cell>
          <cell r="G17" t="str">
            <v>at̚</v>
          </cell>
          <cell r="H17" t="str">
            <v>at</v>
          </cell>
          <cell r="I17" t="str">
            <v>ap</v>
          </cell>
          <cell r="J17" t="str">
            <v>at</v>
          </cell>
          <cell r="K17" t="str">
            <v>ㄚㆵ</v>
          </cell>
        </row>
        <row r="18">
          <cell r="B18">
            <v>13</v>
          </cell>
          <cell r="C18">
            <v>7</v>
          </cell>
          <cell r="D18" t="str">
            <v>公</v>
          </cell>
          <cell r="E18" t="str">
            <v>舒聲</v>
          </cell>
          <cell r="F18" t="str">
            <v>ong</v>
          </cell>
          <cell r="G18" t="str">
            <v>ɔŋ</v>
          </cell>
          <cell r="H18" t="str">
            <v>ong</v>
          </cell>
          <cell r="I18" t="str">
            <v>ong</v>
          </cell>
          <cell r="J18" t="str">
            <v>ong</v>
          </cell>
          <cell r="K18" t="str">
            <v>ㆲ</v>
          </cell>
        </row>
        <row r="19">
          <cell r="B19">
            <v>14</v>
          </cell>
          <cell r="C19">
            <v>7</v>
          </cell>
          <cell r="D19" t="str">
            <v>公</v>
          </cell>
          <cell r="E19" t="str">
            <v>入聲</v>
          </cell>
          <cell r="F19" t="str">
            <v>ok</v>
          </cell>
          <cell r="G19" t="str">
            <v>ɔk̚</v>
          </cell>
          <cell r="H19" t="str">
            <v>ok</v>
          </cell>
          <cell r="I19" t="str">
            <v>ok</v>
          </cell>
          <cell r="J19" t="str">
            <v>ok</v>
          </cell>
          <cell r="K19" t="str">
            <v>ㆦㆻ</v>
          </cell>
        </row>
        <row r="20">
          <cell r="B20">
            <v>15</v>
          </cell>
          <cell r="C20">
            <v>8</v>
          </cell>
          <cell r="D20" t="str">
            <v>乖</v>
          </cell>
          <cell r="E20" t="str">
            <v>舒聲</v>
          </cell>
          <cell r="F20" t="str">
            <v>oai</v>
          </cell>
          <cell r="G20" t="str">
            <v>uai</v>
          </cell>
          <cell r="H20" t="str">
            <v>oai</v>
          </cell>
          <cell r="I20" t="str">
            <v>uai</v>
          </cell>
          <cell r="J20" t="str">
            <v>uai</v>
          </cell>
          <cell r="K20" t="str">
            <v>ㄨㄞ</v>
          </cell>
        </row>
        <row r="21">
          <cell r="B21">
            <v>16</v>
          </cell>
          <cell r="C21">
            <v>8</v>
          </cell>
          <cell r="D21" t="str">
            <v>乖</v>
          </cell>
          <cell r="E21" t="str">
            <v>入聲</v>
          </cell>
          <cell r="F21" t="str">
            <v>oaih</v>
          </cell>
          <cell r="G21" t="str">
            <v>uai?</v>
          </cell>
          <cell r="H21" t="str">
            <v>oaih</v>
          </cell>
          <cell r="I21" t="str">
            <v>uaih</v>
          </cell>
          <cell r="J21" t="str">
            <v>uaih</v>
          </cell>
          <cell r="K21" t="str">
            <v>ㄨㄞㆷ</v>
          </cell>
        </row>
        <row r="22">
          <cell r="B22">
            <v>17</v>
          </cell>
          <cell r="C22">
            <v>9</v>
          </cell>
          <cell r="D22" t="str">
            <v>經</v>
          </cell>
          <cell r="E22" t="str">
            <v>舒聲</v>
          </cell>
          <cell r="F22" t="str">
            <v>eng</v>
          </cell>
          <cell r="G22" t="str">
            <v>ɪŋ</v>
          </cell>
          <cell r="H22" t="str">
            <v>eng</v>
          </cell>
          <cell r="I22" t="str">
            <v>ing</v>
          </cell>
          <cell r="J22" t="str">
            <v>ing</v>
          </cell>
          <cell r="K22" t="str">
            <v>ㄧㄥ</v>
          </cell>
        </row>
        <row r="23">
          <cell r="B23">
            <v>18</v>
          </cell>
          <cell r="C23">
            <v>9</v>
          </cell>
          <cell r="D23" t="str">
            <v>經</v>
          </cell>
          <cell r="E23" t="str">
            <v>入聲</v>
          </cell>
          <cell r="F23" t="str">
            <v>ek</v>
          </cell>
          <cell r="G23" t="str">
            <v>ik̚</v>
          </cell>
          <cell r="H23" t="str">
            <v>ek</v>
          </cell>
          <cell r="I23" t="str">
            <v>ik</v>
          </cell>
          <cell r="J23" t="str">
            <v>ik</v>
          </cell>
          <cell r="K23" t="str">
            <v>ㄧㆻ</v>
          </cell>
        </row>
        <row r="24">
          <cell r="B24">
            <v>19</v>
          </cell>
          <cell r="C24">
            <v>10</v>
          </cell>
          <cell r="D24" t="str">
            <v>觀</v>
          </cell>
          <cell r="E24" t="str">
            <v>舒聲</v>
          </cell>
          <cell r="F24" t="str">
            <v>oan</v>
          </cell>
          <cell r="G24" t="str">
            <v>uan</v>
          </cell>
          <cell r="H24" t="str">
            <v>oan</v>
          </cell>
          <cell r="I24" t="str">
            <v>uan</v>
          </cell>
          <cell r="J24" t="str">
            <v>uan</v>
          </cell>
          <cell r="K24" t="str">
            <v>ㄨㄢ</v>
          </cell>
        </row>
        <row r="25">
          <cell r="B25">
            <v>20</v>
          </cell>
          <cell r="C25">
            <v>10</v>
          </cell>
          <cell r="D25" t="str">
            <v>觀</v>
          </cell>
          <cell r="E25" t="str">
            <v>入聲</v>
          </cell>
          <cell r="F25" t="str">
            <v>oat</v>
          </cell>
          <cell r="G25" t="str">
            <v>uat̚</v>
          </cell>
          <cell r="H25" t="str">
            <v>oat</v>
          </cell>
          <cell r="I25" t="str">
            <v>uat</v>
          </cell>
          <cell r="J25" t="str">
            <v>uat</v>
          </cell>
          <cell r="K25" t="str">
            <v>ㄨㄚㆵ</v>
          </cell>
        </row>
        <row r="26">
          <cell r="B26">
            <v>21</v>
          </cell>
          <cell r="C26">
            <v>11</v>
          </cell>
          <cell r="D26" t="str">
            <v>沽</v>
          </cell>
          <cell r="E26" t="str">
            <v>舒聲</v>
          </cell>
          <cell r="F26" t="str">
            <v>oo</v>
          </cell>
          <cell r="G26" t="str">
            <v>ɔ</v>
          </cell>
          <cell r="H26" t="str">
            <v>o͘</v>
          </cell>
          <cell r="I26" t="str">
            <v>oo</v>
          </cell>
          <cell r="J26" t="str">
            <v>oo</v>
          </cell>
          <cell r="K26" t="str">
            <v>ㆦ</v>
          </cell>
        </row>
        <row r="27">
          <cell r="B27">
            <v>22</v>
          </cell>
          <cell r="C27">
            <v>11</v>
          </cell>
          <cell r="D27" t="str">
            <v>沽</v>
          </cell>
          <cell r="E27" t="str">
            <v>入聲</v>
          </cell>
          <cell r="F27" t="str">
            <v>ooh</v>
          </cell>
          <cell r="G27" t="str">
            <v>ɔu?</v>
          </cell>
          <cell r="H27" t="str">
            <v>o͘h</v>
          </cell>
          <cell r="I27" t="str">
            <v>ooh</v>
          </cell>
          <cell r="J27" t="str">
            <v>ooh</v>
          </cell>
          <cell r="K27" t="str">
            <v>ㆦㆷ</v>
          </cell>
        </row>
        <row r="28">
          <cell r="B28">
            <v>23</v>
          </cell>
          <cell r="C28">
            <v>12</v>
          </cell>
          <cell r="D28" t="str">
            <v>嬌</v>
          </cell>
          <cell r="E28" t="str">
            <v>舒聲</v>
          </cell>
          <cell r="F28" t="str">
            <v>iau</v>
          </cell>
          <cell r="G28" t="str">
            <v>iaʊ</v>
          </cell>
          <cell r="H28" t="str">
            <v>iau</v>
          </cell>
          <cell r="I28" t="str">
            <v>iau</v>
          </cell>
          <cell r="J28" t="str">
            <v>iao</v>
          </cell>
          <cell r="K28" t="str">
            <v>ㄧㄠ</v>
          </cell>
        </row>
        <row r="29">
          <cell r="B29">
            <v>24</v>
          </cell>
          <cell r="C29">
            <v>12</v>
          </cell>
          <cell r="D29" t="str">
            <v>嬌</v>
          </cell>
          <cell r="E29" t="str">
            <v>入聲</v>
          </cell>
          <cell r="F29" t="str">
            <v>iauh</v>
          </cell>
          <cell r="G29" t="str">
            <v>iau?</v>
          </cell>
          <cell r="H29" t="str">
            <v>iauh</v>
          </cell>
          <cell r="I29" t="str">
            <v>iauh</v>
          </cell>
          <cell r="J29" t="str">
            <v>iaoh</v>
          </cell>
          <cell r="K29" t="str">
            <v>ㄧㄠㆷ</v>
          </cell>
        </row>
        <row r="30">
          <cell r="B30">
            <v>25</v>
          </cell>
          <cell r="C30">
            <v>13</v>
          </cell>
          <cell r="D30" t="str">
            <v>稽</v>
          </cell>
          <cell r="E30" t="str">
            <v>舒聲</v>
          </cell>
          <cell r="F30" t="str">
            <v>ei</v>
          </cell>
          <cell r="G30" t="str">
            <v>ei</v>
          </cell>
          <cell r="H30" t="str">
            <v>ei</v>
          </cell>
          <cell r="I30" t="str">
            <v>e</v>
          </cell>
          <cell r="J30" t="str">
            <v>e</v>
          </cell>
          <cell r="K30" t="str">
            <v>ㄟ</v>
          </cell>
        </row>
        <row r="31">
          <cell r="B31">
            <v>26</v>
          </cell>
          <cell r="C31">
            <v>13</v>
          </cell>
          <cell r="D31" t="str">
            <v>稽</v>
          </cell>
          <cell r="E31" t="str">
            <v>入聲</v>
          </cell>
          <cell r="F31" t="str">
            <v>eih</v>
          </cell>
          <cell r="G31" t="str">
            <v>ei?</v>
          </cell>
          <cell r="H31" t="str">
            <v>eih</v>
          </cell>
          <cell r="I31" t="str">
            <v>eh</v>
          </cell>
          <cell r="J31" t="str">
            <v>eh</v>
          </cell>
          <cell r="K31" t="str">
            <v>ㄟㆷ</v>
          </cell>
        </row>
        <row r="32">
          <cell r="B32">
            <v>27</v>
          </cell>
          <cell r="C32">
            <v>14</v>
          </cell>
          <cell r="D32" t="str">
            <v>恭</v>
          </cell>
          <cell r="E32" t="str">
            <v>舒聲</v>
          </cell>
          <cell r="F32" t="str">
            <v>iong</v>
          </cell>
          <cell r="G32" t="str">
            <v>iɔŋ</v>
          </cell>
          <cell r="H32" t="str">
            <v>iong</v>
          </cell>
          <cell r="I32" t="str">
            <v>iong</v>
          </cell>
          <cell r="J32" t="str">
            <v>iong</v>
          </cell>
          <cell r="K32" t="str">
            <v>ㄧㆲ</v>
          </cell>
        </row>
        <row r="33">
          <cell r="B33">
            <v>28</v>
          </cell>
          <cell r="C33">
            <v>14</v>
          </cell>
          <cell r="D33" t="str">
            <v>恭</v>
          </cell>
          <cell r="E33" t="str">
            <v>入聲</v>
          </cell>
          <cell r="F33" t="str">
            <v>iok</v>
          </cell>
          <cell r="G33" t="str">
            <v>iɔk̚</v>
          </cell>
          <cell r="H33" t="str">
            <v>iok</v>
          </cell>
          <cell r="I33" t="str">
            <v>iok</v>
          </cell>
          <cell r="J33" t="str">
            <v>iok</v>
          </cell>
          <cell r="K33" t="str">
            <v>ㄧㆦㆻ</v>
          </cell>
        </row>
        <row r="34">
          <cell r="B34">
            <v>29</v>
          </cell>
          <cell r="C34">
            <v>15</v>
          </cell>
          <cell r="D34" t="str">
            <v>高</v>
          </cell>
          <cell r="E34" t="str">
            <v>舒聲</v>
          </cell>
          <cell r="F34" t="str">
            <v>o</v>
          </cell>
          <cell r="G34" t="str">
            <v>o</v>
          </cell>
          <cell r="H34" t="str">
            <v>o</v>
          </cell>
          <cell r="I34" t="str">
            <v>o</v>
          </cell>
          <cell r="J34" t="str">
            <v>o</v>
          </cell>
          <cell r="K34" t="str">
            <v>ㄜ</v>
          </cell>
        </row>
        <row r="35">
          <cell r="B35">
            <v>30</v>
          </cell>
          <cell r="C35">
            <v>15</v>
          </cell>
          <cell r="D35" t="str">
            <v>高</v>
          </cell>
          <cell r="E35" t="str">
            <v>入聲</v>
          </cell>
          <cell r="F35" t="str">
            <v>oh</v>
          </cell>
          <cell r="G35" t="str">
            <v>ə?</v>
          </cell>
          <cell r="H35" t="str">
            <v>oh</v>
          </cell>
          <cell r="I35" t="str">
            <v>oh</v>
          </cell>
          <cell r="J35" t="str">
            <v>oh</v>
          </cell>
          <cell r="K35" t="str">
            <v>ㄜㆷ</v>
          </cell>
        </row>
        <row r="36">
          <cell r="B36">
            <v>31</v>
          </cell>
          <cell r="C36">
            <v>16</v>
          </cell>
          <cell r="D36" t="str">
            <v>皆</v>
          </cell>
          <cell r="E36" t="str">
            <v>舒聲</v>
          </cell>
          <cell r="F36" t="str">
            <v>ai</v>
          </cell>
          <cell r="G36" t="str">
            <v>ai</v>
          </cell>
          <cell r="H36" t="str">
            <v>ai</v>
          </cell>
          <cell r="I36" t="str">
            <v>ai</v>
          </cell>
          <cell r="J36" t="str">
            <v>ai</v>
          </cell>
          <cell r="K36" t="str">
            <v>ㄞ</v>
          </cell>
        </row>
        <row r="37">
          <cell r="B37">
            <v>32</v>
          </cell>
          <cell r="C37">
            <v>16</v>
          </cell>
          <cell r="D37" t="str">
            <v>皆</v>
          </cell>
          <cell r="E37" t="str">
            <v>入聲</v>
          </cell>
          <cell r="F37" t="str">
            <v>aih</v>
          </cell>
          <cell r="G37" t="str">
            <v>ai?</v>
          </cell>
          <cell r="H37" t="str">
            <v>aih</v>
          </cell>
          <cell r="I37" t="str">
            <v>aih</v>
          </cell>
          <cell r="J37" t="str">
            <v>aih</v>
          </cell>
          <cell r="K37" t="str">
            <v>ㄞㆷ</v>
          </cell>
        </row>
        <row r="38">
          <cell r="B38">
            <v>33</v>
          </cell>
          <cell r="C38">
            <v>17</v>
          </cell>
          <cell r="D38" t="str">
            <v>巾</v>
          </cell>
          <cell r="E38" t="str">
            <v>舒聲</v>
          </cell>
          <cell r="F38" t="str">
            <v>in</v>
          </cell>
          <cell r="G38" t="str">
            <v>in</v>
          </cell>
          <cell r="H38" t="str">
            <v>in</v>
          </cell>
          <cell r="I38" t="str">
            <v>in</v>
          </cell>
          <cell r="J38" t="str">
            <v>in</v>
          </cell>
          <cell r="K38" t="str">
            <v>ㄧㄣ</v>
          </cell>
        </row>
        <row r="39">
          <cell r="B39">
            <v>34</v>
          </cell>
          <cell r="C39">
            <v>17</v>
          </cell>
          <cell r="D39" t="str">
            <v>巾</v>
          </cell>
          <cell r="E39" t="str">
            <v>入聲</v>
          </cell>
          <cell r="F39" t="str">
            <v>it</v>
          </cell>
          <cell r="G39" t="str">
            <v>it̚</v>
          </cell>
          <cell r="H39" t="str">
            <v>it</v>
          </cell>
          <cell r="I39" t="str">
            <v>it</v>
          </cell>
          <cell r="J39" t="str">
            <v>it</v>
          </cell>
          <cell r="K39" t="str">
            <v>ㄧㆵ</v>
          </cell>
        </row>
        <row r="40">
          <cell r="B40">
            <v>35</v>
          </cell>
          <cell r="C40">
            <v>18</v>
          </cell>
          <cell r="D40" t="str">
            <v>姜</v>
          </cell>
          <cell r="E40" t="str">
            <v>舒聲</v>
          </cell>
          <cell r="F40" t="str">
            <v>iang</v>
          </cell>
          <cell r="G40" t="str">
            <v>iaŋ</v>
          </cell>
          <cell r="H40" t="str">
            <v>iang</v>
          </cell>
          <cell r="I40" t="str">
            <v>iang</v>
          </cell>
          <cell r="J40" t="str">
            <v>iang</v>
          </cell>
          <cell r="K40" t="str">
            <v>ㄧㄤ</v>
          </cell>
        </row>
        <row r="41">
          <cell r="B41">
            <v>36</v>
          </cell>
          <cell r="C41">
            <v>18</v>
          </cell>
          <cell r="D41" t="str">
            <v>姜</v>
          </cell>
          <cell r="E41" t="str">
            <v>入聲</v>
          </cell>
          <cell r="F41" t="str">
            <v>iak</v>
          </cell>
          <cell r="G41" t="str">
            <v>iak̚</v>
          </cell>
          <cell r="H41" t="str">
            <v>iak</v>
          </cell>
          <cell r="I41" t="str">
            <v>iak</v>
          </cell>
          <cell r="J41" t="str">
            <v>iak</v>
          </cell>
          <cell r="K41" t="str">
            <v>ㄧㄚㆻ</v>
          </cell>
        </row>
        <row r="42">
          <cell r="B42">
            <v>37</v>
          </cell>
          <cell r="C42">
            <v>19</v>
          </cell>
          <cell r="D42" t="str">
            <v>甘</v>
          </cell>
          <cell r="E42" t="str">
            <v>舒聲</v>
          </cell>
          <cell r="F42" t="str">
            <v>am</v>
          </cell>
          <cell r="G42" t="str">
            <v>am</v>
          </cell>
          <cell r="H42" t="str">
            <v>am</v>
          </cell>
          <cell r="I42" t="str">
            <v>am</v>
          </cell>
          <cell r="J42" t="str">
            <v>am</v>
          </cell>
          <cell r="K42" t="str">
            <v>ㆰ</v>
          </cell>
        </row>
        <row r="43">
          <cell r="B43">
            <v>38</v>
          </cell>
          <cell r="C43">
            <v>19</v>
          </cell>
          <cell r="D43" t="str">
            <v>甘</v>
          </cell>
          <cell r="E43" t="str">
            <v>入聲</v>
          </cell>
          <cell r="F43" t="str">
            <v>ap</v>
          </cell>
          <cell r="G43" t="str">
            <v>ap̚</v>
          </cell>
          <cell r="H43" t="str">
            <v>ap</v>
          </cell>
          <cell r="I43" t="str">
            <v>ap</v>
          </cell>
          <cell r="J43" t="str">
            <v>ap</v>
          </cell>
          <cell r="K43" t="str">
            <v>ㄚㆴ</v>
          </cell>
        </row>
        <row r="44">
          <cell r="B44">
            <v>39</v>
          </cell>
          <cell r="C44">
            <v>20</v>
          </cell>
          <cell r="D44" t="str">
            <v>瓜</v>
          </cell>
          <cell r="E44" t="str">
            <v>舒聲</v>
          </cell>
          <cell r="F44" t="str">
            <v>oa</v>
          </cell>
          <cell r="G44" t="str">
            <v>ua</v>
          </cell>
          <cell r="H44" t="str">
            <v>oa</v>
          </cell>
          <cell r="I44" t="str">
            <v>ua</v>
          </cell>
          <cell r="J44" t="str">
            <v>ua</v>
          </cell>
          <cell r="K44" t="str">
            <v>ㄨㄚ</v>
          </cell>
        </row>
        <row r="45">
          <cell r="B45">
            <v>40</v>
          </cell>
          <cell r="C45">
            <v>20</v>
          </cell>
          <cell r="D45" t="str">
            <v>瓜</v>
          </cell>
          <cell r="E45" t="str">
            <v>入聲</v>
          </cell>
          <cell r="F45" t="str">
            <v>oah</v>
          </cell>
          <cell r="G45" t="str">
            <v>ua?</v>
          </cell>
          <cell r="H45" t="str">
            <v>oah</v>
          </cell>
          <cell r="I45" t="str">
            <v>uah</v>
          </cell>
          <cell r="J45" t="str">
            <v>uah</v>
          </cell>
          <cell r="K45" t="str">
            <v>ㄨㄚㆷ</v>
          </cell>
        </row>
        <row r="46">
          <cell r="B46">
            <v>41</v>
          </cell>
          <cell r="C46">
            <v>21</v>
          </cell>
          <cell r="D46" t="str">
            <v>江</v>
          </cell>
          <cell r="E46" t="str">
            <v>舒聲</v>
          </cell>
          <cell r="F46" t="str">
            <v>ang</v>
          </cell>
          <cell r="G46" t="str">
            <v>aŋ</v>
          </cell>
          <cell r="H46" t="str">
            <v>ang</v>
          </cell>
          <cell r="I46" t="str">
            <v>ang</v>
          </cell>
          <cell r="J46" t="str">
            <v>ang</v>
          </cell>
          <cell r="K46" t="str">
            <v>ㄤ</v>
          </cell>
        </row>
        <row r="47">
          <cell r="B47">
            <v>42</v>
          </cell>
          <cell r="C47">
            <v>21</v>
          </cell>
          <cell r="D47" t="str">
            <v>江</v>
          </cell>
          <cell r="E47" t="str">
            <v>入聲</v>
          </cell>
          <cell r="F47" t="str">
            <v>ak</v>
          </cell>
          <cell r="G47" t="str">
            <v>ak̚</v>
          </cell>
          <cell r="H47" t="str">
            <v>ak</v>
          </cell>
          <cell r="I47" t="str">
            <v>ak</v>
          </cell>
          <cell r="J47" t="str">
            <v>ak</v>
          </cell>
          <cell r="K47" t="str">
            <v>ㄚㆻ</v>
          </cell>
        </row>
        <row r="48">
          <cell r="B48">
            <v>43</v>
          </cell>
          <cell r="C48">
            <v>22</v>
          </cell>
          <cell r="D48" t="str">
            <v>兼</v>
          </cell>
          <cell r="E48" t="str">
            <v>舒聲</v>
          </cell>
          <cell r="F48" t="str">
            <v>iam</v>
          </cell>
          <cell r="G48" t="str">
            <v>iam</v>
          </cell>
          <cell r="H48" t="str">
            <v>iam</v>
          </cell>
          <cell r="I48" t="str">
            <v>iam</v>
          </cell>
          <cell r="J48" t="str">
            <v>iam</v>
          </cell>
          <cell r="K48" t="str">
            <v>ㄧㆰ</v>
          </cell>
        </row>
        <row r="49">
          <cell r="B49">
            <v>44</v>
          </cell>
          <cell r="C49">
            <v>22</v>
          </cell>
          <cell r="D49" t="str">
            <v>兼</v>
          </cell>
          <cell r="E49" t="str">
            <v>入聲</v>
          </cell>
          <cell r="F49" t="str">
            <v>iap</v>
          </cell>
          <cell r="G49" t="str">
            <v>iap̚</v>
          </cell>
          <cell r="H49" t="str">
            <v>iap</v>
          </cell>
          <cell r="I49" t="str">
            <v>iap</v>
          </cell>
          <cell r="J49" t="str">
            <v>iap</v>
          </cell>
          <cell r="K49" t="str">
            <v>ㄧㄚㆴ</v>
          </cell>
        </row>
        <row r="50">
          <cell r="B50">
            <v>45</v>
          </cell>
          <cell r="C50">
            <v>23</v>
          </cell>
          <cell r="D50" t="str">
            <v>交</v>
          </cell>
          <cell r="E50" t="str">
            <v>舒聲</v>
          </cell>
          <cell r="F50" t="str">
            <v>au</v>
          </cell>
          <cell r="G50" t="str">
            <v>aʊ</v>
          </cell>
          <cell r="H50" t="str">
            <v>au</v>
          </cell>
          <cell r="I50" t="str">
            <v>au</v>
          </cell>
          <cell r="J50" t="str">
            <v>ao</v>
          </cell>
          <cell r="K50" t="str">
            <v>ㄠ</v>
          </cell>
        </row>
        <row r="51">
          <cell r="B51">
            <v>46</v>
          </cell>
          <cell r="C51">
            <v>23</v>
          </cell>
          <cell r="D51" t="str">
            <v>交</v>
          </cell>
          <cell r="E51" t="str">
            <v>入聲</v>
          </cell>
          <cell r="F51" t="str">
            <v>auh</v>
          </cell>
          <cell r="G51" t="str">
            <v>au?</v>
          </cell>
          <cell r="H51" t="str">
            <v>auh</v>
          </cell>
          <cell r="I51" t="str">
            <v>auh</v>
          </cell>
          <cell r="J51" t="str">
            <v>aoh</v>
          </cell>
          <cell r="K51" t="str">
            <v>ㄠㆷ</v>
          </cell>
        </row>
        <row r="52">
          <cell r="B52">
            <v>47</v>
          </cell>
          <cell r="C52">
            <v>24</v>
          </cell>
          <cell r="D52" t="str">
            <v>迦</v>
          </cell>
          <cell r="E52" t="str">
            <v>舒聲</v>
          </cell>
          <cell r="F52" t="str">
            <v>ia</v>
          </cell>
          <cell r="G52" t="str">
            <v>ia</v>
          </cell>
          <cell r="H52" t="str">
            <v>ia</v>
          </cell>
          <cell r="I52" t="str">
            <v>ia</v>
          </cell>
          <cell r="J52" t="str">
            <v>ia</v>
          </cell>
          <cell r="K52" t="str">
            <v>ㄧㄚ</v>
          </cell>
        </row>
        <row r="53">
          <cell r="B53">
            <v>48</v>
          </cell>
          <cell r="C53">
            <v>24</v>
          </cell>
          <cell r="D53" t="str">
            <v>迦</v>
          </cell>
          <cell r="E53" t="str">
            <v>入聲</v>
          </cell>
          <cell r="F53" t="str">
            <v>iah</v>
          </cell>
          <cell r="G53" t="str">
            <v>ia?</v>
          </cell>
          <cell r="H53" t="str">
            <v>iah</v>
          </cell>
          <cell r="I53" t="str">
            <v>iah</v>
          </cell>
          <cell r="J53" t="str">
            <v>iah</v>
          </cell>
          <cell r="K53" t="str">
            <v>ㄧㄚㆷ</v>
          </cell>
        </row>
        <row r="54">
          <cell r="B54">
            <v>49</v>
          </cell>
          <cell r="C54">
            <v>25</v>
          </cell>
          <cell r="D54" t="str">
            <v>檜</v>
          </cell>
          <cell r="E54" t="str">
            <v>舒聲</v>
          </cell>
          <cell r="F54" t="str">
            <v>oe</v>
          </cell>
          <cell r="G54" t="str">
            <v>ue</v>
          </cell>
          <cell r="H54" t="str">
            <v>oe</v>
          </cell>
          <cell r="I54" t="str">
            <v>ue</v>
          </cell>
          <cell r="J54" t="str">
            <v>ue</v>
          </cell>
          <cell r="K54" t="str">
            <v>ㄨㆤ</v>
          </cell>
        </row>
        <row r="55">
          <cell r="B55">
            <v>50</v>
          </cell>
          <cell r="C55">
            <v>25</v>
          </cell>
          <cell r="D55" t="str">
            <v>檜</v>
          </cell>
          <cell r="E55" t="str">
            <v>入聲</v>
          </cell>
          <cell r="F55" t="str">
            <v>oeh</v>
          </cell>
          <cell r="G55" t="str">
            <v>ue?</v>
          </cell>
          <cell r="H55" t="str">
            <v>oeh</v>
          </cell>
          <cell r="I55" t="str">
            <v>ueh</v>
          </cell>
          <cell r="J55" t="str">
            <v>ueh</v>
          </cell>
          <cell r="K55" t="str">
            <v>ㄨㆤㆷ</v>
          </cell>
        </row>
        <row r="56">
          <cell r="B56">
            <v>51</v>
          </cell>
          <cell r="C56">
            <v>26</v>
          </cell>
          <cell r="D56" t="str">
            <v>監</v>
          </cell>
          <cell r="E56" t="str">
            <v>舒聲</v>
          </cell>
          <cell r="F56" t="str">
            <v>ann</v>
          </cell>
          <cell r="G56" t="str">
            <v>ã</v>
          </cell>
          <cell r="H56" t="str">
            <v>aⁿ</v>
          </cell>
          <cell r="I56" t="str">
            <v>ann</v>
          </cell>
          <cell r="J56" t="str">
            <v>na</v>
          </cell>
          <cell r="K56" t="str">
            <v>ㆩ</v>
          </cell>
        </row>
        <row r="57">
          <cell r="B57">
            <v>52</v>
          </cell>
          <cell r="C57">
            <v>26</v>
          </cell>
          <cell r="D57" t="str">
            <v>監</v>
          </cell>
          <cell r="E57" t="str">
            <v>入聲</v>
          </cell>
          <cell r="F57" t="str">
            <v>ahnn</v>
          </cell>
          <cell r="G57" t="str">
            <v>ã?</v>
          </cell>
          <cell r="H57" t="str">
            <v>ahⁿ</v>
          </cell>
          <cell r="I57" t="str">
            <v>annh</v>
          </cell>
          <cell r="J57" t="str">
            <v>nah</v>
          </cell>
          <cell r="K57" t="str">
            <v>ㆩㆷ</v>
          </cell>
        </row>
        <row r="58">
          <cell r="B58">
            <v>53</v>
          </cell>
          <cell r="C58">
            <v>27</v>
          </cell>
          <cell r="D58" t="str">
            <v>艍</v>
          </cell>
          <cell r="E58" t="str">
            <v>舒聲</v>
          </cell>
          <cell r="F58" t="str">
            <v>u</v>
          </cell>
          <cell r="G58" t="str">
            <v>u</v>
          </cell>
          <cell r="H58" t="str">
            <v>u</v>
          </cell>
          <cell r="I58" t="str">
            <v>u</v>
          </cell>
          <cell r="J58" t="str">
            <v>u</v>
          </cell>
          <cell r="K58" t="str">
            <v>ㄨ</v>
          </cell>
        </row>
        <row r="59">
          <cell r="B59">
            <v>54</v>
          </cell>
          <cell r="C59">
            <v>27</v>
          </cell>
          <cell r="D59" t="str">
            <v>艍</v>
          </cell>
          <cell r="E59" t="str">
            <v>入聲</v>
          </cell>
          <cell r="F59" t="str">
            <v>uh</v>
          </cell>
          <cell r="G59" t="str">
            <v>u?</v>
          </cell>
          <cell r="H59" t="str">
            <v>uh</v>
          </cell>
          <cell r="I59" t="str">
            <v>uh</v>
          </cell>
          <cell r="J59" t="str">
            <v>uh</v>
          </cell>
          <cell r="K59" t="str">
            <v>ㄨㆷ</v>
          </cell>
        </row>
        <row r="60">
          <cell r="B60">
            <v>55</v>
          </cell>
          <cell r="C60">
            <v>28</v>
          </cell>
          <cell r="D60" t="str">
            <v>膠</v>
          </cell>
          <cell r="E60" t="str">
            <v>舒聲</v>
          </cell>
          <cell r="F60" t="str">
            <v>a</v>
          </cell>
          <cell r="G60" t="str">
            <v>a</v>
          </cell>
          <cell r="H60" t="str">
            <v>a</v>
          </cell>
          <cell r="I60" t="str">
            <v>a</v>
          </cell>
          <cell r="J60" t="str">
            <v>a</v>
          </cell>
          <cell r="K60" t="str">
            <v>ㄚ</v>
          </cell>
        </row>
        <row r="61">
          <cell r="B61">
            <v>56</v>
          </cell>
          <cell r="C61">
            <v>28</v>
          </cell>
          <cell r="D61" t="str">
            <v>膠</v>
          </cell>
          <cell r="E61" t="str">
            <v>入聲</v>
          </cell>
          <cell r="F61" t="str">
            <v>ah</v>
          </cell>
          <cell r="G61" t="str">
            <v>a?</v>
          </cell>
          <cell r="H61" t="str">
            <v>ah</v>
          </cell>
          <cell r="I61" t="str">
            <v>ah</v>
          </cell>
          <cell r="J61" t="str">
            <v>ah</v>
          </cell>
          <cell r="K61" t="str">
            <v>ㄚㆷ</v>
          </cell>
        </row>
        <row r="62">
          <cell r="B62">
            <v>57</v>
          </cell>
          <cell r="C62">
            <v>29</v>
          </cell>
          <cell r="D62" t="str">
            <v>居</v>
          </cell>
          <cell r="E62" t="str">
            <v>舒聲</v>
          </cell>
          <cell r="F62" t="str">
            <v>i</v>
          </cell>
          <cell r="G62" t="str">
            <v>i</v>
          </cell>
          <cell r="H62" t="str">
            <v>i</v>
          </cell>
          <cell r="I62" t="str">
            <v>i</v>
          </cell>
          <cell r="J62" t="str">
            <v>i</v>
          </cell>
          <cell r="K62" t="str">
            <v>ㄧ</v>
          </cell>
        </row>
        <row r="63">
          <cell r="B63">
            <v>58</v>
          </cell>
          <cell r="C63">
            <v>29</v>
          </cell>
          <cell r="D63" t="str">
            <v>居</v>
          </cell>
          <cell r="E63" t="str">
            <v>入聲</v>
          </cell>
          <cell r="F63" t="str">
            <v>ih</v>
          </cell>
          <cell r="G63" t="str">
            <v>i?</v>
          </cell>
          <cell r="H63" t="str">
            <v>ih</v>
          </cell>
          <cell r="I63" t="str">
            <v>ih</v>
          </cell>
          <cell r="J63" t="str">
            <v>ih</v>
          </cell>
          <cell r="K63" t="str">
            <v>ㄧㆷ</v>
          </cell>
        </row>
        <row r="64">
          <cell r="B64">
            <v>59</v>
          </cell>
          <cell r="C64">
            <v>30</v>
          </cell>
          <cell r="D64" t="str">
            <v>丩</v>
          </cell>
          <cell r="E64" t="str">
            <v>舒聲</v>
          </cell>
          <cell r="F64" t="str">
            <v>iu</v>
          </cell>
          <cell r="G64" t="str">
            <v>iu</v>
          </cell>
          <cell r="H64" t="str">
            <v>iu</v>
          </cell>
          <cell r="I64" t="str">
            <v>iu</v>
          </cell>
          <cell r="J64" t="str">
            <v>iu</v>
          </cell>
          <cell r="K64" t="str">
            <v>ㄧㄨ</v>
          </cell>
        </row>
        <row r="65">
          <cell r="B65">
            <v>60</v>
          </cell>
          <cell r="C65">
            <v>30</v>
          </cell>
          <cell r="D65" t="str">
            <v>丩</v>
          </cell>
          <cell r="E65" t="str">
            <v>入聲</v>
          </cell>
          <cell r="F65" t="str">
            <v>iuh</v>
          </cell>
          <cell r="G65" t="str">
            <v>iu?</v>
          </cell>
          <cell r="H65" t="str">
            <v>iuh</v>
          </cell>
          <cell r="I65" t="str">
            <v>iuh</v>
          </cell>
          <cell r="J65" t="str">
            <v>iuh</v>
          </cell>
          <cell r="K65" t="str">
            <v>ㄧㄨㆷ</v>
          </cell>
        </row>
        <row r="66">
          <cell r="B66">
            <v>61</v>
          </cell>
          <cell r="C66">
            <v>31</v>
          </cell>
          <cell r="D66" t="str">
            <v>更</v>
          </cell>
          <cell r="E66" t="str">
            <v>舒聲</v>
          </cell>
          <cell r="F66" t="str">
            <v>enn</v>
          </cell>
          <cell r="G66" t="str">
            <v>ẽ</v>
          </cell>
          <cell r="H66" t="str">
            <v>eⁿ</v>
          </cell>
          <cell r="I66" t="str">
            <v>enn</v>
          </cell>
          <cell r="J66" t="str">
            <v>ne</v>
          </cell>
          <cell r="K66" t="str">
            <v>ㆥ</v>
          </cell>
        </row>
        <row r="67">
          <cell r="B67">
            <v>62</v>
          </cell>
          <cell r="C67">
            <v>31</v>
          </cell>
          <cell r="D67" t="str">
            <v>更</v>
          </cell>
          <cell r="E67" t="str">
            <v>入聲</v>
          </cell>
          <cell r="F67" t="str">
            <v>ehnn</v>
          </cell>
          <cell r="G67" t="str">
            <v>ẽ?</v>
          </cell>
          <cell r="H67" t="str">
            <v>ehⁿ</v>
          </cell>
          <cell r="I67" t="str">
            <v>ennh</v>
          </cell>
          <cell r="J67" t="str">
            <v>neh</v>
          </cell>
          <cell r="K67" t="str">
            <v>ㆥㆷ</v>
          </cell>
        </row>
        <row r="68">
          <cell r="B68">
            <v>63</v>
          </cell>
          <cell r="C68">
            <v>32</v>
          </cell>
          <cell r="D68" t="str">
            <v>褌</v>
          </cell>
          <cell r="E68" t="str">
            <v>舒聲</v>
          </cell>
          <cell r="F68" t="str">
            <v>uinn</v>
          </cell>
          <cell r="G68" t="str">
            <v>ũĩ</v>
          </cell>
          <cell r="H68" t="str">
            <v>uiⁿ</v>
          </cell>
          <cell r="I68" t="str">
            <v>uinn</v>
          </cell>
          <cell r="J68" t="str">
            <v>nui</v>
          </cell>
          <cell r="K68" t="str">
            <v>ㄨㆪ</v>
          </cell>
        </row>
        <row r="69">
          <cell r="B69">
            <v>64</v>
          </cell>
          <cell r="C69">
            <v>32</v>
          </cell>
          <cell r="D69" t="str">
            <v>褌</v>
          </cell>
          <cell r="E69" t="str">
            <v>入聲</v>
          </cell>
          <cell r="F69" t="str">
            <v>uinnh</v>
          </cell>
          <cell r="G69" t="str">
            <v>ũĩ?</v>
          </cell>
          <cell r="H69" t="str">
            <v>uihⁿ</v>
          </cell>
          <cell r="I69" t="str">
            <v>uinnh</v>
          </cell>
          <cell r="J69" t="str">
            <v>nuih</v>
          </cell>
          <cell r="K69" t="str">
            <v>ㄨㆪㆷ</v>
          </cell>
        </row>
        <row r="70">
          <cell r="B70">
            <v>65</v>
          </cell>
          <cell r="C70">
            <v>33</v>
          </cell>
          <cell r="D70" t="str">
            <v>茄</v>
          </cell>
          <cell r="E70" t="str">
            <v>舒聲</v>
          </cell>
          <cell r="F70" t="str">
            <v>io</v>
          </cell>
          <cell r="G70" t="str">
            <v>io</v>
          </cell>
          <cell r="H70" t="str">
            <v>io</v>
          </cell>
          <cell r="I70" t="str">
            <v>io</v>
          </cell>
          <cell r="J70" t="str">
            <v>io</v>
          </cell>
          <cell r="K70" t="str">
            <v>ㄧㄜ</v>
          </cell>
        </row>
        <row r="71">
          <cell r="B71">
            <v>66</v>
          </cell>
          <cell r="C71">
            <v>33</v>
          </cell>
          <cell r="D71" t="str">
            <v>茄</v>
          </cell>
          <cell r="E71" t="str">
            <v>入聲</v>
          </cell>
          <cell r="F71" t="str">
            <v>ioh</v>
          </cell>
          <cell r="G71" t="str">
            <v>iə?</v>
          </cell>
          <cell r="H71" t="str">
            <v>ioh</v>
          </cell>
          <cell r="I71" t="str">
            <v>ioh</v>
          </cell>
          <cell r="J71" t="str">
            <v>ioh</v>
          </cell>
          <cell r="K71" t="str">
            <v>ㄧㄜㆷ</v>
          </cell>
        </row>
        <row r="72">
          <cell r="B72">
            <v>67</v>
          </cell>
          <cell r="C72">
            <v>34</v>
          </cell>
          <cell r="D72" t="str">
            <v>梔</v>
          </cell>
          <cell r="E72" t="str">
            <v>舒聲</v>
          </cell>
          <cell r="F72" t="str">
            <v>inn</v>
          </cell>
          <cell r="G72" t="str">
            <v>ĩ</v>
          </cell>
          <cell r="H72" t="str">
            <v>iⁿ</v>
          </cell>
          <cell r="I72" t="str">
            <v>inn</v>
          </cell>
          <cell r="J72" t="str">
            <v>ni</v>
          </cell>
          <cell r="K72" t="str">
            <v>ㆪ</v>
          </cell>
        </row>
        <row r="73">
          <cell r="B73">
            <v>68</v>
          </cell>
          <cell r="C73">
            <v>34</v>
          </cell>
          <cell r="D73" t="str">
            <v>梔</v>
          </cell>
          <cell r="E73" t="str">
            <v>入聲</v>
          </cell>
          <cell r="F73" t="str">
            <v>ihnn</v>
          </cell>
          <cell r="G73" t="str">
            <v>ĩ?</v>
          </cell>
          <cell r="H73" t="str">
            <v>iⁿh</v>
          </cell>
          <cell r="I73" t="str">
            <v>innh</v>
          </cell>
          <cell r="J73" t="str">
            <v>nih</v>
          </cell>
          <cell r="K73" t="str">
            <v>ㆪ</v>
          </cell>
        </row>
        <row r="74">
          <cell r="B74">
            <v>69</v>
          </cell>
          <cell r="C74">
            <v>35</v>
          </cell>
          <cell r="D74" t="str">
            <v>薑</v>
          </cell>
          <cell r="E74" t="str">
            <v>舒聲</v>
          </cell>
          <cell r="F74" t="str">
            <v>ionn</v>
          </cell>
          <cell r="G74" t="str">
            <v>ĩɔ̃</v>
          </cell>
          <cell r="H74" t="str">
            <v>ioⁿ</v>
          </cell>
          <cell r="I74" t="str">
            <v>ionn</v>
          </cell>
          <cell r="J74" t="str">
            <v>nioo</v>
          </cell>
          <cell r="K74" t="str">
            <v>ㄧㆧ</v>
          </cell>
        </row>
        <row r="75">
          <cell r="B75">
            <v>70</v>
          </cell>
          <cell r="C75">
            <v>35</v>
          </cell>
          <cell r="D75" t="str">
            <v>薑</v>
          </cell>
          <cell r="E75" t="str">
            <v>入聲</v>
          </cell>
          <cell r="F75" t="str">
            <v>ionnh</v>
          </cell>
          <cell r="G75" t="str">
            <v>ĩɔ̃?</v>
          </cell>
          <cell r="H75" t="str">
            <v>iohⁿ</v>
          </cell>
          <cell r="I75" t="str">
            <v>ionnh</v>
          </cell>
          <cell r="J75" t="str">
            <v>niooh</v>
          </cell>
          <cell r="K75" t="str">
            <v>ㄧㆧㆷ</v>
          </cell>
        </row>
        <row r="76">
          <cell r="B76">
            <v>71</v>
          </cell>
          <cell r="C76">
            <v>36</v>
          </cell>
          <cell r="D76" t="str">
            <v>驚</v>
          </cell>
          <cell r="E76" t="str">
            <v>舒聲</v>
          </cell>
          <cell r="F76" t="str">
            <v>iann</v>
          </cell>
          <cell r="G76" t="str">
            <v>ĩã</v>
          </cell>
          <cell r="H76" t="str">
            <v>iaⁿ</v>
          </cell>
          <cell r="I76" t="str">
            <v>iann</v>
          </cell>
          <cell r="J76" t="str">
            <v>nia</v>
          </cell>
          <cell r="K76" t="str">
            <v>ㄧㆩ</v>
          </cell>
        </row>
        <row r="77">
          <cell r="B77">
            <v>72</v>
          </cell>
          <cell r="C77">
            <v>36</v>
          </cell>
          <cell r="D77" t="str">
            <v>驚</v>
          </cell>
          <cell r="E77" t="str">
            <v>入聲</v>
          </cell>
          <cell r="F77" t="str">
            <v>iannh</v>
          </cell>
          <cell r="G77" t="str">
            <v>iãh</v>
          </cell>
          <cell r="H77" t="str">
            <v>iahⁿ</v>
          </cell>
          <cell r="I77" t="str">
            <v>iannh</v>
          </cell>
          <cell r="J77" t="str">
            <v>niah</v>
          </cell>
          <cell r="K77" t="str">
            <v>ㄧㆩㆷ</v>
          </cell>
        </row>
        <row r="78">
          <cell r="B78">
            <v>73</v>
          </cell>
          <cell r="C78">
            <v>37</v>
          </cell>
          <cell r="D78" t="str">
            <v>官</v>
          </cell>
          <cell r="E78" t="str">
            <v>舒聲</v>
          </cell>
          <cell r="F78" t="str">
            <v>oann</v>
          </cell>
          <cell r="G78" t="str">
            <v>ũã</v>
          </cell>
          <cell r="H78" t="str">
            <v>oaⁿ</v>
          </cell>
          <cell r="I78" t="str">
            <v>uann</v>
          </cell>
          <cell r="J78" t="str">
            <v>nua</v>
          </cell>
          <cell r="K78" t="str">
            <v>ㄨㆩ</v>
          </cell>
        </row>
        <row r="79">
          <cell r="B79">
            <v>74</v>
          </cell>
          <cell r="C79">
            <v>37</v>
          </cell>
          <cell r="D79" t="str">
            <v>官</v>
          </cell>
          <cell r="E79" t="str">
            <v>入聲</v>
          </cell>
          <cell r="F79" t="str">
            <v>oannh</v>
          </cell>
          <cell r="G79" t="str">
            <v>ũã?</v>
          </cell>
          <cell r="H79" t="str">
            <v>oahⁿ</v>
          </cell>
          <cell r="I79" t="str">
            <v>uannh</v>
          </cell>
          <cell r="J79" t="str">
            <v>nuah</v>
          </cell>
          <cell r="K79" t="str">
            <v>ㄨㆩㆷ</v>
          </cell>
        </row>
        <row r="80">
          <cell r="B80">
            <v>75</v>
          </cell>
          <cell r="C80">
            <v>38</v>
          </cell>
          <cell r="D80" t="str">
            <v>鋼</v>
          </cell>
          <cell r="E80" t="str">
            <v>舒聲</v>
          </cell>
          <cell r="F80" t="str">
            <v>ng</v>
          </cell>
          <cell r="G80" t="str">
            <v>ŋ̍</v>
          </cell>
          <cell r="H80" t="str">
            <v>ng</v>
          </cell>
          <cell r="I80" t="str">
            <v>ng</v>
          </cell>
          <cell r="J80" t="str">
            <v>ng</v>
          </cell>
          <cell r="K80" t="str">
            <v>ㆭ</v>
          </cell>
        </row>
        <row r="81">
          <cell r="B81">
            <v>76</v>
          </cell>
          <cell r="C81">
            <v>38</v>
          </cell>
          <cell r="D81" t="str">
            <v>鋼</v>
          </cell>
          <cell r="E81" t="str">
            <v>入聲</v>
          </cell>
          <cell r="F81" t="str">
            <v>ngh</v>
          </cell>
          <cell r="G81" t="str">
            <v>ŋ̍h</v>
          </cell>
          <cell r="H81" t="str">
            <v>ngh</v>
          </cell>
          <cell r="I81" t="str">
            <v>ngh</v>
          </cell>
          <cell r="J81" t="str">
            <v>ngh</v>
          </cell>
          <cell r="K81" t="str">
            <v>ㆭㆷ</v>
          </cell>
        </row>
        <row r="82">
          <cell r="B82">
            <v>77</v>
          </cell>
          <cell r="C82">
            <v>39</v>
          </cell>
          <cell r="D82" t="str">
            <v>伽</v>
          </cell>
          <cell r="E82" t="str">
            <v>舒聲</v>
          </cell>
          <cell r="F82" t="str">
            <v>e</v>
          </cell>
          <cell r="G82" t="str">
            <v>e</v>
          </cell>
          <cell r="H82" t="str">
            <v>e</v>
          </cell>
          <cell r="I82" t="str">
            <v>e</v>
          </cell>
          <cell r="J82" t="str">
            <v>e</v>
          </cell>
          <cell r="K82" t="str">
            <v>ㆤ</v>
          </cell>
        </row>
        <row r="83">
          <cell r="B83">
            <v>78</v>
          </cell>
          <cell r="C83">
            <v>39</v>
          </cell>
          <cell r="D83" t="str">
            <v>伽</v>
          </cell>
          <cell r="E83" t="str">
            <v>入聲</v>
          </cell>
          <cell r="F83" t="str">
            <v>eh</v>
          </cell>
          <cell r="G83" t="str">
            <v>e?</v>
          </cell>
          <cell r="H83" t="str">
            <v>eh</v>
          </cell>
          <cell r="I83" t="str">
            <v>eh</v>
          </cell>
          <cell r="J83" t="str">
            <v>eh</v>
          </cell>
          <cell r="K83" t="str">
            <v>ㆤㆷ</v>
          </cell>
        </row>
        <row r="84">
          <cell r="B84">
            <v>79</v>
          </cell>
          <cell r="C84">
            <v>40</v>
          </cell>
          <cell r="D84" t="str">
            <v>閒</v>
          </cell>
          <cell r="E84" t="str">
            <v>舒聲</v>
          </cell>
          <cell r="F84" t="str">
            <v>ainn</v>
          </cell>
          <cell r="G84" t="str">
            <v>ãĩ</v>
          </cell>
          <cell r="H84" t="str">
            <v>aiⁿ</v>
          </cell>
          <cell r="I84" t="str">
            <v>ainn</v>
          </cell>
          <cell r="J84" t="str">
            <v>nai</v>
          </cell>
          <cell r="K84" t="str">
            <v>ㆮ</v>
          </cell>
        </row>
        <row r="85">
          <cell r="B85">
            <v>80</v>
          </cell>
          <cell r="C85">
            <v>40</v>
          </cell>
          <cell r="D85" t="str">
            <v>閒</v>
          </cell>
          <cell r="E85" t="str">
            <v>入聲</v>
          </cell>
          <cell r="F85" t="str">
            <v>ainnh</v>
          </cell>
          <cell r="G85" t="str">
            <v>ãĩ?</v>
          </cell>
          <cell r="H85" t="str">
            <v>aihⁿ</v>
          </cell>
          <cell r="I85" t="str">
            <v>ainnh</v>
          </cell>
          <cell r="J85" t="str">
            <v>naih</v>
          </cell>
          <cell r="K85" t="str">
            <v>ㆮㆷ</v>
          </cell>
        </row>
        <row r="86">
          <cell r="B86">
            <v>81</v>
          </cell>
          <cell r="C86">
            <v>41</v>
          </cell>
          <cell r="D86" t="str">
            <v>姑</v>
          </cell>
          <cell r="E86" t="str">
            <v>舒聲</v>
          </cell>
          <cell r="F86" t="str">
            <v>onn</v>
          </cell>
          <cell r="G86" t="str">
            <v>ɔ̃</v>
          </cell>
          <cell r="H86" t="str">
            <v>oⁿ</v>
          </cell>
          <cell r="I86" t="str">
            <v>onn</v>
          </cell>
          <cell r="J86" t="str">
            <v>noo</v>
          </cell>
          <cell r="K86" t="str">
            <v>ㆧ</v>
          </cell>
        </row>
        <row r="87">
          <cell r="B87">
            <v>82</v>
          </cell>
          <cell r="C87">
            <v>41</v>
          </cell>
          <cell r="D87" t="str">
            <v>姑</v>
          </cell>
          <cell r="E87" t="str">
            <v>入聲</v>
          </cell>
          <cell r="F87" t="str">
            <v>onnh</v>
          </cell>
          <cell r="G87" t="str">
            <v>ɔ̃?</v>
          </cell>
          <cell r="H87" t="str">
            <v>ohⁿ</v>
          </cell>
          <cell r="I87" t="str">
            <v>onnh</v>
          </cell>
          <cell r="J87" t="str">
            <v>nooh</v>
          </cell>
          <cell r="K87" t="str">
            <v>ㆧㆷ</v>
          </cell>
        </row>
        <row r="88">
          <cell r="B88">
            <v>83</v>
          </cell>
          <cell r="C88">
            <v>42</v>
          </cell>
          <cell r="D88" t="str">
            <v>姆</v>
          </cell>
          <cell r="E88" t="str">
            <v>舒聲</v>
          </cell>
          <cell r="F88" t="str">
            <v>m</v>
          </cell>
          <cell r="G88" t="str">
            <v>m̩</v>
          </cell>
          <cell r="H88" t="str">
            <v>m</v>
          </cell>
          <cell r="I88" t="str">
            <v>m</v>
          </cell>
          <cell r="J88" t="str">
            <v>m</v>
          </cell>
          <cell r="K88" t="str">
            <v>ㆬ</v>
          </cell>
        </row>
        <row r="89">
          <cell r="B89">
            <v>84</v>
          </cell>
          <cell r="C89">
            <v>42</v>
          </cell>
          <cell r="D89" t="str">
            <v>姆</v>
          </cell>
          <cell r="E89" t="str">
            <v>入聲</v>
          </cell>
          <cell r="F89" t="str">
            <v>mh</v>
          </cell>
          <cell r="G89" t="str">
            <v>m̩h</v>
          </cell>
          <cell r="H89" t="str">
            <v>mh</v>
          </cell>
          <cell r="I89" t="str">
            <v>mh</v>
          </cell>
          <cell r="J89" t="str">
            <v>mh</v>
          </cell>
          <cell r="K89" t="str">
            <v>ㆬㆷ</v>
          </cell>
        </row>
        <row r="90">
          <cell r="B90">
            <v>85</v>
          </cell>
          <cell r="C90">
            <v>43</v>
          </cell>
          <cell r="D90" t="str">
            <v>光</v>
          </cell>
          <cell r="E90" t="str">
            <v>舒聲</v>
          </cell>
          <cell r="F90" t="str">
            <v>oang</v>
          </cell>
          <cell r="G90" t="str">
            <v>uaŋ</v>
          </cell>
          <cell r="H90" t="str">
            <v>oang</v>
          </cell>
          <cell r="I90" t="str">
            <v>uang</v>
          </cell>
          <cell r="J90" t="str">
            <v>uang</v>
          </cell>
          <cell r="K90" t="str">
            <v>ㄨㄤ</v>
          </cell>
        </row>
        <row r="91">
          <cell r="B91">
            <v>86</v>
          </cell>
          <cell r="C91">
            <v>43</v>
          </cell>
          <cell r="D91" t="str">
            <v>光</v>
          </cell>
          <cell r="E91" t="str">
            <v>入聲</v>
          </cell>
          <cell r="F91" t="str">
            <v>oak</v>
          </cell>
          <cell r="G91" t="str">
            <v>uak̚</v>
          </cell>
          <cell r="H91" t="str">
            <v>oak</v>
          </cell>
          <cell r="I91" t="str">
            <v>uak</v>
          </cell>
          <cell r="J91" t="str">
            <v>uak</v>
          </cell>
          <cell r="K91" t="str">
            <v>ㄨㄚㆻ</v>
          </cell>
        </row>
        <row r="92">
          <cell r="B92">
            <v>87</v>
          </cell>
          <cell r="C92">
            <v>44</v>
          </cell>
          <cell r="D92" t="str">
            <v>閂</v>
          </cell>
          <cell r="E92" t="str">
            <v>舒聲</v>
          </cell>
          <cell r="F92" t="str">
            <v>oainn</v>
          </cell>
          <cell r="G92" t="str">
            <v>ũãĩ</v>
          </cell>
          <cell r="H92" t="str">
            <v>oaiⁿ</v>
          </cell>
          <cell r="I92" t="str">
            <v>uainn</v>
          </cell>
          <cell r="J92" t="str">
            <v>nuai</v>
          </cell>
          <cell r="K92" t="str">
            <v>ㄨㆮ</v>
          </cell>
        </row>
        <row r="93">
          <cell r="B93">
            <v>88</v>
          </cell>
          <cell r="C93">
            <v>44</v>
          </cell>
          <cell r="D93" t="str">
            <v>閂</v>
          </cell>
          <cell r="E93" t="str">
            <v>入聲</v>
          </cell>
          <cell r="F93" t="str">
            <v>oaihnn</v>
          </cell>
          <cell r="G93" t="str">
            <v>uãĩ?</v>
          </cell>
          <cell r="H93" t="str">
            <v>oaiⁿh</v>
          </cell>
          <cell r="I93" t="str">
            <v>uainnh</v>
          </cell>
          <cell r="J93" t="str">
            <v>nuaih</v>
          </cell>
          <cell r="K93" t="str">
            <v>ㄨㆮㆷ</v>
          </cell>
        </row>
        <row r="94">
          <cell r="B94">
            <v>89</v>
          </cell>
          <cell r="C94">
            <v>45</v>
          </cell>
          <cell r="D94" t="str">
            <v>糜</v>
          </cell>
          <cell r="E94" t="str">
            <v>舒聲</v>
          </cell>
          <cell r="F94" t="str">
            <v>oenn</v>
          </cell>
          <cell r="G94" t="str">
            <v>ũẽ</v>
          </cell>
          <cell r="H94" t="str">
            <v>oeⁿ</v>
          </cell>
          <cell r="I94" t="str">
            <v>uenn</v>
          </cell>
          <cell r="J94" t="str">
            <v>nue</v>
          </cell>
          <cell r="K94" t="str">
            <v>ㄨㆥ</v>
          </cell>
        </row>
        <row r="95">
          <cell r="B95">
            <v>90</v>
          </cell>
          <cell r="C95">
            <v>45</v>
          </cell>
          <cell r="D95" t="str">
            <v>糜</v>
          </cell>
          <cell r="E95" t="str">
            <v>入聲</v>
          </cell>
          <cell r="F95" t="str">
            <v>oennh</v>
          </cell>
          <cell r="G95" t="str">
            <v>ũẽ?</v>
          </cell>
          <cell r="H95" t="str">
            <v>oehⁿ</v>
          </cell>
          <cell r="I95" t="str">
            <v>uennh</v>
          </cell>
          <cell r="J95" t="str">
            <v>nueh</v>
          </cell>
          <cell r="K95" t="str">
            <v>ㄨㆥㆷ</v>
          </cell>
        </row>
        <row r="96">
          <cell r="B96">
            <v>91</v>
          </cell>
          <cell r="C96">
            <v>46</v>
          </cell>
          <cell r="D96" t="str">
            <v>嘄</v>
          </cell>
          <cell r="E96" t="str">
            <v>舒聲</v>
          </cell>
          <cell r="F96" t="str">
            <v>iaunn</v>
          </cell>
          <cell r="G96" t="str">
            <v>ĩãũ</v>
          </cell>
          <cell r="H96" t="str">
            <v>iauⁿ</v>
          </cell>
          <cell r="I96" t="str">
            <v>iaunn</v>
          </cell>
          <cell r="J96" t="str">
            <v>niao</v>
          </cell>
          <cell r="K96" t="str">
            <v>ㄧㆯ</v>
          </cell>
        </row>
        <row r="97">
          <cell r="B97">
            <v>92</v>
          </cell>
          <cell r="C97">
            <v>46</v>
          </cell>
          <cell r="D97" t="str">
            <v>嘄</v>
          </cell>
          <cell r="E97" t="str">
            <v>入聲</v>
          </cell>
          <cell r="F97" t="str">
            <v>iauhnn</v>
          </cell>
          <cell r="G97" t="str">
            <v>ĩãũ?</v>
          </cell>
          <cell r="H97" t="str">
            <v>iauⁿh</v>
          </cell>
          <cell r="I97" t="str">
            <v>iaunnh</v>
          </cell>
          <cell r="J97" t="str">
            <v>niaoh</v>
          </cell>
          <cell r="K97" t="str">
            <v>ㄧㆯㆷ</v>
          </cell>
        </row>
        <row r="98">
          <cell r="B98">
            <v>93</v>
          </cell>
          <cell r="C98">
            <v>47</v>
          </cell>
          <cell r="D98" t="str">
            <v>箴</v>
          </cell>
          <cell r="E98" t="str">
            <v>舒聲</v>
          </cell>
          <cell r="F98" t="str">
            <v>om</v>
          </cell>
          <cell r="G98" t="str">
            <v>ɔm</v>
          </cell>
          <cell r="H98" t="str">
            <v>om</v>
          </cell>
          <cell r="I98" t="str">
            <v>om</v>
          </cell>
          <cell r="J98" t="str">
            <v>om</v>
          </cell>
          <cell r="K98" t="str">
            <v>ㆱ</v>
          </cell>
        </row>
        <row r="99">
          <cell r="B99">
            <v>94</v>
          </cell>
          <cell r="C99">
            <v>47</v>
          </cell>
          <cell r="D99" t="str">
            <v>箴</v>
          </cell>
          <cell r="E99" t="str">
            <v>入聲</v>
          </cell>
          <cell r="F99" t="str">
            <v>op</v>
          </cell>
          <cell r="G99" t="str">
            <v>ɔp̚</v>
          </cell>
          <cell r="H99" t="str">
            <v>op</v>
          </cell>
          <cell r="I99" t="str">
            <v>op</v>
          </cell>
          <cell r="J99" t="str">
            <v>op</v>
          </cell>
          <cell r="K99" t="str">
            <v>ㆦㆴ</v>
          </cell>
        </row>
        <row r="100">
          <cell r="B100">
            <v>95</v>
          </cell>
          <cell r="C100">
            <v>48</v>
          </cell>
          <cell r="D100" t="str">
            <v>爻</v>
          </cell>
          <cell r="E100" t="str">
            <v>舒聲</v>
          </cell>
          <cell r="F100" t="str">
            <v>aunn</v>
          </cell>
          <cell r="G100" t="str">
            <v>ãũ</v>
          </cell>
          <cell r="H100" t="str">
            <v>auⁿ</v>
          </cell>
          <cell r="I100" t="str">
            <v>aunn</v>
          </cell>
          <cell r="J100" t="str">
            <v>nao</v>
          </cell>
          <cell r="K100" t="str">
            <v>ㆯ</v>
          </cell>
        </row>
        <row r="101">
          <cell r="B101">
            <v>96</v>
          </cell>
          <cell r="C101">
            <v>48</v>
          </cell>
          <cell r="D101" t="str">
            <v>爻</v>
          </cell>
          <cell r="E101" t="str">
            <v>入聲</v>
          </cell>
          <cell r="F101" t="str">
            <v>aunnh</v>
          </cell>
          <cell r="G101" t="str">
            <v>ãũ?</v>
          </cell>
          <cell r="H101" t="str">
            <v>auhⁿ</v>
          </cell>
          <cell r="I101" t="str">
            <v>aunnh</v>
          </cell>
          <cell r="J101" t="str">
            <v>naoh</v>
          </cell>
          <cell r="K101" t="str">
            <v>ㆯㆷ</v>
          </cell>
        </row>
        <row r="102">
          <cell r="B102">
            <v>97</v>
          </cell>
          <cell r="C102">
            <v>49</v>
          </cell>
          <cell r="D102" t="str">
            <v>扛</v>
          </cell>
          <cell r="E102" t="str">
            <v>舒聲</v>
          </cell>
          <cell r="F102" t="str">
            <v>onn</v>
          </cell>
          <cell r="G102" t="str">
            <v>õ</v>
          </cell>
          <cell r="H102" t="str">
            <v>oⁿ</v>
          </cell>
          <cell r="I102" t="str">
            <v>onn</v>
          </cell>
          <cell r="J102" t="str">
            <v>no</v>
          </cell>
          <cell r="K102" t="str">
            <v>ㆧ</v>
          </cell>
        </row>
        <row r="103">
          <cell r="B103">
            <v>98</v>
          </cell>
          <cell r="C103">
            <v>49</v>
          </cell>
          <cell r="D103" t="str">
            <v>扛</v>
          </cell>
          <cell r="E103" t="str">
            <v>入聲</v>
          </cell>
          <cell r="F103" t="str">
            <v>ohnn</v>
          </cell>
          <cell r="G103" t="str">
            <v>õh</v>
          </cell>
          <cell r="H103" t="str">
            <v>ohⁿ</v>
          </cell>
          <cell r="I103" t="str">
            <v>onnh</v>
          </cell>
          <cell r="J103" t="str">
            <v>noh</v>
          </cell>
          <cell r="K103" t="str">
            <v>ㆧㆷ</v>
          </cell>
        </row>
        <row r="104">
          <cell r="B104">
            <v>99</v>
          </cell>
          <cell r="C104">
            <v>50</v>
          </cell>
          <cell r="D104" t="str">
            <v>牛</v>
          </cell>
          <cell r="E104" t="str">
            <v>舒聲</v>
          </cell>
          <cell r="F104" t="str">
            <v>iunn</v>
          </cell>
          <cell r="G104" t="str">
            <v>ĩũ</v>
          </cell>
          <cell r="H104" t="str">
            <v>iuⁿ</v>
          </cell>
          <cell r="I104" t="str">
            <v>iunn</v>
          </cell>
          <cell r="J104" t="str">
            <v>niu</v>
          </cell>
          <cell r="K104" t="str">
            <v>ㄧㆫ</v>
          </cell>
        </row>
        <row r="105">
          <cell r="B105">
            <v>100</v>
          </cell>
          <cell r="C105">
            <v>50</v>
          </cell>
          <cell r="D105" t="str">
            <v>牛</v>
          </cell>
          <cell r="E105" t="str">
            <v>入聲</v>
          </cell>
          <cell r="F105" t="str">
            <v>iunnh</v>
          </cell>
          <cell r="G105" t="str">
            <v>iũh</v>
          </cell>
          <cell r="H105" t="str">
            <v>iuhⁿ</v>
          </cell>
          <cell r="I105" t="str">
            <v>iunnh</v>
          </cell>
          <cell r="J105" t="str">
            <v>niuh</v>
          </cell>
          <cell r="K105" t="str">
            <v>ㄧㆫㆷ</v>
          </cell>
        </row>
      </sheetData>
      <sheetData sheetId="17">
        <row r="5">
          <cell r="B5">
            <v>1</v>
          </cell>
          <cell r="C5" t="str">
            <v>君</v>
          </cell>
          <cell r="D5" t="str">
            <v>un</v>
          </cell>
          <cell r="E5" t="str">
            <v>ut</v>
          </cell>
          <cell r="F5" t="str">
            <v>un</v>
          </cell>
          <cell r="G5" t="str">
            <v>ut̚</v>
          </cell>
          <cell r="H5" t="str">
            <v>un</v>
          </cell>
          <cell r="I5" t="str">
            <v>ut</v>
          </cell>
          <cell r="J5" t="str">
            <v>un</v>
          </cell>
          <cell r="K5" t="str">
            <v>ut</v>
          </cell>
          <cell r="L5" t="str">
            <v>un</v>
          </cell>
          <cell r="M5" t="str">
            <v>ut</v>
          </cell>
          <cell r="N5" t="str">
            <v>ㄨㄣ</v>
          </cell>
          <cell r="O5" t="str">
            <v>ㄨㆵ</v>
          </cell>
          <cell r="P5" t="str">
            <v>wun</v>
          </cell>
          <cell r="Q5" t="str">
            <v>wut</v>
          </cell>
        </row>
        <row r="6">
          <cell r="B6">
            <v>2</v>
          </cell>
          <cell r="C6" t="str">
            <v>堅</v>
          </cell>
          <cell r="D6" t="str">
            <v>ian</v>
          </cell>
          <cell r="E6" t="str">
            <v>iat</v>
          </cell>
          <cell r="F6" t="str">
            <v>ian</v>
          </cell>
          <cell r="G6" t="str">
            <v>iat̚</v>
          </cell>
          <cell r="H6" t="str">
            <v>ian</v>
          </cell>
          <cell r="I6" t="str">
            <v>iat</v>
          </cell>
          <cell r="J6" t="str">
            <v>ian</v>
          </cell>
          <cell r="K6" t="str">
            <v>iat</v>
          </cell>
          <cell r="L6" t="str">
            <v>ian</v>
          </cell>
          <cell r="M6" t="str">
            <v>iat</v>
          </cell>
          <cell r="N6" t="str">
            <v>ㄧㄢ</v>
          </cell>
          <cell r="O6" t="str">
            <v>ㄧㄚㆵ</v>
          </cell>
          <cell r="P6" t="str">
            <v>ëen</v>
          </cell>
          <cell r="Q6" t="str">
            <v>ëet</v>
          </cell>
        </row>
        <row r="7">
          <cell r="B7">
            <v>3</v>
          </cell>
          <cell r="C7" t="str">
            <v>金</v>
          </cell>
          <cell r="D7" t="str">
            <v>im</v>
          </cell>
          <cell r="E7" t="str">
            <v>ip</v>
          </cell>
          <cell r="F7" t="str">
            <v>im</v>
          </cell>
          <cell r="G7" t="str">
            <v>ip̚</v>
          </cell>
          <cell r="H7" t="str">
            <v>im</v>
          </cell>
          <cell r="I7" t="str">
            <v>ip</v>
          </cell>
          <cell r="J7" t="str">
            <v>im</v>
          </cell>
          <cell r="K7" t="str">
            <v>ip</v>
          </cell>
          <cell r="L7" t="str">
            <v>im</v>
          </cell>
          <cell r="M7" t="str">
            <v>ip</v>
          </cell>
          <cell r="N7" t="str">
            <v>ㄧㆬ</v>
          </cell>
          <cell r="O7" t="str">
            <v>ㄧㆴ</v>
          </cell>
          <cell r="P7" t="str">
            <v>im</v>
          </cell>
          <cell r="Q7" t="str">
            <v>ip</v>
          </cell>
        </row>
        <row r="8">
          <cell r="B8">
            <v>4</v>
          </cell>
          <cell r="C8" t="str">
            <v>規</v>
          </cell>
          <cell r="D8" t="str">
            <v>ui</v>
          </cell>
          <cell r="E8" t="str">
            <v>uih</v>
          </cell>
          <cell r="F8" t="str">
            <v>ui</v>
          </cell>
          <cell r="G8" t="str">
            <v>ui?</v>
          </cell>
          <cell r="H8" t="str">
            <v>ui</v>
          </cell>
          <cell r="I8" t="str">
            <v>uih</v>
          </cell>
          <cell r="J8" t="str">
            <v>ui</v>
          </cell>
          <cell r="K8" t="str">
            <v>uih</v>
          </cell>
          <cell r="L8" t="str">
            <v>ui</v>
          </cell>
          <cell r="M8" t="str">
            <v>uih</v>
          </cell>
          <cell r="N8" t="str">
            <v>ㄨㄧ</v>
          </cell>
          <cell r="O8" t="str">
            <v>ㄨㄧㆷ</v>
          </cell>
          <cell r="P8" t="str">
            <v>wuy</v>
          </cell>
        </row>
        <row r="9">
          <cell r="B9">
            <v>5</v>
          </cell>
          <cell r="C9" t="str">
            <v>嘉</v>
          </cell>
          <cell r="D9" t="str">
            <v>ee</v>
          </cell>
          <cell r="E9" t="str">
            <v>eeh</v>
          </cell>
          <cell r="F9" t="str">
            <v>ɛ</v>
          </cell>
          <cell r="G9" t="str">
            <v>ɛ?</v>
          </cell>
          <cell r="H9" t="str">
            <v>ee</v>
          </cell>
          <cell r="I9" t="str">
            <v>eeh</v>
          </cell>
          <cell r="J9" t="str">
            <v>ee</v>
          </cell>
          <cell r="K9" t="str">
            <v>eh</v>
          </cell>
          <cell r="L9" t="str">
            <v>e</v>
          </cell>
          <cell r="M9" t="str">
            <v>eh</v>
          </cell>
          <cell r="N9" t="str">
            <v>ㄝ</v>
          </cell>
          <cell r="O9" t="str">
            <v>ㄝㆷ</v>
          </cell>
          <cell r="P9" t="str">
            <v>ay</v>
          </cell>
          <cell r="Q9" t="str">
            <v>ăyh</v>
          </cell>
          <cell r="R9" t="str">
            <v>彙音【嘉】韻母為：e</v>
          </cell>
        </row>
        <row r="10">
          <cell r="B10">
            <v>6</v>
          </cell>
          <cell r="C10" t="str">
            <v>干</v>
          </cell>
          <cell r="D10" t="str">
            <v>an</v>
          </cell>
          <cell r="E10" t="str">
            <v>at</v>
          </cell>
          <cell r="F10" t="str">
            <v>an</v>
          </cell>
          <cell r="G10" t="str">
            <v>at̚</v>
          </cell>
          <cell r="H10" t="str">
            <v>an</v>
          </cell>
          <cell r="I10" t="str">
            <v>at</v>
          </cell>
          <cell r="J10" t="str">
            <v>an</v>
          </cell>
          <cell r="K10" t="str">
            <v>ap</v>
          </cell>
          <cell r="L10" t="str">
            <v>an</v>
          </cell>
          <cell r="M10" t="str">
            <v>at</v>
          </cell>
          <cell r="N10" t="str">
            <v>ㄢ</v>
          </cell>
          <cell r="O10" t="str">
            <v>ㄚㆵ</v>
          </cell>
          <cell r="P10" t="str">
            <v>an</v>
          </cell>
          <cell r="Q10" t="str">
            <v>at</v>
          </cell>
        </row>
        <row r="11">
          <cell r="B11">
            <v>7</v>
          </cell>
          <cell r="C11" t="str">
            <v>公</v>
          </cell>
          <cell r="D11" t="str">
            <v>ong</v>
          </cell>
          <cell r="E11" t="str">
            <v>ok</v>
          </cell>
          <cell r="F11" t="str">
            <v>ɔŋ</v>
          </cell>
          <cell r="G11" t="str">
            <v>ɔk̚</v>
          </cell>
          <cell r="H11" t="str">
            <v>ong</v>
          </cell>
          <cell r="I11" t="str">
            <v>ok</v>
          </cell>
          <cell r="J11" t="str">
            <v>ong</v>
          </cell>
          <cell r="K11" t="str">
            <v>ok</v>
          </cell>
          <cell r="L11" t="str">
            <v>ong</v>
          </cell>
          <cell r="M11" t="str">
            <v>ok</v>
          </cell>
          <cell r="N11" t="str">
            <v>ㆲ</v>
          </cell>
          <cell r="O11" t="str">
            <v>ㆦㆻ</v>
          </cell>
          <cell r="P11" t="str">
            <v>ong</v>
          </cell>
          <cell r="Q11" t="str">
            <v>ok</v>
          </cell>
        </row>
        <row r="12">
          <cell r="B12">
            <v>8</v>
          </cell>
          <cell r="C12" t="str">
            <v>乖</v>
          </cell>
          <cell r="D12" t="str">
            <v>oai</v>
          </cell>
          <cell r="E12" t="str">
            <v>oaih</v>
          </cell>
          <cell r="F12" t="str">
            <v>uai</v>
          </cell>
          <cell r="G12" t="str">
            <v>uai?</v>
          </cell>
          <cell r="H12" t="str">
            <v>oai</v>
          </cell>
          <cell r="I12" t="str">
            <v>oaih</v>
          </cell>
          <cell r="J12" t="str">
            <v>uai</v>
          </cell>
          <cell r="K12" t="str">
            <v>uaih</v>
          </cell>
          <cell r="L12" t="str">
            <v>uai</v>
          </cell>
          <cell r="M12" t="str">
            <v>uaih</v>
          </cell>
          <cell r="N12" t="str">
            <v>ㄨㄞ</v>
          </cell>
          <cell r="O12" t="str">
            <v>ㄨㄞㆷ</v>
          </cell>
          <cell r="P12" t="str">
            <v>wae</v>
          </cell>
          <cell r="Q12" t="str">
            <v>waĕh</v>
          </cell>
        </row>
        <row r="13">
          <cell r="B13">
            <v>9</v>
          </cell>
          <cell r="C13" t="str">
            <v>經</v>
          </cell>
          <cell r="D13" t="str">
            <v>eng</v>
          </cell>
          <cell r="E13" t="str">
            <v>ek</v>
          </cell>
          <cell r="F13" t="str">
            <v>ɪŋ</v>
          </cell>
          <cell r="G13" t="str">
            <v>ik̚</v>
          </cell>
          <cell r="H13" t="str">
            <v>eng</v>
          </cell>
          <cell r="I13" t="str">
            <v>ek</v>
          </cell>
          <cell r="J13" t="str">
            <v>ing</v>
          </cell>
          <cell r="K13" t="str">
            <v>ik</v>
          </cell>
          <cell r="L13" t="str">
            <v>ing</v>
          </cell>
          <cell r="M13" t="str">
            <v>ik</v>
          </cell>
          <cell r="N13" t="str">
            <v>ㄧㄥ</v>
          </cell>
          <cell r="O13" t="str">
            <v>ㄧㆻ</v>
          </cell>
          <cell r="P13" t="str">
            <v>eng</v>
          </cell>
          <cell r="Q13" t="str">
            <v>ek</v>
          </cell>
        </row>
        <row r="14">
          <cell r="B14">
            <v>10</v>
          </cell>
          <cell r="C14" t="str">
            <v>觀</v>
          </cell>
          <cell r="D14" t="str">
            <v>oan</v>
          </cell>
          <cell r="E14" t="str">
            <v>oat</v>
          </cell>
          <cell r="F14" t="str">
            <v>uan</v>
          </cell>
          <cell r="G14" t="str">
            <v>uat̚</v>
          </cell>
          <cell r="H14" t="str">
            <v>oan</v>
          </cell>
          <cell r="I14" t="str">
            <v>oat</v>
          </cell>
          <cell r="J14" t="str">
            <v>uan</v>
          </cell>
          <cell r="K14" t="str">
            <v>uat</v>
          </cell>
          <cell r="L14" t="str">
            <v>uan</v>
          </cell>
          <cell r="M14" t="str">
            <v>uat</v>
          </cell>
          <cell r="N14" t="str">
            <v>ㄨㄢ</v>
          </cell>
          <cell r="O14" t="str">
            <v>ㄨㄚㆵ</v>
          </cell>
          <cell r="P14" t="str">
            <v>wan</v>
          </cell>
          <cell r="Q14" t="str">
            <v>wat</v>
          </cell>
        </row>
        <row r="15">
          <cell r="B15">
            <v>11</v>
          </cell>
          <cell r="C15" t="str">
            <v>沽</v>
          </cell>
          <cell r="D15" t="str">
            <v>oo</v>
          </cell>
          <cell r="E15" t="str">
            <v>ooh</v>
          </cell>
          <cell r="F15" t="str">
            <v>ɔ</v>
          </cell>
          <cell r="G15" t="str">
            <v>ɔu?</v>
          </cell>
          <cell r="H15" t="str">
            <v>o͘</v>
          </cell>
          <cell r="I15" t="str">
            <v>o͘h</v>
          </cell>
          <cell r="J15" t="str">
            <v>oo</v>
          </cell>
          <cell r="K15" t="str">
            <v>ooh</v>
          </cell>
          <cell r="L15" t="str">
            <v>oo</v>
          </cell>
          <cell r="M15" t="str">
            <v>ooh</v>
          </cell>
          <cell r="N15" t="str">
            <v>ㆦ</v>
          </cell>
          <cell r="O15" t="str">
            <v>ㆦㆷ</v>
          </cell>
          <cell r="P15" t="str">
            <v>oe</v>
          </cell>
          <cell r="R15" t="str">
            <v>白話字的/ɔ/ [o͘] 有時寫成[ou]，因為[o͘]右上角的那點不易見。台羅 oo = ou</v>
          </cell>
        </row>
        <row r="16">
          <cell r="B16">
            <v>12</v>
          </cell>
          <cell r="C16" t="str">
            <v>嬌</v>
          </cell>
          <cell r="D16" t="str">
            <v>iau</v>
          </cell>
          <cell r="E16" t="str">
            <v>iauh</v>
          </cell>
          <cell r="F16" t="str">
            <v>iaʊ</v>
          </cell>
          <cell r="G16" t="str">
            <v>iau?</v>
          </cell>
          <cell r="H16" t="str">
            <v>iau</v>
          </cell>
          <cell r="I16" t="str">
            <v>iauh</v>
          </cell>
          <cell r="J16" t="str">
            <v>iau</v>
          </cell>
          <cell r="K16" t="str">
            <v>iauh</v>
          </cell>
          <cell r="L16" t="str">
            <v>iao</v>
          </cell>
          <cell r="M16" t="str">
            <v>iaoh</v>
          </cell>
          <cell r="N16" t="str">
            <v>ㄧㄠ</v>
          </cell>
          <cell r="O16" t="str">
            <v>ㄧㄠㆷ</v>
          </cell>
          <cell r="P16" t="str">
            <v>eaou</v>
          </cell>
          <cell r="Q16" t="str">
            <v>eaoŭh</v>
          </cell>
        </row>
        <row r="17">
          <cell r="B17">
            <v>13</v>
          </cell>
          <cell r="C17" t="str">
            <v>稽</v>
          </cell>
          <cell r="D17" t="str">
            <v>ei</v>
          </cell>
          <cell r="E17" t="str">
            <v>eih</v>
          </cell>
          <cell r="F17" t="str">
            <v>ei</v>
          </cell>
          <cell r="G17" t="str">
            <v>ei?</v>
          </cell>
          <cell r="H17" t="str">
            <v>ei</v>
          </cell>
          <cell r="I17" t="str">
            <v>eih</v>
          </cell>
          <cell r="J17" t="str">
            <v>e</v>
          </cell>
          <cell r="K17" t="str">
            <v>eh</v>
          </cell>
          <cell r="L17" t="str">
            <v>e</v>
          </cell>
          <cell r="M17" t="str">
            <v>eh</v>
          </cell>
          <cell r="N17" t="str">
            <v>ㄟ</v>
          </cell>
          <cell r="O17" t="str">
            <v>ㄟㆷ</v>
          </cell>
          <cell r="P17" t="str">
            <v>ey</v>
          </cell>
          <cell r="R17" t="str">
            <v>啼：【雅俗通】Thei2 (他稽下平）；【台羅】The5</v>
          </cell>
        </row>
        <row r="18">
          <cell r="B18">
            <v>14</v>
          </cell>
          <cell r="C18" t="str">
            <v>恭</v>
          </cell>
          <cell r="D18" t="str">
            <v>iong</v>
          </cell>
          <cell r="E18" t="str">
            <v>iok</v>
          </cell>
          <cell r="F18" t="str">
            <v>iɔŋ</v>
          </cell>
          <cell r="G18" t="str">
            <v>iɔk̚</v>
          </cell>
          <cell r="H18" t="str">
            <v>iong</v>
          </cell>
          <cell r="I18" t="str">
            <v>iok</v>
          </cell>
          <cell r="J18" t="str">
            <v>iong</v>
          </cell>
          <cell r="K18" t="str">
            <v>iok</v>
          </cell>
          <cell r="L18" t="str">
            <v>iong</v>
          </cell>
          <cell r="M18" t="str">
            <v>iok</v>
          </cell>
          <cell r="N18" t="str">
            <v>ㄧㆲ</v>
          </cell>
          <cell r="O18" t="str">
            <v>ㄧㆦㆻ</v>
          </cell>
          <cell r="P18" t="str">
            <v>ëung</v>
          </cell>
          <cell r="Q18" t="str">
            <v>ëuk</v>
          </cell>
        </row>
        <row r="19">
          <cell r="B19">
            <v>15</v>
          </cell>
          <cell r="C19" t="str">
            <v>高</v>
          </cell>
          <cell r="D19" t="str">
            <v>o</v>
          </cell>
          <cell r="E19" t="str">
            <v>oh</v>
          </cell>
          <cell r="F19" t="str">
            <v>o</v>
          </cell>
          <cell r="G19" t="str">
            <v>ə?</v>
          </cell>
          <cell r="H19" t="str">
            <v>o</v>
          </cell>
          <cell r="I19" t="str">
            <v>oh</v>
          </cell>
          <cell r="J19" t="str">
            <v>o</v>
          </cell>
          <cell r="K19" t="str">
            <v>oh</v>
          </cell>
          <cell r="L19" t="str">
            <v>o</v>
          </cell>
          <cell r="M19" t="str">
            <v>oh</v>
          </cell>
          <cell r="N19" t="str">
            <v>ㄜ</v>
          </cell>
          <cell r="O19" t="str">
            <v>ㄜㆷ</v>
          </cell>
          <cell r="P19" t="str">
            <v>o</v>
          </cell>
          <cell r="Q19" t="str">
            <v>ŏh</v>
          </cell>
        </row>
        <row r="20">
          <cell r="B20">
            <v>16</v>
          </cell>
          <cell r="C20" t="str">
            <v>皆</v>
          </cell>
          <cell r="D20" t="str">
            <v>ai</v>
          </cell>
          <cell r="E20" t="str">
            <v>aih</v>
          </cell>
          <cell r="F20" t="str">
            <v>ai</v>
          </cell>
          <cell r="G20" t="str">
            <v>ai?</v>
          </cell>
          <cell r="H20" t="str">
            <v>ai</v>
          </cell>
          <cell r="I20" t="str">
            <v>aih</v>
          </cell>
          <cell r="J20" t="str">
            <v>ai</v>
          </cell>
          <cell r="K20" t="str">
            <v>aih</v>
          </cell>
          <cell r="L20" t="str">
            <v>ai</v>
          </cell>
          <cell r="M20" t="str">
            <v>aih</v>
          </cell>
          <cell r="N20" t="str">
            <v>ㄞ</v>
          </cell>
          <cell r="O20" t="str">
            <v>ㄞㆷ</v>
          </cell>
          <cell r="P20" t="str">
            <v>ae</v>
          </cell>
        </row>
        <row r="21">
          <cell r="B21">
            <v>17</v>
          </cell>
          <cell r="C21" t="str">
            <v>巾</v>
          </cell>
          <cell r="D21" t="str">
            <v>in</v>
          </cell>
          <cell r="E21" t="str">
            <v>it</v>
          </cell>
          <cell r="F21" t="str">
            <v>in</v>
          </cell>
          <cell r="G21" t="str">
            <v>it̚</v>
          </cell>
          <cell r="H21" t="str">
            <v>in</v>
          </cell>
          <cell r="I21" t="str">
            <v>it</v>
          </cell>
          <cell r="J21" t="str">
            <v>in</v>
          </cell>
          <cell r="K21" t="str">
            <v>it</v>
          </cell>
          <cell r="L21" t="str">
            <v>in</v>
          </cell>
          <cell r="M21" t="str">
            <v>it</v>
          </cell>
          <cell r="N21" t="str">
            <v>ㄧㄣ</v>
          </cell>
          <cell r="O21" t="str">
            <v>ㄧㆵ</v>
          </cell>
          <cell r="P21" t="str">
            <v>in</v>
          </cell>
          <cell r="Q21" t="str">
            <v>it</v>
          </cell>
        </row>
        <row r="22">
          <cell r="B22">
            <v>18</v>
          </cell>
          <cell r="C22" t="str">
            <v>姜</v>
          </cell>
          <cell r="D22" t="str">
            <v>iang</v>
          </cell>
          <cell r="E22" t="str">
            <v>iak</v>
          </cell>
          <cell r="F22" t="str">
            <v>iaŋ</v>
          </cell>
          <cell r="G22" t="str">
            <v>iak̚</v>
          </cell>
          <cell r="H22" t="str">
            <v>iang</v>
          </cell>
          <cell r="I22" t="str">
            <v>iak</v>
          </cell>
          <cell r="J22" t="str">
            <v>iang</v>
          </cell>
          <cell r="K22" t="str">
            <v>iak</v>
          </cell>
          <cell r="L22" t="str">
            <v>iang</v>
          </cell>
          <cell r="M22" t="str">
            <v>iak</v>
          </cell>
          <cell r="N22" t="str">
            <v>ㄧㄤ</v>
          </cell>
          <cell r="O22" t="str">
            <v>ㄧㄚㆻ</v>
          </cell>
          <cell r="P22" t="str">
            <v>ëang</v>
          </cell>
          <cell r="Q22" t="str">
            <v>ëak</v>
          </cell>
        </row>
        <row r="23">
          <cell r="B23">
            <v>19</v>
          </cell>
          <cell r="C23" t="str">
            <v>甘</v>
          </cell>
          <cell r="D23" t="str">
            <v>am</v>
          </cell>
          <cell r="E23" t="str">
            <v>ap</v>
          </cell>
          <cell r="F23" t="str">
            <v>am</v>
          </cell>
          <cell r="G23" t="str">
            <v>ap̚</v>
          </cell>
          <cell r="H23" t="str">
            <v>am</v>
          </cell>
          <cell r="I23" t="str">
            <v>ap</v>
          </cell>
          <cell r="J23" t="str">
            <v>am</v>
          </cell>
          <cell r="K23" t="str">
            <v>ap</v>
          </cell>
          <cell r="L23" t="str">
            <v>am</v>
          </cell>
          <cell r="M23" t="str">
            <v>ap</v>
          </cell>
          <cell r="N23" t="str">
            <v>ㆰ</v>
          </cell>
          <cell r="O23" t="str">
            <v>ㄚㆴ</v>
          </cell>
          <cell r="P23" t="str">
            <v>am</v>
          </cell>
          <cell r="Q23" t="str">
            <v>ap</v>
          </cell>
        </row>
        <row r="24">
          <cell r="B24">
            <v>20</v>
          </cell>
          <cell r="C24" t="str">
            <v>瓜</v>
          </cell>
          <cell r="D24" t="str">
            <v>oa</v>
          </cell>
          <cell r="E24" t="str">
            <v>oah</v>
          </cell>
          <cell r="F24" t="str">
            <v>ua</v>
          </cell>
          <cell r="G24" t="str">
            <v>ua?</v>
          </cell>
          <cell r="H24" t="str">
            <v>oa</v>
          </cell>
          <cell r="I24" t="str">
            <v>oah</v>
          </cell>
          <cell r="J24" t="str">
            <v>ua</v>
          </cell>
          <cell r="K24" t="str">
            <v>uah</v>
          </cell>
          <cell r="L24" t="str">
            <v>ua</v>
          </cell>
          <cell r="M24" t="str">
            <v>uah</v>
          </cell>
          <cell r="N24" t="str">
            <v>ㄨㄚ</v>
          </cell>
          <cell r="O24" t="str">
            <v>ㄨㄚㆷ</v>
          </cell>
          <cell r="P24" t="str">
            <v>wa</v>
          </cell>
          <cell r="Q24" t="str">
            <v>wăh</v>
          </cell>
        </row>
        <row r="25">
          <cell r="B25">
            <v>21</v>
          </cell>
          <cell r="C25" t="str">
            <v>江</v>
          </cell>
          <cell r="D25" t="str">
            <v>ang</v>
          </cell>
          <cell r="E25" t="str">
            <v>ak</v>
          </cell>
          <cell r="F25" t="str">
            <v>aŋ</v>
          </cell>
          <cell r="G25" t="str">
            <v>ak̚</v>
          </cell>
          <cell r="H25" t="str">
            <v>ang</v>
          </cell>
          <cell r="I25" t="str">
            <v>ak</v>
          </cell>
          <cell r="J25" t="str">
            <v>ang</v>
          </cell>
          <cell r="K25" t="str">
            <v>ak</v>
          </cell>
          <cell r="L25" t="str">
            <v>ang</v>
          </cell>
          <cell r="M25" t="str">
            <v>ak</v>
          </cell>
          <cell r="N25" t="str">
            <v>ㄤ</v>
          </cell>
          <cell r="O25" t="str">
            <v>ㄚㆻ</v>
          </cell>
          <cell r="P25" t="str">
            <v>ang</v>
          </cell>
          <cell r="Q25" t="str">
            <v>ak</v>
          </cell>
        </row>
        <row r="26">
          <cell r="B26">
            <v>22</v>
          </cell>
          <cell r="C26" t="str">
            <v>兼</v>
          </cell>
          <cell r="D26" t="str">
            <v>iam</v>
          </cell>
          <cell r="E26" t="str">
            <v>iap</v>
          </cell>
          <cell r="F26" t="str">
            <v>iam</v>
          </cell>
          <cell r="G26" t="str">
            <v>iap̚</v>
          </cell>
          <cell r="H26" t="str">
            <v>iam</v>
          </cell>
          <cell r="I26" t="str">
            <v>iap</v>
          </cell>
          <cell r="J26" t="str">
            <v>iam</v>
          </cell>
          <cell r="K26" t="str">
            <v>iap</v>
          </cell>
          <cell r="L26" t="str">
            <v>iam</v>
          </cell>
          <cell r="M26" t="str">
            <v>iap</v>
          </cell>
          <cell r="N26" t="str">
            <v>ㄧㆰ</v>
          </cell>
          <cell r="O26" t="str">
            <v>ㄧㄚㆴ</v>
          </cell>
          <cell r="P26" t="str">
            <v>ëem</v>
          </cell>
          <cell r="Q26" t="str">
            <v>ëep</v>
          </cell>
        </row>
        <row r="27">
          <cell r="B27">
            <v>23</v>
          </cell>
          <cell r="C27" t="str">
            <v>交</v>
          </cell>
          <cell r="D27" t="str">
            <v>au</v>
          </cell>
          <cell r="E27" t="str">
            <v>auh</v>
          </cell>
          <cell r="F27" t="str">
            <v>aʊ</v>
          </cell>
          <cell r="G27" t="str">
            <v>au?</v>
          </cell>
          <cell r="H27" t="str">
            <v>au</v>
          </cell>
          <cell r="I27" t="str">
            <v>auh</v>
          </cell>
          <cell r="J27" t="str">
            <v>au</v>
          </cell>
          <cell r="K27" t="str">
            <v>auh</v>
          </cell>
          <cell r="L27" t="str">
            <v>ao</v>
          </cell>
          <cell r="M27" t="str">
            <v>aoh</v>
          </cell>
          <cell r="N27" t="str">
            <v>ㄠ</v>
          </cell>
          <cell r="O27" t="str">
            <v>ㄠㆷ</v>
          </cell>
          <cell r="P27" t="str">
            <v>aou</v>
          </cell>
          <cell r="Q27" t="str">
            <v>aoŭh</v>
          </cell>
          <cell r="R27" t="str">
            <v>aʊ</v>
          </cell>
        </row>
        <row r="28">
          <cell r="B28">
            <v>24</v>
          </cell>
          <cell r="C28" t="str">
            <v>迦</v>
          </cell>
          <cell r="D28" t="str">
            <v>ia</v>
          </cell>
          <cell r="E28" t="str">
            <v>iah</v>
          </cell>
          <cell r="F28" t="str">
            <v>ia</v>
          </cell>
          <cell r="G28" t="str">
            <v>ia?</v>
          </cell>
          <cell r="H28" t="str">
            <v>ia</v>
          </cell>
          <cell r="I28" t="str">
            <v>iah</v>
          </cell>
          <cell r="J28" t="str">
            <v>ia</v>
          </cell>
          <cell r="K28" t="str">
            <v>iah</v>
          </cell>
          <cell r="L28" t="str">
            <v>ia</v>
          </cell>
          <cell r="M28" t="str">
            <v>iah</v>
          </cell>
          <cell r="N28" t="str">
            <v>ㄧㄚ</v>
          </cell>
          <cell r="O28" t="str">
            <v>ㄧㄚㆷ</v>
          </cell>
          <cell r="P28" t="str">
            <v>ëa</v>
          </cell>
          <cell r="Q28" t="str">
            <v>ëăh</v>
          </cell>
          <cell r="R28" t="str">
            <v>【若】：梵文譯音用字，僅限翻念外來語特殊用法。例：般若波羅密多。</v>
          </cell>
        </row>
        <row r="29">
          <cell r="B29">
            <v>25</v>
          </cell>
          <cell r="C29" t="str">
            <v>檜</v>
          </cell>
          <cell r="D29" t="str">
            <v>oe</v>
          </cell>
          <cell r="E29" t="str">
            <v>oeh</v>
          </cell>
          <cell r="F29" t="str">
            <v>ue</v>
          </cell>
          <cell r="G29" t="str">
            <v>ue?</v>
          </cell>
          <cell r="H29" t="str">
            <v>oe</v>
          </cell>
          <cell r="I29" t="str">
            <v>oeh</v>
          </cell>
          <cell r="J29" t="str">
            <v>ue</v>
          </cell>
          <cell r="K29" t="str">
            <v>ueh</v>
          </cell>
          <cell r="L29" t="str">
            <v>ue</v>
          </cell>
          <cell r="M29" t="str">
            <v>ueh</v>
          </cell>
          <cell r="N29" t="str">
            <v>ㄨㆤ</v>
          </cell>
          <cell r="O29" t="str">
            <v>ㄨㆤㆷ</v>
          </cell>
          <cell r="P29" t="str">
            <v>öey</v>
          </cell>
          <cell r="Q29" t="str">
            <v>öĕyh</v>
          </cell>
        </row>
        <row r="30">
          <cell r="B30">
            <v>26</v>
          </cell>
          <cell r="C30" t="str">
            <v>監</v>
          </cell>
          <cell r="D30" t="str">
            <v>ann</v>
          </cell>
          <cell r="E30" t="str">
            <v>ahnn</v>
          </cell>
          <cell r="F30" t="str">
            <v>ã</v>
          </cell>
          <cell r="G30" t="str">
            <v>ã?</v>
          </cell>
          <cell r="H30" t="str">
            <v>aⁿ</v>
          </cell>
          <cell r="I30" t="str">
            <v>ahⁿ</v>
          </cell>
          <cell r="J30" t="str">
            <v>ann</v>
          </cell>
          <cell r="K30" t="str">
            <v>annh</v>
          </cell>
          <cell r="L30" t="str">
            <v>na</v>
          </cell>
          <cell r="M30" t="str">
            <v>nah</v>
          </cell>
          <cell r="N30" t="str">
            <v>ㆩ</v>
          </cell>
          <cell r="O30" t="str">
            <v>ㆩㆷ</v>
          </cell>
          <cell r="P30" t="str">
            <v>ⁿa</v>
          </cell>
          <cell r="Q30" t="str">
            <v>ⁿăh</v>
          </cell>
          <cell r="R30" t="str">
            <v>Lann = Na</v>
          </cell>
        </row>
        <row r="31">
          <cell r="B31">
            <v>27</v>
          </cell>
          <cell r="C31" t="str">
            <v>艍</v>
          </cell>
          <cell r="D31" t="str">
            <v>u</v>
          </cell>
          <cell r="E31" t="str">
            <v>uh</v>
          </cell>
          <cell r="F31" t="str">
            <v>u</v>
          </cell>
          <cell r="G31" t="str">
            <v>u?</v>
          </cell>
          <cell r="H31" t="str">
            <v>u</v>
          </cell>
          <cell r="I31" t="str">
            <v>uh</v>
          </cell>
          <cell r="J31" t="str">
            <v>u</v>
          </cell>
          <cell r="K31" t="str">
            <v>uh</v>
          </cell>
          <cell r="L31" t="str">
            <v>u</v>
          </cell>
          <cell r="M31" t="str">
            <v>uh</v>
          </cell>
          <cell r="N31" t="str">
            <v>ㄨ</v>
          </cell>
          <cell r="O31" t="str">
            <v>ㄨㆷ</v>
          </cell>
          <cell r="P31" t="str">
            <v>oo</v>
          </cell>
          <cell r="Q31" t="str">
            <v>oŏh</v>
          </cell>
          <cell r="R31" t="str">
            <v>海腔</v>
          </cell>
        </row>
        <row r="32">
          <cell r="B32">
            <v>28</v>
          </cell>
          <cell r="C32" t="str">
            <v>膠</v>
          </cell>
          <cell r="D32" t="str">
            <v>a</v>
          </cell>
          <cell r="E32" t="str">
            <v>ah</v>
          </cell>
          <cell r="F32" t="str">
            <v>a</v>
          </cell>
          <cell r="G32" t="str">
            <v>a?</v>
          </cell>
          <cell r="H32" t="str">
            <v>a</v>
          </cell>
          <cell r="I32" t="str">
            <v>ah</v>
          </cell>
          <cell r="J32" t="str">
            <v>a</v>
          </cell>
          <cell r="K32" t="str">
            <v>ah</v>
          </cell>
          <cell r="L32" t="str">
            <v>a</v>
          </cell>
          <cell r="M32" t="str">
            <v>ah</v>
          </cell>
          <cell r="N32" t="str">
            <v>ㄚ</v>
          </cell>
          <cell r="O32" t="str">
            <v>ㄚㆷ</v>
          </cell>
          <cell r="P32" t="str">
            <v>a</v>
          </cell>
          <cell r="Q32" t="str">
            <v>ăh</v>
          </cell>
        </row>
        <row r="33">
          <cell r="B33">
            <v>29</v>
          </cell>
          <cell r="C33" t="str">
            <v>居</v>
          </cell>
          <cell r="D33" t="str">
            <v>i</v>
          </cell>
          <cell r="E33" t="str">
            <v>ih</v>
          </cell>
          <cell r="F33" t="str">
            <v>i</v>
          </cell>
          <cell r="G33" t="str">
            <v>i?</v>
          </cell>
          <cell r="H33" t="str">
            <v>i</v>
          </cell>
          <cell r="I33" t="str">
            <v>ih</v>
          </cell>
          <cell r="J33" t="str">
            <v>i</v>
          </cell>
          <cell r="K33" t="str">
            <v>ih</v>
          </cell>
          <cell r="L33" t="str">
            <v>i</v>
          </cell>
          <cell r="M33" t="str">
            <v>ih</v>
          </cell>
          <cell r="N33" t="str">
            <v>ㄧ</v>
          </cell>
          <cell r="O33" t="str">
            <v>ㄧㆷ</v>
          </cell>
          <cell r="P33" t="str">
            <v>e</v>
          </cell>
          <cell r="Q33" t="str">
            <v>eĕh</v>
          </cell>
        </row>
        <row r="34">
          <cell r="B34">
            <v>30</v>
          </cell>
          <cell r="C34" t="str">
            <v>丩</v>
          </cell>
          <cell r="D34" t="str">
            <v>iu</v>
          </cell>
          <cell r="E34" t="str">
            <v>iuh</v>
          </cell>
          <cell r="F34" t="str">
            <v>iu</v>
          </cell>
          <cell r="G34" t="str">
            <v>iu?</v>
          </cell>
          <cell r="H34" t="str">
            <v>iu</v>
          </cell>
          <cell r="I34" t="str">
            <v>iuh</v>
          </cell>
          <cell r="J34" t="str">
            <v>iu</v>
          </cell>
          <cell r="K34" t="str">
            <v>iuh</v>
          </cell>
          <cell r="L34" t="str">
            <v>iu</v>
          </cell>
          <cell r="M34" t="str">
            <v>iuh</v>
          </cell>
          <cell r="N34" t="str">
            <v>ㄧㄨ</v>
          </cell>
          <cell r="O34" t="str">
            <v>ㄧㄨㆷ</v>
          </cell>
          <cell r="P34" t="str">
            <v>ew</v>
          </cell>
        </row>
        <row r="35">
          <cell r="B35">
            <v>31</v>
          </cell>
          <cell r="C35" t="str">
            <v>更</v>
          </cell>
          <cell r="D35" t="str">
            <v>enn</v>
          </cell>
          <cell r="E35" t="str">
            <v>ehnn</v>
          </cell>
          <cell r="F35" t="str">
            <v>ẽ</v>
          </cell>
          <cell r="G35" t="str">
            <v>ẽ?</v>
          </cell>
          <cell r="H35" t="str">
            <v>eⁿ</v>
          </cell>
          <cell r="I35" t="str">
            <v>ehⁿ</v>
          </cell>
          <cell r="J35" t="str">
            <v>enn</v>
          </cell>
          <cell r="K35" t="str">
            <v>ennh</v>
          </cell>
          <cell r="L35" t="str">
            <v>ne</v>
          </cell>
          <cell r="M35" t="str">
            <v>neh</v>
          </cell>
          <cell r="N35" t="str">
            <v>ㆥ</v>
          </cell>
          <cell r="O35" t="str">
            <v>ㆥㆷ</v>
          </cell>
          <cell r="P35" t="str">
            <v>aiⁿᶢ</v>
          </cell>
          <cell r="Q35" t="str">
            <v>aĭⁿᶢh</v>
          </cell>
          <cell r="R35" t="str">
            <v>箏</v>
          </cell>
        </row>
        <row r="36">
          <cell r="B36">
            <v>32</v>
          </cell>
          <cell r="C36" t="str">
            <v>褌</v>
          </cell>
          <cell r="D36" t="str">
            <v>uinn</v>
          </cell>
          <cell r="E36" t="str">
            <v>uinnh</v>
          </cell>
          <cell r="F36" t="str">
            <v>ũĩ</v>
          </cell>
          <cell r="G36" t="str">
            <v>ũĩ?</v>
          </cell>
          <cell r="H36" t="str">
            <v>uiⁿ</v>
          </cell>
          <cell r="I36" t="str">
            <v>uihⁿ</v>
          </cell>
          <cell r="J36" t="str">
            <v>uinn</v>
          </cell>
          <cell r="K36" t="str">
            <v>uinnh</v>
          </cell>
          <cell r="L36" t="str">
            <v>nui</v>
          </cell>
          <cell r="M36" t="str">
            <v>nuih</v>
          </cell>
          <cell r="N36" t="str">
            <v>ㄨㆪ</v>
          </cell>
          <cell r="O36" t="str">
            <v>ㄨㆪㆷ</v>
          </cell>
          <cell r="P36" t="str">
            <v>wuiⁿᶢ</v>
          </cell>
          <cell r="R36" t="str">
            <v>【彙音】褌：-ng</v>
          </cell>
        </row>
        <row r="37">
          <cell r="B37">
            <v>33</v>
          </cell>
          <cell r="C37" t="str">
            <v>茄</v>
          </cell>
          <cell r="D37" t="str">
            <v>io</v>
          </cell>
          <cell r="E37" t="str">
            <v>ioh</v>
          </cell>
          <cell r="F37" t="str">
            <v>io</v>
          </cell>
          <cell r="G37" t="str">
            <v>iə?</v>
          </cell>
          <cell r="H37" t="str">
            <v>io</v>
          </cell>
          <cell r="I37" t="str">
            <v>ioh</v>
          </cell>
          <cell r="J37" t="str">
            <v>io</v>
          </cell>
          <cell r="K37" t="str">
            <v>ioh</v>
          </cell>
          <cell r="L37" t="str">
            <v>io</v>
          </cell>
          <cell r="M37" t="str">
            <v>ioh</v>
          </cell>
          <cell r="N37" t="str">
            <v>ㄧㄜ</v>
          </cell>
          <cell r="O37" t="str">
            <v>ㄧㄜㆷ</v>
          </cell>
          <cell r="P37" t="str">
            <v>ëo</v>
          </cell>
          <cell r="Q37" t="str">
            <v>ëŏh</v>
          </cell>
        </row>
        <row r="38">
          <cell r="B38">
            <v>34</v>
          </cell>
          <cell r="C38" t="str">
            <v>梔</v>
          </cell>
          <cell r="D38" t="str">
            <v>inn</v>
          </cell>
          <cell r="E38" t="str">
            <v>ihnn</v>
          </cell>
          <cell r="F38" t="str">
            <v>ĩ</v>
          </cell>
          <cell r="G38" t="str">
            <v>ĩ?</v>
          </cell>
          <cell r="H38" t="str">
            <v>iⁿ</v>
          </cell>
          <cell r="I38" t="str">
            <v>iⁿh</v>
          </cell>
          <cell r="J38" t="str">
            <v>inn</v>
          </cell>
          <cell r="K38" t="str">
            <v>innh</v>
          </cell>
          <cell r="L38" t="str">
            <v>ni</v>
          </cell>
          <cell r="M38" t="str">
            <v>nih</v>
          </cell>
          <cell r="N38" t="str">
            <v>ㆪ</v>
          </cell>
          <cell r="O38" t="str">
            <v>ㆪ</v>
          </cell>
          <cell r="P38" t="str">
            <v>eeⁿᶢ</v>
          </cell>
          <cell r="Q38" t="str">
            <v>eĕⁿᶢh</v>
          </cell>
        </row>
        <row r="39">
          <cell r="B39">
            <v>35</v>
          </cell>
          <cell r="C39" t="str">
            <v>薑</v>
          </cell>
          <cell r="D39" t="str">
            <v>ionn</v>
          </cell>
          <cell r="E39" t="str">
            <v>ionnh</v>
          </cell>
          <cell r="F39" t="str">
            <v>ĩɔ̃</v>
          </cell>
          <cell r="G39" t="str">
            <v>ĩɔ̃?</v>
          </cell>
          <cell r="H39" t="str">
            <v>ioⁿ</v>
          </cell>
          <cell r="I39" t="str">
            <v>iohⁿ</v>
          </cell>
          <cell r="J39" t="str">
            <v>ionn</v>
          </cell>
          <cell r="K39" t="str">
            <v>ionnh</v>
          </cell>
          <cell r="L39" t="str">
            <v>nioo</v>
          </cell>
          <cell r="M39" t="str">
            <v>niooh</v>
          </cell>
          <cell r="N39" t="str">
            <v>ㄧㆧ</v>
          </cell>
          <cell r="O39" t="str">
            <v>ㄧㆧㆷ</v>
          </cell>
          <cell r="P39" t="str">
            <v>ëoⁿᶢ</v>
          </cell>
          <cell r="R39" t="str">
            <v>彙音的薑轉到牛</v>
          </cell>
        </row>
        <row r="40">
          <cell r="B40">
            <v>36</v>
          </cell>
          <cell r="C40" t="str">
            <v>驚</v>
          </cell>
          <cell r="D40" t="str">
            <v>iann</v>
          </cell>
          <cell r="E40" t="str">
            <v>iannh</v>
          </cell>
          <cell r="F40" t="str">
            <v>ĩã</v>
          </cell>
          <cell r="G40" t="str">
            <v>iãh</v>
          </cell>
          <cell r="H40" t="str">
            <v>iaⁿ</v>
          </cell>
          <cell r="I40" t="str">
            <v>iahⁿ</v>
          </cell>
          <cell r="J40" t="str">
            <v>iann</v>
          </cell>
          <cell r="K40" t="str">
            <v>iannh</v>
          </cell>
          <cell r="L40" t="str">
            <v>nia</v>
          </cell>
          <cell r="M40" t="str">
            <v>niah</v>
          </cell>
          <cell r="N40" t="str">
            <v>ㄧㆩ</v>
          </cell>
          <cell r="O40" t="str">
            <v>ㄧㆩㆷ</v>
          </cell>
          <cell r="P40" t="str">
            <v>ëⁿa</v>
          </cell>
          <cell r="R40" t="str">
            <v>娘： Liann5</v>
          </cell>
        </row>
        <row r="41">
          <cell r="B41">
            <v>37</v>
          </cell>
          <cell r="C41" t="str">
            <v>官</v>
          </cell>
          <cell r="D41" t="str">
            <v>oann</v>
          </cell>
          <cell r="E41" t="str">
            <v>oannh</v>
          </cell>
          <cell r="F41" t="str">
            <v>ũã</v>
          </cell>
          <cell r="G41" t="str">
            <v>ũã?</v>
          </cell>
          <cell r="H41" t="str">
            <v>oaⁿ</v>
          </cell>
          <cell r="I41" t="str">
            <v>oahⁿ</v>
          </cell>
          <cell r="J41" t="str">
            <v>uann</v>
          </cell>
          <cell r="K41" t="str">
            <v>uannh</v>
          </cell>
          <cell r="L41" t="str">
            <v>nua</v>
          </cell>
          <cell r="M41" t="str">
            <v>nuah</v>
          </cell>
          <cell r="N41" t="str">
            <v>ㄨㆩ</v>
          </cell>
          <cell r="O41" t="str">
            <v>ㄨㆩㆷ</v>
          </cell>
          <cell r="P41" t="str">
            <v>wⁿa</v>
          </cell>
        </row>
        <row r="42">
          <cell r="B42">
            <v>38</v>
          </cell>
          <cell r="C42" t="str">
            <v>鋼</v>
          </cell>
          <cell r="D42" t="str">
            <v>ng</v>
          </cell>
          <cell r="E42" t="str">
            <v>ngh</v>
          </cell>
          <cell r="F42" t="str">
            <v>ŋ̍</v>
          </cell>
          <cell r="G42" t="str">
            <v>ŋ̍h</v>
          </cell>
          <cell r="H42" t="str">
            <v>ng</v>
          </cell>
          <cell r="I42" t="str">
            <v>ngh</v>
          </cell>
          <cell r="J42" t="str">
            <v>ng</v>
          </cell>
          <cell r="K42" t="str">
            <v>ngh</v>
          </cell>
          <cell r="L42" t="str">
            <v>ng</v>
          </cell>
          <cell r="M42" t="str">
            <v>ngh</v>
          </cell>
          <cell r="N42" t="str">
            <v>ㆭ</v>
          </cell>
          <cell r="O42" t="str">
            <v>ㆭㆷ</v>
          </cell>
          <cell r="P42" t="str">
            <v>eⁿᶢ</v>
          </cell>
        </row>
        <row r="43">
          <cell r="B43">
            <v>39</v>
          </cell>
          <cell r="C43" t="str">
            <v>伽</v>
          </cell>
          <cell r="D43" t="str">
            <v>e</v>
          </cell>
          <cell r="E43" t="str">
            <v>eh</v>
          </cell>
          <cell r="F43" t="str">
            <v>e</v>
          </cell>
          <cell r="G43" t="str">
            <v>e?</v>
          </cell>
          <cell r="H43" t="str">
            <v>e</v>
          </cell>
          <cell r="I43" t="str">
            <v>eh</v>
          </cell>
          <cell r="J43" t="str">
            <v>e</v>
          </cell>
          <cell r="K43" t="str">
            <v>eh</v>
          </cell>
          <cell r="L43" t="str">
            <v>e</v>
          </cell>
          <cell r="M43" t="str">
            <v>eh</v>
          </cell>
          <cell r="N43" t="str">
            <v>ㆤ</v>
          </cell>
          <cell r="O43" t="str">
            <v>ㆤㆷ</v>
          </cell>
          <cell r="P43" t="str">
            <v>ay</v>
          </cell>
          <cell r="Q43" t="str">
            <v>ăyh</v>
          </cell>
        </row>
        <row r="44">
          <cell r="B44">
            <v>40</v>
          </cell>
          <cell r="C44" t="str">
            <v>閒</v>
          </cell>
          <cell r="D44" t="str">
            <v>ainn</v>
          </cell>
          <cell r="E44" t="str">
            <v>ainnh</v>
          </cell>
          <cell r="F44" t="str">
            <v>ãĩ</v>
          </cell>
          <cell r="G44" t="str">
            <v>ãĩ?</v>
          </cell>
          <cell r="H44" t="str">
            <v>aiⁿ</v>
          </cell>
          <cell r="I44" t="str">
            <v>aihⁿ</v>
          </cell>
          <cell r="J44" t="str">
            <v>ainn</v>
          </cell>
          <cell r="K44" t="str">
            <v>ainnh</v>
          </cell>
          <cell r="L44" t="str">
            <v>nai</v>
          </cell>
          <cell r="M44" t="str">
            <v>naih</v>
          </cell>
          <cell r="N44" t="str">
            <v>ㆮ</v>
          </cell>
          <cell r="O44" t="str">
            <v>ㆮㆷ</v>
          </cell>
          <cell r="P44" t="str">
            <v>aeⁿᶢ</v>
          </cell>
          <cell r="R44" t="str">
            <v>閒：Kainn1，為「同安」音；間：Kainn1</v>
          </cell>
        </row>
        <row r="45">
          <cell r="B45">
            <v>41</v>
          </cell>
          <cell r="C45" t="str">
            <v>姑</v>
          </cell>
          <cell r="D45" t="str">
            <v>onn</v>
          </cell>
          <cell r="E45" t="str">
            <v>onnh</v>
          </cell>
          <cell r="F45" t="str">
            <v>ɔ̃</v>
          </cell>
          <cell r="G45" t="str">
            <v>ɔ̃?</v>
          </cell>
          <cell r="H45" t="str">
            <v>oⁿ</v>
          </cell>
          <cell r="I45" t="str">
            <v>ohⁿ</v>
          </cell>
          <cell r="J45" t="str">
            <v>onn</v>
          </cell>
          <cell r="K45" t="str">
            <v>onnh</v>
          </cell>
          <cell r="L45" t="str">
            <v>noo</v>
          </cell>
          <cell r="M45" t="str">
            <v>nooh</v>
          </cell>
          <cell r="N45" t="str">
            <v>ㆧ</v>
          </cell>
          <cell r="O45" t="str">
            <v>ㆧㆷ</v>
          </cell>
          <cell r="P45" t="str">
            <v>ⁿoe</v>
          </cell>
          <cell r="R45" t="str">
            <v>台羅 oonn = ounn</v>
          </cell>
        </row>
        <row r="46">
          <cell r="B46">
            <v>42</v>
          </cell>
          <cell r="C46" t="str">
            <v>姆</v>
          </cell>
          <cell r="D46" t="str">
            <v>m</v>
          </cell>
          <cell r="E46" t="str">
            <v>mh</v>
          </cell>
          <cell r="F46" t="str">
            <v>m̩</v>
          </cell>
          <cell r="G46" t="str">
            <v>m̩h</v>
          </cell>
          <cell r="H46" t="str">
            <v>m</v>
          </cell>
          <cell r="I46" t="str">
            <v>mh</v>
          </cell>
          <cell r="J46" t="str">
            <v>m</v>
          </cell>
          <cell r="K46" t="str">
            <v>mh</v>
          </cell>
          <cell r="L46" t="str">
            <v>m</v>
          </cell>
          <cell r="M46" t="str">
            <v>mh</v>
          </cell>
          <cell r="N46" t="str">
            <v>ㆬ</v>
          </cell>
          <cell r="O46" t="str">
            <v>ㆬㆷ</v>
          </cell>
          <cell r="P46" t="str">
            <v>uᵐ</v>
          </cell>
        </row>
        <row r="47">
          <cell r="B47">
            <v>43</v>
          </cell>
          <cell r="C47" t="str">
            <v>光</v>
          </cell>
          <cell r="D47" t="str">
            <v>oang</v>
          </cell>
          <cell r="E47" t="str">
            <v>oak</v>
          </cell>
          <cell r="F47" t="str">
            <v>uaŋ</v>
          </cell>
          <cell r="G47" t="str">
            <v>uak̚</v>
          </cell>
          <cell r="H47" t="str">
            <v>oang</v>
          </cell>
          <cell r="I47" t="str">
            <v>oak</v>
          </cell>
          <cell r="J47" t="str">
            <v>uang</v>
          </cell>
          <cell r="K47" t="str">
            <v>uak</v>
          </cell>
          <cell r="L47" t="str">
            <v>uang</v>
          </cell>
          <cell r="M47" t="str">
            <v>uak</v>
          </cell>
          <cell r="N47" t="str">
            <v>ㄨㄤ</v>
          </cell>
          <cell r="O47" t="str">
            <v>ㄨㄚㆻ</v>
          </cell>
          <cell r="P47" t="str">
            <v>wang</v>
          </cell>
          <cell r="Q47" t="str">
            <v>wak</v>
          </cell>
        </row>
        <row r="48">
          <cell r="B48">
            <v>44</v>
          </cell>
          <cell r="C48" t="str">
            <v>閂</v>
          </cell>
          <cell r="D48" t="str">
            <v>oainn</v>
          </cell>
          <cell r="E48" t="str">
            <v>oaihnn</v>
          </cell>
          <cell r="F48" t="str">
            <v>ũãĩ</v>
          </cell>
          <cell r="G48" t="str">
            <v>uãĩ?</v>
          </cell>
          <cell r="H48" t="str">
            <v>oaiⁿ</v>
          </cell>
          <cell r="I48" t="str">
            <v>oaiⁿh</v>
          </cell>
          <cell r="J48" t="str">
            <v>uainn</v>
          </cell>
          <cell r="K48" t="str">
            <v>uainnh</v>
          </cell>
          <cell r="L48" t="str">
            <v>nuai</v>
          </cell>
          <cell r="M48" t="str">
            <v>nuaih</v>
          </cell>
          <cell r="N48" t="str">
            <v>ㄨㆮ</v>
          </cell>
          <cell r="O48" t="str">
            <v>ㄨㆮㆷ</v>
          </cell>
          <cell r="P48" t="str">
            <v>waeⁿᶢ</v>
          </cell>
          <cell r="Q48" t="str">
            <v>waĕⁿᶢh</v>
          </cell>
          <cell r="R48" t="str">
            <v>閂 (Tshuann) : 興事的意思</v>
          </cell>
        </row>
        <row r="49">
          <cell r="B49">
            <v>45</v>
          </cell>
          <cell r="C49" t="str">
            <v>糜</v>
          </cell>
          <cell r="D49" t="str">
            <v>oenn</v>
          </cell>
          <cell r="E49" t="str">
            <v>oennh</v>
          </cell>
          <cell r="F49" t="str">
            <v>ũẽ</v>
          </cell>
          <cell r="G49" t="str">
            <v>ũẽ?</v>
          </cell>
          <cell r="H49" t="str">
            <v>oeⁿ</v>
          </cell>
          <cell r="I49" t="str">
            <v>oehⁿ</v>
          </cell>
          <cell r="J49" t="str">
            <v>uenn</v>
          </cell>
          <cell r="K49" t="str">
            <v>uennh</v>
          </cell>
          <cell r="L49" t="str">
            <v>nue</v>
          </cell>
          <cell r="M49" t="str">
            <v>nueh</v>
          </cell>
          <cell r="N49" t="str">
            <v>ㄨㆥ</v>
          </cell>
          <cell r="O49" t="str">
            <v>ㄨㆥㆷ</v>
          </cell>
          <cell r="P49" t="str">
            <v>ⁿöey</v>
          </cell>
          <cell r="R49" t="str">
            <v>檜、糜：現在漳州各地主要腔口不存在 /i/ 尾，亦爲簡便故，今式羅馬字僅寫ue</v>
          </cell>
        </row>
        <row r="50">
          <cell r="B50">
            <v>46</v>
          </cell>
          <cell r="C50" t="str">
            <v>嘄</v>
          </cell>
          <cell r="D50" t="str">
            <v>iaunn</v>
          </cell>
          <cell r="E50" t="str">
            <v>iauhnn</v>
          </cell>
          <cell r="F50" t="str">
            <v>ĩãũ</v>
          </cell>
          <cell r="G50" t="str">
            <v>ĩãũ?</v>
          </cell>
          <cell r="H50" t="str">
            <v>iauⁿ</v>
          </cell>
          <cell r="I50" t="str">
            <v>iauⁿh</v>
          </cell>
          <cell r="J50" t="str">
            <v>iaunn</v>
          </cell>
          <cell r="K50" t="str">
            <v>iaunnh</v>
          </cell>
          <cell r="L50" t="str">
            <v>niao</v>
          </cell>
          <cell r="M50" t="str">
            <v>niaoh</v>
          </cell>
          <cell r="N50" t="str">
            <v>ㄧㆯ</v>
          </cell>
          <cell r="O50" t="str">
            <v>ㄧㆯㆷ</v>
          </cell>
          <cell r="P50" t="str">
            <v>ⁿeaou</v>
          </cell>
          <cell r="Q50" t="str">
            <v>ⁿeaoŭh</v>
          </cell>
        </row>
        <row r="51">
          <cell r="B51">
            <v>47</v>
          </cell>
          <cell r="C51" t="str">
            <v>箴</v>
          </cell>
          <cell r="D51" t="str">
            <v>om</v>
          </cell>
          <cell r="E51" t="str">
            <v>op</v>
          </cell>
          <cell r="F51" t="str">
            <v>ɔm</v>
          </cell>
          <cell r="G51" t="str">
            <v>ɔp̚</v>
          </cell>
          <cell r="H51" t="str">
            <v>om</v>
          </cell>
          <cell r="I51" t="str">
            <v>op</v>
          </cell>
          <cell r="J51" t="str">
            <v>om</v>
          </cell>
          <cell r="K51" t="str">
            <v>op</v>
          </cell>
          <cell r="L51" t="str">
            <v>om</v>
          </cell>
          <cell r="M51" t="str">
            <v>op</v>
          </cell>
          <cell r="N51" t="str">
            <v>ㆱ</v>
          </cell>
          <cell r="O51" t="str">
            <v>ㆦㆴ</v>
          </cell>
          <cell r="P51" t="str">
            <v>om</v>
          </cell>
          <cell r="Q51" t="str">
            <v>ŏmh</v>
          </cell>
        </row>
        <row r="52">
          <cell r="B52">
            <v>48</v>
          </cell>
          <cell r="C52" t="str">
            <v>爻</v>
          </cell>
          <cell r="D52" t="str">
            <v>aunn</v>
          </cell>
          <cell r="E52" t="str">
            <v>aunnh</v>
          </cell>
          <cell r="F52" t="str">
            <v>ãũ</v>
          </cell>
          <cell r="G52" t="str">
            <v>ãũ?</v>
          </cell>
          <cell r="H52" t="str">
            <v>auⁿ</v>
          </cell>
          <cell r="I52" t="str">
            <v>auhⁿ</v>
          </cell>
          <cell r="J52" t="str">
            <v>aunn</v>
          </cell>
          <cell r="K52" t="str">
            <v>aunnh</v>
          </cell>
          <cell r="L52" t="str">
            <v>nao</v>
          </cell>
          <cell r="M52" t="str">
            <v>naoh</v>
          </cell>
          <cell r="N52" t="str">
            <v>ㆯ</v>
          </cell>
          <cell r="O52" t="str">
            <v>ㆯㆷ</v>
          </cell>
          <cell r="P52" t="str">
            <v>ⁿaou</v>
          </cell>
        </row>
        <row r="53">
          <cell r="B53">
            <v>49</v>
          </cell>
          <cell r="C53" t="str">
            <v>扛</v>
          </cell>
          <cell r="D53" t="str">
            <v>onn</v>
          </cell>
          <cell r="E53" t="str">
            <v>ohnn</v>
          </cell>
          <cell r="F53" t="str">
            <v>õ</v>
          </cell>
          <cell r="G53" t="str">
            <v>õh</v>
          </cell>
          <cell r="H53" t="str">
            <v>oⁿ</v>
          </cell>
          <cell r="I53" t="str">
            <v>ohⁿ</v>
          </cell>
          <cell r="J53" t="str">
            <v>onn</v>
          </cell>
          <cell r="K53" t="str">
            <v>onnh</v>
          </cell>
          <cell r="L53" t="str">
            <v>no</v>
          </cell>
          <cell r="M53" t="str">
            <v>noh</v>
          </cell>
          <cell r="N53" t="str">
            <v>ㆧ</v>
          </cell>
          <cell r="O53" t="str">
            <v>ㆧㆷ</v>
          </cell>
          <cell r="P53" t="str">
            <v>ⁿo</v>
          </cell>
          <cell r="Q53" t="str">
            <v>ⁿŏh</v>
          </cell>
          <cell r="R53" t="str">
            <v>長泰音</v>
          </cell>
        </row>
        <row r="54">
          <cell r="B54">
            <v>50</v>
          </cell>
          <cell r="C54" t="str">
            <v>牛</v>
          </cell>
          <cell r="D54" t="str">
            <v>iunn</v>
          </cell>
          <cell r="E54" t="str">
            <v>iunnh</v>
          </cell>
          <cell r="F54" t="str">
            <v>ĩũ</v>
          </cell>
          <cell r="G54" t="str">
            <v>iũh</v>
          </cell>
          <cell r="H54" t="str">
            <v>iuⁿ</v>
          </cell>
          <cell r="I54" t="str">
            <v>iuhⁿ</v>
          </cell>
          <cell r="J54" t="str">
            <v>iunn</v>
          </cell>
          <cell r="K54" t="str">
            <v>iunnh</v>
          </cell>
          <cell r="L54" t="str">
            <v>niu</v>
          </cell>
          <cell r="M54" t="str">
            <v>niuh</v>
          </cell>
          <cell r="N54" t="str">
            <v>ㄧㆫ</v>
          </cell>
          <cell r="O54" t="str">
            <v>ㄧㆫㆷ</v>
          </cell>
          <cell r="P54" t="str">
            <v>ⁿew</v>
          </cell>
        </row>
      </sheetData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>
        <row r="5">
          <cell r="R5" t="str">
            <v>ūn</v>
          </cell>
          <cell r="S5" t="str">
            <v>ún</v>
          </cell>
          <cell r="T5" t="str">
            <v>ǔn</v>
          </cell>
          <cell r="U5" t="str">
            <v>ǔt</v>
          </cell>
          <cell r="V5" t="str">
            <v>ùn</v>
          </cell>
          <cell r="W5" t="str">
            <v>ûn</v>
          </cell>
          <cell r="X5" t="str">
            <v>ūn</v>
          </cell>
          <cell r="Y5" t="str">
            <v>út</v>
          </cell>
        </row>
        <row r="6">
          <cell r="R6" t="str">
            <v>iān</v>
          </cell>
          <cell r="S6" t="str">
            <v>ián</v>
          </cell>
          <cell r="T6" t="str">
            <v>iǎn</v>
          </cell>
          <cell r="U6" t="str">
            <v>iǎt</v>
          </cell>
          <cell r="V6" t="str">
            <v>iàn</v>
          </cell>
          <cell r="W6" t="str">
            <v>iân</v>
          </cell>
          <cell r="X6" t="str">
            <v>iān</v>
          </cell>
          <cell r="Y6" t="str">
            <v>iát</v>
          </cell>
        </row>
        <row r="7">
          <cell r="R7" t="str">
            <v>īm</v>
          </cell>
          <cell r="S7" t="str">
            <v>ím</v>
          </cell>
          <cell r="T7" t="str">
            <v>ǐm</v>
          </cell>
          <cell r="U7" t="str">
            <v>ǐp</v>
          </cell>
          <cell r="V7" t="str">
            <v>ìm</v>
          </cell>
          <cell r="W7" t="str">
            <v>îm</v>
          </cell>
          <cell r="X7" t="str">
            <v>īm</v>
          </cell>
          <cell r="Y7" t="str">
            <v>íp</v>
          </cell>
        </row>
        <row r="8">
          <cell r="R8" t="str">
            <v>ūi</v>
          </cell>
          <cell r="S8" t="str">
            <v>úi</v>
          </cell>
          <cell r="T8" t="str">
            <v>ǔi</v>
          </cell>
          <cell r="U8" t="str">
            <v>ǔih</v>
          </cell>
          <cell r="V8" t="str">
            <v>ùi</v>
          </cell>
          <cell r="W8" t="str">
            <v>ûi</v>
          </cell>
          <cell r="X8" t="str">
            <v>ūi</v>
          </cell>
          <cell r="Y8" t="str">
            <v>úih</v>
          </cell>
        </row>
        <row r="9">
          <cell r="R9" t="str">
            <v>ē</v>
          </cell>
          <cell r="S9" t="str">
            <v>é</v>
          </cell>
          <cell r="T9" t="str">
            <v>ě</v>
          </cell>
          <cell r="U9" t="str">
            <v>ěh</v>
          </cell>
          <cell r="V9" t="str">
            <v>è</v>
          </cell>
          <cell r="W9" t="str">
            <v>ê</v>
          </cell>
          <cell r="X9" t="str">
            <v>ē</v>
          </cell>
          <cell r="Y9" t="str">
            <v>éh</v>
          </cell>
        </row>
        <row r="10">
          <cell r="R10" t="str">
            <v>ān</v>
          </cell>
          <cell r="S10" t="str">
            <v>án</v>
          </cell>
          <cell r="T10" t="str">
            <v>ǎn</v>
          </cell>
          <cell r="U10" t="str">
            <v>ǎt</v>
          </cell>
          <cell r="V10" t="str">
            <v>àn</v>
          </cell>
          <cell r="W10" t="str">
            <v>ân</v>
          </cell>
          <cell r="X10" t="str">
            <v>ān</v>
          </cell>
          <cell r="Y10" t="str">
            <v>át</v>
          </cell>
        </row>
        <row r="11">
          <cell r="R11" t="str">
            <v>ōng</v>
          </cell>
          <cell r="S11" t="str">
            <v>óng</v>
          </cell>
          <cell r="T11" t="str">
            <v>ǒng</v>
          </cell>
          <cell r="U11" t="str">
            <v>ǒk</v>
          </cell>
          <cell r="V11" t="str">
            <v>òng</v>
          </cell>
          <cell r="W11" t="str">
            <v>ông</v>
          </cell>
          <cell r="X11" t="str">
            <v>ōng</v>
          </cell>
          <cell r="Y11" t="str">
            <v>ók</v>
          </cell>
        </row>
        <row r="12">
          <cell r="R12" t="str">
            <v>uāi</v>
          </cell>
          <cell r="S12" t="str">
            <v>uái</v>
          </cell>
          <cell r="T12" t="str">
            <v>uǎi</v>
          </cell>
          <cell r="U12" t="str">
            <v>uǎih</v>
          </cell>
          <cell r="V12" t="str">
            <v>uài</v>
          </cell>
          <cell r="W12" t="str">
            <v>uâi</v>
          </cell>
          <cell r="X12" t="str">
            <v>uāi</v>
          </cell>
          <cell r="Y12" t="str">
            <v>uáih</v>
          </cell>
        </row>
        <row r="13">
          <cell r="R13" t="str">
            <v>īng</v>
          </cell>
          <cell r="S13" t="str">
            <v>íng</v>
          </cell>
          <cell r="T13" t="str">
            <v>ǐng</v>
          </cell>
          <cell r="U13" t="str">
            <v>ǐk</v>
          </cell>
          <cell r="V13" t="str">
            <v>ìng</v>
          </cell>
          <cell r="W13" t="str">
            <v>îng</v>
          </cell>
          <cell r="X13" t="str">
            <v>īng</v>
          </cell>
          <cell r="Y13" t="str">
            <v>ík</v>
          </cell>
        </row>
        <row r="14">
          <cell r="R14" t="str">
            <v>uān</v>
          </cell>
          <cell r="S14" t="str">
            <v>uán</v>
          </cell>
          <cell r="T14" t="str">
            <v>uǎn</v>
          </cell>
          <cell r="U14" t="str">
            <v>uǎt</v>
          </cell>
          <cell r="V14" t="str">
            <v>uàn</v>
          </cell>
          <cell r="W14" t="str">
            <v>uân</v>
          </cell>
          <cell r="X14" t="str">
            <v>uān</v>
          </cell>
          <cell r="Y14" t="str">
            <v>uát</v>
          </cell>
        </row>
        <row r="15">
          <cell r="R15" t="str">
            <v>ōo</v>
          </cell>
          <cell r="S15" t="str">
            <v>óo</v>
          </cell>
          <cell r="T15" t="str">
            <v>ǒo</v>
          </cell>
          <cell r="U15" t="str">
            <v>ǒoh</v>
          </cell>
          <cell r="V15" t="str">
            <v>òo</v>
          </cell>
          <cell r="W15" t="str">
            <v>ôo</v>
          </cell>
          <cell r="X15" t="str">
            <v>ōo</v>
          </cell>
          <cell r="Y15" t="str">
            <v>óoh</v>
          </cell>
        </row>
        <row r="16">
          <cell r="R16" t="str">
            <v>iāo</v>
          </cell>
          <cell r="S16" t="str">
            <v>iáo</v>
          </cell>
          <cell r="T16" t="str">
            <v>iǎo</v>
          </cell>
          <cell r="U16" t="str">
            <v>iǎoh</v>
          </cell>
          <cell r="V16" t="str">
            <v>iào</v>
          </cell>
          <cell r="W16" t="str">
            <v>iâo</v>
          </cell>
          <cell r="X16" t="str">
            <v>iāo</v>
          </cell>
          <cell r="Y16" t="str">
            <v>iáoh</v>
          </cell>
        </row>
        <row r="17">
          <cell r="R17" t="str">
            <v>ē</v>
          </cell>
          <cell r="S17" t="str">
            <v>é</v>
          </cell>
          <cell r="T17" t="str">
            <v>ě</v>
          </cell>
          <cell r="U17" t="str">
            <v>ěh</v>
          </cell>
          <cell r="V17" t="str">
            <v>è</v>
          </cell>
          <cell r="W17" t="str">
            <v>ê</v>
          </cell>
          <cell r="X17" t="str">
            <v>ē</v>
          </cell>
          <cell r="Y17" t="str">
            <v>éh</v>
          </cell>
        </row>
        <row r="18">
          <cell r="R18" t="str">
            <v>iōng</v>
          </cell>
          <cell r="S18" t="str">
            <v>ióng</v>
          </cell>
          <cell r="T18" t="str">
            <v>iǒng</v>
          </cell>
          <cell r="U18" t="str">
            <v>iǒk</v>
          </cell>
          <cell r="V18" t="str">
            <v>iòng</v>
          </cell>
          <cell r="W18" t="str">
            <v>iông</v>
          </cell>
          <cell r="X18" t="str">
            <v>iōng</v>
          </cell>
          <cell r="Y18" t="str">
            <v>iók</v>
          </cell>
        </row>
        <row r="19">
          <cell r="R19" t="str">
            <v>ō</v>
          </cell>
          <cell r="S19" t="str">
            <v>ó</v>
          </cell>
          <cell r="T19" t="str">
            <v>ǒ</v>
          </cell>
          <cell r="U19" t="str">
            <v>ǒh</v>
          </cell>
          <cell r="V19" t="str">
            <v>ò</v>
          </cell>
          <cell r="W19" t="str">
            <v>ô</v>
          </cell>
          <cell r="X19" t="str">
            <v>ō</v>
          </cell>
          <cell r="Y19" t="str">
            <v>óh</v>
          </cell>
        </row>
        <row r="20">
          <cell r="R20" t="str">
            <v>āi</v>
          </cell>
          <cell r="S20" t="str">
            <v>ái</v>
          </cell>
          <cell r="T20" t="str">
            <v>ǎi</v>
          </cell>
          <cell r="U20" t="str">
            <v>ǎih</v>
          </cell>
          <cell r="V20" t="str">
            <v>ài</v>
          </cell>
          <cell r="W20" t="str">
            <v>âi</v>
          </cell>
          <cell r="X20" t="str">
            <v>āi</v>
          </cell>
          <cell r="Y20" t="str">
            <v>áih</v>
          </cell>
        </row>
        <row r="21">
          <cell r="R21" t="str">
            <v>īn</v>
          </cell>
          <cell r="S21" t="str">
            <v>ín</v>
          </cell>
          <cell r="T21" t="str">
            <v>ǐn</v>
          </cell>
          <cell r="U21" t="str">
            <v>ǐt</v>
          </cell>
          <cell r="V21" t="str">
            <v>ìn</v>
          </cell>
          <cell r="W21" t="str">
            <v>în</v>
          </cell>
          <cell r="X21" t="str">
            <v>īn</v>
          </cell>
          <cell r="Y21" t="str">
            <v>ít</v>
          </cell>
        </row>
        <row r="22">
          <cell r="R22" t="str">
            <v>iāng</v>
          </cell>
          <cell r="S22" t="str">
            <v>iáng</v>
          </cell>
          <cell r="T22" t="str">
            <v>iǎng</v>
          </cell>
          <cell r="U22" t="str">
            <v>iǎk</v>
          </cell>
          <cell r="V22" t="str">
            <v>iàng</v>
          </cell>
          <cell r="W22" t="str">
            <v>iâng</v>
          </cell>
          <cell r="X22" t="str">
            <v>iāng</v>
          </cell>
          <cell r="Y22" t="str">
            <v>iák</v>
          </cell>
        </row>
        <row r="23">
          <cell r="R23" t="str">
            <v>ām</v>
          </cell>
          <cell r="S23" t="str">
            <v>ám</v>
          </cell>
          <cell r="T23" t="str">
            <v>ǎm</v>
          </cell>
          <cell r="U23" t="str">
            <v>ǎp</v>
          </cell>
          <cell r="V23" t="str">
            <v>àm</v>
          </cell>
          <cell r="W23" t="str">
            <v>âm</v>
          </cell>
          <cell r="X23" t="str">
            <v>ām</v>
          </cell>
          <cell r="Y23" t="str">
            <v>áp</v>
          </cell>
        </row>
        <row r="24">
          <cell r="R24" t="str">
            <v>ūa</v>
          </cell>
          <cell r="S24" t="str">
            <v>úa</v>
          </cell>
          <cell r="T24" t="str">
            <v>ǔa</v>
          </cell>
          <cell r="U24" t="str">
            <v>ǔah</v>
          </cell>
          <cell r="V24" t="str">
            <v>ùa</v>
          </cell>
          <cell r="W24" t="str">
            <v>ûa</v>
          </cell>
          <cell r="X24" t="str">
            <v>ūa</v>
          </cell>
          <cell r="Y24" t="str">
            <v>úah</v>
          </cell>
        </row>
        <row r="25">
          <cell r="R25" t="str">
            <v>āng</v>
          </cell>
          <cell r="S25" t="str">
            <v>áng</v>
          </cell>
          <cell r="T25" t="str">
            <v>ǎng</v>
          </cell>
          <cell r="U25" t="str">
            <v>ǎk</v>
          </cell>
          <cell r="V25" t="str">
            <v>àng</v>
          </cell>
          <cell r="W25" t="str">
            <v>âng</v>
          </cell>
          <cell r="X25" t="str">
            <v>āng</v>
          </cell>
          <cell r="Y25" t="str">
            <v>ák</v>
          </cell>
        </row>
        <row r="26">
          <cell r="R26" t="str">
            <v>iām</v>
          </cell>
          <cell r="S26" t="str">
            <v>iám</v>
          </cell>
          <cell r="T26" t="str">
            <v>iǎm</v>
          </cell>
          <cell r="U26" t="str">
            <v>iǎp</v>
          </cell>
          <cell r="V26" t="str">
            <v>iàm</v>
          </cell>
          <cell r="W26" t="str">
            <v>iâm</v>
          </cell>
          <cell r="X26" t="str">
            <v>iām</v>
          </cell>
          <cell r="Y26" t="str">
            <v>iáp</v>
          </cell>
        </row>
        <row r="27">
          <cell r="R27" t="str">
            <v>āo</v>
          </cell>
          <cell r="S27" t="str">
            <v>áo</v>
          </cell>
          <cell r="T27" t="str">
            <v>ǎo</v>
          </cell>
          <cell r="U27" t="str">
            <v>ǎoh</v>
          </cell>
          <cell r="V27" t="str">
            <v>ào</v>
          </cell>
          <cell r="W27" t="str">
            <v>âo</v>
          </cell>
          <cell r="X27" t="str">
            <v>āo</v>
          </cell>
          <cell r="Y27" t="str">
            <v>áoh</v>
          </cell>
        </row>
        <row r="28">
          <cell r="R28" t="str">
            <v>iā</v>
          </cell>
          <cell r="S28" t="str">
            <v>iá</v>
          </cell>
          <cell r="T28" t="str">
            <v>iǎ</v>
          </cell>
          <cell r="U28" t="str">
            <v>iǎh</v>
          </cell>
          <cell r="V28" t="str">
            <v>ià</v>
          </cell>
          <cell r="W28" t="str">
            <v>iâ</v>
          </cell>
          <cell r="X28" t="str">
            <v>iā</v>
          </cell>
          <cell r="Y28" t="str">
            <v>iáh</v>
          </cell>
        </row>
        <row r="29">
          <cell r="R29" t="str">
            <v>ūe</v>
          </cell>
          <cell r="S29" t="str">
            <v>úe</v>
          </cell>
          <cell r="T29" t="str">
            <v>ǔe</v>
          </cell>
          <cell r="U29" t="str">
            <v>ǔeh</v>
          </cell>
          <cell r="V29" t="str">
            <v>ùe</v>
          </cell>
          <cell r="W29" t="str">
            <v>ûe</v>
          </cell>
          <cell r="X29" t="str">
            <v>ūe</v>
          </cell>
          <cell r="Y29" t="str">
            <v>úeh</v>
          </cell>
        </row>
        <row r="30">
          <cell r="R30" t="str">
            <v>nā</v>
          </cell>
          <cell r="S30" t="str">
            <v>ná</v>
          </cell>
          <cell r="T30" t="str">
            <v>nǎ</v>
          </cell>
          <cell r="U30" t="str">
            <v>nǎh</v>
          </cell>
          <cell r="V30" t="str">
            <v>nà</v>
          </cell>
          <cell r="W30" t="str">
            <v>nâ</v>
          </cell>
          <cell r="X30" t="str">
            <v>nā</v>
          </cell>
          <cell r="Y30" t="str">
            <v>náh</v>
          </cell>
        </row>
        <row r="31">
          <cell r="R31" t="str">
            <v>ū</v>
          </cell>
          <cell r="S31" t="str">
            <v>ú</v>
          </cell>
          <cell r="T31" t="str">
            <v>ǔ</v>
          </cell>
          <cell r="U31" t="str">
            <v>ǔh</v>
          </cell>
          <cell r="V31" t="str">
            <v>ù</v>
          </cell>
          <cell r="W31" t="str">
            <v>û</v>
          </cell>
          <cell r="X31" t="str">
            <v>ū</v>
          </cell>
          <cell r="Y31" t="str">
            <v>úh</v>
          </cell>
        </row>
        <row r="32">
          <cell r="R32" t="str">
            <v>ā</v>
          </cell>
          <cell r="S32" t="str">
            <v>á</v>
          </cell>
          <cell r="T32" t="str">
            <v>ǎ</v>
          </cell>
          <cell r="U32" t="str">
            <v>ǎh</v>
          </cell>
          <cell r="V32" t="str">
            <v>à</v>
          </cell>
          <cell r="W32" t="str">
            <v>â</v>
          </cell>
          <cell r="X32" t="str">
            <v>ā</v>
          </cell>
          <cell r="Y32" t="str">
            <v>áh</v>
          </cell>
        </row>
        <row r="33">
          <cell r="R33" t="str">
            <v>ī</v>
          </cell>
          <cell r="S33" t="str">
            <v>í</v>
          </cell>
          <cell r="T33" t="str">
            <v>ǐ</v>
          </cell>
          <cell r="U33" t="str">
            <v>ǐh</v>
          </cell>
          <cell r="V33" t="str">
            <v>ì</v>
          </cell>
          <cell r="W33" t="str">
            <v>î</v>
          </cell>
          <cell r="X33" t="str">
            <v>ī</v>
          </cell>
          <cell r="Y33" t="str">
            <v>íh</v>
          </cell>
        </row>
        <row r="34">
          <cell r="R34" t="str">
            <v>iū</v>
          </cell>
          <cell r="S34" t="str">
            <v>iú</v>
          </cell>
          <cell r="T34" t="str">
            <v>iǔ</v>
          </cell>
          <cell r="U34" t="str">
            <v>iǔh</v>
          </cell>
          <cell r="V34" t="str">
            <v>iù</v>
          </cell>
          <cell r="W34" t="str">
            <v>iû</v>
          </cell>
          <cell r="X34" t="str">
            <v>iū</v>
          </cell>
          <cell r="Y34" t="str">
            <v>iúh</v>
          </cell>
        </row>
        <row r="35">
          <cell r="R35" t="str">
            <v>nē</v>
          </cell>
          <cell r="S35" t="str">
            <v>né</v>
          </cell>
          <cell r="T35" t="str">
            <v>ně</v>
          </cell>
          <cell r="U35" t="str">
            <v>něh</v>
          </cell>
          <cell r="V35" t="str">
            <v>nè</v>
          </cell>
          <cell r="W35" t="str">
            <v>nê</v>
          </cell>
          <cell r="X35" t="str">
            <v>nē</v>
          </cell>
          <cell r="Y35" t="str">
            <v>néh</v>
          </cell>
        </row>
        <row r="36">
          <cell r="R36" t="str">
            <v>nūi</v>
          </cell>
          <cell r="S36" t="str">
            <v>núi</v>
          </cell>
          <cell r="T36" t="str">
            <v>nǔi</v>
          </cell>
          <cell r="U36" t="str">
            <v>nǔih</v>
          </cell>
          <cell r="V36" t="str">
            <v>nùi</v>
          </cell>
          <cell r="W36" t="str">
            <v>nûi</v>
          </cell>
          <cell r="X36" t="str">
            <v>nūi</v>
          </cell>
          <cell r="Y36" t="str">
            <v>núih</v>
          </cell>
        </row>
        <row r="37">
          <cell r="R37" t="str">
            <v>iō</v>
          </cell>
          <cell r="S37" t="str">
            <v>ió</v>
          </cell>
          <cell r="T37" t="str">
            <v>iǒ</v>
          </cell>
          <cell r="U37" t="str">
            <v>iǒh</v>
          </cell>
          <cell r="V37" t="str">
            <v>iò</v>
          </cell>
          <cell r="W37" t="str">
            <v>iô</v>
          </cell>
          <cell r="X37" t="str">
            <v>iō</v>
          </cell>
          <cell r="Y37" t="str">
            <v>ióh</v>
          </cell>
        </row>
        <row r="38">
          <cell r="R38" t="str">
            <v>nī</v>
          </cell>
          <cell r="S38" t="str">
            <v>ní</v>
          </cell>
          <cell r="T38" t="str">
            <v>nǐ</v>
          </cell>
          <cell r="U38" t="str">
            <v>nǐh</v>
          </cell>
          <cell r="V38" t="str">
            <v>nì</v>
          </cell>
          <cell r="W38" t="str">
            <v>nî</v>
          </cell>
          <cell r="X38" t="str">
            <v>nī</v>
          </cell>
          <cell r="Y38" t="str">
            <v>níh</v>
          </cell>
        </row>
        <row r="39">
          <cell r="R39" t="str">
            <v>niōō</v>
          </cell>
          <cell r="S39" t="str">
            <v>nióó</v>
          </cell>
          <cell r="T39" t="str">
            <v>niǒǒ</v>
          </cell>
          <cell r="U39" t="str">
            <v>niǒǒh</v>
          </cell>
          <cell r="V39" t="str">
            <v>niòò</v>
          </cell>
          <cell r="W39" t="str">
            <v>niôô</v>
          </cell>
          <cell r="X39" t="str">
            <v>niōō</v>
          </cell>
          <cell r="Y39" t="str">
            <v>nióóh</v>
          </cell>
        </row>
        <row r="40">
          <cell r="R40" t="str">
            <v>niā</v>
          </cell>
          <cell r="S40" t="str">
            <v>niá</v>
          </cell>
          <cell r="T40" t="str">
            <v>niǎ</v>
          </cell>
          <cell r="U40" t="str">
            <v>niǎh</v>
          </cell>
          <cell r="V40" t="str">
            <v>nià</v>
          </cell>
          <cell r="W40" t="str">
            <v>niâ</v>
          </cell>
          <cell r="X40" t="str">
            <v>niā</v>
          </cell>
          <cell r="Y40" t="str">
            <v>niáh</v>
          </cell>
        </row>
        <row r="41">
          <cell r="R41" t="str">
            <v>nūa</v>
          </cell>
          <cell r="S41" t="str">
            <v>núa</v>
          </cell>
          <cell r="T41" t="str">
            <v>nǔa</v>
          </cell>
          <cell r="U41" t="str">
            <v>nǔah</v>
          </cell>
          <cell r="V41" t="str">
            <v>nùa</v>
          </cell>
          <cell r="W41" t="str">
            <v>nûa</v>
          </cell>
          <cell r="X41" t="str">
            <v>nūa</v>
          </cell>
          <cell r="Y41" t="str">
            <v>núah</v>
          </cell>
        </row>
        <row r="42">
          <cell r="R42" t="str">
            <v>n̄g</v>
          </cell>
          <cell r="S42" t="str">
            <v>ńg</v>
          </cell>
          <cell r="T42" t="str">
            <v>ňg</v>
          </cell>
          <cell r="U42" t="str">
            <v>ňh</v>
          </cell>
          <cell r="V42" t="str">
            <v>ǹg</v>
          </cell>
          <cell r="W42" t="str">
            <v>n̂g</v>
          </cell>
          <cell r="X42" t="str">
            <v>n̄g</v>
          </cell>
          <cell r="Y42" t="str">
            <v>ńgh</v>
          </cell>
        </row>
        <row r="43">
          <cell r="R43" t="str">
            <v>ē</v>
          </cell>
          <cell r="S43" t="str">
            <v>é</v>
          </cell>
          <cell r="T43" t="str">
            <v>ě</v>
          </cell>
          <cell r="U43" t="str">
            <v>ěh</v>
          </cell>
          <cell r="V43" t="str">
            <v>è</v>
          </cell>
          <cell r="W43" t="str">
            <v>ê</v>
          </cell>
          <cell r="X43" t="str">
            <v>ē</v>
          </cell>
          <cell r="Y43" t="str">
            <v>éh</v>
          </cell>
        </row>
        <row r="44">
          <cell r="R44" t="str">
            <v>nāi</v>
          </cell>
          <cell r="S44" t="str">
            <v>nái</v>
          </cell>
          <cell r="T44" t="str">
            <v>nǎi</v>
          </cell>
          <cell r="U44" t="str">
            <v>nǎih</v>
          </cell>
          <cell r="V44" t="str">
            <v>nài</v>
          </cell>
          <cell r="W44" t="str">
            <v>nâi</v>
          </cell>
          <cell r="X44" t="str">
            <v>nāi</v>
          </cell>
          <cell r="Y44" t="str">
            <v>náih</v>
          </cell>
        </row>
        <row r="45">
          <cell r="R45" t="str">
            <v>nōō</v>
          </cell>
          <cell r="S45" t="str">
            <v>nóó</v>
          </cell>
          <cell r="T45" t="str">
            <v>nǒǒ</v>
          </cell>
          <cell r="U45" t="str">
            <v>nǒǒh</v>
          </cell>
          <cell r="V45" t="str">
            <v>nòò</v>
          </cell>
          <cell r="W45" t="str">
            <v>nôô</v>
          </cell>
          <cell r="X45" t="str">
            <v>nōō</v>
          </cell>
          <cell r="Y45" t="str">
            <v>nóóh</v>
          </cell>
        </row>
        <row r="46">
          <cell r="R46" t="str">
            <v>m̄</v>
          </cell>
          <cell r="S46" t="str">
            <v>ḿ</v>
          </cell>
          <cell r="T46" t="str">
            <v>m̌</v>
          </cell>
          <cell r="U46" t="str">
            <v>m̌h</v>
          </cell>
          <cell r="V46" t="str">
            <v>m̀</v>
          </cell>
          <cell r="W46" t="str">
            <v>m̂</v>
          </cell>
          <cell r="X46" t="str">
            <v>m̄</v>
          </cell>
          <cell r="Y46" t="str">
            <v>ḿh</v>
          </cell>
        </row>
        <row r="47">
          <cell r="R47" t="str">
            <v>uāng</v>
          </cell>
          <cell r="S47" t="str">
            <v>uáng</v>
          </cell>
          <cell r="T47" t="str">
            <v>uǎng</v>
          </cell>
          <cell r="U47" t="str">
            <v>uǎk</v>
          </cell>
          <cell r="V47" t="str">
            <v>uàng</v>
          </cell>
          <cell r="W47" t="str">
            <v>uâng</v>
          </cell>
          <cell r="X47" t="str">
            <v>uāng</v>
          </cell>
          <cell r="Y47" t="str">
            <v>uák</v>
          </cell>
        </row>
        <row r="48">
          <cell r="R48" t="str">
            <v>nuāi</v>
          </cell>
          <cell r="S48" t="str">
            <v>nuái</v>
          </cell>
          <cell r="T48" t="str">
            <v>nuǎi</v>
          </cell>
          <cell r="U48" t="str">
            <v>nuǎih</v>
          </cell>
          <cell r="V48" t="str">
            <v>nuài</v>
          </cell>
          <cell r="W48" t="str">
            <v>nuâi</v>
          </cell>
          <cell r="X48" t="str">
            <v>nuāi</v>
          </cell>
          <cell r="Y48" t="str">
            <v>nuáih</v>
          </cell>
        </row>
        <row r="49">
          <cell r="R49" t="str">
            <v>nūe</v>
          </cell>
          <cell r="S49" t="str">
            <v>núe</v>
          </cell>
          <cell r="T49" t="str">
            <v>nǔe</v>
          </cell>
          <cell r="U49" t="str">
            <v>nǔeh</v>
          </cell>
          <cell r="V49" t="str">
            <v>nùe</v>
          </cell>
          <cell r="W49" t="str">
            <v>nûe</v>
          </cell>
          <cell r="X49" t="str">
            <v>nūe</v>
          </cell>
          <cell r="Y49" t="str">
            <v>núeh</v>
          </cell>
        </row>
        <row r="50">
          <cell r="R50" t="str">
            <v>niāo</v>
          </cell>
          <cell r="S50" t="str">
            <v>niáo</v>
          </cell>
          <cell r="T50" t="str">
            <v>niǎo</v>
          </cell>
          <cell r="U50" t="str">
            <v>niǎoh</v>
          </cell>
          <cell r="V50" t="str">
            <v>niào</v>
          </cell>
          <cell r="W50" t="str">
            <v>niâo</v>
          </cell>
          <cell r="X50" t="str">
            <v>niāo</v>
          </cell>
          <cell r="Y50" t="str">
            <v>niáoh</v>
          </cell>
        </row>
        <row r="51">
          <cell r="R51" t="str">
            <v>ōm</v>
          </cell>
          <cell r="S51" t="str">
            <v>óm</v>
          </cell>
          <cell r="T51" t="str">
            <v>ǒm</v>
          </cell>
          <cell r="U51" t="str">
            <v>ǒp</v>
          </cell>
          <cell r="V51" t="str">
            <v>òm</v>
          </cell>
          <cell r="W51" t="str">
            <v>ôm</v>
          </cell>
          <cell r="X51" t="str">
            <v>ōm</v>
          </cell>
          <cell r="Y51" t="str">
            <v>óp</v>
          </cell>
        </row>
        <row r="52">
          <cell r="R52" t="str">
            <v>nāo</v>
          </cell>
          <cell r="S52" t="str">
            <v>náo</v>
          </cell>
          <cell r="T52" t="str">
            <v>nǎo</v>
          </cell>
          <cell r="U52" t="str">
            <v>nǎoh</v>
          </cell>
          <cell r="V52" t="str">
            <v>nào</v>
          </cell>
          <cell r="W52" t="str">
            <v>nâo</v>
          </cell>
          <cell r="X52" t="str">
            <v>nāo</v>
          </cell>
          <cell r="Y52" t="str">
            <v>náoh</v>
          </cell>
        </row>
        <row r="53">
          <cell r="R53" t="str">
            <v>nō</v>
          </cell>
          <cell r="S53" t="str">
            <v>nó</v>
          </cell>
          <cell r="T53" t="str">
            <v>nǒ</v>
          </cell>
          <cell r="U53" t="str">
            <v>nǒh</v>
          </cell>
          <cell r="V53" t="str">
            <v>nò</v>
          </cell>
          <cell r="W53" t="str">
            <v>nô</v>
          </cell>
          <cell r="X53" t="str">
            <v>nō</v>
          </cell>
          <cell r="Y53" t="str">
            <v>nóh</v>
          </cell>
        </row>
        <row r="54">
          <cell r="R54" t="str">
            <v>niū</v>
          </cell>
          <cell r="S54" t="str">
            <v>niú</v>
          </cell>
          <cell r="T54" t="str">
            <v>niǔ</v>
          </cell>
          <cell r="U54" t="str">
            <v>niǔh</v>
          </cell>
          <cell r="V54" t="str">
            <v>niù</v>
          </cell>
          <cell r="W54" t="str">
            <v>niû</v>
          </cell>
          <cell r="X54" t="str">
            <v>niū</v>
          </cell>
          <cell r="Y54" t="str">
            <v>niúh</v>
          </cell>
        </row>
      </sheetData>
      <sheetData sheetId="30" refreshError="1"/>
      <sheetData sheetId="31" refreshError="1"/>
      <sheetData sheetId="32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at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a̍t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oai</v>
          </cell>
          <cell r="S12" t="str">
            <v>oái</v>
          </cell>
          <cell r="T12" t="str">
            <v>oài</v>
          </cell>
          <cell r="U12" t="str">
            <v>oaih</v>
          </cell>
          <cell r="V12" t="str">
            <v>oâi</v>
          </cell>
          <cell r="W12" t="str">
            <v>oài</v>
          </cell>
          <cell r="X12" t="str">
            <v>oāi</v>
          </cell>
          <cell r="Y12" t="str">
            <v>oa̍ih</v>
          </cell>
        </row>
        <row r="13">
          <cell r="R13" t="str">
            <v>eng</v>
          </cell>
          <cell r="S13" t="str">
            <v>éng</v>
          </cell>
          <cell r="T13" t="str">
            <v>èng</v>
          </cell>
          <cell r="U13" t="str">
            <v>ek</v>
          </cell>
          <cell r="V13" t="str">
            <v>êng</v>
          </cell>
          <cell r="W13" t="str">
            <v>èng</v>
          </cell>
          <cell r="X13" t="str">
            <v>ēng</v>
          </cell>
          <cell r="Y13" t="str">
            <v>e̍k</v>
          </cell>
        </row>
        <row r="14">
          <cell r="R14" t="str">
            <v>oan</v>
          </cell>
          <cell r="S14" t="str">
            <v>oán</v>
          </cell>
          <cell r="T14" t="str">
            <v>oàn</v>
          </cell>
          <cell r="U14" t="str">
            <v>oat</v>
          </cell>
          <cell r="V14" t="str">
            <v>oân</v>
          </cell>
          <cell r="W14" t="str">
            <v>oàn</v>
          </cell>
          <cell r="X14" t="str">
            <v>oān</v>
          </cell>
          <cell r="Y14" t="str">
            <v>oa̍t</v>
          </cell>
        </row>
        <row r="15">
          <cell r="R15" t="str">
            <v>o͘</v>
          </cell>
          <cell r="S15" t="str">
            <v>ó͘</v>
          </cell>
          <cell r="T15" t="str">
            <v>ò͘</v>
          </cell>
          <cell r="U15" t="str">
            <v>o͘h</v>
          </cell>
          <cell r="V15" t="str">
            <v>ô͘</v>
          </cell>
          <cell r="W15" t="str">
            <v xml:space="preserve"> ò͘</v>
          </cell>
          <cell r="X15" t="str">
            <v>ō͘</v>
          </cell>
          <cell r="Y15" t="str">
            <v>o̍͘h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ei</v>
          </cell>
          <cell r="S17" t="str">
            <v>éi</v>
          </cell>
          <cell r="T17" t="str">
            <v>èi</v>
          </cell>
          <cell r="U17" t="str">
            <v>eih</v>
          </cell>
          <cell r="V17" t="str">
            <v>êi</v>
          </cell>
          <cell r="W17" t="str">
            <v>èi</v>
          </cell>
          <cell r="X17" t="str">
            <v>ēi</v>
          </cell>
          <cell r="Y17" t="str">
            <v>e̍ih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oa</v>
          </cell>
          <cell r="S24" t="str">
            <v>óa</v>
          </cell>
          <cell r="T24" t="str">
            <v>òa</v>
          </cell>
          <cell r="U24" t="str">
            <v>oah</v>
          </cell>
          <cell r="V24" t="str">
            <v>ôa</v>
          </cell>
          <cell r="W24" t="str">
            <v>òa</v>
          </cell>
          <cell r="X24" t="str">
            <v>ōa</v>
          </cell>
          <cell r="Y24" t="str">
            <v>o̍ah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oe</v>
          </cell>
          <cell r="S29" t="str">
            <v>óe</v>
          </cell>
          <cell r="T29" t="str">
            <v>òe</v>
          </cell>
          <cell r="U29" t="str">
            <v>oeh</v>
          </cell>
          <cell r="V29" t="str">
            <v>ôe</v>
          </cell>
          <cell r="W29" t="str">
            <v>òe</v>
          </cell>
          <cell r="X29" t="str">
            <v>ōe</v>
          </cell>
          <cell r="Y29" t="str">
            <v>o̍eh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ahnn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a̍hnn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ehnn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e̍hnn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ihnn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i̍hnn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oann</v>
          </cell>
          <cell r="S41" t="str">
            <v>óann</v>
          </cell>
          <cell r="T41" t="str">
            <v>òann</v>
          </cell>
          <cell r="U41" t="str">
            <v>oannh</v>
          </cell>
          <cell r="V41" t="str">
            <v>ôann</v>
          </cell>
          <cell r="W41" t="str">
            <v>òann</v>
          </cell>
          <cell r="X41" t="str">
            <v>ōann</v>
          </cell>
          <cell r="Y41" t="str">
            <v>o̍annh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m̍hh</v>
          </cell>
        </row>
        <row r="47">
          <cell r="R47" t="str">
            <v>oang</v>
          </cell>
          <cell r="S47" t="str">
            <v>oáng</v>
          </cell>
          <cell r="T47" t="str">
            <v>oàng</v>
          </cell>
          <cell r="U47" t="str">
            <v>oak</v>
          </cell>
          <cell r="V47" t="str">
            <v>oâng</v>
          </cell>
          <cell r="W47" t="str">
            <v>oàng</v>
          </cell>
          <cell r="X47" t="str">
            <v>oāng</v>
          </cell>
          <cell r="Y47" t="str">
            <v>oa̍k</v>
          </cell>
        </row>
        <row r="48">
          <cell r="R48" t="str">
            <v>oainn</v>
          </cell>
          <cell r="S48" t="str">
            <v>oáinn</v>
          </cell>
          <cell r="T48" t="str">
            <v>oàinn</v>
          </cell>
          <cell r="U48" t="str">
            <v>oaihnn</v>
          </cell>
          <cell r="V48" t="str">
            <v>oâinn</v>
          </cell>
          <cell r="W48" t="str">
            <v>oàinn</v>
          </cell>
          <cell r="X48" t="str">
            <v>oāinn</v>
          </cell>
          <cell r="Y48" t="str">
            <v>oa̍ihnn</v>
          </cell>
        </row>
        <row r="49">
          <cell r="R49" t="str">
            <v>oenn</v>
          </cell>
          <cell r="S49" t="str">
            <v>óenn</v>
          </cell>
          <cell r="T49" t="str">
            <v>òenn</v>
          </cell>
          <cell r="U49" t="str">
            <v>oennh</v>
          </cell>
          <cell r="V49" t="str">
            <v>ôenn</v>
          </cell>
          <cell r="W49" t="str">
            <v>òenn</v>
          </cell>
          <cell r="X49" t="str">
            <v>ōenn</v>
          </cell>
          <cell r="Y49" t="str">
            <v>o̍ennh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iauhnn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ia̍uhnn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ohnn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o̍hnn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3" refreshError="1"/>
      <sheetData sheetId="34">
        <row r="5">
          <cell r="R5" t="str">
            <v>un</v>
          </cell>
          <cell r="S5" t="str">
            <v>ún</v>
          </cell>
          <cell r="T5" t="str">
            <v>ùn</v>
          </cell>
          <cell r="U5" t="str">
            <v>ut</v>
          </cell>
          <cell r="V5" t="str">
            <v>ûn</v>
          </cell>
          <cell r="W5" t="str">
            <v>ùn</v>
          </cell>
          <cell r="X5" t="str">
            <v>ūn</v>
          </cell>
          <cell r="Y5" t="str">
            <v>u̍t</v>
          </cell>
        </row>
        <row r="6">
          <cell r="R6" t="str">
            <v>ian</v>
          </cell>
          <cell r="S6" t="str">
            <v>ián</v>
          </cell>
          <cell r="T6" t="str">
            <v>iàn</v>
          </cell>
          <cell r="U6" t="str">
            <v>iat</v>
          </cell>
          <cell r="V6" t="str">
            <v>iân</v>
          </cell>
          <cell r="W6" t="str">
            <v>iàn</v>
          </cell>
          <cell r="X6" t="str">
            <v>iān</v>
          </cell>
          <cell r="Y6" t="str">
            <v>ia̍t</v>
          </cell>
        </row>
        <row r="7">
          <cell r="R7" t="str">
            <v>im</v>
          </cell>
          <cell r="S7" t="str">
            <v>ím</v>
          </cell>
          <cell r="T7" t="str">
            <v>ìm</v>
          </cell>
          <cell r="U7" t="str">
            <v>ip</v>
          </cell>
          <cell r="V7" t="str">
            <v>îm</v>
          </cell>
          <cell r="W7" t="str">
            <v>ìm</v>
          </cell>
          <cell r="X7" t="str">
            <v>īm</v>
          </cell>
          <cell r="Y7" t="str">
            <v>i̍p</v>
          </cell>
        </row>
        <row r="8">
          <cell r="R8" t="str">
            <v>ui</v>
          </cell>
          <cell r="S8" t="str">
            <v>úi</v>
          </cell>
          <cell r="T8" t="str">
            <v>ùi</v>
          </cell>
          <cell r="U8" t="str">
            <v>uih</v>
          </cell>
          <cell r="V8" t="str">
            <v>ûi</v>
          </cell>
          <cell r="W8" t="str">
            <v>ùi</v>
          </cell>
          <cell r="X8" t="str">
            <v>ūi</v>
          </cell>
          <cell r="Y8" t="str">
            <v>u̍ih</v>
          </cell>
        </row>
        <row r="9">
          <cell r="R9" t="str">
            <v>ee</v>
          </cell>
          <cell r="S9" t="str">
            <v>éé</v>
          </cell>
          <cell r="T9" t="str">
            <v>èè</v>
          </cell>
          <cell r="U9" t="str">
            <v>eh</v>
          </cell>
          <cell r="V9" t="str">
            <v>êê</v>
          </cell>
          <cell r="W9" t="str">
            <v>èè</v>
          </cell>
          <cell r="X9" t="str">
            <v>ēē</v>
          </cell>
          <cell r="Y9" t="str">
            <v>e̍h</v>
          </cell>
        </row>
        <row r="10">
          <cell r="R10" t="str">
            <v>an</v>
          </cell>
          <cell r="S10" t="str">
            <v>án</v>
          </cell>
          <cell r="T10" t="str">
            <v>àn</v>
          </cell>
          <cell r="U10" t="str">
            <v>ap</v>
          </cell>
          <cell r="V10" t="str">
            <v>ân</v>
          </cell>
          <cell r="W10" t="str">
            <v>àn</v>
          </cell>
          <cell r="X10" t="str">
            <v>ān</v>
          </cell>
          <cell r="Y10" t="str">
            <v>a̍p</v>
          </cell>
        </row>
        <row r="11">
          <cell r="R11" t="str">
            <v>ong</v>
          </cell>
          <cell r="S11" t="str">
            <v>óng</v>
          </cell>
          <cell r="T11" t="str">
            <v>òng</v>
          </cell>
          <cell r="U11" t="str">
            <v>ok</v>
          </cell>
          <cell r="V11" t="str">
            <v>ông</v>
          </cell>
          <cell r="W11" t="str">
            <v>òng</v>
          </cell>
          <cell r="X11" t="str">
            <v>ōng</v>
          </cell>
          <cell r="Y11" t="str">
            <v>o̍k</v>
          </cell>
        </row>
        <row r="12">
          <cell r="R12" t="str">
            <v>uai</v>
          </cell>
          <cell r="S12" t="str">
            <v>uái</v>
          </cell>
          <cell r="T12" t="str">
            <v>uài</v>
          </cell>
          <cell r="U12" t="str">
            <v>uaih</v>
          </cell>
          <cell r="V12" t="str">
            <v>uâi</v>
          </cell>
          <cell r="W12" t="str">
            <v>uài</v>
          </cell>
          <cell r="X12" t="str">
            <v>uāi</v>
          </cell>
          <cell r="Y12" t="str">
            <v>ua̍ih</v>
          </cell>
        </row>
        <row r="13">
          <cell r="R13" t="str">
            <v>ing</v>
          </cell>
          <cell r="S13" t="str">
            <v>íng</v>
          </cell>
          <cell r="T13" t="str">
            <v>ìng</v>
          </cell>
          <cell r="U13" t="str">
            <v>ik</v>
          </cell>
          <cell r="V13" t="str">
            <v>îng</v>
          </cell>
          <cell r="W13" t="str">
            <v>ìng</v>
          </cell>
          <cell r="X13" t="str">
            <v>īng</v>
          </cell>
          <cell r="Y13" t="str">
            <v>i̍k</v>
          </cell>
        </row>
        <row r="14">
          <cell r="R14" t="str">
            <v>uan</v>
          </cell>
          <cell r="S14" t="str">
            <v>uán</v>
          </cell>
          <cell r="T14" t="str">
            <v>uàn</v>
          </cell>
          <cell r="U14" t="str">
            <v>uat</v>
          </cell>
          <cell r="V14" t="str">
            <v>uân</v>
          </cell>
          <cell r="W14" t="str">
            <v>uàn</v>
          </cell>
          <cell r="X14" t="str">
            <v>uān</v>
          </cell>
          <cell r="Y14" t="str">
            <v>ua̍t</v>
          </cell>
        </row>
        <row r="15">
          <cell r="R15" t="str">
            <v>oo</v>
          </cell>
          <cell r="S15" t="str">
            <v>óo</v>
          </cell>
          <cell r="T15" t="str">
            <v>òo</v>
          </cell>
          <cell r="U15" t="str">
            <v>ooh</v>
          </cell>
          <cell r="V15" t="str">
            <v>ôo</v>
          </cell>
          <cell r="W15" t="str">
            <v>0</v>
          </cell>
          <cell r="X15" t="str">
            <v>ōo</v>
          </cell>
          <cell r="Y15" t="str">
            <v>o̍oh</v>
          </cell>
        </row>
        <row r="16">
          <cell r="R16" t="str">
            <v>iau</v>
          </cell>
          <cell r="S16" t="str">
            <v>iáu</v>
          </cell>
          <cell r="T16" t="str">
            <v>iàu</v>
          </cell>
          <cell r="U16" t="str">
            <v>iauh</v>
          </cell>
          <cell r="V16" t="str">
            <v>iâu</v>
          </cell>
          <cell r="W16" t="str">
            <v>iàu</v>
          </cell>
          <cell r="X16" t="str">
            <v>iāu</v>
          </cell>
          <cell r="Y16" t="str">
            <v>ia̍uh</v>
          </cell>
        </row>
        <row r="17">
          <cell r="R17" t="str">
            <v>e</v>
          </cell>
          <cell r="S17" t="str">
            <v>é</v>
          </cell>
          <cell r="T17" t="str">
            <v>è</v>
          </cell>
          <cell r="U17" t="str">
            <v>eh</v>
          </cell>
          <cell r="V17" t="str">
            <v>ê</v>
          </cell>
          <cell r="W17" t="str">
            <v>è</v>
          </cell>
          <cell r="X17" t="str">
            <v>ē</v>
          </cell>
          <cell r="Y17" t="str">
            <v>e̍h</v>
          </cell>
        </row>
        <row r="18">
          <cell r="R18" t="str">
            <v>iong</v>
          </cell>
          <cell r="S18" t="str">
            <v>ióng</v>
          </cell>
          <cell r="T18" t="str">
            <v>iòng</v>
          </cell>
          <cell r="U18" t="str">
            <v>iok</v>
          </cell>
          <cell r="V18" t="str">
            <v>iông</v>
          </cell>
          <cell r="W18" t="str">
            <v>iòng</v>
          </cell>
          <cell r="X18" t="str">
            <v>iōng</v>
          </cell>
          <cell r="Y18" t="str">
            <v>io̍k</v>
          </cell>
        </row>
        <row r="19">
          <cell r="R19" t="str">
            <v>o</v>
          </cell>
          <cell r="S19" t="str">
            <v>ó</v>
          </cell>
          <cell r="T19" t="str">
            <v>ò</v>
          </cell>
          <cell r="U19" t="str">
            <v>oh</v>
          </cell>
          <cell r="V19" t="str">
            <v>ô</v>
          </cell>
          <cell r="W19" t="str">
            <v>ò</v>
          </cell>
          <cell r="X19" t="str">
            <v>ō</v>
          </cell>
          <cell r="Y19" t="str">
            <v>o̍h</v>
          </cell>
        </row>
        <row r="20">
          <cell r="R20" t="str">
            <v>ai</v>
          </cell>
          <cell r="S20" t="str">
            <v>ái</v>
          </cell>
          <cell r="T20" t="str">
            <v>ài</v>
          </cell>
          <cell r="U20" t="str">
            <v>aih</v>
          </cell>
          <cell r="V20" t="str">
            <v>âi</v>
          </cell>
          <cell r="W20" t="str">
            <v>ài</v>
          </cell>
          <cell r="X20" t="str">
            <v>āi</v>
          </cell>
          <cell r="Y20" t="str">
            <v>a̍ih</v>
          </cell>
        </row>
        <row r="21">
          <cell r="R21" t="str">
            <v>in</v>
          </cell>
          <cell r="S21" t="str">
            <v>ín</v>
          </cell>
          <cell r="T21" t="str">
            <v>ìn</v>
          </cell>
          <cell r="U21" t="str">
            <v>it</v>
          </cell>
          <cell r="V21" t="str">
            <v>în</v>
          </cell>
          <cell r="W21" t="str">
            <v>ìn</v>
          </cell>
          <cell r="X21" t="str">
            <v>īn</v>
          </cell>
          <cell r="Y21" t="str">
            <v>i̍t</v>
          </cell>
        </row>
        <row r="22">
          <cell r="R22" t="str">
            <v>iang</v>
          </cell>
          <cell r="S22" t="str">
            <v>iáng</v>
          </cell>
          <cell r="T22" t="str">
            <v>iàng</v>
          </cell>
          <cell r="U22" t="str">
            <v>iak</v>
          </cell>
          <cell r="V22" t="str">
            <v>iâng</v>
          </cell>
          <cell r="W22" t="str">
            <v>iàng</v>
          </cell>
          <cell r="X22" t="str">
            <v>iāng</v>
          </cell>
          <cell r="Y22" t="str">
            <v>ia̍k</v>
          </cell>
        </row>
        <row r="23">
          <cell r="R23" t="str">
            <v>am</v>
          </cell>
          <cell r="S23" t="str">
            <v>ám</v>
          </cell>
          <cell r="T23" t="str">
            <v>àm</v>
          </cell>
          <cell r="U23" t="str">
            <v>ap</v>
          </cell>
          <cell r="V23" t="str">
            <v>âm</v>
          </cell>
          <cell r="W23" t="str">
            <v>àm</v>
          </cell>
          <cell r="X23" t="str">
            <v>ām</v>
          </cell>
          <cell r="Y23" t="str">
            <v>a̍p</v>
          </cell>
        </row>
        <row r="24">
          <cell r="R24" t="str">
            <v>ua</v>
          </cell>
          <cell r="S24" t="str">
            <v>úa</v>
          </cell>
          <cell r="T24" t="str">
            <v>ùa</v>
          </cell>
          <cell r="U24" t="str">
            <v>uah</v>
          </cell>
          <cell r="V24" t="str">
            <v>ûa</v>
          </cell>
          <cell r="W24" t="str">
            <v>ùa</v>
          </cell>
          <cell r="X24" t="str">
            <v>ūa</v>
          </cell>
          <cell r="Y24" t="str">
            <v>u̍ah</v>
          </cell>
        </row>
        <row r="25">
          <cell r="R25" t="str">
            <v>ang</v>
          </cell>
          <cell r="S25" t="str">
            <v>áng</v>
          </cell>
          <cell r="T25" t="str">
            <v>àng</v>
          </cell>
          <cell r="U25" t="str">
            <v>ak</v>
          </cell>
          <cell r="V25" t="str">
            <v>âng</v>
          </cell>
          <cell r="W25" t="str">
            <v>àng</v>
          </cell>
          <cell r="X25" t="str">
            <v>āng</v>
          </cell>
          <cell r="Y25" t="str">
            <v>a̍k</v>
          </cell>
        </row>
        <row r="26">
          <cell r="R26" t="str">
            <v>iam</v>
          </cell>
          <cell r="S26" t="str">
            <v>iám</v>
          </cell>
          <cell r="T26" t="str">
            <v>iàm</v>
          </cell>
          <cell r="U26" t="str">
            <v>iap</v>
          </cell>
          <cell r="V26" t="str">
            <v>iâm</v>
          </cell>
          <cell r="W26" t="str">
            <v>iàm</v>
          </cell>
          <cell r="X26" t="str">
            <v>iām</v>
          </cell>
          <cell r="Y26" t="str">
            <v>ia̍p</v>
          </cell>
        </row>
        <row r="27">
          <cell r="R27" t="str">
            <v>au</v>
          </cell>
          <cell r="S27" t="str">
            <v>áu</v>
          </cell>
          <cell r="T27" t="str">
            <v>àu</v>
          </cell>
          <cell r="U27" t="str">
            <v>auh</v>
          </cell>
          <cell r="V27" t="str">
            <v>âu</v>
          </cell>
          <cell r="W27" t="str">
            <v>àu</v>
          </cell>
          <cell r="X27" t="str">
            <v>āu</v>
          </cell>
          <cell r="Y27" t="str">
            <v>a̍uh</v>
          </cell>
        </row>
        <row r="28">
          <cell r="R28" t="str">
            <v>ia</v>
          </cell>
          <cell r="S28" t="str">
            <v>iá</v>
          </cell>
          <cell r="T28" t="str">
            <v>ià</v>
          </cell>
          <cell r="U28" t="str">
            <v>iah</v>
          </cell>
          <cell r="V28" t="str">
            <v>iâ</v>
          </cell>
          <cell r="W28" t="str">
            <v>ià</v>
          </cell>
          <cell r="X28" t="str">
            <v>iā</v>
          </cell>
          <cell r="Y28" t="str">
            <v>ia̍h</v>
          </cell>
        </row>
        <row r="29">
          <cell r="R29" t="str">
            <v>ue</v>
          </cell>
          <cell r="S29" t="str">
            <v>úe</v>
          </cell>
          <cell r="T29" t="str">
            <v>ùe</v>
          </cell>
          <cell r="U29" t="str">
            <v>ueh</v>
          </cell>
          <cell r="V29" t="str">
            <v>ûe</v>
          </cell>
          <cell r="W29" t="str">
            <v>ùe</v>
          </cell>
          <cell r="X29" t="str">
            <v>ūe</v>
          </cell>
          <cell r="Y29" t="str">
            <v>u̍eh</v>
          </cell>
        </row>
        <row r="30">
          <cell r="R30" t="str">
            <v>ann</v>
          </cell>
          <cell r="S30" t="str">
            <v>ánn</v>
          </cell>
          <cell r="T30" t="str">
            <v>ànn</v>
          </cell>
          <cell r="U30" t="str">
            <v>annh</v>
          </cell>
          <cell r="V30" t="str">
            <v>ânn</v>
          </cell>
          <cell r="W30" t="str">
            <v>ànn</v>
          </cell>
          <cell r="X30" t="str">
            <v>ānn</v>
          </cell>
          <cell r="Y30" t="str">
            <v>a̍nnh</v>
          </cell>
        </row>
        <row r="31">
          <cell r="R31" t="str">
            <v>u</v>
          </cell>
          <cell r="S31" t="str">
            <v>ú</v>
          </cell>
          <cell r="T31" t="str">
            <v>ù</v>
          </cell>
          <cell r="U31" t="str">
            <v>uh</v>
          </cell>
          <cell r="V31" t="str">
            <v>û</v>
          </cell>
          <cell r="W31" t="str">
            <v>ù</v>
          </cell>
          <cell r="X31" t="str">
            <v>ū</v>
          </cell>
          <cell r="Y31" t="str">
            <v>u̍h</v>
          </cell>
        </row>
        <row r="32">
          <cell r="R32" t="str">
            <v>a</v>
          </cell>
          <cell r="S32" t="str">
            <v>á</v>
          </cell>
          <cell r="T32" t="str">
            <v>à</v>
          </cell>
          <cell r="U32" t="str">
            <v>ah</v>
          </cell>
          <cell r="V32" t="str">
            <v>â</v>
          </cell>
          <cell r="W32" t="str">
            <v>à</v>
          </cell>
          <cell r="X32" t="str">
            <v>ā</v>
          </cell>
          <cell r="Y32" t="str">
            <v>a̍h</v>
          </cell>
        </row>
        <row r="33">
          <cell r="R33" t="str">
            <v>i</v>
          </cell>
          <cell r="S33" t="str">
            <v>í</v>
          </cell>
          <cell r="T33" t="str">
            <v>ì</v>
          </cell>
          <cell r="U33" t="str">
            <v>ih</v>
          </cell>
          <cell r="V33" t="str">
            <v>î</v>
          </cell>
          <cell r="W33" t="str">
            <v>ì</v>
          </cell>
          <cell r="X33" t="str">
            <v>ī</v>
          </cell>
          <cell r="Y33" t="str">
            <v>i̍h</v>
          </cell>
        </row>
        <row r="34">
          <cell r="R34" t="str">
            <v>iu</v>
          </cell>
          <cell r="S34" t="str">
            <v>iú</v>
          </cell>
          <cell r="T34" t="str">
            <v>iù</v>
          </cell>
          <cell r="U34" t="str">
            <v>iuh</v>
          </cell>
          <cell r="V34" t="str">
            <v>iû</v>
          </cell>
          <cell r="W34" t="str">
            <v>iù</v>
          </cell>
          <cell r="X34" t="str">
            <v>iū</v>
          </cell>
          <cell r="Y34" t="str">
            <v>iu̍h</v>
          </cell>
        </row>
        <row r="35">
          <cell r="R35" t="str">
            <v>enn</v>
          </cell>
          <cell r="S35" t="str">
            <v>énn</v>
          </cell>
          <cell r="T35" t="str">
            <v>ènn</v>
          </cell>
          <cell r="U35" t="str">
            <v>ennh</v>
          </cell>
          <cell r="V35" t="str">
            <v>ênn</v>
          </cell>
          <cell r="W35" t="str">
            <v>ènn</v>
          </cell>
          <cell r="X35" t="str">
            <v>ēnn</v>
          </cell>
          <cell r="Y35" t="str">
            <v>e̍nnh</v>
          </cell>
        </row>
        <row r="36">
          <cell r="R36" t="str">
            <v>uinn</v>
          </cell>
          <cell r="S36" t="str">
            <v>úinn</v>
          </cell>
          <cell r="T36" t="str">
            <v>ùinn</v>
          </cell>
          <cell r="U36" t="str">
            <v>uinnh</v>
          </cell>
          <cell r="V36" t="str">
            <v>ûinn</v>
          </cell>
          <cell r="W36" t="str">
            <v>ùinn</v>
          </cell>
          <cell r="X36" t="str">
            <v>ūinn</v>
          </cell>
          <cell r="Y36" t="str">
            <v>u̍innh</v>
          </cell>
        </row>
        <row r="37">
          <cell r="R37" t="str">
            <v>io</v>
          </cell>
          <cell r="S37" t="str">
            <v>ió</v>
          </cell>
          <cell r="T37" t="str">
            <v>iò</v>
          </cell>
          <cell r="U37" t="str">
            <v>ioh</v>
          </cell>
          <cell r="V37" t="str">
            <v>iô</v>
          </cell>
          <cell r="W37" t="str">
            <v>iò</v>
          </cell>
          <cell r="X37" t="str">
            <v>iō</v>
          </cell>
          <cell r="Y37" t="str">
            <v>io̍h</v>
          </cell>
        </row>
        <row r="38">
          <cell r="R38" t="str">
            <v>inn</v>
          </cell>
          <cell r="S38" t="str">
            <v>ínn</v>
          </cell>
          <cell r="T38" t="str">
            <v>ìnn</v>
          </cell>
          <cell r="U38" t="str">
            <v>innh</v>
          </cell>
          <cell r="V38" t="str">
            <v>înn</v>
          </cell>
          <cell r="W38" t="str">
            <v>ìnn</v>
          </cell>
          <cell r="X38" t="str">
            <v>īnn</v>
          </cell>
          <cell r="Y38" t="str">
            <v>i̍nnh</v>
          </cell>
        </row>
        <row r="39">
          <cell r="R39" t="str">
            <v>ionn</v>
          </cell>
          <cell r="S39" t="str">
            <v>iónn</v>
          </cell>
          <cell r="T39" t="str">
            <v>iònn</v>
          </cell>
          <cell r="U39" t="str">
            <v>ionnh</v>
          </cell>
          <cell r="V39" t="str">
            <v>iônn</v>
          </cell>
          <cell r="W39" t="str">
            <v>iònn</v>
          </cell>
          <cell r="X39" t="str">
            <v>iōnn</v>
          </cell>
          <cell r="Y39" t="str">
            <v>io̍nnh</v>
          </cell>
        </row>
        <row r="40">
          <cell r="R40" t="str">
            <v>iann</v>
          </cell>
          <cell r="S40" t="str">
            <v>iánn</v>
          </cell>
          <cell r="T40" t="str">
            <v>iànn</v>
          </cell>
          <cell r="U40" t="str">
            <v>iannh</v>
          </cell>
          <cell r="V40" t="str">
            <v>iânn</v>
          </cell>
          <cell r="W40" t="str">
            <v>iànn</v>
          </cell>
          <cell r="X40" t="str">
            <v>iānn</v>
          </cell>
          <cell r="Y40" t="str">
            <v>ia̍nnh</v>
          </cell>
        </row>
        <row r="41">
          <cell r="R41" t="str">
            <v>uann</v>
          </cell>
          <cell r="S41" t="str">
            <v>úann</v>
          </cell>
          <cell r="T41" t="str">
            <v>ùann</v>
          </cell>
          <cell r="U41" t="str">
            <v>uannh</v>
          </cell>
          <cell r="V41" t="str">
            <v>ûann</v>
          </cell>
          <cell r="W41" t="str">
            <v>ùann</v>
          </cell>
          <cell r="X41" t="str">
            <v>ūann</v>
          </cell>
          <cell r="Y41" t="str">
            <v>u̍annh</v>
          </cell>
        </row>
        <row r="42">
          <cell r="R42" t="str">
            <v>ng</v>
          </cell>
          <cell r="S42" t="str">
            <v>ńg</v>
          </cell>
          <cell r="T42" t="str">
            <v xml:space="preserve">ǹ </v>
          </cell>
          <cell r="U42" t="str">
            <v>ngh</v>
          </cell>
          <cell r="V42" t="str">
            <v>n̂gh</v>
          </cell>
          <cell r="W42" t="str">
            <v>0</v>
          </cell>
          <cell r="X42" t="str">
            <v>n̄g</v>
          </cell>
          <cell r="Y42" t="str">
            <v>n̍gh</v>
          </cell>
        </row>
        <row r="43">
          <cell r="R43" t="str">
            <v>e</v>
          </cell>
          <cell r="S43" t="str">
            <v>é</v>
          </cell>
          <cell r="T43" t="str">
            <v>è</v>
          </cell>
          <cell r="U43" t="str">
            <v>eh</v>
          </cell>
          <cell r="V43" t="str">
            <v>ê</v>
          </cell>
          <cell r="W43" t="str">
            <v>è</v>
          </cell>
          <cell r="X43" t="str">
            <v>ē</v>
          </cell>
          <cell r="Y43" t="str">
            <v>e̍h</v>
          </cell>
        </row>
        <row r="44">
          <cell r="R44" t="str">
            <v>ainn</v>
          </cell>
          <cell r="S44" t="str">
            <v>áinn</v>
          </cell>
          <cell r="T44" t="str">
            <v>àinn</v>
          </cell>
          <cell r="U44" t="str">
            <v>ainnh</v>
          </cell>
          <cell r="V44" t="str">
            <v>âinn</v>
          </cell>
          <cell r="W44" t="str">
            <v>àinn</v>
          </cell>
          <cell r="X44" t="str">
            <v>āinn</v>
          </cell>
          <cell r="Y44" t="str">
            <v>a̍innh</v>
          </cell>
        </row>
        <row r="45">
          <cell r="R45" t="str">
            <v>onn</v>
          </cell>
          <cell r="S45" t="str">
            <v>ónn</v>
          </cell>
          <cell r="T45" t="str">
            <v>ònn</v>
          </cell>
          <cell r="U45" t="str">
            <v>onnh</v>
          </cell>
          <cell r="V45" t="str">
            <v>ônn</v>
          </cell>
          <cell r="W45" t="str">
            <v>ònn</v>
          </cell>
          <cell r="X45" t="str">
            <v>ōnn</v>
          </cell>
          <cell r="Y45" t="str">
            <v>o̍nnh</v>
          </cell>
        </row>
        <row r="46">
          <cell r="R46" t="str">
            <v>m</v>
          </cell>
          <cell r="S46" t="str">
            <v xml:space="preserve"> ḿ</v>
          </cell>
          <cell r="T46" t="str">
            <v>m̀</v>
          </cell>
          <cell r="U46" t="str">
            <v>mh</v>
          </cell>
          <cell r="V46" t="str">
            <v>m̂</v>
          </cell>
          <cell r="W46" t="str">
            <v>m̀</v>
          </cell>
          <cell r="X46" t="str">
            <v>m̄</v>
          </cell>
          <cell r="Y46" t="str">
            <v>m̍h</v>
          </cell>
        </row>
        <row r="47">
          <cell r="R47" t="str">
            <v>uang</v>
          </cell>
          <cell r="S47" t="str">
            <v>uáng</v>
          </cell>
          <cell r="T47" t="str">
            <v>uàng</v>
          </cell>
          <cell r="U47" t="str">
            <v>uak</v>
          </cell>
          <cell r="V47" t="str">
            <v>uâng</v>
          </cell>
          <cell r="W47" t="str">
            <v>uàng</v>
          </cell>
          <cell r="X47" t="str">
            <v>uāng</v>
          </cell>
          <cell r="Y47" t="str">
            <v>ua̍k</v>
          </cell>
        </row>
        <row r="48">
          <cell r="R48" t="str">
            <v>uainn</v>
          </cell>
          <cell r="S48" t="str">
            <v>uáinn</v>
          </cell>
          <cell r="T48" t="str">
            <v>uàinn</v>
          </cell>
          <cell r="U48" t="str">
            <v>uainnh</v>
          </cell>
          <cell r="V48" t="str">
            <v>uâinn</v>
          </cell>
          <cell r="W48" t="str">
            <v>uàinn</v>
          </cell>
          <cell r="X48" t="str">
            <v>uāinn</v>
          </cell>
          <cell r="Y48" t="str">
            <v>ua̍innh</v>
          </cell>
        </row>
        <row r="49">
          <cell r="R49" t="str">
            <v>uenn</v>
          </cell>
          <cell r="S49" t="str">
            <v>úenn</v>
          </cell>
          <cell r="T49" t="str">
            <v>ùenn</v>
          </cell>
          <cell r="U49" t="str">
            <v>uennh</v>
          </cell>
          <cell r="V49" t="str">
            <v>ûenn</v>
          </cell>
          <cell r="W49" t="str">
            <v>ùenn</v>
          </cell>
          <cell r="X49" t="str">
            <v>ūenn</v>
          </cell>
          <cell r="Y49" t="str">
            <v>u̍ennh</v>
          </cell>
        </row>
        <row r="50">
          <cell r="R50" t="str">
            <v>iaunn</v>
          </cell>
          <cell r="S50" t="str">
            <v>iáunn</v>
          </cell>
          <cell r="T50" t="str">
            <v>iàunn</v>
          </cell>
          <cell r="U50" t="str">
            <v>iaunnh</v>
          </cell>
          <cell r="V50" t="str">
            <v>iâunn</v>
          </cell>
          <cell r="W50" t="str">
            <v>iàunn</v>
          </cell>
          <cell r="X50" t="str">
            <v>iāunn</v>
          </cell>
          <cell r="Y50" t="str">
            <v>ia̍unnh</v>
          </cell>
        </row>
        <row r="51">
          <cell r="R51" t="str">
            <v>om</v>
          </cell>
          <cell r="S51" t="str">
            <v>óm</v>
          </cell>
          <cell r="T51" t="str">
            <v>òm</v>
          </cell>
          <cell r="U51" t="str">
            <v>op</v>
          </cell>
          <cell r="V51" t="str">
            <v>ôm</v>
          </cell>
          <cell r="W51" t="str">
            <v>òm</v>
          </cell>
          <cell r="X51" t="str">
            <v>ōm</v>
          </cell>
          <cell r="Y51" t="str">
            <v>o̍p</v>
          </cell>
        </row>
        <row r="52">
          <cell r="R52" t="str">
            <v>aunn</v>
          </cell>
          <cell r="S52" t="str">
            <v>áunn</v>
          </cell>
          <cell r="T52" t="str">
            <v>àunn</v>
          </cell>
          <cell r="U52" t="str">
            <v>aunnh</v>
          </cell>
          <cell r="V52" t="str">
            <v>âunn</v>
          </cell>
          <cell r="W52" t="str">
            <v>àunn</v>
          </cell>
          <cell r="X52" t="str">
            <v>āunn</v>
          </cell>
          <cell r="Y52" t="str">
            <v>a̍unnh</v>
          </cell>
        </row>
        <row r="53">
          <cell r="R53" t="str">
            <v>onn</v>
          </cell>
          <cell r="S53" t="str">
            <v>ónn</v>
          </cell>
          <cell r="T53" t="str">
            <v>ònn</v>
          </cell>
          <cell r="U53" t="str">
            <v>onnh</v>
          </cell>
          <cell r="V53" t="str">
            <v>ônn</v>
          </cell>
          <cell r="W53" t="str">
            <v>ònn</v>
          </cell>
          <cell r="X53" t="str">
            <v>ōnn</v>
          </cell>
          <cell r="Y53" t="str">
            <v>o̍nnh</v>
          </cell>
        </row>
        <row r="54">
          <cell r="R54" t="str">
            <v>iunn</v>
          </cell>
          <cell r="S54" t="str">
            <v>iúnn</v>
          </cell>
          <cell r="T54" t="str">
            <v>iùnn</v>
          </cell>
          <cell r="U54" t="str">
            <v>iunnh</v>
          </cell>
          <cell r="V54" t="str">
            <v>iûnn</v>
          </cell>
          <cell r="W54" t="str">
            <v>iùnn</v>
          </cell>
          <cell r="X54" t="str">
            <v>iūnn</v>
          </cell>
          <cell r="Y54" t="str">
            <v>iu̍nnh</v>
          </cell>
        </row>
      </sheetData>
      <sheetData sheetId="3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漢字查音"/>
      <sheetName val="聲母輸入表"/>
      <sheetName val="韻母輸入表"/>
      <sheetName val="聲調輸入"/>
      <sheetName val="十五音韻母序"/>
      <sheetName val="台語彙音（增補彙音）"/>
      <sheetName val="韻母字典"/>
      <sheetName val="漢字查音 (多字)"/>
      <sheetName val="彙集雅俗通字典"/>
      <sheetName val="聲母對照表"/>
      <sheetName val="韻母對照表"/>
      <sheetName val="聲調表"/>
      <sheetName val="設定"/>
      <sheetName val="【聲母】十五音對照表"/>
      <sheetName val="【聲母】十五音聲母發音表"/>
      <sheetName val="【韻母】十五音對照表"/>
      <sheetName val="【韻母】韻腹排序對照表"/>
      <sheetName val="【韻母】《漳州閩拼》對照表"/>
      <sheetName val="閩拼-聲調"/>
      <sheetName val="元音舌位圖"/>
      <sheetName val="【韻母】元音及韻化輔音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B4" t="str">
            <v>l</v>
          </cell>
        </row>
        <row r="5">
          <cell r="B5" t="str">
            <v>p</v>
          </cell>
        </row>
        <row r="6">
          <cell r="B6" t="str">
            <v>k</v>
          </cell>
        </row>
        <row r="7">
          <cell r="B7" t="str">
            <v>kh</v>
          </cell>
        </row>
        <row r="8">
          <cell r="B8" t="str">
            <v>t</v>
          </cell>
        </row>
        <row r="9">
          <cell r="B9" t="str">
            <v>ph</v>
          </cell>
        </row>
        <row r="10">
          <cell r="B10" t="str">
            <v>th</v>
          </cell>
        </row>
        <row r="11">
          <cell r="B11" t="str">
            <v>z</v>
          </cell>
        </row>
        <row r="12">
          <cell r="B12" t="str">
            <v>j</v>
          </cell>
        </row>
        <row r="13">
          <cell r="B13" t="str">
            <v>s</v>
          </cell>
        </row>
        <row r="14">
          <cell r="B14" t="str">
            <v>q</v>
          </cell>
        </row>
        <row r="15">
          <cell r="B15" t="str">
            <v>b</v>
          </cell>
        </row>
        <row r="16">
          <cell r="B16" t="str">
            <v>g</v>
          </cell>
        </row>
        <row r="17">
          <cell r="B17" t="str">
            <v>c</v>
          </cell>
        </row>
        <row r="18">
          <cell r="B18" t="str">
            <v>h</v>
          </cell>
        </row>
        <row r="19">
          <cell r="B19" t="str">
            <v>m</v>
          </cell>
        </row>
        <row r="20">
          <cell r="B20" t="str">
            <v>n</v>
          </cell>
        </row>
        <row r="21">
          <cell r="B21" t="str">
            <v>ng</v>
          </cell>
        </row>
      </sheetData>
      <sheetData sheetId="10">
        <row r="4">
          <cell r="B4" t="str">
            <v>un</v>
          </cell>
        </row>
        <row r="5">
          <cell r="B5" t="str">
            <v>ut</v>
          </cell>
        </row>
        <row r="6">
          <cell r="B6" t="str">
            <v>ian</v>
          </cell>
        </row>
        <row r="7">
          <cell r="B7" t="str">
            <v>iat</v>
          </cell>
        </row>
        <row r="8">
          <cell r="B8" t="str">
            <v>im</v>
          </cell>
        </row>
        <row r="9">
          <cell r="B9" t="str">
            <v>ip</v>
          </cell>
        </row>
        <row r="10">
          <cell r="B10" t="str">
            <v>ui</v>
          </cell>
        </row>
        <row r="11">
          <cell r="B11">
            <v>0</v>
          </cell>
        </row>
        <row r="12">
          <cell r="B12" t="str">
            <v>ee</v>
          </cell>
        </row>
        <row r="13">
          <cell r="B13" t="str">
            <v>eeh</v>
          </cell>
        </row>
        <row r="14">
          <cell r="B14" t="str">
            <v>an</v>
          </cell>
        </row>
        <row r="15">
          <cell r="B15" t="str">
            <v>at</v>
          </cell>
        </row>
        <row r="16">
          <cell r="B16" t="str">
            <v>ong</v>
          </cell>
        </row>
        <row r="17">
          <cell r="B17" t="str">
            <v>ok</v>
          </cell>
        </row>
        <row r="18">
          <cell r="B18" t="str">
            <v>uai</v>
          </cell>
        </row>
        <row r="19">
          <cell r="B19" t="str">
            <v>uaih</v>
          </cell>
        </row>
        <row r="20">
          <cell r="B20" t="str">
            <v>ing</v>
          </cell>
        </row>
        <row r="21">
          <cell r="B21" t="str">
            <v>ik</v>
          </cell>
        </row>
        <row r="22">
          <cell r="B22" t="str">
            <v>uan</v>
          </cell>
        </row>
        <row r="23">
          <cell r="B23" t="str">
            <v>uat</v>
          </cell>
        </row>
        <row r="24">
          <cell r="B24" t="str">
            <v>oo</v>
          </cell>
        </row>
        <row r="25">
          <cell r="B25">
            <v>0</v>
          </cell>
        </row>
        <row r="26">
          <cell r="B26" t="str">
            <v>iau</v>
          </cell>
        </row>
        <row r="27">
          <cell r="B27" t="str">
            <v>iauh</v>
          </cell>
        </row>
        <row r="28">
          <cell r="B28" t="str">
            <v>ei</v>
          </cell>
        </row>
        <row r="29">
          <cell r="B29">
            <v>0</v>
          </cell>
        </row>
        <row r="30">
          <cell r="B30" t="str">
            <v>iong</v>
          </cell>
        </row>
        <row r="31">
          <cell r="B31" t="str">
            <v>iok</v>
          </cell>
        </row>
        <row r="32">
          <cell r="B32" t="str">
            <v>o</v>
          </cell>
        </row>
        <row r="33">
          <cell r="B33" t="str">
            <v>oh</v>
          </cell>
        </row>
        <row r="34">
          <cell r="B34" t="str">
            <v>ai</v>
          </cell>
        </row>
        <row r="35">
          <cell r="B35">
            <v>0</v>
          </cell>
        </row>
        <row r="36">
          <cell r="B36" t="str">
            <v>in</v>
          </cell>
        </row>
        <row r="37">
          <cell r="B37" t="str">
            <v>it</v>
          </cell>
        </row>
        <row r="38">
          <cell r="B38" t="str">
            <v>iang</v>
          </cell>
        </row>
        <row r="39">
          <cell r="B39" t="str">
            <v>iak</v>
          </cell>
        </row>
        <row r="40">
          <cell r="B40" t="str">
            <v>am</v>
          </cell>
        </row>
        <row r="41">
          <cell r="B41" t="str">
            <v>ap</v>
          </cell>
        </row>
        <row r="42">
          <cell r="B42" t="str">
            <v>ua</v>
          </cell>
        </row>
        <row r="43">
          <cell r="B43" t="str">
            <v>uah</v>
          </cell>
        </row>
        <row r="44">
          <cell r="B44" t="str">
            <v>ang</v>
          </cell>
        </row>
        <row r="45">
          <cell r="B45" t="str">
            <v>ak</v>
          </cell>
        </row>
        <row r="46">
          <cell r="B46" t="str">
            <v>iam</v>
          </cell>
        </row>
        <row r="47">
          <cell r="B47" t="str">
            <v>iap</v>
          </cell>
        </row>
        <row r="48">
          <cell r="B48" t="str">
            <v>au</v>
          </cell>
        </row>
        <row r="49">
          <cell r="B49" t="str">
            <v>auh</v>
          </cell>
        </row>
        <row r="50">
          <cell r="B50" t="str">
            <v>ia</v>
          </cell>
        </row>
        <row r="51">
          <cell r="B51" t="str">
            <v>iah</v>
          </cell>
        </row>
        <row r="52">
          <cell r="B52" t="str">
            <v>ue</v>
          </cell>
        </row>
        <row r="53">
          <cell r="B53" t="str">
            <v>ueh</v>
          </cell>
        </row>
        <row r="54">
          <cell r="B54" t="str">
            <v>ann</v>
          </cell>
        </row>
        <row r="55">
          <cell r="B55" t="str">
            <v>ahnn</v>
          </cell>
        </row>
        <row r="56">
          <cell r="B56" t="str">
            <v>u</v>
          </cell>
        </row>
        <row r="57">
          <cell r="B57" t="str">
            <v>uh</v>
          </cell>
        </row>
        <row r="58">
          <cell r="B58" t="str">
            <v>a</v>
          </cell>
        </row>
        <row r="59">
          <cell r="B59" t="str">
            <v>ah</v>
          </cell>
        </row>
        <row r="60">
          <cell r="B60" t="str">
            <v>i</v>
          </cell>
        </row>
        <row r="61">
          <cell r="B61" t="str">
            <v>ih</v>
          </cell>
        </row>
        <row r="62">
          <cell r="B62" t="str">
            <v>iu</v>
          </cell>
        </row>
        <row r="63">
          <cell r="B63">
            <v>0</v>
          </cell>
        </row>
        <row r="64">
          <cell r="B64" t="str">
            <v>enn</v>
          </cell>
        </row>
        <row r="65">
          <cell r="B65" t="str">
            <v>ehnn</v>
          </cell>
        </row>
        <row r="66">
          <cell r="B66" t="str">
            <v>uinn</v>
          </cell>
        </row>
        <row r="67">
          <cell r="B67">
            <v>0</v>
          </cell>
        </row>
        <row r="68">
          <cell r="B68" t="str">
            <v>io</v>
          </cell>
        </row>
        <row r="69">
          <cell r="B69" t="str">
            <v>ioh</v>
          </cell>
        </row>
        <row r="70">
          <cell r="B70" t="str">
            <v>inn</v>
          </cell>
        </row>
        <row r="71">
          <cell r="B71" t="str">
            <v>ihnn</v>
          </cell>
        </row>
        <row r="72">
          <cell r="B72" t="str">
            <v>ionn</v>
          </cell>
        </row>
        <row r="73">
          <cell r="B73">
            <v>0</v>
          </cell>
        </row>
        <row r="74">
          <cell r="B74" t="str">
            <v>iann</v>
          </cell>
        </row>
        <row r="75">
          <cell r="B75">
            <v>0</v>
          </cell>
        </row>
        <row r="76">
          <cell r="B76" t="str">
            <v>uann</v>
          </cell>
        </row>
        <row r="77">
          <cell r="B77">
            <v>0</v>
          </cell>
        </row>
        <row r="78">
          <cell r="B78" t="str">
            <v>ng</v>
          </cell>
        </row>
        <row r="79">
          <cell r="B79">
            <v>0</v>
          </cell>
        </row>
        <row r="80">
          <cell r="B80" t="str">
            <v>e</v>
          </cell>
        </row>
        <row r="81">
          <cell r="B81" t="str">
            <v>eh</v>
          </cell>
        </row>
        <row r="82">
          <cell r="B82" t="str">
            <v>ainn</v>
          </cell>
        </row>
        <row r="83">
          <cell r="B83">
            <v>0</v>
          </cell>
        </row>
        <row r="84">
          <cell r="B84" t="str">
            <v>oonn</v>
          </cell>
        </row>
        <row r="85">
          <cell r="B85">
            <v>0</v>
          </cell>
        </row>
        <row r="86">
          <cell r="B86" t="str">
            <v>m</v>
          </cell>
        </row>
        <row r="87">
          <cell r="B87">
            <v>0</v>
          </cell>
        </row>
        <row r="88">
          <cell r="B88" t="str">
            <v>uang</v>
          </cell>
        </row>
        <row r="89">
          <cell r="B89" t="str">
            <v>uak</v>
          </cell>
        </row>
        <row r="90">
          <cell r="B90" t="str">
            <v>uainn</v>
          </cell>
        </row>
        <row r="91">
          <cell r="B91" t="str">
            <v>uaihnn</v>
          </cell>
        </row>
        <row r="92">
          <cell r="B92" t="str">
            <v>uenn</v>
          </cell>
        </row>
        <row r="93">
          <cell r="B93">
            <v>0</v>
          </cell>
        </row>
        <row r="94">
          <cell r="B94" t="str">
            <v>iaunn</v>
          </cell>
        </row>
        <row r="95">
          <cell r="B95" t="str">
            <v>iauhnn</v>
          </cell>
        </row>
        <row r="96">
          <cell r="B96" t="str">
            <v>om</v>
          </cell>
        </row>
        <row r="97">
          <cell r="B97" t="str">
            <v>op</v>
          </cell>
        </row>
        <row r="98">
          <cell r="B98" t="str">
            <v>aunn</v>
          </cell>
        </row>
        <row r="99">
          <cell r="B99">
            <v>0</v>
          </cell>
        </row>
        <row r="100">
          <cell r="B100" t="str">
            <v>onn</v>
          </cell>
        </row>
        <row r="101">
          <cell r="B101" t="str">
            <v>ohnn</v>
          </cell>
        </row>
        <row r="102">
          <cell r="B102" t="str">
            <v>iunn</v>
          </cell>
        </row>
        <row r="103">
          <cell r="B103">
            <v>0</v>
          </cell>
        </row>
      </sheetData>
      <sheetData sheetId="11" refreshError="1"/>
      <sheetData sheetId="12">
        <row r="3">
          <cell r="I3">
            <v>1</v>
          </cell>
          <cell r="J3" t="str">
            <v/>
          </cell>
        </row>
        <row r="4">
          <cell r="I4">
            <v>3</v>
          </cell>
          <cell r="J4" t="str">
            <v>ˋ</v>
          </cell>
        </row>
        <row r="5">
          <cell r="I5">
            <v>5</v>
          </cell>
          <cell r="J5" t="str">
            <v>˪</v>
          </cell>
        </row>
        <row r="6">
          <cell r="I6">
            <v>7</v>
          </cell>
          <cell r="J6" t="str">
            <v/>
          </cell>
        </row>
        <row r="7">
          <cell r="I7">
            <v>2</v>
          </cell>
          <cell r="J7" t="str">
            <v>ˊ</v>
          </cell>
        </row>
        <row r="8">
          <cell r="I8">
            <v>4</v>
          </cell>
          <cell r="J8" t="str">
            <v/>
          </cell>
        </row>
        <row r="9">
          <cell r="I9">
            <v>6</v>
          </cell>
          <cell r="J9" t="str">
            <v>˫</v>
          </cell>
        </row>
        <row r="10">
          <cell r="I10">
            <v>8</v>
          </cell>
          <cell r="J10" t="str">
            <v>˙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v"/>
      <sheetName val="人工標音字庫"/>
      <sheetName val="標音字庫 ( before a210)"/>
      <sheetName val="標音字庫"/>
      <sheetName val="缺字表"/>
      <sheetName val="漢字注音"/>
      <sheetName val="漢字注音 (白話音)"/>
      <sheetName val="漢字注音 (2)"/>
      <sheetName val="人工標音字庫 (2)"/>
      <sheetName val="漢字注音 (範例)"/>
      <sheetName val="缺字表 (範例)"/>
      <sheetName val="標音字庫 (範例)"/>
    </sheetNames>
    <sheetDataSet>
      <sheetData sheetId="0">
        <row r="10">
          <cell r="C10" t="b">
            <v>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910BE77-5D79-47E9-B66E-653BD61962FA}" name="聲母表_6" displayName="聲母表_6" ref="B2:N24" totalsRowShown="0" headerRowDxfId="128" headerRowBorderDxfId="127" tableBorderDxfId="126" totalsRowBorderDxfId="125">
  <sortState xmlns:xlrd2="http://schemas.microsoft.com/office/spreadsheetml/2017/richdata2" ref="B3:N24">
    <sortCondition ref="C3:C24"/>
  </sortState>
  <tableColumns count="13">
    <tableColumn id="1" xr3:uid="{7C21DDF8-6C1E-47BF-AD65-71D59BA3F02C}" name="序號" dataDxfId="124"/>
    <tableColumn id="13" xr3:uid="{30840F75-2358-45D4-B3A2-FED9AA3F11D3}" name="音序" dataDxfId="123"/>
    <tableColumn id="2" xr3:uid="{65A4F70A-35B7-4492-A2DD-02B4D61EF17F}" name="漢字例" dataDxfId="122"/>
    <tableColumn id="3" xr3:uid="{FE3DEAEE-4D57-4DEC-B24C-AA1D7D7485A4}" name="十五音" dataDxfId="121"/>
    <tableColumn id="14" xr3:uid="{79DE04B8-55EC-4BAB-B650-96D6411035AF}" name="新十五音" dataDxfId="120"/>
    <tableColumn id="5" xr3:uid="{35B20EC9-AFF9-4EE4-838E-3CF3E6C59FD6}" name="國際音標" dataDxfId="119"/>
    <tableColumn id="4" xr3:uid="{7B4EAA1B-48BA-42DB-9CBB-F6A467FE50E4}" name="台羅拼音" dataDxfId="118"/>
    <tableColumn id="7" xr3:uid="{8D944B0F-7EE7-4302-88AE-36C3327A8A55}" name="台語音標" dataDxfId="117"/>
    <tableColumn id="8" xr3:uid="{5EAC6A95-888B-4FBB-8EE0-6A3DB8A3A41D}" name="白話字" dataDxfId="116"/>
    <tableColumn id="9" xr3:uid="{0CCBC327-8FBB-497D-A78D-DD24133B042A}" name="閩拼方案" dataDxfId="115"/>
    <tableColumn id="10" xr3:uid="{FBE35C6B-46C7-4A8A-AFDC-FAFC733EE7C4}" name="注音二式" dataDxfId="114"/>
    <tableColumn id="11" xr3:uid="{4FB38970-B2FF-4855-BD09-5E59F5E602CB}" name="方音符號" dataDxfId="113"/>
    <tableColumn id="12" xr3:uid="{BAE9F71F-13C6-4ABA-AF69-F5CCDF1225F4}" name="台語注音" dataDxfId="1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1D0F221-44DF-49D3-BB63-AF3CE3A4F213}" name="韻母表_47" displayName="韻母表_47" ref="B2:N102" totalsRowShown="0" headerRowDxfId="111" dataDxfId="109" headerRowBorderDxfId="110" tableBorderDxfId="108">
  <tableColumns count="13">
    <tableColumn id="1" xr3:uid="{7E8E49A0-DBD4-46CD-B695-4ED16B7D2CC4}" name="序號" dataDxfId="107"/>
    <tableColumn id="5" xr3:uid="{E89FE382-28EE-493B-9C5C-E8CE57402883}" name="韻序" dataDxfId="106">
      <calculatedColumnFormula xml:space="preserve"> IF(MOD(韻母表_47[[#This Row],[序號]],2)=0, 韻母表_47[[#This Row],[序號]]/2, ROUNDUP(韻母表_47[[#This Row],[序號]]/2,0))</calculatedColumnFormula>
    </tableColumn>
    <tableColumn id="2" xr3:uid="{5FF383FB-4EB5-4239-A718-123605135E15}" name="漢字例" dataDxfId="105"/>
    <tableColumn id="3" xr3:uid="{8B70117A-C790-4303-9B05-2EDF836B148C}" name="十五音" dataDxfId="104"/>
    <tableColumn id="6" xr3:uid="{590E3A6B-FBF2-4013-95E4-83DE83ABCEBA}" name="國際音標" dataDxfId="103"/>
    <tableColumn id="7" xr3:uid="{9B87CA48-38EE-4F1D-B463-F313B8DCE65D}" name="國際音標2" dataDxfId="102"/>
    <tableColumn id="4" xr3:uid="{A06C0922-A2FA-4CCE-A2D4-1F0AA9004786}" name="台羅拼音" dataDxfId="101"/>
    <tableColumn id="8" xr3:uid="{69F23EFA-F151-486E-9A8E-3AAAD9BEEDBF}" name="台語音標" dataDxfId="100"/>
    <tableColumn id="9" xr3:uid="{1E630149-04BC-4344-932A-FD1A5961E3FC}" name="白話字" dataDxfId="99"/>
    <tableColumn id="10" xr3:uid="{D1D3C3BD-412E-4A07-943C-BE1298D1F221}" name="閩拼方案" dataDxfId="98"/>
    <tableColumn id="11" xr3:uid="{9DE3A143-C2B8-4518-91D4-755E3F5C69E5}" name="注音二式" dataDxfId="97"/>
    <tableColumn id="12" xr3:uid="{E1DCB1A2-A89D-4E02-99CC-EA5AF2E37F6C}" name="方音符號" dataDxfId="96"/>
    <tableColumn id="13" xr3:uid="{09567E72-672B-47C0-888F-27232D6AD003}" name="台語注音" dataDxfId="95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D53CAA-1AC5-435B-8EFA-F8A8BD117A7E}" name="聲母表" displayName="聲母表" ref="A1:M23" totalsRowShown="0" headerRowDxfId="94" headerRowBorderDxfId="93" tableBorderDxfId="92" totalsRowBorderDxfId="91">
  <autoFilter ref="A1:M23" xr:uid="{D4D53CAA-1AC5-435B-8EFA-F8A8BD117A7E}"/>
  <sortState xmlns:xlrd2="http://schemas.microsoft.com/office/spreadsheetml/2017/richdata2" ref="A2:M23">
    <sortCondition ref="B2:B23"/>
  </sortState>
  <tableColumns count="13">
    <tableColumn id="1" xr3:uid="{C83BAA32-BD80-4A6A-B041-EFB4E5BF0EAD}" name="序號" dataDxfId="90"/>
    <tableColumn id="13" xr3:uid="{F49FED34-8A68-43B1-A51D-B6550AE47953}" name="音序" dataDxfId="89"/>
    <tableColumn id="2" xr3:uid="{A6E193EA-549C-4029-8823-9DFE17442FF1}" name="漢字例" dataDxfId="88"/>
    <tableColumn id="3" xr3:uid="{6A134241-ADBE-4BD1-A5C6-D00613EF82BB}" name="十五音"/>
    <tableColumn id="14" xr3:uid="{E372684C-80C8-4FBB-8980-C9CF51A93857}" name="新十五音"/>
    <tableColumn id="5" xr3:uid="{D62696E3-AB0E-4D6E-B91E-A6119DD3697B}" name="國際音標" dataDxfId="87"/>
    <tableColumn id="4" xr3:uid="{9014A3FB-03BF-4D2A-833F-6D18B2FC48DE}" name="台羅拼音"/>
    <tableColumn id="7" xr3:uid="{DE46D56A-2F6F-460E-97EB-6221DBF36190}" name="台語音標" dataDxfId="86"/>
    <tableColumn id="8" xr3:uid="{6416C7B5-02F3-4A4B-A59B-F5CCC29DA4BC}" name="白話字" dataDxfId="85"/>
    <tableColumn id="9" xr3:uid="{499810EC-AD1D-46F1-B997-07B17DA95245}" name="閩拼方案" dataDxfId="84"/>
    <tableColumn id="10" xr3:uid="{5D3D9CE2-D240-4ADB-A8EC-5DF1AD126A55}" name="注音二式" dataDxfId="83"/>
    <tableColumn id="11" xr3:uid="{E1D819DB-0A80-42E2-A97A-E02BCFDCB063}" name="方音符號" dataDxfId="82"/>
    <tableColumn id="12" xr3:uid="{F009D45F-2383-4AB9-BA72-A06F1F14EE9E}" name="台語注音" dataDxfId="8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2DA63B-0319-47A3-BDFD-F8B0495A3E64}" name="聲母表_5" displayName="聲母表_5" ref="A1:N23" totalsRowShown="0" headerRowDxfId="80" dataDxfId="78" headerRowBorderDxfId="79" tableBorderDxfId="77" totalsRowBorderDxfId="76">
  <autoFilter ref="A1:N23" xr:uid="{D4D53CAA-1AC5-435B-8EFA-F8A8BD117A7E}"/>
  <sortState xmlns:xlrd2="http://schemas.microsoft.com/office/spreadsheetml/2017/richdata2" ref="A2:N23">
    <sortCondition ref="A22:A23"/>
  </sortState>
  <tableColumns count="14">
    <tableColumn id="1" xr3:uid="{C971D0BF-82B3-431F-9DBF-BABBF1860622}" name="序號" dataDxfId="75"/>
    <tableColumn id="13" xr3:uid="{C0EBB830-DF25-4B8B-A04C-5AD291747B9B}" name="音序" dataDxfId="74"/>
    <tableColumn id="2" xr3:uid="{29C6F10E-D5FE-48E2-9B67-4A82612B8017}" name="漢字例" dataDxfId="73"/>
    <tableColumn id="3" xr3:uid="{944C7312-4980-46B3-AA31-A41C4F4FC905}" name="十五音" dataDxfId="72"/>
    <tableColumn id="14" xr3:uid="{A03A6B8F-2D0A-4F9E-AC9B-335F9AF8D90B}" name="新十五音" dataDxfId="71"/>
    <tableColumn id="5" xr3:uid="{F3F53986-D930-4778-9198-0C97594B0217}" name="國際音標" dataDxfId="70"/>
    <tableColumn id="4" xr3:uid="{27DD2A64-0A00-44F1-9574-D63AB4694D5B}" name="台羅拼音" dataDxfId="69"/>
    <tableColumn id="7" xr3:uid="{631141E8-6FFE-4928-A26C-0209E49FEE95}" name="台語音標" dataDxfId="68"/>
    <tableColumn id="8" xr3:uid="{3B1EF29E-E6F5-4D15-B56A-5A7CE81D9F23}" name="白話字" dataDxfId="67"/>
    <tableColumn id="9" xr3:uid="{C3CA34FD-9764-4C59-A6EF-E3A95A526F32}" name="閩拼方案" dataDxfId="66"/>
    <tableColumn id="10" xr3:uid="{7660EA53-CEFB-4855-AC4D-97682879EEA3}" name="注音二式" dataDxfId="65"/>
    <tableColumn id="6" xr3:uid="{CF390D7A-659B-4B4F-B221-44D90F02F4E0}" name="注音二式代" dataDxfId="64"/>
    <tableColumn id="11" xr3:uid="{92729FD8-B3AB-4B69-ADF3-9863CB25C657}" name="方音符號" dataDxfId="63"/>
    <tableColumn id="12" xr3:uid="{06C616EB-33A1-4E31-9398-C9A55A34E991}" name="台語注音" dataDxfId="62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E007DD-5182-4B78-80DA-A6AB6CA14806}" name="韻母表" displayName="韻母表" ref="A1:M101" totalsRowShown="0" headerRowDxfId="145" dataDxfId="143" headerRowBorderDxfId="144" tableBorderDxfId="142">
  <autoFilter ref="A1:M101" xr:uid="{23E007DD-5182-4B78-80DA-A6AB6CA14806}"/>
  <tableColumns count="13">
    <tableColumn id="1" xr3:uid="{89688CC6-39FE-4435-8344-AAA347FCBED4}" name="序號" dataDxfId="141"/>
    <tableColumn id="5" xr3:uid="{8A21DB38-57E0-482B-95FC-B597347A8BDE}" name="韻序" dataDxfId="140">
      <calculatedColumnFormula xml:space="preserve"> IF(MOD(韻母表[[#This Row],[序號]],2)=0, 韻母表[[#This Row],[序號]]/2, ROUNDUP(韻母表[[#This Row],[序號]]/2,0))</calculatedColumnFormula>
    </tableColumn>
    <tableColumn id="2" xr3:uid="{C94EAE18-8E51-4E6B-AD98-90C9372F5188}" name="漢字例" dataDxfId="139"/>
    <tableColumn id="3" xr3:uid="{2C1D54ED-CBE3-4710-8C55-0AC6BB332524}" name="十五音" dataDxfId="138"/>
    <tableColumn id="6" xr3:uid="{9CAF41C9-1F52-4C5E-8A5F-0F0DECF6DB84}" name="國際音標" dataDxfId="137"/>
    <tableColumn id="7" xr3:uid="{6F37C033-2A03-4BC2-AB1F-B6A6D6E849EF}" name="國際音標2" dataDxfId="136"/>
    <tableColumn id="4" xr3:uid="{F38AD89D-9FC9-4519-A8D2-EEB6952EEAC1}" name="台羅拼音" dataDxfId="135"/>
    <tableColumn id="8" xr3:uid="{E2316195-DFB7-4D73-80AE-5AF5CB638098}" name="台語音標" dataDxfId="134"/>
    <tableColumn id="9" xr3:uid="{0A03E710-B799-4430-BEA2-5ABB2CD0E1A1}" name="白話字" dataDxfId="133"/>
    <tableColumn id="10" xr3:uid="{CA8E7716-EF33-499C-AAB0-A73DA24D6D6C}" name="閩拼方案" dataDxfId="132"/>
    <tableColumn id="11" xr3:uid="{44C917DF-FD45-429A-B606-AA4AA4A2D8B8}" name="注音二式" dataDxfId="131"/>
    <tableColumn id="12" xr3:uid="{A817EC74-78DE-4E34-8B25-4BAD35257767}" name="方音符號" dataDxfId="130"/>
    <tableColumn id="13" xr3:uid="{156C12E1-9EC9-4906-AFF2-E587C73D5F0D}" name="台語注音" dataDxfId="12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5995B0-5C2F-4E9A-9739-9EF19DAF1BE1}" name="韻母表_4" displayName="韻母表_4" ref="A1:M104" totalsRowShown="0" headerRowDxfId="61" dataDxfId="59" headerRowBorderDxfId="60" tableBorderDxfId="58">
  <autoFilter ref="A1:M104" xr:uid="{23E007DD-5182-4B78-80DA-A6AB6CA14806}"/>
  <tableColumns count="13">
    <tableColumn id="1" xr3:uid="{F8E86299-D90F-4592-ABDC-A0D652A239EA}" name="序號" dataDxfId="57"/>
    <tableColumn id="5" xr3:uid="{24C83CBE-F51A-4055-8C74-B669A9FEC2BB}" name="韻序" dataDxfId="56">
      <calculatedColumnFormula xml:space="preserve"> IF(MOD(韻母表_4[[#This Row],[序號]],2)=0, 韻母表_4[[#This Row],[序號]]/2, ROUNDUP(韻母表_4[[#This Row],[序號]]/2,0))</calculatedColumnFormula>
    </tableColumn>
    <tableColumn id="2" xr3:uid="{0C6809DB-3017-45B3-875B-B288340415E9}" name="漢字例" dataDxfId="55"/>
    <tableColumn id="3" xr3:uid="{EC7EADF7-9219-4A1D-BADE-5B70D687F5BE}" name="十五音" dataDxfId="54"/>
    <tableColumn id="6" xr3:uid="{D42B0375-1395-4AA5-9592-400D314FF4A6}" name="國際音標" dataDxfId="53"/>
    <tableColumn id="7" xr3:uid="{4FF66326-E3D3-4547-AACD-6FB02A224286}" name="國際音標2" dataDxfId="52"/>
    <tableColumn id="4" xr3:uid="{14118607-EB7E-45B6-BA80-82DA602FEA15}" name="台羅拼音" dataDxfId="51"/>
    <tableColumn id="8" xr3:uid="{B9308C5F-5158-4627-97E6-3777D062785C}" name="台語音標" dataDxfId="50"/>
    <tableColumn id="9" xr3:uid="{4D40D46C-12FE-42D7-893F-D328F6CC3B39}" name="白話字" dataDxfId="49"/>
    <tableColumn id="10" xr3:uid="{E55C9A5F-E95C-4F9C-95C2-8A79906E6908}" name="閩拼方案" dataDxfId="48"/>
    <tableColumn id="11" xr3:uid="{2FF03B77-E51C-4F7F-AC68-ACCC6F92D98A}" name="注音二式" dataDxfId="47"/>
    <tableColumn id="12" xr3:uid="{E71F16DA-D83F-43D8-B782-448D0B3850FD}" name="方音符號" dataDxfId="46"/>
    <tableColumn id="13" xr3:uid="{AF2B7E9E-8412-4DD8-AF9D-37FEF1CA2005}" name="台語注音" dataDxfId="45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EE6EF8-1946-4821-883D-3F3EA25A9D18}" name="聲調符號表" displayName="聲調符號表" ref="L2:P10" totalsRowShown="0" headerRowDxfId="44" headerRowBorderDxfId="43" tableBorderDxfId="42" totalsRowBorderDxfId="41">
  <autoFilter ref="L2:P10" xr:uid="{A0EE6EF8-1946-4821-883D-3F3EA25A9D18}"/>
  <tableColumns count="5">
    <tableColumn id="1" xr3:uid="{EFF1EAAA-D236-4335-B3FD-455BA72C3FE9}" name="調號" dataDxfId="40" dataCellStyle="一般 5"/>
    <tableColumn id="2" xr3:uid="{79758F20-DF42-44F7-A7BA-A85FA67EA2D8}" name="調符" dataDxfId="39" dataCellStyle="一般 5">
      <calculatedColumnFormula xml:space="preserve"> IF($N3="", "", _xlfn.UNICHAR(HEX2DEC(RIGHT($N3,4))))</calculatedColumnFormula>
    </tableColumn>
    <tableColumn id="3" xr3:uid="{DFCAC2F3-4B16-4B7B-873C-313C36BEA327}" name="Unicode" dataDxfId="38" dataCellStyle="一般 5"/>
    <tableColumn id="4" xr3:uid="{71E0460F-E435-40D8-A7ED-342515B67F67}" name="四聲八調" dataDxfId="37" dataCellStyle="一般 5"/>
    <tableColumn id="5" xr3:uid="{11165D82-66EB-4F4E-B631-86DF4D6C30BA}" name="漢字" dataDxfId="36" dataCellStyle="一般 2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B20D347-0CE3-4572-A446-9BDA5268F7CB}" name="方音符號聲調表二式" displayName="方音符號聲調表二式" ref="L12:P20" totalsRowShown="0" headerRowDxfId="35" headerRowBorderDxfId="34" tableBorderDxfId="33" totalsRowBorderDxfId="32">
  <autoFilter ref="L12:P20" xr:uid="{6B20D347-0CE3-4572-A446-9BDA5268F7CB}"/>
  <tableColumns count="5">
    <tableColumn id="1" xr3:uid="{FDF0C222-2CAC-4A62-BD89-D5C2944A40FB}" name="調號" dataDxfId="31" dataCellStyle="一般 5"/>
    <tableColumn id="2" xr3:uid="{94A5AD5E-34A8-46D8-8681-1BC49D22632E}" name="調符" dataDxfId="30" dataCellStyle="一般 5">
      <calculatedColumnFormula xml:space="preserve"> IF($N13="", "", _xlfn.UNICHAR(HEX2DEC(RIGHT($N13,4))))</calculatedColumnFormula>
    </tableColumn>
    <tableColumn id="3" xr3:uid="{259CF6A5-E326-4DF6-834C-EBF22FF792E6}" name="Unicode" dataDxfId="29" dataCellStyle="一般 5"/>
    <tableColumn id="4" xr3:uid="{032218B3-EB1D-427F-B926-69717AA60AA4}" name="四聲八調" dataDxfId="28" dataCellStyle="一般 5"/>
    <tableColumn id="5" xr3:uid="{0CE0620F-555D-48BC-BE76-D16951EF1FF6}" name="漢字" dataDxfId="27" dataCellStyle="一般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C6CB2EB7-B2EC-48EA-B531-1F9C61CA7A4C}">
  <we:reference id="wa200007447" version="1.1.6.7" store="zh-TW" storeType="OMEX"/>
  <we:alternateReferences>
    <we:reference id="WA200007447" version="1.1.6.7" store="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51FD2E8E-AF3A-4B4D-A368-A363DC4D3ED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9afece23-b455-4bf7-80b3-57cfbba5c921&quot;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table" Target="../tables/table7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hyperlink" Target="https://zi-hi.com/sp/uni/0302" TargetMode="External"/><Relationship Id="rId7" Type="http://schemas.openxmlformats.org/officeDocument/2006/relationships/hyperlink" Target="https://zi-hi.com/sp/uni/030B" TargetMode="External"/><Relationship Id="rId2" Type="http://schemas.openxmlformats.org/officeDocument/2006/relationships/hyperlink" Target="https://zi-hi.com/sp/uni/0300" TargetMode="External"/><Relationship Id="rId1" Type="http://schemas.openxmlformats.org/officeDocument/2006/relationships/hyperlink" Target="https://zi-hi.com/sp/uni/0301" TargetMode="External"/><Relationship Id="rId6" Type="http://schemas.openxmlformats.org/officeDocument/2006/relationships/hyperlink" Target="https://zi-hi.com/sp/uni/030D" TargetMode="External"/><Relationship Id="rId5" Type="http://schemas.openxmlformats.org/officeDocument/2006/relationships/hyperlink" Target="https://zi-hi.com/sp/uni/0304" TargetMode="External"/><Relationship Id="rId4" Type="http://schemas.openxmlformats.org/officeDocument/2006/relationships/hyperlink" Target="https://zi-hi.com/sp/uni/03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A3730-C7D3-4567-9EE2-B8990105320B}">
  <sheetPr>
    <tabColor theme="9" tint="0.39997558519241921"/>
    <pageSetUpPr fitToPage="1"/>
  </sheetPr>
  <dimension ref="B1:BN40"/>
  <sheetViews>
    <sheetView showGridLines="0" zoomScale="90" zoomScaleNormal="90" workbookViewId="0">
      <selection activeCell="O49" sqref="O49"/>
    </sheetView>
  </sheetViews>
  <sheetFormatPr defaultColWidth="13" defaultRowHeight="14.25"/>
  <cols>
    <col min="1" max="1" width="2.75" style="293" customWidth="1"/>
    <col min="2" max="2" width="5" style="295" customWidth="1"/>
    <col min="3" max="3" width="5" style="295" hidden="1" customWidth="1"/>
    <col min="4" max="4" width="5" style="295" customWidth="1"/>
    <col min="5" max="32" width="3.875" style="293" customWidth="1"/>
    <col min="33" max="34" width="13" style="293"/>
    <col min="35" max="35" width="2.75" style="293" customWidth="1"/>
    <col min="36" max="36" width="5" style="295" customWidth="1"/>
    <col min="37" max="37" width="5" style="295" hidden="1" customWidth="1"/>
    <col min="38" max="38" width="5" style="295" customWidth="1"/>
    <col min="39" max="66" width="3.875" style="293" customWidth="1"/>
    <col min="67" max="16384" width="13" style="293"/>
  </cols>
  <sheetData>
    <row r="1" spans="2:66" s="300" customFormat="1" ht="51.75" customHeight="1">
      <c r="B1" s="299" t="s">
        <v>1823</v>
      </c>
      <c r="C1" s="299"/>
      <c r="D1" s="299"/>
      <c r="AJ1" s="299" t="s">
        <v>1822</v>
      </c>
      <c r="AK1" s="299"/>
      <c r="AL1" s="299"/>
    </row>
    <row r="2" spans="2:66" ht="24.75" customHeight="1"/>
    <row r="3" spans="2:66" ht="30" customHeight="1">
      <c r="B3" s="294"/>
      <c r="C3" s="294"/>
      <c r="D3" s="294"/>
      <c r="E3" s="393" t="s">
        <v>1706</v>
      </c>
      <c r="F3" s="393"/>
      <c r="G3" s="393"/>
      <c r="H3" s="393"/>
      <c r="I3" s="393" t="s">
        <v>1712</v>
      </c>
      <c r="J3" s="393"/>
      <c r="K3" s="393"/>
      <c r="L3" s="393"/>
      <c r="M3" s="393"/>
      <c r="N3" s="393"/>
      <c r="O3" s="393"/>
      <c r="P3" s="393"/>
      <c r="Q3" s="393" t="s">
        <v>1724</v>
      </c>
      <c r="R3" s="393"/>
      <c r="S3" s="393"/>
      <c r="T3" s="393"/>
      <c r="U3" s="393"/>
      <c r="V3" s="393"/>
      <c r="W3" s="393"/>
      <c r="X3" s="393"/>
      <c r="Y3" s="393" t="s">
        <v>1733</v>
      </c>
      <c r="Z3" s="393"/>
      <c r="AA3" s="393"/>
      <c r="AB3" s="393"/>
      <c r="AC3" s="393" t="s">
        <v>1738</v>
      </c>
      <c r="AD3" s="393"/>
      <c r="AE3" s="393"/>
      <c r="AF3" s="393"/>
      <c r="AJ3" s="294"/>
      <c r="AK3" s="294"/>
      <c r="AL3" s="294"/>
      <c r="AM3" s="393" t="s">
        <v>1706</v>
      </c>
      <c r="AN3" s="393"/>
      <c r="AO3" s="393"/>
      <c r="AP3" s="393"/>
      <c r="AQ3" s="393" t="s">
        <v>1712</v>
      </c>
      <c r="AR3" s="393"/>
      <c r="AS3" s="393"/>
      <c r="AT3" s="393"/>
      <c r="AU3" s="393"/>
      <c r="AV3" s="393"/>
      <c r="AW3" s="393"/>
      <c r="AX3" s="393"/>
      <c r="AY3" s="393" t="s">
        <v>1724</v>
      </c>
      <c r="AZ3" s="393"/>
      <c r="BA3" s="393"/>
      <c r="BB3" s="393"/>
      <c r="BC3" s="393"/>
      <c r="BD3" s="393"/>
      <c r="BE3" s="393"/>
      <c r="BF3" s="393"/>
      <c r="BG3" s="393" t="s">
        <v>1733</v>
      </c>
      <c r="BH3" s="393"/>
      <c r="BI3" s="393"/>
      <c r="BJ3" s="393"/>
      <c r="BK3" s="393" t="s">
        <v>1738</v>
      </c>
      <c r="BL3" s="393"/>
      <c r="BM3" s="393"/>
      <c r="BN3" s="393"/>
    </row>
    <row r="4" spans="2:66" ht="30" customHeight="1">
      <c r="B4" s="294"/>
      <c r="C4" s="294"/>
      <c r="D4" s="294"/>
      <c r="E4" s="404"/>
      <c r="F4" s="404"/>
      <c r="G4" s="404"/>
      <c r="H4" s="404"/>
      <c r="I4" s="393" t="s">
        <v>1713</v>
      </c>
      <c r="J4" s="393"/>
      <c r="K4" s="393"/>
      <c r="L4" s="393"/>
      <c r="M4" s="393" t="s">
        <v>1720</v>
      </c>
      <c r="N4" s="393"/>
      <c r="O4" s="393"/>
      <c r="P4" s="393"/>
      <c r="Q4" s="393" t="s">
        <v>1713</v>
      </c>
      <c r="R4" s="393"/>
      <c r="S4" s="393"/>
      <c r="T4" s="393"/>
      <c r="U4" s="393" t="s">
        <v>1720</v>
      </c>
      <c r="V4" s="393"/>
      <c r="W4" s="393"/>
      <c r="X4" s="393"/>
      <c r="Y4" s="393"/>
      <c r="Z4" s="393"/>
      <c r="AA4" s="393"/>
      <c r="AB4" s="393"/>
      <c r="AC4" s="393"/>
      <c r="AD4" s="393"/>
      <c r="AE4" s="393"/>
      <c r="AF4" s="393"/>
      <c r="AJ4" s="294"/>
      <c r="AK4" s="294"/>
      <c r="AL4" s="294"/>
      <c r="AM4" s="404"/>
      <c r="AN4" s="404"/>
      <c r="AO4" s="404"/>
      <c r="AP4" s="404"/>
      <c r="AQ4" s="393" t="s">
        <v>1713</v>
      </c>
      <c r="AR4" s="393"/>
      <c r="AS4" s="393"/>
      <c r="AT4" s="393"/>
      <c r="AU4" s="393" t="s">
        <v>1720</v>
      </c>
      <c r="AV4" s="393"/>
      <c r="AW4" s="393"/>
      <c r="AX4" s="393"/>
      <c r="AY4" s="393" t="s">
        <v>1713</v>
      </c>
      <c r="AZ4" s="393"/>
      <c r="BA4" s="393"/>
      <c r="BB4" s="393"/>
      <c r="BC4" s="393" t="s">
        <v>1720</v>
      </c>
      <c r="BD4" s="393"/>
      <c r="BE4" s="393"/>
      <c r="BF4" s="393"/>
      <c r="BG4" s="393"/>
      <c r="BH4" s="393"/>
      <c r="BI4" s="393"/>
      <c r="BJ4" s="393"/>
      <c r="BK4" s="393"/>
      <c r="BL4" s="393"/>
      <c r="BM4" s="393"/>
      <c r="BN4" s="393"/>
    </row>
    <row r="5" spans="2:66" ht="24" customHeight="1">
      <c r="B5" s="394" t="s">
        <v>1700</v>
      </c>
      <c r="C5" s="394" t="s">
        <v>1700</v>
      </c>
      <c r="D5" s="395" t="s">
        <v>1704</v>
      </c>
      <c r="E5" s="396"/>
      <c r="F5" s="397"/>
      <c r="G5" s="400"/>
      <c r="H5" s="401"/>
      <c r="I5" s="396" t="s">
        <v>2</v>
      </c>
      <c r="J5" s="397"/>
      <c r="K5" s="400" t="s">
        <v>1803</v>
      </c>
      <c r="L5" s="401" t="s">
        <v>1760</v>
      </c>
      <c r="M5" s="396" t="s">
        <v>3</v>
      </c>
      <c r="N5" s="397"/>
      <c r="O5" s="400" t="s">
        <v>1804</v>
      </c>
      <c r="P5" s="401" t="s">
        <v>1762</v>
      </c>
      <c r="Q5" s="396"/>
      <c r="R5" s="397"/>
      <c r="S5" s="400"/>
      <c r="T5" s="401"/>
      <c r="U5" s="396"/>
      <c r="V5" s="397"/>
      <c r="W5" s="400"/>
      <c r="X5" s="401"/>
      <c r="Y5" s="396"/>
      <c r="Z5" s="397"/>
      <c r="AA5" s="400"/>
      <c r="AB5" s="401"/>
      <c r="AC5" s="396"/>
      <c r="AD5" s="397"/>
      <c r="AE5" s="400"/>
      <c r="AF5" s="401"/>
      <c r="AJ5" s="394" t="s">
        <v>1700</v>
      </c>
      <c r="AK5" s="394" t="s">
        <v>1700</v>
      </c>
      <c r="AL5" s="395" t="s">
        <v>1704</v>
      </c>
      <c r="AM5" s="396"/>
      <c r="AN5" s="397"/>
      <c r="AO5" s="400"/>
      <c r="AP5" s="401"/>
      <c r="AQ5" s="396" t="s">
        <v>2</v>
      </c>
      <c r="AR5" s="397"/>
      <c r="AS5" s="400" t="s">
        <v>1803</v>
      </c>
      <c r="AT5" s="401" t="s">
        <v>1760</v>
      </c>
      <c r="AU5" s="396" t="s">
        <v>3</v>
      </c>
      <c r="AV5" s="397"/>
      <c r="AW5" s="400" t="s">
        <v>1804</v>
      </c>
      <c r="AX5" s="401" t="s">
        <v>1762</v>
      </c>
      <c r="AY5" s="396"/>
      <c r="AZ5" s="397"/>
      <c r="BA5" s="400"/>
      <c r="BB5" s="401"/>
      <c r="BC5" s="396"/>
      <c r="BD5" s="397"/>
      <c r="BE5" s="400"/>
      <c r="BF5" s="401"/>
      <c r="BG5" s="396"/>
      <c r="BH5" s="397"/>
      <c r="BI5" s="400"/>
      <c r="BJ5" s="401"/>
      <c r="BK5" s="396"/>
      <c r="BL5" s="397"/>
      <c r="BM5" s="400"/>
      <c r="BN5" s="401"/>
    </row>
    <row r="6" spans="2:66" ht="24" customHeight="1">
      <c r="B6" s="394"/>
      <c r="C6" s="394"/>
      <c r="D6" s="395"/>
      <c r="E6" s="398"/>
      <c r="F6" s="399"/>
      <c r="G6" s="402"/>
      <c r="H6" s="403"/>
      <c r="I6" s="398"/>
      <c r="J6" s="399"/>
      <c r="K6" s="402"/>
      <c r="L6" s="403"/>
      <c r="M6" s="398"/>
      <c r="N6" s="399"/>
      <c r="O6" s="402"/>
      <c r="P6" s="403"/>
      <c r="Q6" s="398"/>
      <c r="R6" s="399"/>
      <c r="S6" s="402"/>
      <c r="T6" s="403"/>
      <c r="U6" s="398"/>
      <c r="V6" s="399"/>
      <c r="W6" s="402"/>
      <c r="X6" s="403"/>
      <c r="Y6" s="398"/>
      <c r="Z6" s="399"/>
      <c r="AA6" s="402"/>
      <c r="AB6" s="403"/>
      <c r="AC6" s="398"/>
      <c r="AD6" s="399"/>
      <c r="AE6" s="402"/>
      <c r="AF6" s="403"/>
      <c r="AJ6" s="394"/>
      <c r="AK6" s="394"/>
      <c r="AL6" s="395"/>
      <c r="AM6" s="398"/>
      <c r="AN6" s="399"/>
      <c r="AO6" s="402"/>
      <c r="AP6" s="403"/>
      <c r="AQ6" s="398"/>
      <c r="AR6" s="399"/>
      <c r="AS6" s="402"/>
      <c r="AT6" s="403"/>
      <c r="AU6" s="398"/>
      <c r="AV6" s="399"/>
      <c r="AW6" s="402"/>
      <c r="AX6" s="403"/>
      <c r="AY6" s="398"/>
      <c r="AZ6" s="399"/>
      <c r="BA6" s="402"/>
      <c r="BB6" s="403"/>
      <c r="BC6" s="398"/>
      <c r="BD6" s="399"/>
      <c r="BE6" s="402"/>
      <c r="BF6" s="403"/>
      <c r="BG6" s="398"/>
      <c r="BH6" s="399"/>
      <c r="BI6" s="402"/>
      <c r="BJ6" s="403"/>
      <c r="BK6" s="398"/>
      <c r="BL6" s="399"/>
      <c r="BM6" s="402"/>
      <c r="BN6" s="403"/>
    </row>
    <row r="7" spans="2:66" ht="24" customHeight="1">
      <c r="B7" s="394"/>
      <c r="C7" s="394"/>
      <c r="D7" s="395"/>
      <c r="E7" s="405"/>
      <c r="F7" s="406"/>
      <c r="G7" s="409"/>
      <c r="H7" s="410"/>
      <c r="I7" s="413" t="s">
        <v>1759</v>
      </c>
      <c r="J7" s="414" t="s">
        <v>1760</v>
      </c>
      <c r="K7" s="409" t="s">
        <v>43</v>
      </c>
      <c r="L7" s="410" t="s">
        <v>1276</v>
      </c>
      <c r="M7" s="413" t="s">
        <v>1761</v>
      </c>
      <c r="N7" s="414" t="s">
        <v>1762</v>
      </c>
      <c r="O7" s="409" t="s">
        <v>41</v>
      </c>
      <c r="P7" s="410" t="s">
        <v>1283</v>
      </c>
      <c r="Q7" s="405"/>
      <c r="R7" s="406"/>
      <c r="S7" s="409"/>
      <c r="T7" s="410"/>
      <c r="U7" s="405"/>
      <c r="V7" s="406"/>
      <c r="W7" s="409"/>
      <c r="X7" s="410"/>
      <c r="Y7" s="405"/>
      <c r="Z7" s="406"/>
      <c r="AA7" s="409"/>
      <c r="AB7" s="410"/>
      <c r="AC7" s="405"/>
      <c r="AD7" s="406"/>
      <c r="AE7" s="409"/>
      <c r="AF7" s="410"/>
      <c r="AJ7" s="394"/>
      <c r="AK7" s="394"/>
      <c r="AL7" s="395"/>
      <c r="AM7" s="405"/>
      <c r="AN7" s="406"/>
      <c r="AO7" s="409"/>
      <c r="AP7" s="410"/>
      <c r="AQ7" s="405" t="s">
        <v>1759</v>
      </c>
      <c r="AR7" s="406" t="s">
        <v>1760</v>
      </c>
      <c r="AS7" s="409" t="s">
        <v>43</v>
      </c>
      <c r="AT7" s="410" t="s">
        <v>1276</v>
      </c>
      <c r="AU7" s="405" t="s">
        <v>1761</v>
      </c>
      <c r="AV7" s="406" t="s">
        <v>1762</v>
      </c>
      <c r="AW7" s="409" t="s">
        <v>41</v>
      </c>
      <c r="AX7" s="410" t="s">
        <v>1283</v>
      </c>
      <c r="AY7" s="405"/>
      <c r="AZ7" s="406"/>
      <c r="BA7" s="409"/>
      <c r="BB7" s="410"/>
      <c r="BC7" s="405"/>
      <c r="BD7" s="406"/>
      <c r="BE7" s="409"/>
      <c r="BF7" s="410"/>
      <c r="BG7" s="405"/>
      <c r="BH7" s="406"/>
      <c r="BI7" s="409"/>
      <c r="BJ7" s="410"/>
      <c r="BK7" s="405"/>
      <c r="BL7" s="406"/>
      <c r="BM7" s="409"/>
      <c r="BN7" s="410"/>
    </row>
    <row r="8" spans="2:66" ht="24" customHeight="1">
      <c r="B8" s="394"/>
      <c r="C8" s="394"/>
      <c r="D8" s="395"/>
      <c r="E8" s="407"/>
      <c r="F8" s="408"/>
      <c r="G8" s="411"/>
      <c r="H8" s="412"/>
      <c r="I8" s="415"/>
      <c r="J8" s="416"/>
      <c r="K8" s="411"/>
      <c r="L8" s="412"/>
      <c r="M8" s="415"/>
      <c r="N8" s="416"/>
      <c r="O8" s="411"/>
      <c r="P8" s="412"/>
      <c r="Q8" s="407"/>
      <c r="R8" s="408"/>
      <c r="S8" s="411"/>
      <c r="T8" s="412"/>
      <c r="U8" s="407"/>
      <c r="V8" s="408"/>
      <c r="W8" s="411"/>
      <c r="X8" s="412"/>
      <c r="Y8" s="407"/>
      <c r="Z8" s="408"/>
      <c r="AA8" s="411"/>
      <c r="AB8" s="412"/>
      <c r="AC8" s="407"/>
      <c r="AD8" s="408"/>
      <c r="AE8" s="411"/>
      <c r="AF8" s="412"/>
      <c r="AJ8" s="394"/>
      <c r="AK8" s="394"/>
      <c r="AL8" s="395"/>
      <c r="AM8" s="407"/>
      <c r="AN8" s="408"/>
      <c r="AO8" s="411"/>
      <c r="AP8" s="412"/>
      <c r="AQ8" s="407"/>
      <c r="AR8" s="408"/>
      <c r="AS8" s="411"/>
      <c r="AT8" s="412"/>
      <c r="AU8" s="407"/>
      <c r="AV8" s="408"/>
      <c r="AW8" s="411"/>
      <c r="AX8" s="412"/>
      <c r="AY8" s="407"/>
      <c r="AZ8" s="408"/>
      <c r="BA8" s="411"/>
      <c r="BB8" s="412"/>
      <c r="BC8" s="407"/>
      <c r="BD8" s="408"/>
      <c r="BE8" s="411"/>
      <c r="BF8" s="412"/>
      <c r="BG8" s="407"/>
      <c r="BH8" s="408"/>
      <c r="BI8" s="411"/>
      <c r="BJ8" s="412"/>
      <c r="BK8" s="407"/>
      <c r="BL8" s="408"/>
      <c r="BM8" s="411"/>
      <c r="BN8" s="412"/>
    </row>
    <row r="9" spans="2:66" ht="24" customHeight="1">
      <c r="B9" s="394"/>
      <c r="C9" s="394"/>
      <c r="D9" s="395" t="s">
        <v>1705</v>
      </c>
      <c r="E9" s="417" t="s">
        <v>4</v>
      </c>
      <c r="F9" s="418"/>
      <c r="G9" s="421" t="s">
        <v>1807</v>
      </c>
      <c r="H9" s="422"/>
      <c r="I9" s="417" t="s">
        <v>4</v>
      </c>
      <c r="J9" s="418"/>
      <c r="K9" s="421" t="s">
        <v>1808</v>
      </c>
      <c r="L9" s="422" t="s">
        <v>1763</v>
      </c>
      <c r="M9" s="417"/>
      <c r="N9" s="418"/>
      <c r="O9" s="421"/>
      <c r="P9" s="422"/>
      <c r="Q9" s="417"/>
      <c r="R9" s="418"/>
      <c r="S9" s="421"/>
      <c r="T9" s="422"/>
      <c r="U9" s="417"/>
      <c r="V9" s="418"/>
      <c r="W9" s="421"/>
      <c r="X9" s="422"/>
      <c r="Y9" s="417"/>
      <c r="Z9" s="418"/>
      <c r="AA9" s="421"/>
      <c r="AB9" s="422"/>
      <c r="AC9" s="417"/>
      <c r="AD9" s="418"/>
      <c r="AE9" s="421"/>
      <c r="AF9" s="422"/>
      <c r="AJ9" s="394"/>
      <c r="AK9" s="394"/>
      <c r="AL9" s="395" t="s">
        <v>1705</v>
      </c>
      <c r="AM9" s="417" t="s">
        <v>4</v>
      </c>
      <c r="AN9" s="418"/>
      <c r="AO9" s="421" t="s">
        <v>1807</v>
      </c>
      <c r="AP9" s="422"/>
      <c r="AQ9" s="417" t="s">
        <v>4</v>
      </c>
      <c r="AR9" s="418"/>
      <c r="AS9" s="421" t="s">
        <v>1808</v>
      </c>
      <c r="AT9" s="422" t="s">
        <v>1763</v>
      </c>
      <c r="AU9" s="417"/>
      <c r="AV9" s="418"/>
      <c r="AW9" s="421"/>
      <c r="AX9" s="422"/>
      <c r="AY9" s="417"/>
      <c r="AZ9" s="418"/>
      <c r="BA9" s="421"/>
      <c r="BB9" s="422"/>
      <c r="BC9" s="417"/>
      <c r="BD9" s="418"/>
      <c r="BE9" s="421"/>
      <c r="BF9" s="422"/>
      <c r="BG9" s="417"/>
      <c r="BH9" s="418"/>
      <c r="BI9" s="421"/>
      <c r="BJ9" s="422"/>
      <c r="BK9" s="417"/>
      <c r="BL9" s="418"/>
      <c r="BM9" s="421"/>
      <c r="BN9" s="422"/>
    </row>
    <row r="10" spans="2:66" ht="24" customHeight="1">
      <c r="B10" s="394"/>
      <c r="C10" s="394"/>
      <c r="D10" s="395"/>
      <c r="E10" s="419"/>
      <c r="F10" s="420"/>
      <c r="G10" s="423"/>
      <c r="H10" s="424"/>
      <c r="I10" s="419"/>
      <c r="J10" s="420"/>
      <c r="K10" s="423"/>
      <c r="L10" s="424"/>
      <c r="M10" s="419"/>
      <c r="N10" s="420"/>
      <c r="O10" s="423"/>
      <c r="P10" s="424"/>
      <c r="Q10" s="419"/>
      <c r="R10" s="420"/>
      <c r="S10" s="423"/>
      <c r="T10" s="424"/>
      <c r="U10" s="419"/>
      <c r="V10" s="420"/>
      <c r="W10" s="423"/>
      <c r="X10" s="424"/>
      <c r="Y10" s="419"/>
      <c r="Z10" s="420"/>
      <c r="AA10" s="423"/>
      <c r="AB10" s="424"/>
      <c r="AC10" s="419"/>
      <c r="AD10" s="420"/>
      <c r="AE10" s="423"/>
      <c r="AF10" s="424"/>
      <c r="AJ10" s="394"/>
      <c r="AK10" s="394"/>
      <c r="AL10" s="395"/>
      <c r="AM10" s="419"/>
      <c r="AN10" s="420"/>
      <c r="AO10" s="423"/>
      <c r="AP10" s="424"/>
      <c r="AQ10" s="419"/>
      <c r="AR10" s="420"/>
      <c r="AS10" s="423"/>
      <c r="AT10" s="424"/>
      <c r="AU10" s="419"/>
      <c r="AV10" s="420"/>
      <c r="AW10" s="423"/>
      <c r="AX10" s="424"/>
      <c r="AY10" s="419"/>
      <c r="AZ10" s="420"/>
      <c r="BA10" s="423"/>
      <c r="BB10" s="424"/>
      <c r="BC10" s="419"/>
      <c r="BD10" s="420"/>
      <c r="BE10" s="423"/>
      <c r="BF10" s="424"/>
      <c r="BG10" s="419"/>
      <c r="BH10" s="420"/>
      <c r="BI10" s="423"/>
      <c r="BJ10" s="424"/>
      <c r="BK10" s="419"/>
      <c r="BL10" s="420"/>
      <c r="BM10" s="423"/>
      <c r="BN10" s="424"/>
    </row>
    <row r="11" spans="2:66" ht="24" customHeight="1">
      <c r="B11" s="394"/>
      <c r="C11" s="394"/>
      <c r="D11" s="395"/>
      <c r="E11" s="425" t="s">
        <v>1806</v>
      </c>
      <c r="F11" s="426"/>
      <c r="G11" s="429" t="s">
        <v>1748</v>
      </c>
      <c r="H11" s="430"/>
      <c r="I11" s="425" t="s">
        <v>1805</v>
      </c>
      <c r="J11" s="426" t="s">
        <v>1763</v>
      </c>
      <c r="K11" s="429" t="s">
        <v>1821</v>
      </c>
      <c r="L11" s="430" t="s">
        <v>1307</v>
      </c>
      <c r="M11" s="425"/>
      <c r="N11" s="426"/>
      <c r="O11" s="429"/>
      <c r="P11" s="430"/>
      <c r="Q11" s="425"/>
      <c r="R11" s="426"/>
      <c r="S11" s="429"/>
      <c r="T11" s="430"/>
      <c r="U11" s="425"/>
      <c r="V11" s="426"/>
      <c r="W11" s="429"/>
      <c r="X11" s="430"/>
      <c r="Y11" s="425"/>
      <c r="Z11" s="426"/>
      <c r="AA11" s="429"/>
      <c r="AB11" s="430"/>
      <c r="AC11" s="425"/>
      <c r="AD11" s="426"/>
      <c r="AE11" s="429"/>
      <c r="AF11" s="430"/>
      <c r="AJ11" s="394"/>
      <c r="AK11" s="394"/>
      <c r="AL11" s="395"/>
      <c r="AM11" s="433" t="s">
        <v>1806</v>
      </c>
      <c r="AN11" s="434"/>
      <c r="AO11" s="429" t="s">
        <v>1746</v>
      </c>
      <c r="AP11" s="430"/>
      <c r="AQ11" s="433" t="s">
        <v>1805</v>
      </c>
      <c r="AR11" s="434" t="s">
        <v>1763</v>
      </c>
      <c r="AS11" s="429" t="s">
        <v>1764</v>
      </c>
      <c r="AT11" s="430" t="s">
        <v>1307</v>
      </c>
      <c r="AU11" s="433"/>
      <c r="AV11" s="434"/>
      <c r="AW11" s="429"/>
      <c r="AX11" s="430"/>
      <c r="AY11" s="433"/>
      <c r="AZ11" s="434"/>
      <c r="BA11" s="429"/>
      <c r="BB11" s="430"/>
      <c r="BC11" s="433"/>
      <c r="BD11" s="434"/>
      <c r="BE11" s="429"/>
      <c r="BF11" s="430"/>
      <c r="BG11" s="433"/>
      <c r="BH11" s="434"/>
      <c r="BI11" s="429"/>
      <c r="BJ11" s="430"/>
      <c r="BK11" s="433"/>
      <c r="BL11" s="434"/>
      <c r="BM11" s="429"/>
      <c r="BN11" s="430"/>
    </row>
    <row r="12" spans="2:66" ht="24" customHeight="1">
      <c r="B12" s="394"/>
      <c r="C12" s="394"/>
      <c r="D12" s="395"/>
      <c r="E12" s="427"/>
      <c r="F12" s="428"/>
      <c r="G12" s="431"/>
      <c r="H12" s="432"/>
      <c r="I12" s="427"/>
      <c r="J12" s="428"/>
      <c r="K12" s="431"/>
      <c r="L12" s="432"/>
      <c r="M12" s="427"/>
      <c r="N12" s="428"/>
      <c r="O12" s="431"/>
      <c r="P12" s="432"/>
      <c r="Q12" s="427"/>
      <c r="R12" s="428"/>
      <c r="S12" s="431"/>
      <c r="T12" s="432"/>
      <c r="U12" s="427"/>
      <c r="V12" s="428"/>
      <c r="W12" s="431"/>
      <c r="X12" s="432"/>
      <c r="Y12" s="427"/>
      <c r="Z12" s="428"/>
      <c r="AA12" s="431"/>
      <c r="AB12" s="432"/>
      <c r="AC12" s="427"/>
      <c r="AD12" s="428"/>
      <c r="AE12" s="431"/>
      <c r="AF12" s="432"/>
      <c r="AJ12" s="394"/>
      <c r="AK12" s="394"/>
      <c r="AL12" s="395"/>
      <c r="AM12" s="435"/>
      <c r="AN12" s="436"/>
      <c r="AO12" s="431"/>
      <c r="AP12" s="432"/>
      <c r="AQ12" s="435"/>
      <c r="AR12" s="436"/>
      <c r="AS12" s="431"/>
      <c r="AT12" s="432"/>
      <c r="AU12" s="435"/>
      <c r="AV12" s="436"/>
      <c r="AW12" s="431"/>
      <c r="AX12" s="432"/>
      <c r="AY12" s="435"/>
      <c r="AZ12" s="436"/>
      <c r="BA12" s="431"/>
      <c r="BB12" s="432"/>
      <c r="BC12" s="435"/>
      <c r="BD12" s="436"/>
      <c r="BE12" s="431"/>
      <c r="BF12" s="432"/>
      <c r="BG12" s="435"/>
      <c r="BH12" s="436"/>
      <c r="BI12" s="431"/>
      <c r="BJ12" s="432"/>
      <c r="BK12" s="435"/>
      <c r="BL12" s="436"/>
      <c r="BM12" s="431"/>
      <c r="BN12" s="432"/>
    </row>
    <row r="13" spans="2:66" ht="24" customHeight="1">
      <c r="B13" s="437" t="s">
        <v>1781</v>
      </c>
      <c r="C13" s="437" t="s">
        <v>1782</v>
      </c>
      <c r="D13" s="395" t="s">
        <v>1704</v>
      </c>
      <c r="E13" s="396"/>
      <c r="F13" s="397"/>
      <c r="G13" s="400"/>
      <c r="H13" s="401"/>
      <c r="I13" s="396"/>
      <c r="J13" s="397"/>
      <c r="K13" s="400"/>
      <c r="L13" s="401"/>
      <c r="M13" s="396"/>
      <c r="N13" s="397"/>
      <c r="O13" s="400"/>
      <c r="P13" s="401"/>
      <c r="Q13" s="396" t="s">
        <v>12</v>
      </c>
      <c r="R13" s="397"/>
      <c r="S13" s="400" t="s">
        <v>1753</v>
      </c>
      <c r="T13" s="401" t="s">
        <v>1784</v>
      </c>
      <c r="U13" s="396" t="s">
        <v>13</v>
      </c>
      <c r="V13" s="397"/>
      <c r="W13" s="400" t="s">
        <v>1754</v>
      </c>
      <c r="X13" s="401" t="s">
        <v>1786</v>
      </c>
      <c r="Y13" s="396" t="s">
        <v>14</v>
      </c>
      <c r="Z13" s="397"/>
      <c r="AA13" s="400" t="s">
        <v>1736</v>
      </c>
      <c r="AB13" s="401"/>
      <c r="AC13" s="396"/>
      <c r="AD13" s="397"/>
      <c r="AE13" s="400"/>
      <c r="AF13" s="401"/>
      <c r="AJ13" s="437" t="s">
        <v>1781</v>
      </c>
      <c r="AK13" s="437" t="s">
        <v>1782</v>
      </c>
      <c r="AL13" s="395" t="s">
        <v>1704</v>
      </c>
      <c r="AM13" s="396"/>
      <c r="AN13" s="397"/>
      <c r="AO13" s="400"/>
      <c r="AP13" s="401"/>
      <c r="AQ13" s="396"/>
      <c r="AR13" s="397"/>
      <c r="AS13" s="400"/>
      <c r="AT13" s="401"/>
      <c r="AU13" s="396"/>
      <c r="AV13" s="397"/>
      <c r="AW13" s="400"/>
      <c r="AX13" s="401"/>
      <c r="AY13" s="396" t="s">
        <v>12</v>
      </c>
      <c r="AZ13" s="397"/>
      <c r="BA13" s="400" t="s">
        <v>1753</v>
      </c>
      <c r="BB13" s="401" t="s">
        <v>1784</v>
      </c>
      <c r="BC13" s="396" t="s">
        <v>13</v>
      </c>
      <c r="BD13" s="397"/>
      <c r="BE13" s="400" t="s">
        <v>1754</v>
      </c>
      <c r="BF13" s="401" t="s">
        <v>1786</v>
      </c>
      <c r="BG13" s="396" t="s">
        <v>14</v>
      </c>
      <c r="BH13" s="397"/>
      <c r="BI13" s="400" t="s">
        <v>1736</v>
      </c>
      <c r="BJ13" s="401"/>
      <c r="BK13" s="396"/>
      <c r="BL13" s="397"/>
      <c r="BM13" s="400"/>
      <c r="BN13" s="401"/>
    </row>
    <row r="14" spans="2:66" ht="24" customHeight="1">
      <c r="B14" s="394"/>
      <c r="C14" s="394"/>
      <c r="D14" s="395"/>
      <c r="E14" s="398"/>
      <c r="F14" s="399"/>
      <c r="G14" s="402"/>
      <c r="H14" s="403"/>
      <c r="I14" s="398"/>
      <c r="J14" s="399"/>
      <c r="K14" s="402"/>
      <c r="L14" s="403"/>
      <c r="M14" s="398"/>
      <c r="N14" s="399"/>
      <c r="O14" s="402"/>
      <c r="P14" s="403"/>
      <c r="Q14" s="398"/>
      <c r="R14" s="399"/>
      <c r="S14" s="402"/>
      <c r="T14" s="403"/>
      <c r="U14" s="398"/>
      <c r="V14" s="399"/>
      <c r="W14" s="402"/>
      <c r="X14" s="403"/>
      <c r="Y14" s="398"/>
      <c r="Z14" s="399"/>
      <c r="AA14" s="402"/>
      <c r="AB14" s="403"/>
      <c r="AC14" s="398"/>
      <c r="AD14" s="399"/>
      <c r="AE14" s="402"/>
      <c r="AF14" s="403"/>
      <c r="AJ14" s="394"/>
      <c r="AK14" s="394"/>
      <c r="AL14" s="395"/>
      <c r="AM14" s="398"/>
      <c r="AN14" s="399"/>
      <c r="AO14" s="402"/>
      <c r="AP14" s="403"/>
      <c r="AQ14" s="398"/>
      <c r="AR14" s="399"/>
      <c r="AS14" s="402"/>
      <c r="AT14" s="403"/>
      <c r="AU14" s="398"/>
      <c r="AV14" s="399"/>
      <c r="AW14" s="402"/>
      <c r="AX14" s="403"/>
      <c r="AY14" s="398"/>
      <c r="AZ14" s="399"/>
      <c r="BA14" s="402"/>
      <c r="BB14" s="403"/>
      <c r="BC14" s="398"/>
      <c r="BD14" s="399"/>
      <c r="BE14" s="402"/>
      <c r="BF14" s="403"/>
      <c r="BG14" s="398"/>
      <c r="BH14" s="399"/>
      <c r="BI14" s="402"/>
      <c r="BJ14" s="403"/>
      <c r="BK14" s="398"/>
      <c r="BL14" s="399"/>
      <c r="BM14" s="402"/>
      <c r="BN14" s="403"/>
    </row>
    <row r="15" spans="2:66" ht="24" customHeight="1">
      <c r="B15" s="394"/>
      <c r="C15" s="394"/>
      <c r="D15" s="395"/>
      <c r="E15" s="405"/>
      <c r="F15" s="406"/>
      <c r="G15" s="409"/>
      <c r="H15" s="410"/>
      <c r="I15" s="405"/>
      <c r="J15" s="406"/>
      <c r="K15" s="409"/>
      <c r="L15" s="410"/>
      <c r="M15" s="405"/>
      <c r="N15" s="406"/>
      <c r="O15" s="409"/>
      <c r="P15" s="410"/>
      <c r="Q15" s="413" t="s">
        <v>1783</v>
      </c>
      <c r="R15" s="414" t="s">
        <v>55</v>
      </c>
      <c r="S15" s="409" t="s">
        <v>1755</v>
      </c>
      <c r="T15" s="410" t="s">
        <v>1293</v>
      </c>
      <c r="U15" s="413" t="s">
        <v>1785</v>
      </c>
      <c r="V15" s="414" t="s">
        <v>57</v>
      </c>
      <c r="W15" s="409" t="s">
        <v>1757</v>
      </c>
      <c r="X15" s="410" t="s">
        <v>1324</v>
      </c>
      <c r="Y15" s="413" t="s">
        <v>1787</v>
      </c>
      <c r="Z15" s="414" t="s">
        <v>59</v>
      </c>
      <c r="AA15" s="409" t="s">
        <v>1758</v>
      </c>
      <c r="AB15" s="410" t="s">
        <v>1305</v>
      </c>
      <c r="AC15" s="405"/>
      <c r="AD15" s="406"/>
      <c r="AE15" s="409"/>
      <c r="AF15" s="410"/>
      <c r="AJ15" s="394"/>
      <c r="AK15" s="394"/>
      <c r="AL15" s="395"/>
      <c r="AM15" s="405"/>
      <c r="AN15" s="406"/>
      <c r="AO15" s="409"/>
      <c r="AP15" s="410"/>
      <c r="AQ15" s="405"/>
      <c r="AR15" s="406"/>
      <c r="AS15" s="409"/>
      <c r="AT15" s="410"/>
      <c r="AU15" s="405"/>
      <c r="AV15" s="406"/>
      <c r="AW15" s="409"/>
      <c r="AX15" s="410"/>
      <c r="AY15" s="405" t="s">
        <v>1783</v>
      </c>
      <c r="AZ15" s="406" t="s">
        <v>55</v>
      </c>
      <c r="BA15" s="409" t="s">
        <v>1728</v>
      </c>
      <c r="BB15" s="410" t="s">
        <v>1293</v>
      </c>
      <c r="BC15" s="405" t="s">
        <v>1785</v>
      </c>
      <c r="BD15" s="406" t="s">
        <v>57</v>
      </c>
      <c r="BE15" s="409" t="s">
        <v>1732</v>
      </c>
      <c r="BF15" s="410" t="s">
        <v>1324</v>
      </c>
      <c r="BG15" s="405" t="s">
        <v>1787</v>
      </c>
      <c r="BH15" s="406" t="s">
        <v>59</v>
      </c>
      <c r="BI15" s="409" t="s">
        <v>1736</v>
      </c>
      <c r="BJ15" s="410" t="s">
        <v>1305</v>
      </c>
      <c r="BK15" s="405"/>
      <c r="BL15" s="406"/>
      <c r="BM15" s="409"/>
      <c r="BN15" s="410"/>
    </row>
    <row r="16" spans="2:66" ht="24" customHeight="1">
      <c r="B16" s="394"/>
      <c r="C16" s="394"/>
      <c r="D16" s="395"/>
      <c r="E16" s="407"/>
      <c r="F16" s="408"/>
      <c r="G16" s="411"/>
      <c r="H16" s="412"/>
      <c r="I16" s="407"/>
      <c r="J16" s="408"/>
      <c r="K16" s="411"/>
      <c r="L16" s="412"/>
      <c r="M16" s="407"/>
      <c r="N16" s="408"/>
      <c r="O16" s="411"/>
      <c r="P16" s="412"/>
      <c r="Q16" s="415"/>
      <c r="R16" s="416"/>
      <c r="S16" s="411"/>
      <c r="T16" s="412"/>
      <c r="U16" s="415"/>
      <c r="V16" s="416"/>
      <c r="W16" s="411"/>
      <c r="X16" s="412"/>
      <c r="Y16" s="415"/>
      <c r="Z16" s="416"/>
      <c r="AA16" s="411"/>
      <c r="AB16" s="412"/>
      <c r="AC16" s="407"/>
      <c r="AD16" s="408"/>
      <c r="AE16" s="411"/>
      <c r="AF16" s="412"/>
      <c r="AJ16" s="394"/>
      <c r="AK16" s="394"/>
      <c r="AL16" s="395"/>
      <c r="AM16" s="407"/>
      <c r="AN16" s="408"/>
      <c r="AO16" s="411"/>
      <c r="AP16" s="412"/>
      <c r="AQ16" s="407"/>
      <c r="AR16" s="408"/>
      <c r="AS16" s="411"/>
      <c r="AT16" s="412"/>
      <c r="AU16" s="407"/>
      <c r="AV16" s="408"/>
      <c r="AW16" s="411"/>
      <c r="AX16" s="412"/>
      <c r="AY16" s="407"/>
      <c r="AZ16" s="408"/>
      <c r="BA16" s="411"/>
      <c r="BB16" s="412"/>
      <c r="BC16" s="407"/>
      <c r="BD16" s="408"/>
      <c r="BE16" s="411"/>
      <c r="BF16" s="412"/>
      <c r="BG16" s="407"/>
      <c r="BH16" s="408"/>
      <c r="BI16" s="411"/>
      <c r="BJ16" s="412"/>
      <c r="BK16" s="407"/>
      <c r="BL16" s="408"/>
      <c r="BM16" s="411"/>
      <c r="BN16" s="412"/>
    </row>
    <row r="17" spans="2:66" ht="24" customHeight="1">
      <c r="B17" s="394"/>
      <c r="C17" s="394"/>
      <c r="D17" s="395" t="s">
        <v>1705</v>
      </c>
      <c r="E17" s="417"/>
      <c r="F17" s="418"/>
      <c r="G17" s="421"/>
      <c r="H17" s="422"/>
      <c r="I17" s="417"/>
      <c r="J17" s="418"/>
      <c r="K17" s="421"/>
      <c r="L17" s="422"/>
      <c r="M17" s="417"/>
      <c r="N17" s="418"/>
      <c r="O17" s="421"/>
      <c r="P17" s="422"/>
      <c r="Q17" s="417" t="s">
        <v>15</v>
      </c>
      <c r="R17" s="418"/>
      <c r="S17" s="421" t="s">
        <v>1755</v>
      </c>
      <c r="T17" s="422"/>
      <c r="U17" s="417"/>
      <c r="V17" s="418"/>
      <c r="W17" s="421"/>
      <c r="X17" s="422"/>
      <c r="Y17" s="417"/>
      <c r="Z17" s="418"/>
      <c r="AA17" s="421"/>
      <c r="AB17" s="422"/>
      <c r="AC17" s="417"/>
      <c r="AD17" s="418"/>
      <c r="AE17" s="421"/>
      <c r="AF17" s="422"/>
      <c r="AJ17" s="394"/>
      <c r="AK17" s="394"/>
      <c r="AL17" s="395" t="s">
        <v>1705</v>
      </c>
      <c r="AM17" s="417"/>
      <c r="AN17" s="418"/>
      <c r="AO17" s="421"/>
      <c r="AP17" s="422"/>
      <c r="AQ17" s="417"/>
      <c r="AR17" s="418"/>
      <c r="AS17" s="421"/>
      <c r="AT17" s="422"/>
      <c r="AU17" s="417"/>
      <c r="AV17" s="418"/>
      <c r="AW17" s="421"/>
      <c r="AX17" s="422"/>
      <c r="AY17" s="417" t="s">
        <v>15</v>
      </c>
      <c r="AZ17" s="418"/>
      <c r="BA17" s="421" t="s">
        <v>1755</v>
      </c>
      <c r="BB17" s="422"/>
      <c r="BC17" s="417"/>
      <c r="BD17" s="418"/>
      <c r="BE17" s="421"/>
      <c r="BF17" s="422"/>
      <c r="BG17" s="417"/>
      <c r="BH17" s="418"/>
      <c r="BI17" s="421"/>
      <c r="BJ17" s="422"/>
      <c r="BK17" s="417"/>
      <c r="BL17" s="418"/>
      <c r="BM17" s="421"/>
      <c r="BN17" s="422"/>
    </row>
    <row r="18" spans="2:66" ht="24" customHeight="1">
      <c r="B18" s="394"/>
      <c r="C18" s="394"/>
      <c r="D18" s="395"/>
      <c r="E18" s="419"/>
      <c r="F18" s="420"/>
      <c r="G18" s="423"/>
      <c r="H18" s="424"/>
      <c r="I18" s="419"/>
      <c r="J18" s="420"/>
      <c r="K18" s="423"/>
      <c r="L18" s="424"/>
      <c r="M18" s="419"/>
      <c r="N18" s="420"/>
      <c r="O18" s="423"/>
      <c r="P18" s="424"/>
      <c r="Q18" s="419"/>
      <c r="R18" s="420"/>
      <c r="S18" s="423"/>
      <c r="T18" s="424"/>
      <c r="U18" s="419"/>
      <c r="V18" s="420"/>
      <c r="W18" s="423"/>
      <c r="X18" s="424"/>
      <c r="Y18" s="419"/>
      <c r="Z18" s="420"/>
      <c r="AA18" s="423"/>
      <c r="AB18" s="424"/>
      <c r="AC18" s="419"/>
      <c r="AD18" s="420"/>
      <c r="AE18" s="423"/>
      <c r="AF18" s="424"/>
      <c r="AJ18" s="394"/>
      <c r="AK18" s="394"/>
      <c r="AL18" s="395"/>
      <c r="AM18" s="419"/>
      <c r="AN18" s="420"/>
      <c r="AO18" s="423"/>
      <c r="AP18" s="424"/>
      <c r="AQ18" s="419"/>
      <c r="AR18" s="420"/>
      <c r="AS18" s="423"/>
      <c r="AT18" s="424"/>
      <c r="AU18" s="419"/>
      <c r="AV18" s="420"/>
      <c r="AW18" s="423"/>
      <c r="AX18" s="424"/>
      <c r="AY18" s="419"/>
      <c r="AZ18" s="420"/>
      <c r="BA18" s="423"/>
      <c r="BB18" s="424"/>
      <c r="BC18" s="419"/>
      <c r="BD18" s="420"/>
      <c r="BE18" s="423"/>
      <c r="BF18" s="424"/>
      <c r="BG18" s="419"/>
      <c r="BH18" s="420"/>
      <c r="BI18" s="423"/>
      <c r="BJ18" s="424"/>
      <c r="BK18" s="419"/>
      <c r="BL18" s="420"/>
      <c r="BM18" s="423"/>
      <c r="BN18" s="424"/>
    </row>
    <row r="19" spans="2:66" ht="24" customHeight="1">
      <c r="B19" s="394"/>
      <c r="C19" s="394"/>
      <c r="D19" s="395"/>
      <c r="E19" s="433"/>
      <c r="F19" s="434"/>
      <c r="G19" s="429"/>
      <c r="H19" s="430"/>
      <c r="I19" s="433"/>
      <c r="J19" s="434"/>
      <c r="K19" s="429"/>
      <c r="L19" s="430"/>
      <c r="M19" s="433"/>
      <c r="N19" s="434"/>
      <c r="O19" s="429"/>
      <c r="P19" s="430"/>
      <c r="Q19" s="425" t="s">
        <v>1788</v>
      </c>
      <c r="R19" s="426" t="s">
        <v>527</v>
      </c>
      <c r="S19" s="429" t="s">
        <v>1838</v>
      </c>
      <c r="T19" s="430" t="s">
        <v>1301</v>
      </c>
      <c r="U19" s="433"/>
      <c r="V19" s="434"/>
      <c r="W19" s="429"/>
      <c r="X19" s="430"/>
      <c r="Y19" s="433"/>
      <c r="Z19" s="434"/>
      <c r="AA19" s="429"/>
      <c r="AB19" s="430"/>
      <c r="AC19" s="433"/>
      <c r="AD19" s="434"/>
      <c r="AE19" s="429"/>
      <c r="AF19" s="430"/>
      <c r="AJ19" s="394"/>
      <c r="AK19" s="394"/>
      <c r="AL19" s="395"/>
      <c r="AM19" s="433"/>
      <c r="AN19" s="434"/>
      <c r="AO19" s="429"/>
      <c r="AP19" s="430"/>
      <c r="AQ19" s="433"/>
      <c r="AR19" s="434"/>
      <c r="AS19" s="429"/>
      <c r="AT19" s="430"/>
      <c r="AU19" s="433"/>
      <c r="AV19" s="434"/>
      <c r="AW19" s="429"/>
      <c r="AX19" s="430"/>
      <c r="AY19" s="433" t="s">
        <v>1788</v>
      </c>
      <c r="AZ19" s="434" t="s">
        <v>527</v>
      </c>
      <c r="BA19" s="429" t="s">
        <v>1755</v>
      </c>
      <c r="BB19" s="430" t="s">
        <v>1301</v>
      </c>
      <c r="BC19" s="433"/>
      <c r="BD19" s="434"/>
      <c r="BE19" s="429"/>
      <c r="BF19" s="430"/>
      <c r="BG19" s="433"/>
      <c r="BH19" s="434"/>
      <c r="BI19" s="429"/>
      <c r="BJ19" s="430"/>
      <c r="BK19" s="433"/>
      <c r="BL19" s="434"/>
      <c r="BM19" s="429"/>
      <c r="BN19" s="430"/>
    </row>
    <row r="20" spans="2:66" ht="24" customHeight="1">
      <c r="B20" s="394"/>
      <c r="C20" s="394"/>
      <c r="D20" s="395"/>
      <c r="E20" s="435"/>
      <c r="F20" s="436"/>
      <c r="G20" s="431"/>
      <c r="H20" s="432"/>
      <c r="I20" s="435"/>
      <c r="J20" s="436"/>
      <c r="K20" s="431"/>
      <c r="L20" s="432"/>
      <c r="M20" s="435"/>
      <c r="N20" s="436"/>
      <c r="O20" s="431"/>
      <c r="P20" s="432"/>
      <c r="Q20" s="427"/>
      <c r="R20" s="428"/>
      <c r="S20" s="431"/>
      <c r="T20" s="432"/>
      <c r="U20" s="435"/>
      <c r="V20" s="436"/>
      <c r="W20" s="431"/>
      <c r="X20" s="432"/>
      <c r="Y20" s="435"/>
      <c r="Z20" s="436"/>
      <c r="AA20" s="431"/>
      <c r="AB20" s="432"/>
      <c r="AC20" s="435"/>
      <c r="AD20" s="436"/>
      <c r="AE20" s="431"/>
      <c r="AF20" s="432"/>
      <c r="AJ20" s="394"/>
      <c r="AK20" s="394"/>
      <c r="AL20" s="395"/>
      <c r="AM20" s="435"/>
      <c r="AN20" s="436"/>
      <c r="AO20" s="431"/>
      <c r="AP20" s="432"/>
      <c r="AQ20" s="435"/>
      <c r="AR20" s="436"/>
      <c r="AS20" s="431"/>
      <c r="AT20" s="432"/>
      <c r="AU20" s="435"/>
      <c r="AV20" s="436"/>
      <c r="AW20" s="431"/>
      <c r="AX20" s="432"/>
      <c r="AY20" s="435"/>
      <c r="AZ20" s="436"/>
      <c r="BA20" s="431"/>
      <c r="BB20" s="432"/>
      <c r="BC20" s="435"/>
      <c r="BD20" s="436"/>
      <c r="BE20" s="431"/>
      <c r="BF20" s="432"/>
      <c r="BG20" s="435"/>
      <c r="BH20" s="436"/>
      <c r="BI20" s="431"/>
      <c r="BJ20" s="432"/>
      <c r="BK20" s="435"/>
      <c r="BL20" s="436"/>
      <c r="BM20" s="431"/>
      <c r="BN20" s="432"/>
    </row>
    <row r="21" spans="2:66" ht="24" customHeight="1">
      <c r="B21" s="437" t="s">
        <v>1765</v>
      </c>
      <c r="C21" s="437" t="s">
        <v>1766</v>
      </c>
      <c r="D21" s="395" t="s">
        <v>1704</v>
      </c>
      <c r="E21" s="396"/>
      <c r="F21" s="397"/>
      <c r="G21" s="400"/>
      <c r="H21" s="401"/>
      <c r="I21" s="396" t="s">
        <v>5</v>
      </c>
      <c r="J21" s="397"/>
      <c r="K21" s="400" t="s">
        <v>1809</v>
      </c>
      <c r="L21" s="401" t="s">
        <v>1768</v>
      </c>
      <c r="M21" s="396" t="s">
        <v>6</v>
      </c>
      <c r="N21" s="397"/>
      <c r="O21" s="400" t="s">
        <v>1810</v>
      </c>
      <c r="P21" s="401" t="s">
        <v>1770</v>
      </c>
      <c r="Q21" s="396" t="s">
        <v>12</v>
      </c>
      <c r="R21" s="397"/>
      <c r="S21" s="400" t="s">
        <v>1751</v>
      </c>
      <c r="T21" s="401" t="s">
        <v>1772</v>
      </c>
      <c r="U21" s="396" t="s">
        <v>13</v>
      </c>
      <c r="V21" s="397"/>
      <c r="W21" s="400" t="s">
        <v>1752</v>
      </c>
      <c r="X21" s="401" t="s">
        <v>1774</v>
      </c>
      <c r="Y21" s="396" t="s">
        <v>14</v>
      </c>
      <c r="Z21" s="397"/>
      <c r="AA21" s="400" t="s">
        <v>1817</v>
      </c>
      <c r="AB21" s="401" t="s">
        <v>1776</v>
      </c>
      <c r="AC21" s="396"/>
      <c r="AD21" s="397"/>
      <c r="AE21" s="400"/>
      <c r="AF21" s="401"/>
      <c r="AJ21" s="437" t="s">
        <v>1765</v>
      </c>
      <c r="AK21" s="437" t="s">
        <v>1766</v>
      </c>
      <c r="AL21" s="395" t="s">
        <v>1704</v>
      </c>
      <c r="AM21" s="396"/>
      <c r="AN21" s="397"/>
      <c r="AO21" s="400"/>
      <c r="AP21" s="401"/>
      <c r="AQ21" s="396" t="s">
        <v>5</v>
      </c>
      <c r="AR21" s="397"/>
      <c r="AS21" s="400" t="s">
        <v>1809</v>
      </c>
      <c r="AT21" s="401" t="s">
        <v>1768</v>
      </c>
      <c r="AU21" s="396" t="s">
        <v>6</v>
      </c>
      <c r="AV21" s="397"/>
      <c r="AW21" s="400" t="s">
        <v>1810</v>
      </c>
      <c r="AX21" s="401" t="s">
        <v>1770</v>
      </c>
      <c r="AY21" s="396" t="s">
        <v>12</v>
      </c>
      <c r="AZ21" s="397"/>
      <c r="BA21" s="400" t="s">
        <v>1751</v>
      </c>
      <c r="BB21" s="401" t="s">
        <v>1772</v>
      </c>
      <c r="BC21" s="396" t="s">
        <v>13</v>
      </c>
      <c r="BD21" s="397"/>
      <c r="BE21" s="400" t="s">
        <v>1752</v>
      </c>
      <c r="BF21" s="401" t="s">
        <v>1774</v>
      </c>
      <c r="BG21" s="396" t="s">
        <v>14</v>
      </c>
      <c r="BH21" s="397"/>
      <c r="BI21" s="400" t="s">
        <v>1817</v>
      </c>
      <c r="BJ21" s="401" t="s">
        <v>1776</v>
      </c>
      <c r="BK21" s="396"/>
      <c r="BL21" s="397"/>
      <c r="BM21" s="400"/>
      <c r="BN21" s="401"/>
    </row>
    <row r="22" spans="2:66" ht="24" customHeight="1">
      <c r="B22" s="394"/>
      <c r="C22" s="394"/>
      <c r="D22" s="395"/>
      <c r="E22" s="398"/>
      <c r="F22" s="399"/>
      <c r="G22" s="402"/>
      <c r="H22" s="403"/>
      <c r="I22" s="398"/>
      <c r="J22" s="399"/>
      <c r="K22" s="402"/>
      <c r="L22" s="403"/>
      <c r="M22" s="398"/>
      <c r="N22" s="399"/>
      <c r="O22" s="402"/>
      <c r="P22" s="403"/>
      <c r="Q22" s="398"/>
      <c r="R22" s="399"/>
      <c r="S22" s="402"/>
      <c r="T22" s="403"/>
      <c r="U22" s="398"/>
      <c r="V22" s="399"/>
      <c r="W22" s="402"/>
      <c r="X22" s="403"/>
      <c r="Y22" s="398"/>
      <c r="Z22" s="399"/>
      <c r="AA22" s="402"/>
      <c r="AB22" s="403"/>
      <c r="AC22" s="398"/>
      <c r="AD22" s="399"/>
      <c r="AE22" s="402"/>
      <c r="AF22" s="403"/>
      <c r="AJ22" s="394"/>
      <c r="AK22" s="394"/>
      <c r="AL22" s="395"/>
      <c r="AM22" s="398"/>
      <c r="AN22" s="399"/>
      <c r="AO22" s="402"/>
      <c r="AP22" s="403"/>
      <c r="AQ22" s="398"/>
      <c r="AR22" s="399"/>
      <c r="AS22" s="402"/>
      <c r="AT22" s="403"/>
      <c r="AU22" s="398"/>
      <c r="AV22" s="399"/>
      <c r="AW22" s="402"/>
      <c r="AX22" s="403"/>
      <c r="AY22" s="398"/>
      <c r="AZ22" s="399"/>
      <c r="BA22" s="402"/>
      <c r="BB22" s="403"/>
      <c r="BC22" s="398"/>
      <c r="BD22" s="399"/>
      <c r="BE22" s="402"/>
      <c r="BF22" s="403"/>
      <c r="BG22" s="398"/>
      <c r="BH22" s="399"/>
      <c r="BI22" s="402"/>
      <c r="BJ22" s="403"/>
      <c r="BK22" s="398"/>
      <c r="BL22" s="399"/>
      <c r="BM22" s="402"/>
      <c r="BN22" s="403"/>
    </row>
    <row r="23" spans="2:66" ht="24" customHeight="1">
      <c r="B23" s="394"/>
      <c r="C23" s="394"/>
      <c r="D23" s="395"/>
      <c r="E23" s="413"/>
      <c r="F23" s="414"/>
      <c r="G23" s="409"/>
      <c r="H23" s="410"/>
      <c r="I23" s="413" t="s">
        <v>1767</v>
      </c>
      <c r="J23" s="414" t="s">
        <v>45</v>
      </c>
      <c r="K23" s="409" t="s">
        <v>1830</v>
      </c>
      <c r="L23" s="410" t="s">
        <v>1281</v>
      </c>
      <c r="M23" s="413" t="s">
        <v>1769</v>
      </c>
      <c r="N23" s="414" t="s">
        <v>46</v>
      </c>
      <c r="O23" s="409" t="s">
        <v>1809</v>
      </c>
      <c r="P23" s="410" t="s">
        <v>1285</v>
      </c>
      <c r="Q23" s="413" t="s">
        <v>1771</v>
      </c>
      <c r="R23" s="414" t="s">
        <v>54</v>
      </c>
      <c r="S23" s="409" t="s">
        <v>1828</v>
      </c>
      <c r="T23" s="410" t="s">
        <v>1289</v>
      </c>
      <c r="U23" s="413" t="s">
        <v>1773</v>
      </c>
      <c r="V23" s="414" t="s">
        <v>56</v>
      </c>
      <c r="W23" s="409" t="s">
        <v>1829</v>
      </c>
      <c r="X23" s="410" t="s">
        <v>1320</v>
      </c>
      <c r="Y23" s="413" t="s">
        <v>1775</v>
      </c>
      <c r="Z23" s="414" t="s">
        <v>58</v>
      </c>
      <c r="AA23" s="409" t="s">
        <v>1817</v>
      </c>
      <c r="AB23" s="410" t="s">
        <v>1302</v>
      </c>
      <c r="AC23" s="413"/>
      <c r="AD23" s="414"/>
      <c r="AE23" s="409"/>
      <c r="AF23" s="410"/>
      <c r="AJ23" s="394"/>
      <c r="AK23" s="394"/>
      <c r="AL23" s="395"/>
      <c r="AM23" s="405"/>
      <c r="AN23" s="406"/>
      <c r="AO23" s="409"/>
      <c r="AP23" s="410"/>
      <c r="AQ23" s="405" t="s">
        <v>1767</v>
      </c>
      <c r="AR23" s="406" t="s">
        <v>45</v>
      </c>
      <c r="AS23" s="409" t="s">
        <v>1280</v>
      </c>
      <c r="AT23" s="410" t="s">
        <v>1281</v>
      </c>
      <c r="AU23" s="405" t="s">
        <v>1769</v>
      </c>
      <c r="AV23" s="406" t="s">
        <v>46</v>
      </c>
      <c r="AW23" s="409" t="s">
        <v>45</v>
      </c>
      <c r="AX23" s="410" t="s">
        <v>1285</v>
      </c>
      <c r="AY23" s="405" t="s">
        <v>1771</v>
      </c>
      <c r="AZ23" s="406" t="s">
        <v>54</v>
      </c>
      <c r="BA23" s="409" t="s">
        <v>1287</v>
      </c>
      <c r="BB23" s="410" t="s">
        <v>1289</v>
      </c>
      <c r="BC23" s="405" t="s">
        <v>1773</v>
      </c>
      <c r="BD23" s="406" t="s">
        <v>56</v>
      </c>
      <c r="BE23" s="409" t="s">
        <v>1318</v>
      </c>
      <c r="BF23" s="410" t="s">
        <v>1320</v>
      </c>
      <c r="BG23" s="405" t="s">
        <v>1775</v>
      </c>
      <c r="BH23" s="406" t="s">
        <v>58</v>
      </c>
      <c r="BI23" s="409" t="s">
        <v>58</v>
      </c>
      <c r="BJ23" s="410" t="s">
        <v>1302</v>
      </c>
      <c r="BK23" s="405"/>
      <c r="BL23" s="406"/>
      <c r="BM23" s="409"/>
      <c r="BN23" s="410"/>
    </row>
    <row r="24" spans="2:66" ht="24" customHeight="1">
      <c r="B24" s="394"/>
      <c r="C24" s="394"/>
      <c r="D24" s="395"/>
      <c r="E24" s="415"/>
      <c r="F24" s="416"/>
      <c r="G24" s="411"/>
      <c r="H24" s="412"/>
      <c r="I24" s="415"/>
      <c r="J24" s="416"/>
      <c r="K24" s="411"/>
      <c r="L24" s="412"/>
      <c r="M24" s="415"/>
      <c r="N24" s="416"/>
      <c r="O24" s="411"/>
      <c r="P24" s="412"/>
      <c r="Q24" s="415"/>
      <c r="R24" s="416"/>
      <c r="S24" s="411"/>
      <c r="T24" s="412"/>
      <c r="U24" s="415"/>
      <c r="V24" s="416"/>
      <c r="W24" s="411"/>
      <c r="X24" s="412"/>
      <c r="Y24" s="415"/>
      <c r="Z24" s="416"/>
      <c r="AA24" s="411"/>
      <c r="AB24" s="412"/>
      <c r="AC24" s="415"/>
      <c r="AD24" s="416"/>
      <c r="AE24" s="411"/>
      <c r="AF24" s="412"/>
      <c r="AJ24" s="394"/>
      <c r="AK24" s="394"/>
      <c r="AL24" s="395"/>
      <c r="AM24" s="407"/>
      <c r="AN24" s="408"/>
      <c r="AO24" s="411"/>
      <c r="AP24" s="412"/>
      <c r="AQ24" s="407"/>
      <c r="AR24" s="408"/>
      <c r="AS24" s="411"/>
      <c r="AT24" s="412"/>
      <c r="AU24" s="407"/>
      <c r="AV24" s="408"/>
      <c r="AW24" s="411"/>
      <c r="AX24" s="412"/>
      <c r="AY24" s="407"/>
      <c r="AZ24" s="408"/>
      <c r="BA24" s="411"/>
      <c r="BB24" s="412"/>
      <c r="BC24" s="407"/>
      <c r="BD24" s="408"/>
      <c r="BE24" s="411"/>
      <c r="BF24" s="412"/>
      <c r="BG24" s="407"/>
      <c r="BH24" s="408"/>
      <c r="BI24" s="411"/>
      <c r="BJ24" s="412"/>
      <c r="BK24" s="407"/>
      <c r="BL24" s="408"/>
      <c r="BM24" s="411"/>
      <c r="BN24" s="412"/>
    </row>
    <row r="25" spans="2:66" ht="24" customHeight="1">
      <c r="B25" s="394"/>
      <c r="C25" s="394"/>
      <c r="D25" s="395" t="s">
        <v>1705</v>
      </c>
      <c r="E25" s="417" t="s">
        <v>7</v>
      </c>
      <c r="F25" s="418"/>
      <c r="G25" s="421" t="s">
        <v>1812</v>
      </c>
      <c r="H25" s="422"/>
      <c r="I25" s="417"/>
      <c r="J25" s="418"/>
      <c r="K25" s="421"/>
      <c r="L25" s="422"/>
      <c r="M25" s="417"/>
      <c r="N25" s="418"/>
      <c r="O25" s="421"/>
      <c r="P25" s="422"/>
      <c r="Q25" s="417" t="s">
        <v>15</v>
      </c>
      <c r="R25" s="418"/>
      <c r="S25" s="421" t="s">
        <v>1819</v>
      </c>
      <c r="T25" s="422" t="s">
        <v>1778</v>
      </c>
      <c r="U25" s="417"/>
      <c r="V25" s="418"/>
      <c r="W25" s="421"/>
      <c r="X25" s="422"/>
      <c r="Y25" s="417"/>
      <c r="Z25" s="418"/>
      <c r="AA25" s="421"/>
      <c r="AB25" s="422"/>
      <c r="AC25" s="417" t="s">
        <v>7</v>
      </c>
      <c r="AD25" s="418"/>
      <c r="AE25" s="421" t="s">
        <v>1818</v>
      </c>
      <c r="AF25" s="422" t="s">
        <v>1780</v>
      </c>
      <c r="AJ25" s="394"/>
      <c r="AK25" s="394"/>
      <c r="AL25" s="395" t="s">
        <v>1705</v>
      </c>
      <c r="AM25" s="417" t="s">
        <v>7</v>
      </c>
      <c r="AN25" s="418"/>
      <c r="AO25" s="421" t="s">
        <v>1812</v>
      </c>
      <c r="AP25" s="422"/>
      <c r="AQ25" s="417"/>
      <c r="AR25" s="418"/>
      <c r="AS25" s="421"/>
      <c r="AT25" s="422"/>
      <c r="AU25" s="417"/>
      <c r="AV25" s="418"/>
      <c r="AW25" s="421"/>
      <c r="AX25" s="422"/>
      <c r="AY25" s="417" t="s">
        <v>15</v>
      </c>
      <c r="AZ25" s="418"/>
      <c r="BA25" s="421" t="s">
        <v>1819</v>
      </c>
      <c r="BB25" s="422" t="s">
        <v>1778</v>
      </c>
      <c r="BC25" s="417"/>
      <c r="BD25" s="418"/>
      <c r="BE25" s="421"/>
      <c r="BF25" s="422"/>
      <c r="BG25" s="417"/>
      <c r="BH25" s="418"/>
      <c r="BI25" s="421"/>
      <c r="BJ25" s="422"/>
      <c r="BK25" s="417" t="s">
        <v>7</v>
      </c>
      <c r="BL25" s="418"/>
      <c r="BM25" s="421" t="s">
        <v>1818</v>
      </c>
      <c r="BN25" s="422" t="s">
        <v>1780</v>
      </c>
    </row>
    <row r="26" spans="2:66" ht="24" customHeight="1">
      <c r="B26" s="394"/>
      <c r="C26" s="394"/>
      <c r="D26" s="395"/>
      <c r="E26" s="419"/>
      <c r="F26" s="420"/>
      <c r="G26" s="423"/>
      <c r="H26" s="424"/>
      <c r="I26" s="419"/>
      <c r="J26" s="420"/>
      <c r="K26" s="423"/>
      <c r="L26" s="424"/>
      <c r="M26" s="419"/>
      <c r="N26" s="420"/>
      <c r="O26" s="423"/>
      <c r="P26" s="424"/>
      <c r="Q26" s="419"/>
      <c r="R26" s="420"/>
      <c r="S26" s="423"/>
      <c r="T26" s="424"/>
      <c r="U26" s="419"/>
      <c r="V26" s="420"/>
      <c r="W26" s="423"/>
      <c r="X26" s="424"/>
      <c r="Y26" s="419"/>
      <c r="Z26" s="420"/>
      <c r="AA26" s="423"/>
      <c r="AB26" s="424"/>
      <c r="AC26" s="419"/>
      <c r="AD26" s="420"/>
      <c r="AE26" s="423"/>
      <c r="AF26" s="424"/>
      <c r="AJ26" s="394"/>
      <c r="AK26" s="394"/>
      <c r="AL26" s="395"/>
      <c r="AM26" s="419"/>
      <c r="AN26" s="420"/>
      <c r="AO26" s="423"/>
      <c r="AP26" s="424"/>
      <c r="AQ26" s="419"/>
      <c r="AR26" s="420"/>
      <c r="AS26" s="423"/>
      <c r="AT26" s="424"/>
      <c r="AU26" s="419"/>
      <c r="AV26" s="420"/>
      <c r="AW26" s="423"/>
      <c r="AX26" s="424"/>
      <c r="AY26" s="419"/>
      <c r="AZ26" s="420"/>
      <c r="BA26" s="423"/>
      <c r="BB26" s="424"/>
      <c r="BC26" s="419"/>
      <c r="BD26" s="420"/>
      <c r="BE26" s="423"/>
      <c r="BF26" s="424"/>
      <c r="BG26" s="419"/>
      <c r="BH26" s="420"/>
      <c r="BI26" s="423"/>
      <c r="BJ26" s="424"/>
      <c r="BK26" s="419"/>
      <c r="BL26" s="420"/>
      <c r="BM26" s="423"/>
      <c r="BN26" s="424"/>
    </row>
    <row r="27" spans="2:66" ht="24" customHeight="1">
      <c r="B27" s="394"/>
      <c r="C27" s="394"/>
      <c r="D27" s="395"/>
      <c r="E27" s="425" t="s">
        <v>1811</v>
      </c>
      <c r="F27" s="426"/>
      <c r="G27" s="429" t="s">
        <v>1749</v>
      </c>
      <c r="H27" s="430"/>
      <c r="I27" s="425"/>
      <c r="J27" s="426"/>
      <c r="K27" s="429"/>
      <c r="L27" s="430"/>
      <c r="M27" s="425"/>
      <c r="N27" s="426"/>
      <c r="O27" s="429"/>
      <c r="P27" s="430"/>
      <c r="Q27" s="425" t="s">
        <v>1777</v>
      </c>
      <c r="R27" s="426" t="s">
        <v>60</v>
      </c>
      <c r="S27" s="429" t="s">
        <v>1839</v>
      </c>
      <c r="T27" s="430" t="s">
        <v>1296</v>
      </c>
      <c r="U27" s="425"/>
      <c r="V27" s="426"/>
      <c r="W27" s="429"/>
      <c r="X27" s="430"/>
      <c r="Y27" s="425"/>
      <c r="Z27" s="426"/>
      <c r="AA27" s="429"/>
      <c r="AB27" s="430"/>
      <c r="AC27" s="425" t="s">
        <v>1779</v>
      </c>
      <c r="AD27" s="426" t="s">
        <v>47</v>
      </c>
      <c r="AE27" s="429" t="s">
        <v>1831</v>
      </c>
      <c r="AF27" s="430" t="s">
        <v>1273</v>
      </c>
      <c r="AJ27" s="394"/>
      <c r="AK27" s="394"/>
      <c r="AL27" s="395"/>
      <c r="AM27" s="433" t="s">
        <v>1811</v>
      </c>
      <c r="AN27" s="434"/>
      <c r="AO27" s="429" t="s">
        <v>1747</v>
      </c>
      <c r="AP27" s="430"/>
      <c r="AQ27" s="433"/>
      <c r="AR27" s="434"/>
      <c r="AS27" s="429"/>
      <c r="AT27" s="430"/>
      <c r="AU27" s="433"/>
      <c r="AV27" s="434"/>
      <c r="AW27" s="429"/>
      <c r="AX27" s="430"/>
      <c r="AY27" s="433" t="s">
        <v>1777</v>
      </c>
      <c r="AZ27" s="434" t="s">
        <v>60</v>
      </c>
      <c r="BA27" s="429" t="s">
        <v>1295</v>
      </c>
      <c r="BB27" s="430" t="s">
        <v>1296</v>
      </c>
      <c r="BC27" s="433"/>
      <c r="BD27" s="434"/>
      <c r="BE27" s="429"/>
      <c r="BF27" s="430"/>
      <c r="BG27" s="433"/>
      <c r="BH27" s="434"/>
      <c r="BI27" s="429"/>
      <c r="BJ27" s="430"/>
      <c r="BK27" s="433" t="s">
        <v>1779</v>
      </c>
      <c r="BL27" s="434" t="s">
        <v>47</v>
      </c>
      <c r="BM27" s="429" t="s">
        <v>47</v>
      </c>
      <c r="BN27" s="430" t="s">
        <v>1273</v>
      </c>
    </row>
    <row r="28" spans="2:66" ht="24" customHeight="1">
      <c r="B28" s="394"/>
      <c r="C28" s="394"/>
      <c r="D28" s="395"/>
      <c r="E28" s="427"/>
      <c r="F28" s="428"/>
      <c r="G28" s="431"/>
      <c r="H28" s="432"/>
      <c r="I28" s="427"/>
      <c r="J28" s="428"/>
      <c r="K28" s="431"/>
      <c r="L28" s="432"/>
      <c r="M28" s="427"/>
      <c r="N28" s="428"/>
      <c r="O28" s="431"/>
      <c r="P28" s="432"/>
      <c r="Q28" s="427"/>
      <c r="R28" s="428"/>
      <c r="S28" s="431"/>
      <c r="T28" s="432"/>
      <c r="U28" s="427"/>
      <c r="V28" s="428"/>
      <c r="W28" s="431"/>
      <c r="X28" s="432"/>
      <c r="Y28" s="427"/>
      <c r="Z28" s="428"/>
      <c r="AA28" s="431"/>
      <c r="AB28" s="432"/>
      <c r="AC28" s="427"/>
      <c r="AD28" s="428"/>
      <c r="AE28" s="431"/>
      <c r="AF28" s="432"/>
      <c r="AJ28" s="394"/>
      <c r="AK28" s="394"/>
      <c r="AL28" s="395"/>
      <c r="AM28" s="435"/>
      <c r="AN28" s="436"/>
      <c r="AO28" s="431"/>
      <c r="AP28" s="432"/>
      <c r="AQ28" s="435"/>
      <c r="AR28" s="436"/>
      <c r="AS28" s="431"/>
      <c r="AT28" s="432"/>
      <c r="AU28" s="435"/>
      <c r="AV28" s="436"/>
      <c r="AW28" s="431"/>
      <c r="AX28" s="432"/>
      <c r="AY28" s="435"/>
      <c r="AZ28" s="436"/>
      <c r="BA28" s="431"/>
      <c r="BB28" s="432"/>
      <c r="BC28" s="435"/>
      <c r="BD28" s="436"/>
      <c r="BE28" s="431"/>
      <c r="BF28" s="432"/>
      <c r="BG28" s="435"/>
      <c r="BH28" s="436"/>
      <c r="BI28" s="431"/>
      <c r="BJ28" s="432"/>
      <c r="BK28" s="435"/>
      <c r="BL28" s="436"/>
      <c r="BM28" s="431"/>
      <c r="BN28" s="432"/>
    </row>
    <row r="29" spans="2:66" ht="24" customHeight="1">
      <c r="B29" s="437" t="s">
        <v>1789</v>
      </c>
      <c r="C29" s="437" t="s">
        <v>1790</v>
      </c>
      <c r="D29" s="395" t="s">
        <v>1704</v>
      </c>
      <c r="E29" s="396"/>
      <c r="F29" s="397"/>
      <c r="G29" s="400"/>
      <c r="H29" s="401"/>
      <c r="I29" s="396" t="s">
        <v>8</v>
      </c>
      <c r="J29" s="397"/>
      <c r="K29" s="400" t="s">
        <v>1813</v>
      </c>
      <c r="L29" s="401" t="s">
        <v>1794</v>
      </c>
      <c r="M29" s="396" t="s">
        <v>9</v>
      </c>
      <c r="N29" s="397"/>
      <c r="O29" s="400" t="s">
        <v>1814</v>
      </c>
      <c r="P29" s="401" t="s">
        <v>1796</v>
      </c>
      <c r="Q29" s="396"/>
      <c r="R29" s="397"/>
      <c r="S29" s="400"/>
      <c r="T29" s="401"/>
      <c r="U29" s="396"/>
      <c r="V29" s="397"/>
      <c r="W29" s="400"/>
      <c r="X29" s="401"/>
      <c r="Y29" s="396"/>
      <c r="Z29" s="397"/>
      <c r="AA29" s="400"/>
      <c r="AB29" s="401"/>
      <c r="AC29" s="396"/>
      <c r="AD29" s="397"/>
      <c r="AE29" s="400"/>
      <c r="AF29" s="401"/>
      <c r="AJ29" s="437" t="s">
        <v>1789</v>
      </c>
      <c r="AK29" s="437" t="s">
        <v>1790</v>
      </c>
      <c r="AL29" s="395" t="s">
        <v>1704</v>
      </c>
      <c r="AM29" s="396" t="s">
        <v>10</v>
      </c>
      <c r="AN29" s="397"/>
      <c r="AO29" s="400" t="s">
        <v>1750</v>
      </c>
      <c r="AP29" s="401" t="s">
        <v>1792</v>
      </c>
      <c r="AQ29" s="396" t="s">
        <v>8</v>
      </c>
      <c r="AR29" s="397"/>
      <c r="AS29" s="400" t="s">
        <v>1813</v>
      </c>
      <c r="AT29" s="401" t="s">
        <v>1794</v>
      </c>
      <c r="AU29" s="396" t="s">
        <v>9</v>
      </c>
      <c r="AV29" s="397"/>
      <c r="AW29" s="400" t="s">
        <v>1814</v>
      </c>
      <c r="AX29" s="401" t="s">
        <v>1796</v>
      </c>
      <c r="AY29" s="396"/>
      <c r="AZ29" s="397"/>
      <c r="BA29" s="400"/>
      <c r="BB29" s="401"/>
      <c r="BC29" s="396"/>
      <c r="BD29" s="397"/>
      <c r="BE29" s="400"/>
      <c r="BF29" s="401"/>
      <c r="BG29" s="396"/>
      <c r="BH29" s="397"/>
      <c r="BI29" s="400"/>
      <c r="BJ29" s="401"/>
      <c r="BK29" s="396"/>
      <c r="BL29" s="397"/>
      <c r="BM29" s="400"/>
      <c r="BN29" s="401"/>
    </row>
    <row r="30" spans="2:66" ht="24" customHeight="1">
      <c r="B30" s="394"/>
      <c r="C30" s="394"/>
      <c r="D30" s="395"/>
      <c r="E30" s="398"/>
      <c r="F30" s="399"/>
      <c r="G30" s="402"/>
      <c r="H30" s="403"/>
      <c r="I30" s="398"/>
      <c r="J30" s="399"/>
      <c r="K30" s="402"/>
      <c r="L30" s="403"/>
      <c r="M30" s="398"/>
      <c r="N30" s="399"/>
      <c r="O30" s="402"/>
      <c r="P30" s="403"/>
      <c r="Q30" s="398"/>
      <c r="R30" s="399"/>
      <c r="S30" s="402"/>
      <c r="T30" s="403"/>
      <c r="U30" s="398"/>
      <c r="V30" s="399"/>
      <c r="W30" s="402"/>
      <c r="X30" s="403"/>
      <c r="Y30" s="398"/>
      <c r="Z30" s="399"/>
      <c r="AA30" s="402"/>
      <c r="AB30" s="403"/>
      <c r="AC30" s="398"/>
      <c r="AD30" s="399"/>
      <c r="AE30" s="402"/>
      <c r="AF30" s="403"/>
      <c r="AJ30" s="394"/>
      <c r="AK30" s="394"/>
      <c r="AL30" s="395"/>
      <c r="AM30" s="398"/>
      <c r="AN30" s="399"/>
      <c r="AO30" s="402"/>
      <c r="AP30" s="403"/>
      <c r="AQ30" s="398"/>
      <c r="AR30" s="399"/>
      <c r="AS30" s="402"/>
      <c r="AT30" s="403"/>
      <c r="AU30" s="398"/>
      <c r="AV30" s="399"/>
      <c r="AW30" s="402"/>
      <c r="AX30" s="403"/>
      <c r="AY30" s="398"/>
      <c r="AZ30" s="399"/>
      <c r="BA30" s="402"/>
      <c r="BB30" s="403"/>
      <c r="BC30" s="398"/>
      <c r="BD30" s="399"/>
      <c r="BE30" s="402"/>
      <c r="BF30" s="403"/>
      <c r="BG30" s="398"/>
      <c r="BH30" s="399"/>
      <c r="BI30" s="402"/>
      <c r="BJ30" s="403"/>
      <c r="BK30" s="398"/>
      <c r="BL30" s="399"/>
      <c r="BM30" s="402"/>
      <c r="BN30" s="403"/>
    </row>
    <row r="31" spans="2:66" ht="24" customHeight="1">
      <c r="B31" s="394"/>
      <c r="C31" s="394"/>
      <c r="D31" s="395"/>
      <c r="E31" s="413"/>
      <c r="F31" s="414"/>
      <c r="G31" s="409"/>
      <c r="H31" s="410"/>
      <c r="I31" s="413" t="s">
        <v>1793</v>
      </c>
      <c r="J31" s="414" t="s">
        <v>49</v>
      </c>
      <c r="K31" s="409" t="s">
        <v>1815</v>
      </c>
      <c r="L31" s="410" t="s">
        <v>1277</v>
      </c>
      <c r="M31" s="413" t="s">
        <v>1795</v>
      </c>
      <c r="N31" s="414" t="s">
        <v>50</v>
      </c>
      <c r="O31" s="409" t="s">
        <v>1813</v>
      </c>
      <c r="P31" s="410" t="s">
        <v>1279</v>
      </c>
      <c r="Q31" s="413"/>
      <c r="R31" s="414"/>
      <c r="S31" s="409"/>
      <c r="T31" s="410"/>
      <c r="U31" s="413"/>
      <c r="V31" s="414"/>
      <c r="W31" s="409"/>
      <c r="X31" s="410"/>
      <c r="Y31" s="413"/>
      <c r="Z31" s="414"/>
      <c r="AA31" s="409"/>
      <c r="AB31" s="410"/>
      <c r="AC31" s="413"/>
      <c r="AD31" s="414"/>
      <c r="AE31" s="409"/>
      <c r="AF31" s="410"/>
      <c r="AJ31" s="394"/>
      <c r="AK31" s="394"/>
      <c r="AL31" s="395"/>
      <c r="AM31" s="405" t="s">
        <v>1791</v>
      </c>
      <c r="AN31" s="406" t="s">
        <v>52</v>
      </c>
      <c r="AO31" s="409" t="s">
        <v>1710</v>
      </c>
      <c r="AP31" s="410" t="s">
        <v>1313</v>
      </c>
      <c r="AQ31" s="405" t="s">
        <v>1793</v>
      </c>
      <c r="AR31" s="406" t="s">
        <v>49</v>
      </c>
      <c r="AS31" s="409" t="s">
        <v>51</v>
      </c>
      <c r="AT31" s="410" t="s">
        <v>1277</v>
      </c>
      <c r="AU31" s="405" t="s">
        <v>1795</v>
      </c>
      <c r="AV31" s="406" t="s">
        <v>50</v>
      </c>
      <c r="AW31" s="409" t="s">
        <v>49</v>
      </c>
      <c r="AX31" s="410" t="s">
        <v>1279</v>
      </c>
      <c r="AY31" s="405"/>
      <c r="AZ31" s="406"/>
      <c r="BA31" s="409"/>
      <c r="BB31" s="410"/>
      <c r="BC31" s="405"/>
      <c r="BD31" s="406"/>
      <c r="BE31" s="409"/>
      <c r="BF31" s="410"/>
      <c r="BG31" s="405"/>
      <c r="BH31" s="406"/>
      <c r="BI31" s="409"/>
      <c r="BJ31" s="410"/>
      <c r="BK31" s="405"/>
      <c r="BL31" s="406"/>
      <c r="BM31" s="409"/>
      <c r="BN31" s="410"/>
    </row>
    <row r="32" spans="2:66" ht="24" customHeight="1">
      <c r="B32" s="394"/>
      <c r="C32" s="394"/>
      <c r="D32" s="395"/>
      <c r="E32" s="415"/>
      <c r="F32" s="416"/>
      <c r="G32" s="411"/>
      <c r="H32" s="412"/>
      <c r="I32" s="415"/>
      <c r="J32" s="416"/>
      <c r="K32" s="411"/>
      <c r="L32" s="412"/>
      <c r="M32" s="415"/>
      <c r="N32" s="416"/>
      <c r="O32" s="411"/>
      <c r="P32" s="412"/>
      <c r="Q32" s="415"/>
      <c r="R32" s="416"/>
      <c r="S32" s="411"/>
      <c r="T32" s="412"/>
      <c r="U32" s="415"/>
      <c r="V32" s="416"/>
      <c r="W32" s="411"/>
      <c r="X32" s="412"/>
      <c r="Y32" s="415"/>
      <c r="Z32" s="416"/>
      <c r="AA32" s="411"/>
      <c r="AB32" s="412"/>
      <c r="AC32" s="415"/>
      <c r="AD32" s="416"/>
      <c r="AE32" s="411"/>
      <c r="AF32" s="412"/>
      <c r="AJ32" s="394"/>
      <c r="AK32" s="394"/>
      <c r="AL32" s="395"/>
      <c r="AM32" s="407"/>
      <c r="AN32" s="408"/>
      <c r="AO32" s="411"/>
      <c r="AP32" s="412"/>
      <c r="AQ32" s="407"/>
      <c r="AR32" s="408"/>
      <c r="AS32" s="411"/>
      <c r="AT32" s="412"/>
      <c r="AU32" s="407"/>
      <c r="AV32" s="408"/>
      <c r="AW32" s="411"/>
      <c r="AX32" s="412"/>
      <c r="AY32" s="407"/>
      <c r="AZ32" s="408"/>
      <c r="BA32" s="411"/>
      <c r="BB32" s="412"/>
      <c r="BC32" s="407"/>
      <c r="BD32" s="408"/>
      <c r="BE32" s="411"/>
      <c r="BF32" s="412"/>
      <c r="BG32" s="407"/>
      <c r="BH32" s="408"/>
      <c r="BI32" s="411"/>
      <c r="BJ32" s="412"/>
      <c r="BK32" s="407"/>
      <c r="BL32" s="408"/>
      <c r="BM32" s="411"/>
      <c r="BN32" s="412"/>
    </row>
    <row r="33" spans="2:66" ht="24" customHeight="1">
      <c r="B33" s="394"/>
      <c r="C33" s="394"/>
      <c r="D33" s="395" t="s">
        <v>1705</v>
      </c>
      <c r="E33" s="417" t="s">
        <v>10</v>
      </c>
      <c r="F33" s="438"/>
      <c r="G33" s="421" t="s">
        <v>52</v>
      </c>
      <c r="H33" s="422" t="s">
        <v>1792</v>
      </c>
      <c r="I33" s="417" t="s">
        <v>10</v>
      </c>
      <c r="J33" s="418"/>
      <c r="K33" s="421" t="s">
        <v>1815</v>
      </c>
      <c r="L33" s="422" t="s">
        <v>1798</v>
      </c>
      <c r="M33" s="417"/>
      <c r="N33" s="418"/>
      <c r="O33" s="421"/>
      <c r="P33" s="422"/>
      <c r="Q33" s="417"/>
      <c r="R33" s="418"/>
      <c r="S33" s="421"/>
      <c r="T33" s="422"/>
      <c r="U33" s="417"/>
      <c r="V33" s="418"/>
      <c r="W33" s="421"/>
      <c r="X33" s="422"/>
      <c r="Y33" s="417"/>
      <c r="Z33" s="418"/>
      <c r="AA33" s="421"/>
      <c r="AB33" s="422"/>
      <c r="AC33" s="417"/>
      <c r="AD33" s="418"/>
      <c r="AE33" s="421"/>
      <c r="AF33" s="422"/>
      <c r="AJ33" s="394"/>
      <c r="AK33" s="394"/>
      <c r="AL33" s="395" t="s">
        <v>1705</v>
      </c>
      <c r="AM33" s="417"/>
      <c r="AN33" s="418"/>
      <c r="AO33" s="421"/>
      <c r="AP33" s="422"/>
      <c r="AQ33" s="417" t="s">
        <v>10</v>
      </c>
      <c r="AR33" s="418"/>
      <c r="AS33" s="421" t="s">
        <v>1797</v>
      </c>
      <c r="AT33" s="422" t="s">
        <v>1798</v>
      </c>
      <c r="AU33" s="417"/>
      <c r="AV33" s="418"/>
      <c r="AW33" s="421"/>
      <c r="AX33" s="422"/>
      <c r="AY33" s="417"/>
      <c r="AZ33" s="418"/>
      <c r="BA33" s="421"/>
      <c r="BB33" s="422"/>
      <c r="BC33" s="417"/>
      <c r="BD33" s="418"/>
      <c r="BE33" s="421"/>
      <c r="BF33" s="422"/>
      <c r="BG33" s="417"/>
      <c r="BH33" s="418"/>
      <c r="BI33" s="421"/>
      <c r="BJ33" s="422"/>
      <c r="BK33" s="417"/>
      <c r="BL33" s="418"/>
      <c r="BM33" s="421"/>
      <c r="BN33" s="422"/>
    </row>
    <row r="34" spans="2:66" ht="24" customHeight="1">
      <c r="B34" s="394"/>
      <c r="C34" s="394"/>
      <c r="D34" s="395"/>
      <c r="E34" s="439"/>
      <c r="F34" s="440"/>
      <c r="G34" s="423"/>
      <c r="H34" s="424"/>
      <c r="I34" s="419"/>
      <c r="J34" s="420"/>
      <c r="K34" s="423"/>
      <c r="L34" s="424"/>
      <c r="M34" s="419"/>
      <c r="N34" s="420"/>
      <c r="O34" s="423"/>
      <c r="P34" s="424"/>
      <c r="Q34" s="419"/>
      <c r="R34" s="420"/>
      <c r="S34" s="423"/>
      <c r="T34" s="424"/>
      <c r="U34" s="419"/>
      <c r="V34" s="420"/>
      <c r="W34" s="423"/>
      <c r="X34" s="424"/>
      <c r="Y34" s="419"/>
      <c r="Z34" s="420"/>
      <c r="AA34" s="423"/>
      <c r="AB34" s="424"/>
      <c r="AC34" s="419"/>
      <c r="AD34" s="420"/>
      <c r="AE34" s="423"/>
      <c r="AF34" s="424"/>
      <c r="AJ34" s="394"/>
      <c r="AK34" s="394"/>
      <c r="AL34" s="395"/>
      <c r="AM34" s="419"/>
      <c r="AN34" s="420"/>
      <c r="AO34" s="423"/>
      <c r="AP34" s="424"/>
      <c r="AQ34" s="419"/>
      <c r="AR34" s="420"/>
      <c r="AS34" s="423"/>
      <c r="AT34" s="424"/>
      <c r="AU34" s="419"/>
      <c r="AV34" s="420"/>
      <c r="AW34" s="423"/>
      <c r="AX34" s="424"/>
      <c r="AY34" s="419"/>
      <c r="AZ34" s="420"/>
      <c r="BA34" s="423"/>
      <c r="BB34" s="424"/>
      <c r="BC34" s="419"/>
      <c r="BD34" s="420"/>
      <c r="BE34" s="423"/>
      <c r="BF34" s="424"/>
      <c r="BG34" s="419"/>
      <c r="BH34" s="420"/>
      <c r="BI34" s="423"/>
      <c r="BJ34" s="424"/>
      <c r="BK34" s="419"/>
      <c r="BL34" s="420"/>
      <c r="BM34" s="423"/>
      <c r="BN34" s="424"/>
    </row>
    <row r="35" spans="2:66" ht="24" customHeight="1">
      <c r="B35" s="394"/>
      <c r="C35" s="394"/>
      <c r="D35" s="395"/>
      <c r="E35" s="425" t="s">
        <v>1313</v>
      </c>
      <c r="F35" s="426" t="s">
        <v>52</v>
      </c>
      <c r="G35" s="429" t="s">
        <v>52</v>
      </c>
      <c r="H35" s="430" t="s">
        <v>1313</v>
      </c>
      <c r="I35" s="425" t="s">
        <v>1797</v>
      </c>
      <c r="J35" s="426" t="s">
        <v>51</v>
      </c>
      <c r="K35" s="429" t="s">
        <v>1799</v>
      </c>
      <c r="L35" s="430" t="s">
        <v>1312</v>
      </c>
      <c r="M35" s="425"/>
      <c r="N35" s="426"/>
      <c r="O35" s="429"/>
      <c r="P35" s="430"/>
      <c r="Q35" s="425"/>
      <c r="R35" s="426"/>
      <c r="S35" s="429"/>
      <c r="T35" s="430"/>
      <c r="U35" s="425"/>
      <c r="V35" s="426"/>
      <c r="W35" s="429"/>
      <c r="X35" s="430"/>
      <c r="Y35" s="425"/>
      <c r="Z35" s="426"/>
      <c r="AA35" s="429"/>
      <c r="AB35" s="430"/>
      <c r="AC35" s="425"/>
      <c r="AD35" s="426"/>
      <c r="AE35" s="429"/>
      <c r="AF35" s="430"/>
      <c r="AJ35" s="394"/>
      <c r="AK35" s="394"/>
      <c r="AL35" s="395"/>
      <c r="AM35" s="433"/>
      <c r="AN35" s="434"/>
      <c r="AO35" s="429"/>
      <c r="AP35" s="430"/>
      <c r="AQ35" s="433" t="s">
        <v>1797</v>
      </c>
      <c r="AR35" s="434" t="s">
        <v>51</v>
      </c>
      <c r="AS35" s="429" t="s">
        <v>1799</v>
      </c>
      <c r="AT35" s="430" t="s">
        <v>1312</v>
      </c>
      <c r="AU35" s="433"/>
      <c r="AV35" s="434"/>
      <c r="AW35" s="429"/>
      <c r="AX35" s="430"/>
      <c r="AY35" s="433"/>
      <c r="AZ35" s="434"/>
      <c r="BA35" s="429"/>
      <c r="BB35" s="430"/>
      <c r="BC35" s="433"/>
      <c r="BD35" s="434"/>
      <c r="BE35" s="429"/>
      <c r="BF35" s="430"/>
      <c r="BG35" s="433"/>
      <c r="BH35" s="434"/>
      <c r="BI35" s="429"/>
      <c r="BJ35" s="430"/>
      <c r="BK35" s="433"/>
      <c r="BL35" s="434"/>
      <c r="BM35" s="429"/>
      <c r="BN35" s="430"/>
    </row>
    <row r="36" spans="2:66" ht="24" customHeight="1">
      <c r="B36" s="394"/>
      <c r="C36" s="394"/>
      <c r="D36" s="395"/>
      <c r="E36" s="427"/>
      <c r="F36" s="428"/>
      <c r="G36" s="431"/>
      <c r="H36" s="432"/>
      <c r="I36" s="427"/>
      <c r="J36" s="428"/>
      <c r="K36" s="431"/>
      <c r="L36" s="432"/>
      <c r="M36" s="427"/>
      <c r="N36" s="428"/>
      <c r="O36" s="431"/>
      <c r="P36" s="432"/>
      <c r="Q36" s="427"/>
      <c r="R36" s="428"/>
      <c r="S36" s="431"/>
      <c r="T36" s="432"/>
      <c r="U36" s="427"/>
      <c r="V36" s="428"/>
      <c r="W36" s="431"/>
      <c r="X36" s="432"/>
      <c r="Y36" s="427"/>
      <c r="Z36" s="428"/>
      <c r="AA36" s="431"/>
      <c r="AB36" s="432"/>
      <c r="AC36" s="427"/>
      <c r="AD36" s="428"/>
      <c r="AE36" s="431"/>
      <c r="AF36" s="432"/>
      <c r="AJ36" s="394"/>
      <c r="AK36" s="394"/>
      <c r="AL36" s="395"/>
      <c r="AM36" s="435"/>
      <c r="AN36" s="436"/>
      <c r="AO36" s="431"/>
      <c r="AP36" s="432"/>
      <c r="AQ36" s="435"/>
      <c r="AR36" s="436"/>
      <c r="AS36" s="431"/>
      <c r="AT36" s="432"/>
      <c r="AU36" s="435"/>
      <c r="AV36" s="436"/>
      <c r="AW36" s="431"/>
      <c r="AX36" s="432"/>
      <c r="AY36" s="435"/>
      <c r="AZ36" s="436"/>
      <c r="BA36" s="431"/>
      <c r="BB36" s="432"/>
      <c r="BC36" s="435"/>
      <c r="BD36" s="436"/>
      <c r="BE36" s="431"/>
      <c r="BF36" s="432"/>
      <c r="BG36" s="435"/>
      <c r="BH36" s="436"/>
      <c r="BI36" s="431"/>
      <c r="BJ36" s="432"/>
      <c r="BK36" s="435"/>
      <c r="BL36" s="436"/>
      <c r="BM36" s="431"/>
      <c r="BN36" s="432"/>
    </row>
    <row r="37" spans="2:66" ht="24" customHeight="1">
      <c r="B37" s="437" t="s">
        <v>1800</v>
      </c>
      <c r="C37" s="437" t="s">
        <v>1801</v>
      </c>
      <c r="D37" s="395" t="s">
        <v>1704</v>
      </c>
      <c r="E37" s="396"/>
      <c r="F37" s="397"/>
      <c r="G37" s="400"/>
      <c r="H37" s="401"/>
      <c r="I37" s="396" t="s">
        <v>1055</v>
      </c>
      <c r="J37" s="397"/>
      <c r="K37" s="400" t="s">
        <v>1816</v>
      </c>
      <c r="L37" s="401" t="s">
        <v>327</v>
      </c>
      <c r="M37" s="396"/>
      <c r="N37" s="397"/>
      <c r="O37" s="400"/>
      <c r="P37" s="401"/>
      <c r="Q37" s="396"/>
      <c r="R37" s="397"/>
      <c r="S37" s="400"/>
      <c r="T37" s="401"/>
      <c r="U37" s="396"/>
      <c r="V37" s="397"/>
      <c r="W37" s="400"/>
      <c r="X37" s="401"/>
      <c r="Y37" s="396" t="s">
        <v>11</v>
      </c>
      <c r="Z37" s="397"/>
      <c r="AA37" s="400" t="s">
        <v>1820</v>
      </c>
      <c r="AB37" s="401" t="s">
        <v>11</v>
      </c>
      <c r="AC37" s="396"/>
      <c r="AD37" s="397"/>
      <c r="AE37" s="400"/>
      <c r="AF37" s="401"/>
      <c r="AJ37" s="437" t="s">
        <v>1800</v>
      </c>
      <c r="AK37" s="437" t="s">
        <v>1801</v>
      </c>
      <c r="AL37" s="395" t="s">
        <v>1704</v>
      </c>
      <c r="AM37" s="396"/>
      <c r="AN37" s="397"/>
      <c r="AO37" s="400"/>
      <c r="AP37" s="401"/>
      <c r="AQ37" s="396" t="s">
        <v>1055</v>
      </c>
      <c r="AR37" s="397"/>
      <c r="AS37" s="400" t="s">
        <v>1816</v>
      </c>
      <c r="AT37" s="401" t="s">
        <v>327</v>
      </c>
      <c r="AU37" s="396"/>
      <c r="AV37" s="397"/>
      <c r="AW37" s="400"/>
      <c r="AX37" s="401"/>
      <c r="AY37" s="396"/>
      <c r="AZ37" s="397"/>
      <c r="BA37" s="400"/>
      <c r="BB37" s="401"/>
      <c r="BC37" s="396"/>
      <c r="BD37" s="397"/>
      <c r="BE37" s="400"/>
      <c r="BF37" s="401"/>
      <c r="BG37" s="396" t="s">
        <v>11</v>
      </c>
      <c r="BH37" s="397"/>
      <c r="BI37" s="400" t="s">
        <v>1820</v>
      </c>
      <c r="BJ37" s="401" t="s">
        <v>11</v>
      </c>
      <c r="BK37" s="396"/>
      <c r="BL37" s="397"/>
      <c r="BM37" s="400"/>
      <c r="BN37" s="401"/>
    </row>
    <row r="38" spans="2:66" ht="24" customHeight="1">
      <c r="B38" s="394"/>
      <c r="C38" s="394"/>
      <c r="D38" s="395"/>
      <c r="E38" s="398"/>
      <c r="F38" s="399"/>
      <c r="G38" s="402"/>
      <c r="H38" s="403"/>
      <c r="I38" s="398"/>
      <c r="J38" s="399"/>
      <c r="K38" s="402"/>
      <c r="L38" s="403"/>
      <c r="M38" s="398"/>
      <c r="N38" s="399"/>
      <c r="O38" s="402"/>
      <c r="P38" s="403"/>
      <c r="Q38" s="398"/>
      <c r="R38" s="399"/>
      <c r="S38" s="402"/>
      <c r="T38" s="403"/>
      <c r="U38" s="398"/>
      <c r="V38" s="399"/>
      <c r="W38" s="402"/>
      <c r="X38" s="403"/>
      <c r="Y38" s="398"/>
      <c r="Z38" s="399"/>
      <c r="AA38" s="402"/>
      <c r="AB38" s="403"/>
      <c r="AC38" s="398"/>
      <c r="AD38" s="399"/>
      <c r="AE38" s="402"/>
      <c r="AF38" s="403"/>
      <c r="AJ38" s="394"/>
      <c r="AK38" s="394"/>
      <c r="AL38" s="395"/>
      <c r="AM38" s="398"/>
      <c r="AN38" s="399"/>
      <c r="AO38" s="402"/>
      <c r="AP38" s="403"/>
      <c r="AQ38" s="398"/>
      <c r="AR38" s="399"/>
      <c r="AS38" s="402"/>
      <c r="AT38" s="403"/>
      <c r="AU38" s="398"/>
      <c r="AV38" s="399"/>
      <c r="AW38" s="402"/>
      <c r="AX38" s="403"/>
      <c r="AY38" s="398"/>
      <c r="AZ38" s="399"/>
      <c r="BA38" s="402"/>
      <c r="BB38" s="403"/>
      <c r="BC38" s="398"/>
      <c r="BD38" s="399"/>
      <c r="BE38" s="402"/>
      <c r="BF38" s="403"/>
      <c r="BG38" s="398"/>
      <c r="BH38" s="399"/>
      <c r="BI38" s="402"/>
      <c r="BJ38" s="403"/>
      <c r="BK38" s="398"/>
      <c r="BL38" s="399"/>
      <c r="BM38" s="402"/>
      <c r="BN38" s="403"/>
    </row>
    <row r="39" spans="2:66" ht="24" customHeight="1">
      <c r="B39" s="394"/>
      <c r="C39" s="394"/>
      <c r="D39" s="395"/>
      <c r="E39" s="413"/>
      <c r="F39" s="414"/>
      <c r="G39" s="409"/>
      <c r="H39" s="410"/>
      <c r="I39" s="413" t="s">
        <v>1816</v>
      </c>
      <c r="J39" s="414" t="s">
        <v>327</v>
      </c>
      <c r="K39" s="409" t="s">
        <v>1816</v>
      </c>
      <c r="L39" s="410" t="s">
        <v>327</v>
      </c>
      <c r="M39" s="413"/>
      <c r="N39" s="414"/>
      <c r="O39" s="409"/>
      <c r="P39" s="410"/>
      <c r="Q39" s="413"/>
      <c r="R39" s="414"/>
      <c r="S39" s="409"/>
      <c r="T39" s="410"/>
      <c r="U39" s="413"/>
      <c r="V39" s="414"/>
      <c r="W39" s="409"/>
      <c r="X39" s="410"/>
      <c r="Y39" s="413" t="s">
        <v>1802</v>
      </c>
      <c r="Z39" s="414" t="s">
        <v>53</v>
      </c>
      <c r="AA39" s="409" t="s">
        <v>1820</v>
      </c>
      <c r="AB39" s="410" t="s">
        <v>1325</v>
      </c>
      <c r="AC39" s="413"/>
      <c r="AD39" s="414"/>
      <c r="AE39" s="409"/>
      <c r="AF39" s="410"/>
      <c r="AJ39" s="394"/>
      <c r="AK39" s="394"/>
      <c r="AL39" s="395"/>
      <c r="AM39" s="405"/>
      <c r="AN39" s="406"/>
      <c r="AO39" s="409"/>
      <c r="AP39" s="410"/>
      <c r="AQ39" s="405" t="s">
        <v>1816</v>
      </c>
      <c r="AR39" s="406" t="s">
        <v>327</v>
      </c>
      <c r="AS39" s="409" t="s">
        <v>327</v>
      </c>
      <c r="AT39" s="410" t="s">
        <v>327</v>
      </c>
      <c r="AU39" s="405"/>
      <c r="AV39" s="406"/>
      <c r="AW39" s="409"/>
      <c r="AX39" s="410"/>
      <c r="AY39" s="405"/>
      <c r="AZ39" s="406"/>
      <c r="BA39" s="409"/>
      <c r="BB39" s="410"/>
      <c r="BC39" s="405"/>
      <c r="BD39" s="406"/>
      <c r="BE39" s="409"/>
      <c r="BF39" s="410"/>
      <c r="BG39" s="405" t="s">
        <v>1802</v>
      </c>
      <c r="BH39" s="406" t="s">
        <v>53</v>
      </c>
      <c r="BI39" s="409" t="s">
        <v>53</v>
      </c>
      <c r="BJ39" s="410" t="s">
        <v>1325</v>
      </c>
      <c r="BK39" s="405"/>
      <c r="BL39" s="406"/>
      <c r="BM39" s="409"/>
      <c r="BN39" s="410"/>
    </row>
    <row r="40" spans="2:66" ht="24" customHeight="1">
      <c r="B40" s="394"/>
      <c r="C40" s="394"/>
      <c r="D40" s="395"/>
      <c r="E40" s="415"/>
      <c r="F40" s="416"/>
      <c r="G40" s="411"/>
      <c r="H40" s="412"/>
      <c r="I40" s="415"/>
      <c r="J40" s="416"/>
      <c r="K40" s="411"/>
      <c r="L40" s="412"/>
      <c r="M40" s="415"/>
      <c r="N40" s="416"/>
      <c r="O40" s="411"/>
      <c r="P40" s="412"/>
      <c r="Q40" s="415"/>
      <c r="R40" s="416"/>
      <c r="S40" s="411"/>
      <c r="T40" s="412"/>
      <c r="U40" s="415"/>
      <c r="V40" s="416"/>
      <c r="W40" s="411"/>
      <c r="X40" s="412"/>
      <c r="Y40" s="415"/>
      <c r="Z40" s="416"/>
      <c r="AA40" s="411"/>
      <c r="AB40" s="412"/>
      <c r="AC40" s="415"/>
      <c r="AD40" s="416"/>
      <c r="AE40" s="411"/>
      <c r="AF40" s="412"/>
      <c r="AJ40" s="394"/>
      <c r="AK40" s="394"/>
      <c r="AL40" s="395"/>
      <c r="AM40" s="407"/>
      <c r="AN40" s="408"/>
      <c r="AO40" s="411"/>
      <c r="AP40" s="412"/>
      <c r="AQ40" s="407"/>
      <c r="AR40" s="408"/>
      <c r="AS40" s="411"/>
      <c r="AT40" s="412"/>
      <c r="AU40" s="407"/>
      <c r="AV40" s="408"/>
      <c r="AW40" s="411"/>
      <c r="AX40" s="412"/>
      <c r="AY40" s="407"/>
      <c r="AZ40" s="408"/>
      <c r="BA40" s="411"/>
      <c r="BB40" s="412"/>
      <c r="BC40" s="407"/>
      <c r="BD40" s="408"/>
      <c r="BE40" s="411"/>
      <c r="BF40" s="412"/>
      <c r="BG40" s="407"/>
      <c r="BH40" s="408"/>
      <c r="BI40" s="411"/>
      <c r="BJ40" s="412"/>
      <c r="BK40" s="407"/>
      <c r="BL40" s="408"/>
      <c r="BM40" s="411"/>
      <c r="BN40" s="412"/>
    </row>
  </sheetData>
  <mergeCells count="560">
    <mergeCell ref="BM39:BN40"/>
    <mergeCell ref="BA39:BB40"/>
    <mergeCell ref="BC39:BD40"/>
    <mergeCell ref="BE39:BF40"/>
    <mergeCell ref="BG39:BH40"/>
    <mergeCell ref="BI39:BJ40"/>
    <mergeCell ref="BK39:BL40"/>
    <mergeCell ref="BI37:BJ38"/>
    <mergeCell ref="BK37:BL38"/>
    <mergeCell ref="BM37:BN38"/>
    <mergeCell ref="BA37:BB38"/>
    <mergeCell ref="BC37:BD38"/>
    <mergeCell ref="BE37:BF38"/>
    <mergeCell ref="BG37:BH38"/>
    <mergeCell ref="BA35:BB36"/>
    <mergeCell ref="BC35:BD36"/>
    <mergeCell ref="BE35:BF36"/>
    <mergeCell ref="BG35:BH36"/>
    <mergeCell ref="BI35:BJ36"/>
    <mergeCell ref="AM35:AN36"/>
    <mergeCell ref="AO35:AP36"/>
    <mergeCell ref="AQ35:AR36"/>
    <mergeCell ref="AS35:AT36"/>
    <mergeCell ref="AU35:AV36"/>
    <mergeCell ref="AW35:AX36"/>
    <mergeCell ref="AJ37:AJ40"/>
    <mergeCell ref="AK37:AK40"/>
    <mergeCell ref="AL37:AL40"/>
    <mergeCell ref="AM37:AN38"/>
    <mergeCell ref="AO37:AP38"/>
    <mergeCell ref="AQ37:AR38"/>
    <mergeCell ref="AS37:AT38"/>
    <mergeCell ref="AU37:AV38"/>
    <mergeCell ref="AY35:AZ36"/>
    <mergeCell ref="AM39:AN40"/>
    <mergeCell ref="AO39:AP40"/>
    <mergeCell ref="AQ39:AR40"/>
    <mergeCell ref="AS39:AT40"/>
    <mergeCell ref="AU39:AV40"/>
    <mergeCell ref="AW39:AX40"/>
    <mergeCell ref="AY39:AZ40"/>
    <mergeCell ref="AW37:AX38"/>
    <mergeCell ref="AY37:AZ38"/>
    <mergeCell ref="AJ29:AJ36"/>
    <mergeCell ref="AK29:AK36"/>
    <mergeCell ref="AL29:AL32"/>
    <mergeCell ref="BC33:BD34"/>
    <mergeCell ref="BE33:BF34"/>
    <mergeCell ref="BG33:BH34"/>
    <mergeCell ref="BI33:BJ34"/>
    <mergeCell ref="BK33:BL34"/>
    <mergeCell ref="BM33:BN34"/>
    <mergeCell ref="BM31:BN32"/>
    <mergeCell ref="AL33:AL36"/>
    <mergeCell ref="AM33:AN34"/>
    <mergeCell ref="AO33:AP34"/>
    <mergeCell ref="AQ33:AR34"/>
    <mergeCell ref="AS33:AT34"/>
    <mergeCell ref="AU33:AV34"/>
    <mergeCell ref="AW33:AX34"/>
    <mergeCell ref="AY33:AZ34"/>
    <mergeCell ref="BA33:BB34"/>
    <mergeCell ref="BA31:BB32"/>
    <mergeCell ref="BC31:BD32"/>
    <mergeCell ref="BE31:BF32"/>
    <mergeCell ref="BG31:BH32"/>
    <mergeCell ref="BI31:BJ32"/>
    <mergeCell ref="BK31:BL32"/>
    <mergeCell ref="BK35:BL36"/>
    <mergeCell ref="BM35:BN36"/>
    <mergeCell ref="BM27:BN28"/>
    <mergeCell ref="BI29:BJ30"/>
    <mergeCell ref="BK29:BL30"/>
    <mergeCell ref="BM29:BN30"/>
    <mergeCell ref="AM31:AN32"/>
    <mergeCell ref="AO31:AP32"/>
    <mergeCell ref="AQ31:AR32"/>
    <mergeCell ref="AS31:AT32"/>
    <mergeCell ref="AU31:AV32"/>
    <mergeCell ref="AW31:AX32"/>
    <mergeCell ref="AY31:AZ32"/>
    <mergeCell ref="AW29:AX30"/>
    <mergeCell ref="AY29:AZ30"/>
    <mergeCell ref="BA29:BB30"/>
    <mergeCell ref="BC29:BD30"/>
    <mergeCell ref="BE29:BF30"/>
    <mergeCell ref="BG29:BH30"/>
    <mergeCell ref="AM29:AN30"/>
    <mergeCell ref="AO29:AP30"/>
    <mergeCell ref="AQ29:AR30"/>
    <mergeCell ref="AS29:AT30"/>
    <mergeCell ref="AU29:AV30"/>
    <mergeCell ref="BC27:BD28"/>
    <mergeCell ref="AY27:AZ28"/>
    <mergeCell ref="BK19:BL20"/>
    <mergeCell ref="BM19:BN20"/>
    <mergeCell ref="BA19:BB20"/>
    <mergeCell ref="BC19:BD20"/>
    <mergeCell ref="BE19:BF20"/>
    <mergeCell ref="BG19:BH20"/>
    <mergeCell ref="BI19:BJ20"/>
    <mergeCell ref="AM19:AN20"/>
    <mergeCell ref="AO19:AP20"/>
    <mergeCell ref="AQ19:AR20"/>
    <mergeCell ref="AS19:AT20"/>
    <mergeCell ref="AU19:AV20"/>
    <mergeCell ref="AW19:AX20"/>
    <mergeCell ref="AY19:AZ20"/>
    <mergeCell ref="BC17:BD18"/>
    <mergeCell ref="BE17:BF18"/>
    <mergeCell ref="BG17:BH18"/>
    <mergeCell ref="BI17:BJ18"/>
    <mergeCell ref="BK17:BL18"/>
    <mergeCell ref="BM17:BN18"/>
    <mergeCell ref="BM15:BN16"/>
    <mergeCell ref="AY17:AZ18"/>
    <mergeCell ref="BA17:BB18"/>
    <mergeCell ref="BA15:BB16"/>
    <mergeCell ref="BC15:BD16"/>
    <mergeCell ref="BE15:BF16"/>
    <mergeCell ref="BG15:BH16"/>
    <mergeCell ref="BI15:BJ16"/>
    <mergeCell ref="BK15:BL16"/>
    <mergeCell ref="BI13:BJ14"/>
    <mergeCell ref="BK13:BL14"/>
    <mergeCell ref="BM13:BN14"/>
    <mergeCell ref="AM15:AN16"/>
    <mergeCell ref="AO15:AP16"/>
    <mergeCell ref="AQ15:AR16"/>
    <mergeCell ref="AS15:AT16"/>
    <mergeCell ref="AU15:AV16"/>
    <mergeCell ref="AW15:AX16"/>
    <mergeCell ref="AY15:AZ16"/>
    <mergeCell ref="AW13:AX14"/>
    <mergeCell ref="AY13:AZ14"/>
    <mergeCell ref="BA13:BB14"/>
    <mergeCell ref="BC13:BD14"/>
    <mergeCell ref="BE13:BF14"/>
    <mergeCell ref="BG13:BH14"/>
    <mergeCell ref="AW17:AX18"/>
    <mergeCell ref="AL25:AL28"/>
    <mergeCell ref="AM25:AN26"/>
    <mergeCell ref="AO25:AP26"/>
    <mergeCell ref="AQ25:AR26"/>
    <mergeCell ref="AS25:AT26"/>
    <mergeCell ref="AU25:AV26"/>
    <mergeCell ref="AW25:AX26"/>
    <mergeCell ref="AY25:AZ26"/>
    <mergeCell ref="AM27:AN28"/>
    <mergeCell ref="AO27:AP28"/>
    <mergeCell ref="AQ27:AR28"/>
    <mergeCell ref="AS27:AT28"/>
    <mergeCell ref="AU27:AV28"/>
    <mergeCell ref="AW27:AX28"/>
    <mergeCell ref="AY21:AZ22"/>
    <mergeCell ref="BA25:BB26"/>
    <mergeCell ref="BA27:BB28"/>
    <mergeCell ref="BE21:BF22"/>
    <mergeCell ref="BG21:BH22"/>
    <mergeCell ref="BC25:BD26"/>
    <mergeCell ref="BE25:BF26"/>
    <mergeCell ref="BG25:BH26"/>
    <mergeCell ref="BI25:BJ26"/>
    <mergeCell ref="BK25:BL26"/>
    <mergeCell ref="BA21:BB22"/>
    <mergeCell ref="BC21:BD22"/>
    <mergeCell ref="BE27:BF28"/>
    <mergeCell ref="BG27:BH28"/>
    <mergeCell ref="BI27:BJ28"/>
    <mergeCell ref="BK27:BL28"/>
    <mergeCell ref="BE23:BF24"/>
    <mergeCell ref="BG23:BH24"/>
    <mergeCell ref="BI23:BJ24"/>
    <mergeCell ref="BK23:BL24"/>
    <mergeCell ref="AJ21:AJ28"/>
    <mergeCell ref="AK21:AK28"/>
    <mergeCell ref="AL21:AL24"/>
    <mergeCell ref="AM21:AN22"/>
    <mergeCell ref="AO21:AP22"/>
    <mergeCell ref="AQ21:AR22"/>
    <mergeCell ref="AS21:AT22"/>
    <mergeCell ref="AU21:AV22"/>
    <mergeCell ref="AY11:AZ12"/>
    <mergeCell ref="AJ13:AJ20"/>
    <mergeCell ref="AK13:AK20"/>
    <mergeCell ref="AL13:AL16"/>
    <mergeCell ref="AM13:AN14"/>
    <mergeCell ref="AO13:AP14"/>
    <mergeCell ref="AQ13:AR14"/>
    <mergeCell ref="AS13:AT14"/>
    <mergeCell ref="AU13:AV14"/>
    <mergeCell ref="AW21:AX22"/>
    <mergeCell ref="AL17:AL20"/>
    <mergeCell ref="AM17:AN18"/>
    <mergeCell ref="AO17:AP18"/>
    <mergeCell ref="AQ17:AR18"/>
    <mergeCell ref="AS17:AT18"/>
    <mergeCell ref="AU17:AV18"/>
    <mergeCell ref="BM21:BN22"/>
    <mergeCell ref="AM23:AN24"/>
    <mergeCell ref="AO23:AP24"/>
    <mergeCell ref="BM25:BN26"/>
    <mergeCell ref="BM23:BN24"/>
    <mergeCell ref="BC23:BD24"/>
    <mergeCell ref="BI7:BJ8"/>
    <mergeCell ref="BK7:BL8"/>
    <mergeCell ref="BM7:BN8"/>
    <mergeCell ref="AQ23:AR24"/>
    <mergeCell ref="AS23:AT24"/>
    <mergeCell ref="AU23:AV24"/>
    <mergeCell ref="AW23:AX24"/>
    <mergeCell ref="AY23:AZ24"/>
    <mergeCell ref="BA23:BB24"/>
    <mergeCell ref="BK11:BL12"/>
    <mergeCell ref="BM11:BN12"/>
    <mergeCell ref="BA11:BB12"/>
    <mergeCell ref="BC11:BD12"/>
    <mergeCell ref="BE11:BF12"/>
    <mergeCell ref="BG11:BH12"/>
    <mergeCell ref="BI11:BJ12"/>
    <mergeCell ref="BI21:BJ22"/>
    <mergeCell ref="BK21:BL22"/>
    <mergeCell ref="AL9:AL12"/>
    <mergeCell ref="AM9:AN10"/>
    <mergeCell ref="AO9:AP10"/>
    <mergeCell ref="AQ9:AR10"/>
    <mergeCell ref="AS9:AT10"/>
    <mergeCell ref="BG9:BH10"/>
    <mergeCell ref="BI9:BJ10"/>
    <mergeCell ref="BK9:BL10"/>
    <mergeCell ref="BM9:BN10"/>
    <mergeCell ref="AM11:AN12"/>
    <mergeCell ref="AO11:AP12"/>
    <mergeCell ref="AQ11:AR12"/>
    <mergeCell ref="AS11:AT12"/>
    <mergeCell ref="AU11:AV12"/>
    <mergeCell ref="AW11:AX12"/>
    <mergeCell ref="AU9:AV10"/>
    <mergeCell ref="AW9:AX10"/>
    <mergeCell ref="AY9:AZ10"/>
    <mergeCell ref="BA9:BB10"/>
    <mergeCell ref="BC9:BD10"/>
    <mergeCell ref="BE9:BF10"/>
    <mergeCell ref="AO5:AP6"/>
    <mergeCell ref="AQ5:AR6"/>
    <mergeCell ref="AS5:AT6"/>
    <mergeCell ref="AU5:AV6"/>
    <mergeCell ref="AW5:AX6"/>
    <mergeCell ref="AA39:AB40"/>
    <mergeCell ref="AC39:AD40"/>
    <mergeCell ref="AE39:AF40"/>
    <mergeCell ref="AM3:AP4"/>
    <mergeCell ref="AQ3:AX3"/>
    <mergeCell ref="AJ5:AJ12"/>
    <mergeCell ref="AK5:AK12"/>
    <mergeCell ref="AL5:AL8"/>
    <mergeCell ref="AM5:AN6"/>
    <mergeCell ref="AC37:AD38"/>
    <mergeCell ref="AE37:AF38"/>
    <mergeCell ref="AA35:AB36"/>
    <mergeCell ref="AC35:AD36"/>
    <mergeCell ref="AE35:AF36"/>
    <mergeCell ref="AC33:AD34"/>
    <mergeCell ref="AE33:AF34"/>
    <mergeCell ref="AC29:AD30"/>
    <mergeCell ref="AM7:AN8"/>
    <mergeCell ref="AO7:AP8"/>
    <mergeCell ref="BG3:BJ4"/>
    <mergeCell ref="BK3:BN4"/>
    <mergeCell ref="AQ4:AT4"/>
    <mergeCell ref="AU4:AX4"/>
    <mergeCell ref="AY4:BB4"/>
    <mergeCell ref="BC4:BF4"/>
    <mergeCell ref="BM5:BN6"/>
    <mergeCell ref="AY7:AZ8"/>
    <mergeCell ref="BA7:BB8"/>
    <mergeCell ref="BC7:BD8"/>
    <mergeCell ref="BA5:BB6"/>
    <mergeCell ref="BC5:BD6"/>
    <mergeCell ref="BE5:BF6"/>
    <mergeCell ref="BG5:BH6"/>
    <mergeCell ref="BI5:BJ6"/>
    <mergeCell ref="BK5:BL6"/>
    <mergeCell ref="AY3:BF3"/>
    <mergeCell ref="AQ7:AR8"/>
    <mergeCell ref="AS7:AT8"/>
    <mergeCell ref="AU7:AV8"/>
    <mergeCell ref="AW7:AX8"/>
    <mergeCell ref="AY5:AZ6"/>
    <mergeCell ref="BE7:BF8"/>
    <mergeCell ref="BG7:BH8"/>
    <mergeCell ref="S39:T40"/>
    <mergeCell ref="U39:V40"/>
    <mergeCell ref="W39:X40"/>
    <mergeCell ref="Y39:Z40"/>
    <mergeCell ref="W37:X38"/>
    <mergeCell ref="Y37:Z38"/>
    <mergeCell ref="AA37:AB38"/>
    <mergeCell ref="S37:T38"/>
    <mergeCell ref="U37:V38"/>
    <mergeCell ref="E39:F40"/>
    <mergeCell ref="G39:H40"/>
    <mergeCell ref="I39:J40"/>
    <mergeCell ref="K39:L40"/>
    <mergeCell ref="M39:N40"/>
    <mergeCell ref="K37:L38"/>
    <mergeCell ref="M37:N38"/>
    <mergeCell ref="O37:P38"/>
    <mergeCell ref="Q37:R38"/>
    <mergeCell ref="O39:P40"/>
    <mergeCell ref="Q39:R40"/>
    <mergeCell ref="AA33:AB34"/>
    <mergeCell ref="AA31:AB32"/>
    <mergeCell ref="AC31:AD32"/>
    <mergeCell ref="AE31:AF32"/>
    <mergeCell ref="B37:B40"/>
    <mergeCell ref="C37:C40"/>
    <mergeCell ref="D37:D40"/>
    <mergeCell ref="E37:F38"/>
    <mergeCell ref="G37:H38"/>
    <mergeCell ref="I37:J38"/>
    <mergeCell ref="U35:V36"/>
    <mergeCell ref="W35:X36"/>
    <mergeCell ref="Y35:Z36"/>
    <mergeCell ref="E35:F36"/>
    <mergeCell ref="G35:H36"/>
    <mergeCell ref="I35:J36"/>
    <mergeCell ref="K35:L36"/>
    <mergeCell ref="M35:N36"/>
    <mergeCell ref="O35:P36"/>
    <mergeCell ref="Q35:R36"/>
    <mergeCell ref="S35:T36"/>
    <mergeCell ref="D33:D36"/>
    <mergeCell ref="E33:F34"/>
    <mergeCell ref="G33:H34"/>
    <mergeCell ref="W33:X34"/>
    <mergeCell ref="Y33:Z34"/>
    <mergeCell ref="I33:J34"/>
    <mergeCell ref="AE29:AF30"/>
    <mergeCell ref="E31:F32"/>
    <mergeCell ref="G31:H32"/>
    <mergeCell ref="I31:J32"/>
    <mergeCell ref="K31:L32"/>
    <mergeCell ref="M31:N32"/>
    <mergeCell ref="K29:L30"/>
    <mergeCell ref="M29:N30"/>
    <mergeCell ref="O29:P30"/>
    <mergeCell ref="Q29:R30"/>
    <mergeCell ref="S29:T30"/>
    <mergeCell ref="U29:V30"/>
    <mergeCell ref="O31:P32"/>
    <mergeCell ref="Q31:R32"/>
    <mergeCell ref="S31:T32"/>
    <mergeCell ref="U31:V32"/>
    <mergeCell ref="W31:X32"/>
    <mergeCell ref="Y31:Z32"/>
    <mergeCell ref="W29:X30"/>
    <mergeCell ref="Y29:Z30"/>
    <mergeCell ref="AA29:AB30"/>
    <mergeCell ref="W19:X20"/>
    <mergeCell ref="Y19:Z20"/>
    <mergeCell ref="B13:B20"/>
    <mergeCell ref="C13:C20"/>
    <mergeCell ref="U27:V28"/>
    <mergeCell ref="W27:X28"/>
    <mergeCell ref="Y27:Z28"/>
    <mergeCell ref="W21:X22"/>
    <mergeCell ref="Y21:Z22"/>
    <mergeCell ref="B21:B28"/>
    <mergeCell ref="C21:C28"/>
    <mergeCell ref="D17:D20"/>
    <mergeCell ref="E17:F18"/>
    <mergeCell ref="W13:X14"/>
    <mergeCell ref="Y13:Z14"/>
    <mergeCell ref="W15:X16"/>
    <mergeCell ref="Y15:Z16"/>
    <mergeCell ref="D13:D16"/>
    <mergeCell ref="Y23:Z24"/>
    <mergeCell ref="W23:X24"/>
    <mergeCell ref="B29:B36"/>
    <mergeCell ref="C29:C36"/>
    <mergeCell ref="D29:D32"/>
    <mergeCell ref="E29:F30"/>
    <mergeCell ref="G29:H30"/>
    <mergeCell ref="I29:J30"/>
    <mergeCell ref="U19:V20"/>
    <mergeCell ref="Q33:R34"/>
    <mergeCell ref="S33:T34"/>
    <mergeCell ref="U33:V34"/>
    <mergeCell ref="K33:L34"/>
    <mergeCell ref="M33:N34"/>
    <mergeCell ref="O33:P34"/>
    <mergeCell ref="D21:D24"/>
    <mergeCell ref="D25:D28"/>
    <mergeCell ref="O25:P26"/>
    <mergeCell ref="O23:P24"/>
    <mergeCell ref="Q23:R24"/>
    <mergeCell ref="U23:V24"/>
    <mergeCell ref="AA19:AB20"/>
    <mergeCell ref="AC19:AD20"/>
    <mergeCell ref="AE19:AF20"/>
    <mergeCell ref="AC17:AD18"/>
    <mergeCell ref="AE17:AF18"/>
    <mergeCell ref="E19:F20"/>
    <mergeCell ref="G19:H20"/>
    <mergeCell ref="I19:J20"/>
    <mergeCell ref="K19:L20"/>
    <mergeCell ref="M19:N20"/>
    <mergeCell ref="O19:P20"/>
    <mergeCell ref="Q19:R20"/>
    <mergeCell ref="S19:T20"/>
    <mergeCell ref="Q17:R18"/>
    <mergeCell ref="S17:T18"/>
    <mergeCell ref="U17:V18"/>
    <mergeCell ref="W17:X18"/>
    <mergeCell ref="Y17:Z18"/>
    <mergeCell ref="AA17:AB18"/>
    <mergeCell ref="G17:H18"/>
    <mergeCell ref="I17:J18"/>
    <mergeCell ref="K17:L18"/>
    <mergeCell ref="M17:N18"/>
    <mergeCell ref="O17:P18"/>
    <mergeCell ref="AA13:AB14"/>
    <mergeCell ref="AC13:AD14"/>
    <mergeCell ref="AE13:AF14"/>
    <mergeCell ref="E15:F16"/>
    <mergeCell ref="G15:H16"/>
    <mergeCell ref="I15:J16"/>
    <mergeCell ref="K15:L16"/>
    <mergeCell ref="M15:N16"/>
    <mergeCell ref="K13:L14"/>
    <mergeCell ref="M13:N14"/>
    <mergeCell ref="O13:P14"/>
    <mergeCell ref="Q13:R14"/>
    <mergeCell ref="S13:T14"/>
    <mergeCell ref="U13:V14"/>
    <mergeCell ref="E13:F14"/>
    <mergeCell ref="G13:H14"/>
    <mergeCell ref="I13:J14"/>
    <mergeCell ref="AA15:AB16"/>
    <mergeCell ref="AC15:AD16"/>
    <mergeCell ref="AE15:AF16"/>
    <mergeCell ref="S15:T16"/>
    <mergeCell ref="U15:V16"/>
    <mergeCell ref="O15:P16"/>
    <mergeCell ref="Q15:R16"/>
    <mergeCell ref="AA27:AB28"/>
    <mergeCell ref="AC27:AD28"/>
    <mergeCell ref="AE27:AF28"/>
    <mergeCell ref="AC25:AD26"/>
    <mergeCell ref="AE25:AF26"/>
    <mergeCell ref="E27:F28"/>
    <mergeCell ref="G27:H28"/>
    <mergeCell ref="I27:J28"/>
    <mergeCell ref="K27:L28"/>
    <mergeCell ref="M27:N28"/>
    <mergeCell ref="O27:P28"/>
    <mergeCell ref="Q27:R28"/>
    <mergeCell ref="S27:T28"/>
    <mergeCell ref="Q25:R26"/>
    <mergeCell ref="S25:T26"/>
    <mergeCell ref="U25:V26"/>
    <mergeCell ref="W25:X26"/>
    <mergeCell ref="Y25:Z26"/>
    <mergeCell ref="AA25:AB26"/>
    <mergeCell ref="E25:F26"/>
    <mergeCell ref="G25:H26"/>
    <mergeCell ref="I25:J26"/>
    <mergeCell ref="K25:L26"/>
    <mergeCell ref="M25:N26"/>
    <mergeCell ref="W9:X10"/>
    <mergeCell ref="K11:L12"/>
    <mergeCell ref="M11:N12"/>
    <mergeCell ref="O11:P12"/>
    <mergeCell ref="Q11:R12"/>
    <mergeCell ref="S11:T12"/>
    <mergeCell ref="Q9:R10"/>
    <mergeCell ref="S9:T10"/>
    <mergeCell ref="U9:V10"/>
    <mergeCell ref="Y9:Z10"/>
    <mergeCell ref="AA9:AB10"/>
    <mergeCell ref="AA21:AB22"/>
    <mergeCell ref="AC21:AD22"/>
    <mergeCell ref="AE21:AF22"/>
    <mergeCell ref="E23:F24"/>
    <mergeCell ref="G23:H24"/>
    <mergeCell ref="I23:J24"/>
    <mergeCell ref="K23:L24"/>
    <mergeCell ref="M23:N24"/>
    <mergeCell ref="K21:L22"/>
    <mergeCell ref="M21:N22"/>
    <mergeCell ref="O21:P22"/>
    <mergeCell ref="Q21:R22"/>
    <mergeCell ref="S21:T22"/>
    <mergeCell ref="U21:V22"/>
    <mergeCell ref="E21:F22"/>
    <mergeCell ref="G21:H22"/>
    <mergeCell ref="I21:J22"/>
    <mergeCell ref="AA23:AB24"/>
    <mergeCell ref="AC23:AD24"/>
    <mergeCell ref="AE23:AF24"/>
    <mergeCell ref="S23:T24"/>
    <mergeCell ref="I11:J12"/>
    <mergeCell ref="AE7:AF8"/>
    <mergeCell ref="D9:D12"/>
    <mergeCell ref="E9:F10"/>
    <mergeCell ref="G9:H10"/>
    <mergeCell ref="I9:J10"/>
    <mergeCell ref="K9:L10"/>
    <mergeCell ref="M9:N10"/>
    <mergeCell ref="O9:P10"/>
    <mergeCell ref="O7:P8"/>
    <mergeCell ref="Q7:R8"/>
    <mergeCell ref="S7:T8"/>
    <mergeCell ref="U7:V8"/>
    <mergeCell ref="W7:X8"/>
    <mergeCell ref="Y7:Z8"/>
    <mergeCell ref="U11:V12"/>
    <mergeCell ref="W11:X12"/>
    <mergeCell ref="Y11:Z12"/>
    <mergeCell ref="AA11:AB12"/>
    <mergeCell ref="AC11:AD12"/>
    <mergeCell ref="AE11:AF12"/>
    <mergeCell ref="AC9:AD10"/>
    <mergeCell ref="AE9:AF10"/>
    <mergeCell ref="E11:F12"/>
    <mergeCell ref="G11:H12"/>
    <mergeCell ref="M7:N8"/>
    <mergeCell ref="K5:L6"/>
    <mergeCell ref="M5:N6"/>
    <mergeCell ref="O5:P6"/>
    <mergeCell ref="Q5:R6"/>
    <mergeCell ref="S5:T6"/>
    <mergeCell ref="U5:V6"/>
    <mergeCell ref="AA7:AB8"/>
    <mergeCell ref="AC7:AD8"/>
    <mergeCell ref="Y3:AB4"/>
    <mergeCell ref="AC3:AF4"/>
    <mergeCell ref="I4:L4"/>
    <mergeCell ref="M4:P4"/>
    <mergeCell ref="Q4:T4"/>
    <mergeCell ref="U4:X4"/>
    <mergeCell ref="B5:B12"/>
    <mergeCell ref="C5:C12"/>
    <mergeCell ref="D5:D8"/>
    <mergeCell ref="E5:F6"/>
    <mergeCell ref="G5:H6"/>
    <mergeCell ref="I5:J6"/>
    <mergeCell ref="E3:H4"/>
    <mergeCell ref="I3:P3"/>
    <mergeCell ref="Q3:X3"/>
    <mergeCell ref="W5:X6"/>
    <mergeCell ref="Y5:Z6"/>
    <mergeCell ref="AA5:AB6"/>
    <mergeCell ref="AC5:AD6"/>
    <mergeCell ref="AE5:AF6"/>
    <mergeCell ref="E7:F8"/>
    <mergeCell ref="G7:H8"/>
    <mergeCell ref="I7:J8"/>
    <mergeCell ref="K7:L8"/>
  </mergeCells>
  <phoneticPr fontId="87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94E7D-4902-4DD6-8A41-8099455990A6}">
  <sheetPr>
    <tabColor theme="9" tint="0.39997558519241921"/>
    <pageSetUpPr fitToPage="1"/>
  </sheetPr>
  <dimension ref="B2:BS32"/>
  <sheetViews>
    <sheetView showGridLines="0" tabSelected="1" zoomScale="60" zoomScaleNormal="60" workbookViewId="0">
      <selection activeCell="BQ6" sqref="BQ6:BQ23"/>
    </sheetView>
  </sheetViews>
  <sheetFormatPr defaultColWidth="13" defaultRowHeight="30"/>
  <cols>
    <col min="1" max="1" width="2.75" style="293" customWidth="1"/>
    <col min="2" max="3" width="5.375" style="296" customWidth="1"/>
    <col min="4" max="39" width="4.125" style="293" customWidth="1"/>
    <col min="40" max="41" width="13" style="293"/>
    <col min="42" max="65" width="7.5" style="293" customWidth="1"/>
    <col min="66" max="67" width="13" style="293"/>
    <col min="68" max="68" width="13" style="543"/>
    <col min="69" max="69" width="21.375" style="293" bestFit="1" customWidth="1"/>
    <col min="70" max="16384" width="13" style="293"/>
  </cols>
  <sheetData>
    <row r="2" spans="2:71" s="298" customFormat="1" ht="29.25" customHeight="1">
      <c r="B2" s="297"/>
      <c r="C2" s="297"/>
      <c r="D2" s="481" t="s">
        <v>1700</v>
      </c>
      <c r="E2" s="481"/>
      <c r="F2" s="481"/>
      <c r="G2" s="481"/>
      <c r="H2" s="481"/>
      <c r="I2" s="481"/>
      <c r="J2" s="481"/>
      <c r="K2" s="481"/>
      <c r="L2" s="481" t="s">
        <v>1824</v>
      </c>
      <c r="M2" s="481"/>
      <c r="N2" s="481"/>
      <c r="O2" s="481"/>
      <c r="P2" s="481"/>
      <c r="Q2" s="481"/>
      <c r="R2" s="481"/>
      <c r="S2" s="481"/>
      <c r="T2" s="481" t="s">
        <v>1825</v>
      </c>
      <c r="U2" s="481"/>
      <c r="V2" s="481"/>
      <c r="W2" s="481"/>
      <c r="X2" s="481"/>
      <c r="Y2" s="481"/>
      <c r="Z2" s="481"/>
      <c r="AA2" s="481"/>
      <c r="AB2" s="481" t="s">
        <v>1826</v>
      </c>
      <c r="AC2" s="481"/>
      <c r="AD2" s="481"/>
      <c r="AE2" s="481"/>
      <c r="AF2" s="481"/>
      <c r="AG2" s="481"/>
      <c r="AH2" s="481"/>
      <c r="AI2" s="481"/>
      <c r="AJ2" s="481" t="s">
        <v>1827</v>
      </c>
      <c r="AK2" s="481"/>
      <c r="AL2" s="481"/>
      <c r="AM2" s="481"/>
      <c r="BP2" s="542"/>
    </row>
    <row r="3" spans="2:71" s="298" customFormat="1" ht="29.25" customHeight="1">
      <c r="B3" s="297"/>
      <c r="C3" s="297"/>
      <c r="D3" s="481" t="s">
        <v>1741</v>
      </c>
      <c r="E3" s="481"/>
      <c r="F3" s="481"/>
      <c r="G3" s="481"/>
      <c r="H3" s="481"/>
      <c r="I3" s="481"/>
      <c r="J3" s="481"/>
      <c r="K3" s="481"/>
      <c r="L3" s="481" t="s">
        <v>1740</v>
      </c>
      <c r="M3" s="481"/>
      <c r="N3" s="481"/>
      <c r="O3" s="481"/>
      <c r="P3" s="481"/>
      <c r="Q3" s="481"/>
      <c r="R3" s="481"/>
      <c r="S3" s="481"/>
      <c r="T3" s="481" t="s">
        <v>1835</v>
      </c>
      <c r="U3" s="481"/>
      <c r="V3" s="481"/>
      <c r="W3" s="481"/>
      <c r="X3" s="481"/>
      <c r="Y3" s="481"/>
      <c r="Z3" s="481"/>
      <c r="AA3" s="481"/>
      <c r="AB3" s="481" t="s">
        <v>1836</v>
      </c>
      <c r="AC3" s="481"/>
      <c r="AD3" s="481"/>
      <c r="AE3" s="481"/>
      <c r="AF3" s="481"/>
      <c r="AG3" s="481"/>
      <c r="AH3" s="481"/>
      <c r="AI3" s="481"/>
      <c r="AJ3" s="481" t="s">
        <v>1837</v>
      </c>
      <c r="AK3" s="481"/>
      <c r="AL3" s="481"/>
      <c r="AM3" s="481"/>
      <c r="BP3" s="542"/>
    </row>
    <row r="4" spans="2:71" s="298" customFormat="1" ht="29.25" customHeight="1">
      <c r="B4" s="297"/>
      <c r="C4" s="297"/>
      <c r="D4" s="481" t="s">
        <v>1704</v>
      </c>
      <c r="E4" s="481"/>
      <c r="F4" s="481"/>
      <c r="G4" s="481"/>
      <c r="H4" s="481" t="s">
        <v>1705</v>
      </c>
      <c r="I4" s="481"/>
      <c r="J4" s="481"/>
      <c r="K4" s="481"/>
      <c r="L4" s="481" t="s">
        <v>1704</v>
      </c>
      <c r="M4" s="481"/>
      <c r="N4" s="481"/>
      <c r="O4" s="481"/>
      <c r="P4" s="481" t="s">
        <v>1705</v>
      </c>
      <c r="Q4" s="481"/>
      <c r="R4" s="481"/>
      <c r="S4" s="481"/>
      <c r="T4" s="481" t="s">
        <v>1704</v>
      </c>
      <c r="U4" s="481"/>
      <c r="V4" s="481"/>
      <c r="W4" s="481"/>
      <c r="X4" s="481" t="s">
        <v>1705</v>
      </c>
      <c r="Y4" s="481"/>
      <c r="Z4" s="481"/>
      <c r="AA4" s="481"/>
      <c r="AB4" s="481" t="s">
        <v>1704</v>
      </c>
      <c r="AC4" s="481"/>
      <c r="AD4" s="481"/>
      <c r="AE4" s="481"/>
      <c r="AF4" s="481" t="s">
        <v>1705</v>
      </c>
      <c r="AG4" s="481"/>
      <c r="AH4" s="481"/>
      <c r="AI4" s="481"/>
      <c r="AJ4" s="481" t="s">
        <v>1704</v>
      </c>
      <c r="AK4" s="481"/>
      <c r="AL4" s="481"/>
      <c r="AM4" s="481"/>
      <c r="BP4" s="542"/>
    </row>
    <row r="5" spans="2:71" ht="27" customHeight="1">
      <c r="B5" s="482" t="s">
        <v>1706</v>
      </c>
      <c r="C5" s="482"/>
      <c r="D5" s="477"/>
      <c r="E5" s="478"/>
      <c r="F5" s="441"/>
      <c r="G5" s="442"/>
      <c r="H5" s="473" t="s">
        <v>4</v>
      </c>
      <c r="I5" s="474"/>
      <c r="J5" s="469" t="s">
        <v>44</v>
      </c>
      <c r="K5" s="470"/>
      <c r="L5" s="477"/>
      <c r="M5" s="478"/>
      <c r="N5" s="441"/>
      <c r="O5" s="442"/>
      <c r="P5" s="473"/>
      <c r="Q5" s="474"/>
      <c r="R5" s="469"/>
      <c r="S5" s="470"/>
      <c r="T5" s="477"/>
      <c r="U5" s="478"/>
      <c r="V5" s="441"/>
      <c r="W5" s="442"/>
      <c r="X5" s="473" t="s">
        <v>7</v>
      </c>
      <c r="Y5" s="474"/>
      <c r="Z5" s="469" t="s">
        <v>48</v>
      </c>
      <c r="AA5" s="470"/>
      <c r="AB5" s="477"/>
      <c r="AC5" s="478"/>
      <c r="AD5" s="441"/>
      <c r="AE5" s="442"/>
      <c r="AF5" s="473" t="s">
        <v>10</v>
      </c>
      <c r="AG5" s="474"/>
      <c r="AH5" s="469" t="s">
        <v>52</v>
      </c>
      <c r="AI5" s="470"/>
      <c r="AJ5" s="477"/>
      <c r="AK5" s="478"/>
      <c r="AL5" s="441"/>
      <c r="AM5" s="442"/>
    </row>
    <row r="6" spans="2:71" ht="27" customHeight="1">
      <c r="B6" s="482"/>
      <c r="C6" s="482"/>
      <c r="D6" s="479"/>
      <c r="E6" s="480"/>
      <c r="F6" s="443"/>
      <c r="G6" s="444"/>
      <c r="H6" s="475"/>
      <c r="I6" s="476"/>
      <c r="J6" s="471"/>
      <c r="K6" s="472"/>
      <c r="L6" s="479"/>
      <c r="M6" s="480"/>
      <c r="N6" s="443"/>
      <c r="O6" s="444"/>
      <c r="P6" s="475"/>
      <c r="Q6" s="476"/>
      <c r="R6" s="471"/>
      <c r="S6" s="472"/>
      <c r="T6" s="479"/>
      <c r="U6" s="480"/>
      <c r="V6" s="443"/>
      <c r="W6" s="444"/>
      <c r="X6" s="475"/>
      <c r="Y6" s="476"/>
      <c r="Z6" s="471"/>
      <c r="AA6" s="472"/>
      <c r="AB6" s="479"/>
      <c r="AC6" s="480"/>
      <c r="AD6" s="443"/>
      <c r="AE6" s="444"/>
      <c r="AF6" s="475"/>
      <c r="AG6" s="476"/>
      <c r="AH6" s="471"/>
      <c r="AI6" s="472"/>
      <c r="AJ6" s="479"/>
      <c r="AK6" s="480"/>
      <c r="AL6" s="443"/>
      <c r="AM6" s="444"/>
      <c r="BP6" s="544">
        <v>1</v>
      </c>
      <c r="BQ6" s="546" t="s">
        <v>1276</v>
      </c>
      <c r="BR6" s="544"/>
      <c r="BS6" s="545"/>
    </row>
    <row r="7" spans="2:71" ht="27" customHeight="1">
      <c r="B7" s="482"/>
      <c r="C7" s="482"/>
      <c r="D7" s="457"/>
      <c r="E7" s="458"/>
      <c r="F7" s="445"/>
      <c r="G7" s="446"/>
      <c r="H7" s="461" t="s">
        <v>1238</v>
      </c>
      <c r="I7" s="462"/>
      <c r="J7" s="465" t="s">
        <v>1748</v>
      </c>
      <c r="K7" s="466"/>
      <c r="L7" s="457"/>
      <c r="M7" s="458"/>
      <c r="N7" s="445"/>
      <c r="O7" s="446"/>
      <c r="P7" s="461"/>
      <c r="Q7" s="462"/>
      <c r="R7" s="465"/>
      <c r="S7" s="466"/>
      <c r="T7" s="457"/>
      <c r="U7" s="458"/>
      <c r="V7" s="445"/>
      <c r="W7" s="446"/>
      <c r="X7" s="461" t="s">
        <v>1275</v>
      </c>
      <c r="Y7" s="462"/>
      <c r="Z7" s="465" t="s">
        <v>1749</v>
      </c>
      <c r="AA7" s="466"/>
      <c r="AB7" s="457"/>
      <c r="AC7" s="458"/>
      <c r="AD7" s="445"/>
      <c r="AE7" s="446"/>
      <c r="AF7" s="461" t="s">
        <v>1313</v>
      </c>
      <c r="AG7" s="462"/>
      <c r="AH7" s="465" t="s">
        <v>1833</v>
      </c>
      <c r="AI7" s="466"/>
      <c r="AJ7" s="483"/>
      <c r="AK7" s="484"/>
      <c r="AL7" s="445"/>
      <c r="AM7" s="446"/>
      <c r="BP7" s="544">
        <v>2</v>
      </c>
      <c r="BQ7" s="546" t="str" cm="1">
        <f t="array" aca="1" ref="BQ7" ca="1" xml:space="preserve"> INDIRECT(ADDRESS(ROW($AP$11),COLUMN($AP$11)+(BR7*4)))</f>
        <v>ㆠ</v>
      </c>
      <c r="BR7" s="544">
        <v>1</v>
      </c>
      <c r="BS7" s="545"/>
    </row>
    <row r="8" spans="2:71" ht="27" customHeight="1">
      <c r="B8" s="482"/>
      <c r="C8" s="482"/>
      <c r="D8" s="459"/>
      <c r="E8" s="460"/>
      <c r="F8" s="447"/>
      <c r="G8" s="448"/>
      <c r="H8" s="463"/>
      <c r="I8" s="464"/>
      <c r="J8" s="467"/>
      <c r="K8" s="468"/>
      <c r="L8" s="459"/>
      <c r="M8" s="460"/>
      <c r="N8" s="447"/>
      <c r="O8" s="448"/>
      <c r="P8" s="463"/>
      <c r="Q8" s="464"/>
      <c r="R8" s="467"/>
      <c r="S8" s="468"/>
      <c r="T8" s="459"/>
      <c r="U8" s="460"/>
      <c r="V8" s="447"/>
      <c r="W8" s="448"/>
      <c r="X8" s="463"/>
      <c r="Y8" s="464"/>
      <c r="Z8" s="467"/>
      <c r="AA8" s="468"/>
      <c r="AB8" s="459"/>
      <c r="AC8" s="460"/>
      <c r="AD8" s="447"/>
      <c r="AE8" s="448"/>
      <c r="AF8" s="463"/>
      <c r="AG8" s="464"/>
      <c r="AH8" s="467"/>
      <c r="AI8" s="468"/>
      <c r="AJ8" s="485"/>
      <c r="AK8" s="486"/>
      <c r="AL8" s="447"/>
      <c r="AM8" s="448"/>
      <c r="AP8" s="481" t="s">
        <v>2585</v>
      </c>
      <c r="AQ8" s="481"/>
      <c r="AR8" s="481"/>
      <c r="AS8" s="481"/>
      <c r="AT8" s="481" t="s">
        <v>1705</v>
      </c>
      <c r="AU8" s="481"/>
      <c r="AV8" s="481"/>
      <c r="AW8" s="481"/>
      <c r="AX8" s="481" t="s">
        <v>2580</v>
      </c>
      <c r="AY8" s="481"/>
      <c r="AZ8" s="481"/>
      <c r="BA8" s="481"/>
      <c r="BB8" s="481" t="s">
        <v>2586</v>
      </c>
      <c r="BC8" s="481"/>
      <c r="BD8" s="481"/>
      <c r="BE8" s="481"/>
      <c r="BF8" s="481" t="s">
        <v>2583</v>
      </c>
      <c r="BG8" s="481"/>
      <c r="BH8" s="481"/>
      <c r="BI8" s="481"/>
      <c r="BJ8" s="481" t="s">
        <v>2584</v>
      </c>
      <c r="BK8" s="481"/>
      <c r="BL8" s="481"/>
      <c r="BM8" s="481"/>
      <c r="BP8" s="544">
        <v>3</v>
      </c>
      <c r="BQ8" s="546" t="str" cm="1">
        <f t="array" aca="1" ref="BQ8" ca="1" xml:space="preserve"> INDIRECT(ADDRESS(ROW($AP$11),COLUMN($AP$11)+(BR8*4)))</f>
        <v>ㄆ</v>
      </c>
      <c r="BR8" s="544">
        <v>2</v>
      </c>
      <c r="BS8" s="545"/>
    </row>
    <row r="9" spans="2:71" ht="27" customHeight="1">
      <c r="B9" s="482" t="s">
        <v>1712</v>
      </c>
      <c r="C9" s="487" t="s">
        <v>1713</v>
      </c>
      <c r="D9" s="477" t="s">
        <v>2</v>
      </c>
      <c r="E9" s="478"/>
      <c r="F9" s="441" t="s">
        <v>41</v>
      </c>
      <c r="G9" s="442"/>
      <c r="H9" s="473" t="s">
        <v>4</v>
      </c>
      <c r="I9" s="474"/>
      <c r="J9" s="469" t="s">
        <v>43</v>
      </c>
      <c r="K9" s="470"/>
      <c r="L9" s="477"/>
      <c r="M9" s="478"/>
      <c r="N9" s="441"/>
      <c r="O9" s="442"/>
      <c r="P9" s="473"/>
      <c r="Q9" s="474"/>
      <c r="R9" s="469"/>
      <c r="S9" s="470"/>
      <c r="T9" s="477" t="s">
        <v>5</v>
      </c>
      <c r="U9" s="478"/>
      <c r="V9" s="441" t="s">
        <v>1809</v>
      </c>
      <c r="W9" s="442"/>
      <c r="X9" s="473"/>
      <c r="Y9" s="474"/>
      <c r="Z9" s="469"/>
      <c r="AA9" s="470"/>
      <c r="AB9" s="477" t="s">
        <v>8</v>
      </c>
      <c r="AC9" s="478"/>
      <c r="AD9" s="441" t="s">
        <v>1813</v>
      </c>
      <c r="AE9" s="442"/>
      <c r="AF9" s="473" t="s">
        <v>10</v>
      </c>
      <c r="AG9" s="474"/>
      <c r="AH9" s="469" t="s">
        <v>51</v>
      </c>
      <c r="AI9" s="470"/>
      <c r="AJ9" s="477" t="s">
        <v>1055</v>
      </c>
      <c r="AK9" s="478"/>
      <c r="AL9" s="449" t="s">
        <v>1816</v>
      </c>
      <c r="AM9" s="450"/>
      <c r="AP9" s="477" t="s">
        <v>2</v>
      </c>
      <c r="AQ9" s="478"/>
      <c r="AR9" s="441" t="s">
        <v>41</v>
      </c>
      <c r="AS9" s="442"/>
      <c r="AT9" s="473" t="s">
        <v>4</v>
      </c>
      <c r="AU9" s="474"/>
      <c r="AV9" s="469" t="s">
        <v>43</v>
      </c>
      <c r="AW9" s="470"/>
      <c r="AX9" s="477" t="s">
        <v>3</v>
      </c>
      <c r="AY9" s="478"/>
      <c r="AZ9" s="441" t="s">
        <v>42</v>
      </c>
      <c r="BA9" s="442"/>
      <c r="BB9" s="538" t="s">
        <v>2589</v>
      </c>
      <c r="BC9" s="539"/>
      <c r="BD9" s="469" t="s">
        <v>44</v>
      </c>
      <c r="BE9" s="470"/>
      <c r="BF9" s="477"/>
      <c r="BG9" s="478"/>
      <c r="BH9" s="441"/>
      <c r="BI9" s="442"/>
      <c r="BJ9" s="473"/>
      <c r="BK9" s="474"/>
      <c r="BL9" s="469"/>
      <c r="BM9" s="470"/>
      <c r="BP9" s="544">
        <v>4</v>
      </c>
      <c r="BQ9" s="546" t="str" cm="1">
        <f t="array" aca="1" ref="BQ9" ca="1" xml:space="preserve"> INDIRECT(ADDRESS(ROW($AP$11),COLUMN($AP$11)+(BR9*4)))</f>
        <v>ㄇ</v>
      </c>
      <c r="BR9" s="544">
        <v>3</v>
      </c>
    </row>
    <row r="10" spans="2:71" ht="27" customHeight="1">
      <c r="B10" s="482"/>
      <c r="C10" s="487"/>
      <c r="D10" s="479"/>
      <c r="E10" s="480"/>
      <c r="F10" s="443"/>
      <c r="G10" s="444"/>
      <c r="H10" s="475"/>
      <c r="I10" s="476"/>
      <c r="J10" s="471"/>
      <c r="K10" s="472"/>
      <c r="L10" s="479"/>
      <c r="M10" s="480"/>
      <c r="N10" s="443"/>
      <c r="O10" s="444"/>
      <c r="P10" s="475"/>
      <c r="Q10" s="476"/>
      <c r="R10" s="471"/>
      <c r="S10" s="472"/>
      <c r="T10" s="479"/>
      <c r="U10" s="480"/>
      <c r="V10" s="443"/>
      <c r="W10" s="444"/>
      <c r="X10" s="475"/>
      <c r="Y10" s="476"/>
      <c r="Z10" s="471"/>
      <c r="AA10" s="472"/>
      <c r="AB10" s="479"/>
      <c r="AC10" s="480"/>
      <c r="AD10" s="443"/>
      <c r="AE10" s="444"/>
      <c r="AF10" s="475"/>
      <c r="AG10" s="476"/>
      <c r="AH10" s="471"/>
      <c r="AI10" s="472"/>
      <c r="AJ10" s="479"/>
      <c r="AK10" s="480"/>
      <c r="AL10" s="451"/>
      <c r="AM10" s="452"/>
      <c r="AP10" s="479"/>
      <c r="AQ10" s="480"/>
      <c r="AR10" s="443"/>
      <c r="AS10" s="444"/>
      <c r="AT10" s="475"/>
      <c r="AU10" s="476"/>
      <c r="AV10" s="471"/>
      <c r="AW10" s="472"/>
      <c r="AX10" s="479"/>
      <c r="AY10" s="480"/>
      <c r="AZ10" s="443"/>
      <c r="BA10" s="444"/>
      <c r="BB10" s="540"/>
      <c r="BC10" s="541"/>
      <c r="BD10" s="471"/>
      <c r="BE10" s="472"/>
      <c r="BF10" s="479"/>
      <c r="BG10" s="480"/>
      <c r="BH10" s="443"/>
      <c r="BI10" s="444"/>
      <c r="BJ10" s="475"/>
      <c r="BK10" s="476"/>
      <c r="BL10" s="471"/>
      <c r="BM10" s="472"/>
      <c r="BP10" s="544">
        <v>5</v>
      </c>
      <c r="BQ10" s="546" t="str">
        <f>AP15</f>
        <v>ㄉ</v>
      </c>
      <c r="BR10" s="544"/>
    </row>
    <row r="11" spans="2:71" ht="27" customHeight="1">
      <c r="B11" s="482"/>
      <c r="C11" s="487"/>
      <c r="D11" s="457" t="s">
        <v>1276</v>
      </c>
      <c r="E11" s="458"/>
      <c r="F11" s="445" t="s">
        <v>43</v>
      </c>
      <c r="G11" s="446"/>
      <c r="H11" s="461" t="s">
        <v>1307</v>
      </c>
      <c r="I11" s="462"/>
      <c r="J11" s="465" t="s">
        <v>1306</v>
      </c>
      <c r="K11" s="466"/>
      <c r="L11" s="457"/>
      <c r="M11" s="458"/>
      <c r="N11" s="445"/>
      <c r="O11" s="446"/>
      <c r="P11" s="461"/>
      <c r="Q11" s="462"/>
      <c r="R11" s="465"/>
      <c r="S11" s="466"/>
      <c r="T11" s="457" t="s">
        <v>1281</v>
      </c>
      <c r="U11" s="458"/>
      <c r="V11" s="445" t="s">
        <v>1830</v>
      </c>
      <c r="W11" s="446"/>
      <c r="X11" s="461"/>
      <c r="Y11" s="462"/>
      <c r="Z11" s="465"/>
      <c r="AA11" s="466"/>
      <c r="AB11" s="457" t="s">
        <v>1277</v>
      </c>
      <c r="AC11" s="458"/>
      <c r="AD11" s="445" t="s">
        <v>1815</v>
      </c>
      <c r="AE11" s="446"/>
      <c r="AF11" s="461" t="s">
        <v>1312</v>
      </c>
      <c r="AG11" s="462"/>
      <c r="AH11" s="465" t="s">
        <v>1311</v>
      </c>
      <c r="AI11" s="466"/>
      <c r="AJ11" s="457" t="s">
        <v>1832</v>
      </c>
      <c r="AK11" s="458"/>
      <c r="AL11" s="453" t="s">
        <v>1816</v>
      </c>
      <c r="AM11" s="454"/>
      <c r="AP11" s="457" t="s">
        <v>1276</v>
      </c>
      <c r="AQ11" s="458"/>
      <c r="AR11" s="445" t="s">
        <v>43</v>
      </c>
      <c r="AS11" s="446"/>
      <c r="AT11" s="461" t="s">
        <v>1307</v>
      </c>
      <c r="AU11" s="462"/>
      <c r="AV11" s="465" t="s">
        <v>1306</v>
      </c>
      <c r="AW11" s="466"/>
      <c r="AX11" s="457" t="s">
        <v>1283</v>
      </c>
      <c r="AY11" s="458"/>
      <c r="AZ11" s="445" t="s">
        <v>41</v>
      </c>
      <c r="BA11" s="446"/>
      <c r="BB11" s="461" t="s">
        <v>1238</v>
      </c>
      <c r="BC11" s="462"/>
      <c r="BD11" s="465" t="s">
        <v>1748</v>
      </c>
      <c r="BE11" s="466"/>
      <c r="BF11" s="457"/>
      <c r="BG11" s="458"/>
      <c r="BH11" s="445"/>
      <c r="BI11" s="446"/>
      <c r="BJ11" s="461"/>
      <c r="BK11" s="462"/>
      <c r="BL11" s="465"/>
      <c r="BM11" s="466"/>
      <c r="BP11" s="544">
        <v>6</v>
      </c>
      <c r="BQ11" s="546" t="str" cm="1">
        <f t="array" aca="1" ref="BQ11" ca="1" xml:space="preserve"> INDIRECT(ADDRESS(ROW($AP$15),COLUMN($AP$15)+(BR11*4)))</f>
        <v>ㄊ</v>
      </c>
      <c r="BR11" s="544">
        <v>2</v>
      </c>
    </row>
    <row r="12" spans="2:71" ht="27" customHeight="1">
      <c r="B12" s="482"/>
      <c r="C12" s="487"/>
      <c r="D12" s="459"/>
      <c r="E12" s="460"/>
      <c r="F12" s="447"/>
      <c r="G12" s="448"/>
      <c r="H12" s="463"/>
      <c r="I12" s="464"/>
      <c r="J12" s="467"/>
      <c r="K12" s="468"/>
      <c r="L12" s="459"/>
      <c r="M12" s="460"/>
      <c r="N12" s="447"/>
      <c r="O12" s="448"/>
      <c r="P12" s="463"/>
      <c r="Q12" s="464"/>
      <c r="R12" s="467"/>
      <c r="S12" s="468"/>
      <c r="T12" s="459"/>
      <c r="U12" s="460"/>
      <c r="V12" s="447"/>
      <c r="W12" s="448"/>
      <c r="X12" s="463"/>
      <c r="Y12" s="464"/>
      <c r="Z12" s="467"/>
      <c r="AA12" s="468"/>
      <c r="AB12" s="459"/>
      <c r="AC12" s="460"/>
      <c r="AD12" s="447"/>
      <c r="AE12" s="448"/>
      <c r="AF12" s="463"/>
      <c r="AG12" s="464"/>
      <c r="AH12" s="467"/>
      <c r="AI12" s="468"/>
      <c r="AJ12" s="459"/>
      <c r="AK12" s="460"/>
      <c r="AL12" s="455"/>
      <c r="AM12" s="456"/>
      <c r="AP12" s="459"/>
      <c r="AQ12" s="460"/>
      <c r="AR12" s="447"/>
      <c r="AS12" s="448"/>
      <c r="AT12" s="463"/>
      <c r="AU12" s="464"/>
      <c r="AV12" s="467"/>
      <c r="AW12" s="468"/>
      <c r="AX12" s="459"/>
      <c r="AY12" s="460"/>
      <c r="AZ12" s="447"/>
      <c r="BA12" s="448"/>
      <c r="BB12" s="463"/>
      <c r="BC12" s="464"/>
      <c r="BD12" s="467"/>
      <c r="BE12" s="468"/>
      <c r="BF12" s="459"/>
      <c r="BG12" s="460"/>
      <c r="BH12" s="447"/>
      <c r="BI12" s="448"/>
      <c r="BJ12" s="463"/>
      <c r="BK12" s="464"/>
      <c r="BL12" s="467"/>
      <c r="BM12" s="468"/>
      <c r="BP12" s="544">
        <v>7</v>
      </c>
      <c r="BQ12" s="546" t="str" cm="1">
        <f t="array" aca="1" ref="BQ12" ca="1" xml:space="preserve"> INDIRECT(ADDRESS(ROW($AP$15),COLUMN($AP$15)+(BR12*4)))</f>
        <v>ㄋ</v>
      </c>
      <c r="BR12" s="544">
        <v>3</v>
      </c>
    </row>
    <row r="13" spans="2:71" ht="27" customHeight="1">
      <c r="B13" s="482"/>
      <c r="C13" s="482" t="s">
        <v>1720</v>
      </c>
      <c r="D13" s="477" t="s">
        <v>3</v>
      </c>
      <c r="E13" s="478"/>
      <c r="F13" s="441" t="s">
        <v>42</v>
      </c>
      <c r="G13" s="442"/>
      <c r="H13" s="473"/>
      <c r="I13" s="474"/>
      <c r="J13" s="469"/>
      <c r="K13" s="470"/>
      <c r="L13" s="477"/>
      <c r="M13" s="478"/>
      <c r="N13" s="441"/>
      <c r="O13" s="442"/>
      <c r="P13" s="473"/>
      <c r="Q13" s="474"/>
      <c r="R13" s="469"/>
      <c r="S13" s="470"/>
      <c r="T13" s="477" t="s">
        <v>6</v>
      </c>
      <c r="U13" s="478"/>
      <c r="V13" s="441" t="s">
        <v>1810</v>
      </c>
      <c r="W13" s="442"/>
      <c r="X13" s="473"/>
      <c r="Y13" s="474"/>
      <c r="Z13" s="469"/>
      <c r="AA13" s="470"/>
      <c r="AB13" s="477" t="s">
        <v>9</v>
      </c>
      <c r="AC13" s="478"/>
      <c r="AD13" s="441" t="s">
        <v>1814</v>
      </c>
      <c r="AE13" s="442"/>
      <c r="AF13" s="473"/>
      <c r="AG13" s="474"/>
      <c r="AH13" s="469"/>
      <c r="AI13" s="470"/>
      <c r="AJ13" s="477"/>
      <c r="AK13" s="478"/>
      <c r="AL13" s="449"/>
      <c r="AM13" s="450"/>
      <c r="AP13" s="477" t="s">
        <v>5</v>
      </c>
      <c r="AQ13" s="478"/>
      <c r="AR13" s="441" t="s">
        <v>1809</v>
      </c>
      <c r="AS13" s="442"/>
      <c r="AT13" s="473"/>
      <c r="AU13" s="474"/>
      <c r="AV13" s="469"/>
      <c r="AW13" s="470"/>
      <c r="AX13" s="477" t="s">
        <v>6</v>
      </c>
      <c r="AY13" s="478"/>
      <c r="AZ13" s="441" t="s">
        <v>1810</v>
      </c>
      <c r="BA13" s="442"/>
      <c r="BB13" s="538" t="s">
        <v>2587</v>
      </c>
      <c r="BC13" s="539"/>
      <c r="BD13" s="469" t="s">
        <v>48</v>
      </c>
      <c r="BE13" s="470"/>
      <c r="BF13" s="477" t="s">
        <v>7</v>
      </c>
      <c r="BG13" s="478"/>
      <c r="BH13" s="441" t="s">
        <v>1818</v>
      </c>
      <c r="BI13" s="442"/>
      <c r="BJ13" s="473"/>
      <c r="BK13" s="474"/>
      <c r="BL13" s="469"/>
      <c r="BM13" s="470"/>
      <c r="BP13" s="544">
        <v>8</v>
      </c>
      <c r="BQ13" s="546" t="str" cm="1">
        <f t="array" aca="1" ref="BQ13" ca="1" xml:space="preserve"> INDIRECT(ADDRESS(ROW($AP$15),COLUMN($AP$15)+(BR13*4)))</f>
        <v>ㄌ</v>
      </c>
      <c r="BR13" s="544">
        <v>4</v>
      </c>
    </row>
    <row r="14" spans="2:71" ht="27" customHeight="1">
      <c r="B14" s="482"/>
      <c r="C14" s="482"/>
      <c r="D14" s="479"/>
      <c r="E14" s="480"/>
      <c r="F14" s="443"/>
      <c r="G14" s="444"/>
      <c r="H14" s="475"/>
      <c r="I14" s="476"/>
      <c r="J14" s="471"/>
      <c r="K14" s="472"/>
      <c r="L14" s="479"/>
      <c r="M14" s="480"/>
      <c r="N14" s="443"/>
      <c r="O14" s="444"/>
      <c r="P14" s="475"/>
      <c r="Q14" s="476"/>
      <c r="R14" s="471"/>
      <c r="S14" s="472"/>
      <c r="T14" s="479"/>
      <c r="U14" s="480"/>
      <c r="V14" s="443"/>
      <c r="W14" s="444"/>
      <c r="X14" s="475"/>
      <c r="Y14" s="476"/>
      <c r="Z14" s="471"/>
      <c r="AA14" s="472"/>
      <c r="AB14" s="479"/>
      <c r="AC14" s="480"/>
      <c r="AD14" s="443"/>
      <c r="AE14" s="444"/>
      <c r="AF14" s="475"/>
      <c r="AG14" s="476"/>
      <c r="AH14" s="471"/>
      <c r="AI14" s="472"/>
      <c r="AJ14" s="479"/>
      <c r="AK14" s="480"/>
      <c r="AL14" s="451"/>
      <c r="AM14" s="452"/>
      <c r="AP14" s="479"/>
      <c r="AQ14" s="480"/>
      <c r="AR14" s="443"/>
      <c r="AS14" s="444"/>
      <c r="AT14" s="475"/>
      <c r="AU14" s="476"/>
      <c r="AV14" s="471"/>
      <c r="AW14" s="472"/>
      <c r="AX14" s="479"/>
      <c r="AY14" s="480"/>
      <c r="AZ14" s="443"/>
      <c r="BA14" s="444"/>
      <c r="BB14" s="540"/>
      <c r="BC14" s="541"/>
      <c r="BD14" s="471"/>
      <c r="BE14" s="472"/>
      <c r="BF14" s="479"/>
      <c r="BG14" s="480"/>
      <c r="BH14" s="443"/>
      <c r="BI14" s="444"/>
      <c r="BJ14" s="475"/>
      <c r="BK14" s="476"/>
      <c r="BL14" s="471"/>
      <c r="BM14" s="472"/>
      <c r="BP14" s="544">
        <v>9</v>
      </c>
      <c r="BQ14" s="546" t="str">
        <f>AP19</f>
        <v>ㄍ</v>
      </c>
      <c r="BR14" s="544"/>
    </row>
    <row r="15" spans="2:71" ht="27" customHeight="1">
      <c r="B15" s="482"/>
      <c r="C15" s="482"/>
      <c r="D15" s="457" t="s">
        <v>1283</v>
      </c>
      <c r="E15" s="458"/>
      <c r="F15" s="445" t="s">
        <v>41</v>
      </c>
      <c r="G15" s="446"/>
      <c r="H15" s="461"/>
      <c r="I15" s="462"/>
      <c r="J15" s="465"/>
      <c r="K15" s="466"/>
      <c r="L15" s="457"/>
      <c r="M15" s="458"/>
      <c r="N15" s="445"/>
      <c r="O15" s="446"/>
      <c r="P15" s="461"/>
      <c r="Q15" s="462"/>
      <c r="R15" s="465"/>
      <c r="S15" s="466"/>
      <c r="T15" s="457" t="s">
        <v>1285</v>
      </c>
      <c r="U15" s="458"/>
      <c r="V15" s="445" t="s">
        <v>1809</v>
      </c>
      <c r="W15" s="446"/>
      <c r="X15" s="461"/>
      <c r="Y15" s="462"/>
      <c r="Z15" s="465"/>
      <c r="AA15" s="466"/>
      <c r="AB15" s="457" t="s">
        <v>1279</v>
      </c>
      <c r="AC15" s="458"/>
      <c r="AD15" s="445" t="s">
        <v>1813</v>
      </c>
      <c r="AE15" s="446"/>
      <c r="AF15" s="461"/>
      <c r="AG15" s="462"/>
      <c r="AH15" s="465"/>
      <c r="AI15" s="466"/>
      <c r="AJ15" s="457"/>
      <c r="AK15" s="458"/>
      <c r="AL15" s="453"/>
      <c r="AM15" s="454"/>
      <c r="AP15" s="457" t="s">
        <v>1281</v>
      </c>
      <c r="AQ15" s="458"/>
      <c r="AR15" s="445" t="s">
        <v>1830</v>
      </c>
      <c r="AS15" s="446"/>
      <c r="AT15" s="461"/>
      <c r="AU15" s="462"/>
      <c r="AV15" s="465"/>
      <c r="AW15" s="466"/>
      <c r="AX15" s="457" t="s">
        <v>1285</v>
      </c>
      <c r="AY15" s="458"/>
      <c r="AZ15" s="445" t="s">
        <v>1809</v>
      </c>
      <c r="BA15" s="446"/>
      <c r="BB15" s="461" t="s">
        <v>1275</v>
      </c>
      <c r="BC15" s="462"/>
      <c r="BD15" s="465" t="s">
        <v>1749</v>
      </c>
      <c r="BE15" s="466"/>
      <c r="BF15" s="457" t="s">
        <v>1273</v>
      </c>
      <c r="BG15" s="458"/>
      <c r="BH15" s="445" t="s">
        <v>1818</v>
      </c>
      <c r="BI15" s="446"/>
      <c r="BJ15" s="461"/>
      <c r="BK15" s="462"/>
      <c r="BL15" s="465"/>
      <c r="BM15" s="466"/>
      <c r="BP15" s="544">
        <v>10</v>
      </c>
      <c r="BQ15" s="546" t="str" cm="1">
        <f t="array" aca="1" ref="BQ15" ca="1" xml:space="preserve"> INDIRECT(ADDRESS(ROW($AP$19),COLUMN($AP$19)+(BR15*4)))</f>
        <v>ㆣ</v>
      </c>
      <c r="BR15" s="544">
        <v>1</v>
      </c>
    </row>
    <row r="16" spans="2:71" ht="27" customHeight="1">
      <c r="B16" s="482"/>
      <c r="C16" s="482"/>
      <c r="D16" s="459"/>
      <c r="E16" s="460"/>
      <c r="F16" s="447"/>
      <c r="G16" s="448"/>
      <c r="H16" s="463"/>
      <c r="I16" s="464"/>
      <c r="J16" s="467"/>
      <c r="K16" s="468"/>
      <c r="L16" s="459"/>
      <c r="M16" s="460"/>
      <c r="N16" s="447"/>
      <c r="O16" s="448"/>
      <c r="P16" s="463"/>
      <c r="Q16" s="464"/>
      <c r="R16" s="467"/>
      <c r="S16" s="468"/>
      <c r="T16" s="459"/>
      <c r="U16" s="460"/>
      <c r="V16" s="447"/>
      <c r="W16" s="448"/>
      <c r="X16" s="463"/>
      <c r="Y16" s="464"/>
      <c r="Z16" s="467"/>
      <c r="AA16" s="468"/>
      <c r="AB16" s="459"/>
      <c r="AC16" s="460"/>
      <c r="AD16" s="447"/>
      <c r="AE16" s="448"/>
      <c r="AF16" s="463"/>
      <c r="AG16" s="464"/>
      <c r="AH16" s="467"/>
      <c r="AI16" s="468"/>
      <c r="AJ16" s="459"/>
      <c r="AK16" s="460"/>
      <c r="AL16" s="455"/>
      <c r="AM16" s="456"/>
      <c r="AP16" s="459"/>
      <c r="AQ16" s="460"/>
      <c r="AR16" s="447"/>
      <c r="AS16" s="448"/>
      <c r="AT16" s="463"/>
      <c r="AU16" s="464"/>
      <c r="AV16" s="467"/>
      <c r="AW16" s="468"/>
      <c r="AX16" s="459"/>
      <c r="AY16" s="460"/>
      <c r="AZ16" s="447"/>
      <c r="BA16" s="448"/>
      <c r="BB16" s="463"/>
      <c r="BC16" s="464"/>
      <c r="BD16" s="467"/>
      <c r="BE16" s="468"/>
      <c r="BF16" s="459"/>
      <c r="BG16" s="460"/>
      <c r="BH16" s="447"/>
      <c r="BI16" s="448"/>
      <c r="BJ16" s="463"/>
      <c r="BK16" s="464"/>
      <c r="BL16" s="467"/>
      <c r="BM16" s="468"/>
      <c r="BP16" s="544">
        <v>11</v>
      </c>
      <c r="BQ16" s="546" t="str" cm="1">
        <f t="array" aca="1" ref="BQ16" ca="1" xml:space="preserve"> INDIRECT(ADDRESS(ROW($AP$19),COLUMN($AP$19)+(BR16*4)))</f>
        <v>ㄎ</v>
      </c>
      <c r="BR16" s="544">
        <v>2</v>
      </c>
    </row>
    <row r="17" spans="2:70" ht="27" customHeight="1">
      <c r="B17" s="482" t="s">
        <v>1724</v>
      </c>
      <c r="C17" s="482" t="s">
        <v>1713</v>
      </c>
      <c r="D17" s="477"/>
      <c r="E17" s="478"/>
      <c r="F17" s="441"/>
      <c r="G17" s="442"/>
      <c r="H17" s="473"/>
      <c r="I17" s="474"/>
      <c r="J17" s="469"/>
      <c r="K17" s="470"/>
      <c r="L17" s="477" t="s">
        <v>12</v>
      </c>
      <c r="M17" s="478"/>
      <c r="N17" s="441" t="s">
        <v>1753</v>
      </c>
      <c r="O17" s="442"/>
      <c r="P17" s="473" t="s">
        <v>15</v>
      </c>
      <c r="Q17" s="474"/>
      <c r="R17" s="469" t="s">
        <v>527</v>
      </c>
      <c r="S17" s="470"/>
      <c r="T17" s="477" t="s">
        <v>12</v>
      </c>
      <c r="U17" s="478"/>
      <c r="V17" s="441" t="s">
        <v>1751</v>
      </c>
      <c r="W17" s="442"/>
      <c r="X17" s="473" t="s">
        <v>15</v>
      </c>
      <c r="Y17" s="474"/>
      <c r="Z17" s="469" t="s">
        <v>60</v>
      </c>
      <c r="AA17" s="470"/>
      <c r="AB17" s="477"/>
      <c r="AC17" s="478"/>
      <c r="AD17" s="441"/>
      <c r="AE17" s="442"/>
      <c r="AF17" s="473"/>
      <c r="AG17" s="474"/>
      <c r="AH17" s="469"/>
      <c r="AI17" s="470"/>
      <c r="AJ17" s="477"/>
      <c r="AK17" s="478"/>
      <c r="AL17" s="449"/>
      <c r="AM17" s="450"/>
      <c r="AP17" s="477" t="s">
        <v>8</v>
      </c>
      <c r="AQ17" s="478"/>
      <c r="AR17" s="441" t="s">
        <v>1813</v>
      </c>
      <c r="AS17" s="442"/>
      <c r="AT17" s="473" t="s">
        <v>10</v>
      </c>
      <c r="AU17" s="474"/>
      <c r="AV17" s="469" t="s">
        <v>51</v>
      </c>
      <c r="AW17" s="470"/>
      <c r="AX17" s="477" t="s">
        <v>9</v>
      </c>
      <c r="AY17" s="478"/>
      <c r="AZ17" s="441" t="s">
        <v>1814</v>
      </c>
      <c r="BA17" s="442"/>
      <c r="BB17" s="538" t="s">
        <v>2588</v>
      </c>
      <c r="BC17" s="539"/>
      <c r="BD17" s="469" t="s">
        <v>52</v>
      </c>
      <c r="BE17" s="470"/>
      <c r="BF17" s="477"/>
      <c r="BG17" s="478"/>
      <c r="BH17" s="441"/>
      <c r="BI17" s="442"/>
      <c r="BJ17" s="473"/>
      <c r="BK17" s="474"/>
      <c r="BL17" s="469"/>
      <c r="BM17" s="470"/>
      <c r="BP17" s="544">
        <v>12</v>
      </c>
      <c r="BQ17" s="546" t="str" cm="1">
        <f t="array" aca="1" ref="BQ17" ca="1" xml:space="preserve"> INDIRECT(ADDRESS(ROW($AP$19),COLUMN($AP$19)+(BR17*4)))</f>
        <v>ㄫ</v>
      </c>
      <c r="BR17" s="544">
        <v>3</v>
      </c>
    </row>
    <row r="18" spans="2:70" ht="27" customHeight="1">
      <c r="B18" s="482"/>
      <c r="C18" s="482"/>
      <c r="D18" s="479"/>
      <c r="E18" s="480"/>
      <c r="F18" s="443"/>
      <c r="G18" s="444"/>
      <c r="H18" s="475"/>
      <c r="I18" s="476"/>
      <c r="J18" s="471"/>
      <c r="K18" s="472"/>
      <c r="L18" s="479"/>
      <c r="M18" s="480"/>
      <c r="N18" s="443"/>
      <c r="O18" s="444"/>
      <c r="P18" s="475"/>
      <c r="Q18" s="476"/>
      <c r="R18" s="471"/>
      <c r="S18" s="472"/>
      <c r="T18" s="479"/>
      <c r="U18" s="480"/>
      <c r="V18" s="443"/>
      <c r="W18" s="444"/>
      <c r="X18" s="475"/>
      <c r="Y18" s="476"/>
      <c r="Z18" s="471"/>
      <c r="AA18" s="472"/>
      <c r="AB18" s="479"/>
      <c r="AC18" s="480"/>
      <c r="AD18" s="443"/>
      <c r="AE18" s="444"/>
      <c r="AF18" s="475"/>
      <c r="AG18" s="476"/>
      <c r="AH18" s="471"/>
      <c r="AI18" s="472"/>
      <c r="AJ18" s="479"/>
      <c r="AK18" s="480"/>
      <c r="AL18" s="451"/>
      <c r="AM18" s="452"/>
      <c r="AP18" s="479"/>
      <c r="AQ18" s="480"/>
      <c r="AR18" s="443"/>
      <c r="AS18" s="444"/>
      <c r="AT18" s="475"/>
      <c r="AU18" s="476"/>
      <c r="AV18" s="471"/>
      <c r="AW18" s="472"/>
      <c r="AX18" s="479"/>
      <c r="AY18" s="480"/>
      <c r="AZ18" s="443"/>
      <c r="BA18" s="444"/>
      <c r="BB18" s="540"/>
      <c r="BC18" s="541"/>
      <c r="BD18" s="471"/>
      <c r="BE18" s="472"/>
      <c r="BF18" s="479"/>
      <c r="BG18" s="480"/>
      <c r="BH18" s="443"/>
      <c r="BI18" s="444"/>
      <c r="BJ18" s="475"/>
      <c r="BK18" s="476"/>
      <c r="BL18" s="471"/>
      <c r="BM18" s="472"/>
      <c r="BP18" s="544">
        <v>13</v>
      </c>
      <c r="BQ18" s="546" t="str">
        <f>BJ23</f>
        <v>ㄏ</v>
      </c>
      <c r="BR18" s="544"/>
    </row>
    <row r="19" spans="2:70" ht="27" customHeight="1">
      <c r="B19" s="482"/>
      <c r="C19" s="482"/>
      <c r="D19" s="483"/>
      <c r="E19" s="484"/>
      <c r="F19" s="445"/>
      <c r="G19" s="446"/>
      <c r="H19" s="461"/>
      <c r="I19" s="462"/>
      <c r="J19" s="465"/>
      <c r="K19" s="466"/>
      <c r="L19" s="457" t="s">
        <v>1293</v>
      </c>
      <c r="M19" s="458"/>
      <c r="N19" s="445" t="s">
        <v>1755</v>
      </c>
      <c r="O19" s="446"/>
      <c r="P19" s="461" t="s">
        <v>1301</v>
      </c>
      <c r="Q19" s="462"/>
      <c r="R19" s="465" t="s">
        <v>1756</v>
      </c>
      <c r="S19" s="466"/>
      <c r="T19" s="457" t="s">
        <v>1289</v>
      </c>
      <c r="U19" s="458"/>
      <c r="V19" s="445" t="s">
        <v>1828</v>
      </c>
      <c r="W19" s="446"/>
      <c r="X19" s="461" t="s">
        <v>1296</v>
      </c>
      <c r="Y19" s="462"/>
      <c r="Z19" s="465" t="s">
        <v>1834</v>
      </c>
      <c r="AA19" s="466"/>
      <c r="AB19" s="483"/>
      <c r="AC19" s="484"/>
      <c r="AD19" s="445"/>
      <c r="AE19" s="446"/>
      <c r="AF19" s="461"/>
      <c r="AG19" s="462"/>
      <c r="AH19" s="465"/>
      <c r="AI19" s="466"/>
      <c r="AJ19" s="457"/>
      <c r="AK19" s="458"/>
      <c r="AL19" s="453"/>
      <c r="AM19" s="454"/>
      <c r="AP19" s="457" t="s">
        <v>1277</v>
      </c>
      <c r="AQ19" s="458"/>
      <c r="AR19" s="445" t="s">
        <v>1815</v>
      </c>
      <c r="AS19" s="446"/>
      <c r="AT19" s="461" t="s">
        <v>1312</v>
      </c>
      <c r="AU19" s="462"/>
      <c r="AV19" s="465" t="s">
        <v>1311</v>
      </c>
      <c r="AW19" s="466"/>
      <c r="AX19" s="457" t="s">
        <v>1279</v>
      </c>
      <c r="AY19" s="458"/>
      <c r="AZ19" s="445" t="s">
        <v>1813</v>
      </c>
      <c r="BA19" s="446"/>
      <c r="BB19" s="461" t="s">
        <v>1313</v>
      </c>
      <c r="BC19" s="462"/>
      <c r="BD19" s="465" t="s">
        <v>1833</v>
      </c>
      <c r="BE19" s="466"/>
      <c r="BF19" s="457"/>
      <c r="BG19" s="458"/>
      <c r="BH19" s="445"/>
      <c r="BI19" s="446"/>
      <c r="BJ19" s="461"/>
      <c r="BK19" s="462"/>
      <c r="BL19" s="465"/>
      <c r="BM19" s="466"/>
      <c r="BP19" s="544">
        <v>14</v>
      </c>
      <c r="BQ19" s="546" t="str">
        <f>AP27</f>
        <v>ㄐ</v>
      </c>
      <c r="BR19" s="544"/>
    </row>
    <row r="20" spans="2:70" ht="27" customHeight="1">
      <c r="B20" s="482"/>
      <c r="C20" s="482"/>
      <c r="D20" s="485"/>
      <c r="E20" s="486"/>
      <c r="F20" s="447"/>
      <c r="G20" s="448"/>
      <c r="H20" s="463"/>
      <c r="I20" s="464"/>
      <c r="J20" s="467"/>
      <c r="K20" s="468"/>
      <c r="L20" s="459"/>
      <c r="M20" s="460"/>
      <c r="N20" s="447"/>
      <c r="O20" s="448"/>
      <c r="P20" s="463"/>
      <c r="Q20" s="464"/>
      <c r="R20" s="467"/>
      <c r="S20" s="468"/>
      <c r="T20" s="459"/>
      <c r="U20" s="460"/>
      <c r="V20" s="447"/>
      <c r="W20" s="448"/>
      <c r="X20" s="463"/>
      <c r="Y20" s="464"/>
      <c r="Z20" s="467"/>
      <c r="AA20" s="468"/>
      <c r="AB20" s="485"/>
      <c r="AC20" s="486"/>
      <c r="AD20" s="447"/>
      <c r="AE20" s="448"/>
      <c r="AF20" s="463"/>
      <c r="AG20" s="464"/>
      <c r="AH20" s="467"/>
      <c r="AI20" s="468"/>
      <c r="AJ20" s="459"/>
      <c r="AK20" s="460"/>
      <c r="AL20" s="455"/>
      <c r="AM20" s="456"/>
      <c r="AP20" s="459"/>
      <c r="AQ20" s="460"/>
      <c r="AR20" s="447"/>
      <c r="AS20" s="448"/>
      <c r="AT20" s="463"/>
      <c r="AU20" s="464"/>
      <c r="AV20" s="467"/>
      <c r="AW20" s="468"/>
      <c r="AX20" s="459"/>
      <c r="AY20" s="460"/>
      <c r="AZ20" s="447"/>
      <c r="BA20" s="448"/>
      <c r="BB20" s="463"/>
      <c r="BC20" s="464"/>
      <c r="BD20" s="467"/>
      <c r="BE20" s="468"/>
      <c r="BF20" s="459"/>
      <c r="BG20" s="460"/>
      <c r="BH20" s="447"/>
      <c r="BI20" s="448"/>
      <c r="BJ20" s="463"/>
      <c r="BK20" s="464"/>
      <c r="BL20" s="467"/>
      <c r="BM20" s="468"/>
      <c r="BP20" s="544">
        <v>15</v>
      </c>
      <c r="BQ20" s="546" t="str">
        <f>AX27</f>
        <v>ㄑ</v>
      </c>
      <c r="BR20" s="544"/>
    </row>
    <row r="21" spans="2:70" ht="27" customHeight="1">
      <c r="B21" s="482"/>
      <c r="C21" s="482" t="s">
        <v>1720</v>
      </c>
      <c r="D21" s="477"/>
      <c r="E21" s="478"/>
      <c r="F21" s="441"/>
      <c r="G21" s="442"/>
      <c r="H21" s="473"/>
      <c r="I21" s="474"/>
      <c r="J21" s="469"/>
      <c r="K21" s="470"/>
      <c r="L21" s="477" t="s">
        <v>13</v>
      </c>
      <c r="M21" s="478"/>
      <c r="N21" s="441" t="s">
        <v>1754</v>
      </c>
      <c r="O21" s="442"/>
      <c r="P21" s="473"/>
      <c r="Q21" s="474"/>
      <c r="R21" s="469"/>
      <c r="S21" s="470"/>
      <c r="T21" s="477" t="s">
        <v>13</v>
      </c>
      <c r="U21" s="478"/>
      <c r="V21" s="441" t="s">
        <v>1752</v>
      </c>
      <c r="W21" s="442"/>
      <c r="X21" s="473"/>
      <c r="Y21" s="474"/>
      <c r="Z21" s="469"/>
      <c r="AA21" s="470"/>
      <c r="AB21" s="477"/>
      <c r="AC21" s="478"/>
      <c r="AD21" s="441"/>
      <c r="AE21" s="442"/>
      <c r="AF21" s="473"/>
      <c r="AG21" s="474"/>
      <c r="AH21" s="469"/>
      <c r="AI21" s="470"/>
      <c r="AJ21" s="477"/>
      <c r="AK21" s="478"/>
      <c r="AL21" s="449"/>
      <c r="AM21" s="450"/>
      <c r="AP21" s="477"/>
      <c r="AQ21" s="478"/>
      <c r="AR21" s="441"/>
      <c r="AS21" s="442"/>
      <c r="AT21" s="473"/>
      <c r="AU21" s="474"/>
      <c r="AV21" s="469"/>
      <c r="AW21" s="470"/>
      <c r="AX21" s="477"/>
      <c r="AY21" s="478"/>
      <c r="AZ21" s="441"/>
      <c r="BA21" s="442"/>
      <c r="BB21" s="473"/>
      <c r="BC21" s="474"/>
      <c r="BD21" s="469"/>
      <c r="BE21" s="470"/>
      <c r="BF21" s="477"/>
      <c r="BG21" s="478"/>
      <c r="BH21" s="441"/>
      <c r="BI21" s="442"/>
      <c r="BJ21" s="473" t="s">
        <v>11</v>
      </c>
      <c r="BK21" s="474"/>
      <c r="BL21" s="469" t="s">
        <v>1820</v>
      </c>
      <c r="BM21" s="470"/>
      <c r="BP21" s="544">
        <v>16</v>
      </c>
      <c r="BQ21" s="546" t="str">
        <f>AP31</f>
        <v>ㄗ</v>
      </c>
      <c r="BR21" s="544"/>
    </row>
    <row r="22" spans="2:70" ht="27" customHeight="1">
      <c r="B22" s="482"/>
      <c r="C22" s="482"/>
      <c r="D22" s="479"/>
      <c r="E22" s="480"/>
      <c r="F22" s="443"/>
      <c r="G22" s="444"/>
      <c r="H22" s="475"/>
      <c r="I22" s="476"/>
      <c r="J22" s="471"/>
      <c r="K22" s="472"/>
      <c r="L22" s="479"/>
      <c r="M22" s="480"/>
      <c r="N22" s="443"/>
      <c r="O22" s="444"/>
      <c r="P22" s="475"/>
      <c r="Q22" s="476"/>
      <c r="R22" s="471"/>
      <c r="S22" s="472"/>
      <c r="T22" s="479"/>
      <c r="U22" s="480"/>
      <c r="V22" s="443"/>
      <c r="W22" s="444"/>
      <c r="X22" s="475"/>
      <c r="Y22" s="476"/>
      <c r="Z22" s="471"/>
      <c r="AA22" s="472"/>
      <c r="AB22" s="479"/>
      <c r="AC22" s="480"/>
      <c r="AD22" s="443"/>
      <c r="AE22" s="444"/>
      <c r="AF22" s="475"/>
      <c r="AG22" s="476"/>
      <c r="AH22" s="471"/>
      <c r="AI22" s="472"/>
      <c r="AJ22" s="479"/>
      <c r="AK22" s="480"/>
      <c r="AL22" s="451"/>
      <c r="AM22" s="452"/>
      <c r="AP22" s="479"/>
      <c r="AQ22" s="480"/>
      <c r="AR22" s="443"/>
      <c r="AS22" s="444"/>
      <c r="AT22" s="475"/>
      <c r="AU22" s="476"/>
      <c r="AV22" s="471"/>
      <c r="AW22" s="472"/>
      <c r="AX22" s="479"/>
      <c r="AY22" s="480"/>
      <c r="AZ22" s="443"/>
      <c r="BA22" s="444"/>
      <c r="BB22" s="475"/>
      <c r="BC22" s="476"/>
      <c r="BD22" s="471"/>
      <c r="BE22" s="472"/>
      <c r="BF22" s="479"/>
      <c r="BG22" s="480"/>
      <c r="BH22" s="443"/>
      <c r="BI22" s="444"/>
      <c r="BJ22" s="475"/>
      <c r="BK22" s="476"/>
      <c r="BL22" s="471"/>
      <c r="BM22" s="472"/>
      <c r="BP22" s="544">
        <v>17</v>
      </c>
      <c r="BQ22" s="546" t="str">
        <f>AX31</f>
        <v>ㄘ</v>
      </c>
      <c r="BR22" s="544"/>
    </row>
    <row r="23" spans="2:70" ht="27" customHeight="1">
      <c r="B23" s="482"/>
      <c r="C23" s="482"/>
      <c r="D23" s="483"/>
      <c r="E23" s="484"/>
      <c r="F23" s="445"/>
      <c r="G23" s="446"/>
      <c r="H23" s="461"/>
      <c r="I23" s="462"/>
      <c r="J23" s="465"/>
      <c r="K23" s="466"/>
      <c r="L23" s="457" t="s">
        <v>1324</v>
      </c>
      <c r="M23" s="458"/>
      <c r="N23" s="445" t="s">
        <v>1757</v>
      </c>
      <c r="O23" s="446"/>
      <c r="P23" s="461"/>
      <c r="Q23" s="462"/>
      <c r="R23" s="465"/>
      <c r="S23" s="466"/>
      <c r="T23" s="457" t="s">
        <v>1320</v>
      </c>
      <c r="U23" s="458"/>
      <c r="V23" s="445" t="s">
        <v>1829</v>
      </c>
      <c r="W23" s="446"/>
      <c r="X23" s="461"/>
      <c r="Y23" s="462"/>
      <c r="Z23" s="465"/>
      <c r="AA23" s="466"/>
      <c r="AB23" s="483"/>
      <c r="AC23" s="484"/>
      <c r="AD23" s="445"/>
      <c r="AE23" s="446"/>
      <c r="AF23" s="461"/>
      <c r="AG23" s="462"/>
      <c r="AH23" s="465"/>
      <c r="AI23" s="466"/>
      <c r="AJ23" s="457"/>
      <c r="AK23" s="458"/>
      <c r="AL23" s="453"/>
      <c r="AM23" s="454"/>
      <c r="AP23" s="483"/>
      <c r="AQ23" s="484"/>
      <c r="AR23" s="445"/>
      <c r="AS23" s="446"/>
      <c r="AT23" s="461"/>
      <c r="AU23" s="462"/>
      <c r="AV23" s="465"/>
      <c r="AW23" s="466"/>
      <c r="AX23" s="483"/>
      <c r="AY23" s="484"/>
      <c r="AZ23" s="445"/>
      <c r="BA23" s="446"/>
      <c r="BB23" s="461"/>
      <c r="BC23" s="462"/>
      <c r="BD23" s="465"/>
      <c r="BE23" s="466"/>
      <c r="BF23" s="483"/>
      <c r="BG23" s="484"/>
      <c r="BH23" s="445"/>
      <c r="BI23" s="446"/>
      <c r="BJ23" s="461" t="s">
        <v>1325</v>
      </c>
      <c r="BK23" s="462"/>
      <c r="BL23" s="465" t="s">
        <v>2581</v>
      </c>
      <c r="BM23" s="466"/>
      <c r="BP23" s="544">
        <v>18</v>
      </c>
      <c r="BQ23" s="546" t="str">
        <f>BJ31</f>
        <v>ㄙ</v>
      </c>
      <c r="BR23" s="544"/>
    </row>
    <row r="24" spans="2:70" ht="27" customHeight="1">
      <c r="B24" s="482"/>
      <c r="C24" s="482"/>
      <c r="D24" s="485"/>
      <c r="E24" s="486"/>
      <c r="F24" s="447"/>
      <c r="G24" s="448"/>
      <c r="H24" s="463"/>
      <c r="I24" s="464"/>
      <c r="J24" s="467"/>
      <c r="K24" s="468"/>
      <c r="L24" s="459"/>
      <c r="M24" s="460"/>
      <c r="N24" s="447"/>
      <c r="O24" s="448"/>
      <c r="P24" s="463"/>
      <c r="Q24" s="464"/>
      <c r="R24" s="467"/>
      <c r="S24" s="468"/>
      <c r="T24" s="459"/>
      <c r="U24" s="460"/>
      <c r="V24" s="447"/>
      <c r="W24" s="448"/>
      <c r="X24" s="463"/>
      <c r="Y24" s="464"/>
      <c r="Z24" s="467"/>
      <c r="AA24" s="468"/>
      <c r="AB24" s="485"/>
      <c r="AC24" s="486"/>
      <c r="AD24" s="447"/>
      <c r="AE24" s="448"/>
      <c r="AF24" s="463"/>
      <c r="AG24" s="464"/>
      <c r="AH24" s="467"/>
      <c r="AI24" s="468"/>
      <c r="AJ24" s="459"/>
      <c r="AK24" s="460"/>
      <c r="AL24" s="455"/>
      <c r="AM24" s="456"/>
      <c r="AP24" s="485"/>
      <c r="AQ24" s="486"/>
      <c r="AR24" s="447"/>
      <c r="AS24" s="448"/>
      <c r="AT24" s="463"/>
      <c r="AU24" s="464"/>
      <c r="AV24" s="467"/>
      <c r="AW24" s="468"/>
      <c r="AX24" s="485"/>
      <c r="AY24" s="486"/>
      <c r="AZ24" s="447"/>
      <c r="BA24" s="448"/>
      <c r="BB24" s="463"/>
      <c r="BC24" s="464"/>
      <c r="BD24" s="467"/>
      <c r="BE24" s="468"/>
      <c r="BF24" s="485"/>
      <c r="BG24" s="486"/>
      <c r="BH24" s="447"/>
      <c r="BI24" s="448"/>
      <c r="BJ24" s="463"/>
      <c r="BK24" s="464"/>
      <c r="BL24" s="467"/>
      <c r="BM24" s="468"/>
    </row>
    <row r="25" spans="2:70" ht="27" customHeight="1">
      <c r="B25" s="482" t="s">
        <v>1733</v>
      </c>
      <c r="C25" s="482"/>
      <c r="D25" s="477"/>
      <c r="E25" s="478"/>
      <c r="F25" s="441"/>
      <c r="G25" s="442"/>
      <c r="H25" s="473"/>
      <c r="I25" s="474"/>
      <c r="J25" s="469"/>
      <c r="K25" s="470"/>
      <c r="L25" s="477" t="s">
        <v>14</v>
      </c>
      <c r="M25" s="478"/>
      <c r="N25" s="441" t="s">
        <v>1736</v>
      </c>
      <c r="O25" s="442"/>
      <c r="P25" s="473"/>
      <c r="Q25" s="474"/>
      <c r="R25" s="469"/>
      <c r="S25" s="470"/>
      <c r="T25" s="477" t="s">
        <v>14</v>
      </c>
      <c r="U25" s="478"/>
      <c r="V25" s="441" t="s">
        <v>1817</v>
      </c>
      <c r="W25" s="442"/>
      <c r="X25" s="473"/>
      <c r="Y25" s="474"/>
      <c r="Z25" s="469"/>
      <c r="AA25" s="470"/>
      <c r="AB25" s="477"/>
      <c r="AC25" s="478"/>
      <c r="AD25" s="441"/>
      <c r="AE25" s="442"/>
      <c r="AF25" s="473"/>
      <c r="AG25" s="474"/>
      <c r="AH25" s="469"/>
      <c r="AI25" s="470"/>
      <c r="AJ25" s="477" t="s">
        <v>11</v>
      </c>
      <c r="AK25" s="478"/>
      <c r="AL25" s="449" t="s">
        <v>1820</v>
      </c>
      <c r="AM25" s="450"/>
      <c r="AP25" s="477" t="s">
        <v>12</v>
      </c>
      <c r="AQ25" s="478"/>
      <c r="AR25" s="441" t="s">
        <v>1753</v>
      </c>
      <c r="AS25" s="442"/>
      <c r="AT25" s="473"/>
      <c r="AU25" s="474"/>
      <c r="AV25" s="469"/>
      <c r="AW25" s="470"/>
      <c r="AX25" s="477" t="s">
        <v>13</v>
      </c>
      <c r="AY25" s="478"/>
      <c r="AZ25" s="441" t="s">
        <v>1754</v>
      </c>
      <c r="BA25" s="442"/>
      <c r="BB25" s="473"/>
      <c r="BC25" s="474"/>
      <c r="BD25" s="469"/>
      <c r="BE25" s="470"/>
      <c r="BF25" s="477"/>
      <c r="BG25" s="478"/>
      <c r="BH25" s="441"/>
      <c r="BI25" s="442"/>
      <c r="BJ25" s="473"/>
      <c r="BK25" s="474"/>
      <c r="BL25" s="469"/>
      <c r="BM25" s="470"/>
    </row>
    <row r="26" spans="2:70" ht="27" customHeight="1">
      <c r="B26" s="482"/>
      <c r="C26" s="482"/>
      <c r="D26" s="479"/>
      <c r="E26" s="480"/>
      <c r="F26" s="443"/>
      <c r="G26" s="444"/>
      <c r="H26" s="475"/>
      <c r="I26" s="476"/>
      <c r="J26" s="471"/>
      <c r="K26" s="472"/>
      <c r="L26" s="479"/>
      <c r="M26" s="480"/>
      <c r="N26" s="443"/>
      <c r="O26" s="444"/>
      <c r="P26" s="475"/>
      <c r="Q26" s="476"/>
      <c r="R26" s="471"/>
      <c r="S26" s="472"/>
      <c r="T26" s="479"/>
      <c r="U26" s="480"/>
      <c r="V26" s="443"/>
      <c r="W26" s="444"/>
      <c r="X26" s="475"/>
      <c r="Y26" s="476"/>
      <c r="Z26" s="471"/>
      <c r="AA26" s="472"/>
      <c r="AB26" s="479"/>
      <c r="AC26" s="480"/>
      <c r="AD26" s="443"/>
      <c r="AE26" s="444"/>
      <c r="AF26" s="475"/>
      <c r="AG26" s="476"/>
      <c r="AH26" s="471"/>
      <c r="AI26" s="472"/>
      <c r="AJ26" s="479"/>
      <c r="AK26" s="480"/>
      <c r="AL26" s="451"/>
      <c r="AM26" s="452"/>
      <c r="AP26" s="479"/>
      <c r="AQ26" s="480"/>
      <c r="AR26" s="443"/>
      <c r="AS26" s="444"/>
      <c r="AT26" s="475"/>
      <c r="AU26" s="476"/>
      <c r="AV26" s="471"/>
      <c r="AW26" s="472"/>
      <c r="AX26" s="479"/>
      <c r="AY26" s="480"/>
      <c r="AZ26" s="443"/>
      <c r="BA26" s="444"/>
      <c r="BB26" s="475"/>
      <c r="BC26" s="476"/>
      <c r="BD26" s="471"/>
      <c r="BE26" s="472"/>
      <c r="BF26" s="479"/>
      <c r="BG26" s="480"/>
      <c r="BH26" s="443"/>
      <c r="BI26" s="444"/>
      <c r="BJ26" s="475"/>
      <c r="BK26" s="476"/>
      <c r="BL26" s="471"/>
      <c r="BM26" s="472"/>
    </row>
    <row r="27" spans="2:70" ht="27" customHeight="1">
      <c r="B27" s="482"/>
      <c r="C27" s="482"/>
      <c r="D27" s="483"/>
      <c r="E27" s="484"/>
      <c r="F27" s="445"/>
      <c r="G27" s="446"/>
      <c r="H27" s="461"/>
      <c r="I27" s="462"/>
      <c r="J27" s="465"/>
      <c r="K27" s="466"/>
      <c r="L27" s="457" t="s">
        <v>1305</v>
      </c>
      <c r="M27" s="458"/>
      <c r="N27" s="445" t="s">
        <v>1758</v>
      </c>
      <c r="O27" s="446"/>
      <c r="P27" s="461"/>
      <c r="Q27" s="462"/>
      <c r="R27" s="465"/>
      <c r="S27" s="466"/>
      <c r="T27" s="457" t="s">
        <v>1302</v>
      </c>
      <c r="U27" s="458"/>
      <c r="V27" s="445" t="s">
        <v>1817</v>
      </c>
      <c r="W27" s="446"/>
      <c r="X27" s="461"/>
      <c r="Y27" s="462"/>
      <c r="Z27" s="465"/>
      <c r="AA27" s="466"/>
      <c r="AB27" s="483"/>
      <c r="AC27" s="484"/>
      <c r="AD27" s="445"/>
      <c r="AE27" s="446"/>
      <c r="AF27" s="461"/>
      <c r="AG27" s="462"/>
      <c r="AH27" s="465"/>
      <c r="AI27" s="466"/>
      <c r="AJ27" s="457" t="s">
        <v>1325</v>
      </c>
      <c r="AK27" s="458"/>
      <c r="AL27" s="453" t="s">
        <v>1820</v>
      </c>
      <c r="AM27" s="454"/>
      <c r="AP27" s="457" t="s">
        <v>1293</v>
      </c>
      <c r="AQ27" s="458"/>
      <c r="AR27" s="445" t="s">
        <v>1755</v>
      </c>
      <c r="AS27" s="446"/>
      <c r="AT27" s="461"/>
      <c r="AU27" s="462"/>
      <c r="AV27" s="465"/>
      <c r="AW27" s="466"/>
      <c r="AX27" s="457" t="s">
        <v>1324</v>
      </c>
      <c r="AY27" s="458"/>
      <c r="AZ27" s="445" t="s">
        <v>1757</v>
      </c>
      <c r="BA27" s="446"/>
      <c r="BB27" s="461"/>
      <c r="BC27" s="462"/>
      <c r="BD27" s="465"/>
      <c r="BE27" s="466"/>
      <c r="BF27" s="457"/>
      <c r="BG27" s="458"/>
      <c r="BH27" s="445"/>
      <c r="BI27" s="446"/>
      <c r="BJ27" s="461"/>
      <c r="BK27" s="462"/>
      <c r="BL27" s="465"/>
      <c r="BM27" s="466"/>
    </row>
    <row r="28" spans="2:70" ht="27" customHeight="1">
      <c r="B28" s="482"/>
      <c r="C28" s="482"/>
      <c r="D28" s="485"/>
      <c r="E28" s="486"/>
      <c r="F28" s="447"/>
      <c r="G28" s="448"/>
      <c r="H28" s="463"/>
      <c r="I28" s="464"/>
      <c r="J28" s="467"/>
      <c r="K28" s="468"/>
      <c r="L28" s="459"/>
      <c r="M28" s="460"/>
      <c r="N28" s="447"/>
      <c r="O28" s="448"/>
      <c r="P28" s="463"/>
      <c r="Q28" s="464"/>
      <c r="R28" s="467"/>
      <c r="S28" s="468"/>
      <c r="T28" s="459"/>
      <c r="U28" s="460"/>
      <c r="V28" s="447"/>
      <c r="W28" s="448"/>
      <c r="X28" s="463"/>
      <c r="Y28" s="464"/>
      <c r="Z28" s="467"/>
      <c r="AA28" s="468"/>
      <c r="AB28" s="485"/>
      <c r="AC28" s="486"/>
      <c r="AD28" s="447"/>
      <c r="AE28" s="448"/>
      <c r="AF28" s="463"/>
      <c r="AG28" s="464"/>
      <c r="AH28" s="467"/>
      <c r="AI28" s="468"/>
      <c r="AJ28" s="459"/>
      <c r="AK28" s="460"/>
      <c r="AL28" s="455"/>
      <c r="AM28" s="456"/>
      <c r="AP28" s="459"/>
      <c r="AQ28" s="460"/>
      <c r="AR28" s="447"/>
      <c r="AS28" s="448"/>
      <c r="AT28" s="463"/>
      <c r="AU28" s="464"/>
      <c r="AV28" s="467"/>
      <c r="AW28" s="468"/>
      <c r="AX28" s="459"/>
      <c r="AY28" s="460"/>
      <c r="AZ28" s="447"/>
      <c r="BA28" s="448"/>
      <c r="BB28" s="463"/>
      <c r="BC28" s="464"/>
      <c r="BD28" s="467"/>
      <c r="BE28" s="468"/>
      <c r="BF28" s="459"/>
      <c r="BG28" s="460"/>
      <c r="BH28" s="447"/>
      <c r="BI28" s="448"/>
      <c r="BJ28" s="463"/>
      <c r="BK28" s="464"/>
      <c r="BL28" s="467"/>
      <c r="BM28" s="468"/>
    </row>
    <row r="29" spans="2:70" ht="27" customHeight="1">
      <c r="B29" s="482" t="s">
        <v>1738</v>
      </c>
      <c r="C29" s="482"/>
      <c r="D29" s="477"/>
      <c r="E29" s="478"/>
      <c r="F29" s="441"/>
      <c r="G29" s="442"/>
      <c r="H29" s="473"/>
      <c r="I29" s="474"/>
      <c r="J29" s="469"/>
      <c r="K29" s="470"/>
      <c r="L29" s="477"/>
      <c r="M29" s="478"/>
      <c r="N29" s="441"/>
      <c r="O29" s="442"/>
      <c r="P29" s="473"/>
      <c r="Q29" s="474"/>
      <c r="R29" s="469"/>
      <c r="S29" s="470"/>
      <c r="T29" s="477"/>
      <c r="U29" s="478"/>
      <c r="V29" s="441"/>
      <c r="W29" s="442"/>
      <c r="X29" s="473" t="s">
        <v>7</v>
      </c>
      <c r="Y29" s="474"/>
      <c r="Z29" s="469" t="s">
        <v>47</v>
      </c>
      <c r="AA29" s="470"/>
      <c r="AB29" s="477"/>
      <c r="AC29" s="478"/>
      <c r="AD29" s="441"/>
      <c r="AE29" s="442"/>
      <c r="AF29" s="473"/>
      <c r="AG29" s="474"/>
      <c r="AH29" s="469"/>
      <c r="AI29" s="470"/>
      <c r="AJ29" s="477"/>
      <c r="AK29" s="478"/>
      <c r="AL29" s="441"/>
      <c r="AM29" s="442"/>
      <c r="AP29" s="477" t="s">
        <v>12</v>
      </c>
      <c r="AQ29" s="478"/>
      <c r="AR29" s="441" t="s">
        <v>1751</v>
      </c>
      <c r="AS29" s="442"/>
      <c r="AT29" s="473"/>
      <c r="AU29" s="474"/>
      <c r="AV29" s="469"/>
      <c r="AW29" s="470"/>
      <c r="AX29" s="477" t="s">
        <v>13</v>
      </c>
      <c r="AY29" s="478"/>
      <c r="AZ29" s="441" t="s">
        <v>1752</v>
      </c>
      <c r="BA29" s="442"/>
      <c r="BB29" s="473"/>
      <c r="BC29" s="474"/>
      <c r="BD29" s="469"/>
      <c r="BE29" s="470"/>
      <c r="BF29" s="477"/>
      <c r="BG29" s="478"/>
      <c r="BH29" s="441"/>
      <c r="BI29" s="442"/>
      <c r="BJ29" s="473" t="s">
        <v>14</v>
      </c>
      <c r="BK29" s="474"/>
      <c r="BL29" s="469" t="s">
        <v>1817</v>
      </c>
      <c r="BM29" s="470"/>
    </row>
    <row r="30" spans="2:70" ht="27" customHeight="1">
      <c r="B30" s="482"/>
      <c r="C30" s="482"/>
      <c r="D30" s="479"/>
      <c r="E30" s="480"/>
      <c r="F30" s="443"/>
      <c r="G30" s="444"/>
      <c r="H30" s="475"/>
      <c r="I30" s="476"/>
      <c r="J30" s="471"/>
      <c r="K30" s="472"/>
      <c r="L30" s="479"/>
      <c r="M30" s="480"/>
      <c r="N30" s="443"/>
      <c r="O30" s="444"/>
      <c r="P30" s="475"/>
      <c r="Q30" s="476"/>
      <c r="R30" s="471"/>
      <c r="S30" s="472"/>
      <c r="T30" s="479"/>
      <c r="U30" s="480"/>
      <c r="V30" s="443"/>
      <c r="W30" s="444"/>
      <c r="X30" s="475"/>
      <c r="Y30" s="476"/>
      <c r="Z30" s="471"/>
      <c r="AA30" s="472"/>
      <c r="AB30" s="479"/>
      <c r="AC30" s="480"/>
      <c r="AD30" s="443"/>
      <c r="AE30" s="444"/>
      <c r="AF30" s="475"/>
      <c r="AG30" s="476"/>
      <c r="AH30" s="471"/>
      <c r="AI30" s="472"/>
      <c r="AJ30" s="479"/>
      <c r="AK30" s="480"/>
      <c r="AL30" s="443"/>
      <c r="AM30" s="444"/>
      <c r="AP30" s="479"/>
      <c r="AQ30" s="480"/>
      <c r="AR30" s="443"/>
      <c r="AS30" s="444"/>
      <c r="AT30" s="475"/>
      <c r="AU30" s="476"/>
      <c r="AV30" s="471"/>
      <c r="AW30" s="472"/>
      <c r="AX30" s="479"/>
      <c r="AY30" s="480"/>
      <c r="AZ30" s="443"/>
      <c r="BA30" s="444"/>
      <c r="BB30" s="475"/>
      <c r="BC30" s="476"/>
      <c r="BD30" s="471"/>
      <c r="BE30" s="472"/>
      <c r="BF30" s="479"/>
      <c r="BG30" s="480"/>
      <c r="BH30" s="443"/>
      <c r="BI30" s="444"/>
      <c r="BJ30" s="475"/>
      <c r="BK30" s="476"/>
      <c r="BL30" s="471"/>
      <c r="BM30" s="472"/>
    </row>
    <row r="31" spans="2:70" ht="27" customHeight="1">
      <c r="B31" s="482"/>
      <c r="C31" s="482"/>
      <c r="D31" s="483"/>
      <c r="E31" s="484"/>
      <c r="F31" s="445"/>
      <c r="G31" s="446"/>
      <c r="H31" s="461"/>
      <c r="I31" s="462"/>
      <c r="J31" s="465"/>
      <c r="K31" s="466"/>
      <c r="L31" s="483"/>
      <c r="M31" s="484"/>
      <c r="N31" s="445"/>
      <c r="O31" s="446"/>
      <c r="P31" s="461"/>
      <c r="Q31" s="462"/>
      <c r="R31" s="465"/>
      <c r="S31" s="466"/>
      <c r="T31" s="483"/>
      <c r="U31" s="484"/>
      <c r="V31" s="445"/>
      <c r="W31" s="446"/>
      <c r="X31" s="461" t="s">
        <v>1273</v>
      </c>
      <c r="Y31" s="462"/>
      <c r="Z31" s="465" t="s">
        <v>1831</v>
      </c>
      <c r="AA31" s="466"/>
      <c r="AB31" s="483"/>
      <c r="AC31" s="484"/>
      <c r="AD31" s="445"/>
      <c r="AE31" s="446"/>
      <c r="AF31" s="461"/>
      <c r="AG31" s="462"/>
      <c r="AH31" s="465"/>
      <c r="AI31" s="466"/>
      <c r="AJ31" s="483"/>
      <c r="AK31" s="484"/>
      <c r="AL31" s="445"/>
      <c r="AM31" s="446"/>
      <c r="AP31" s="457" t="s">
        <v>1289</v>
      </c>
      <c r="AQ31" s="458"/>
      <c r="AR31" s="445" t="s">
        <v>1828</v>
      </c>
      <c r="AS31" s="446"/>
      <c r="AT31" s="461"/>
      <c r="AU31" s="462"/>
      <c r="AV31" s="465"/>
      <c r="AW31" s="466"/>
      <c r="AX31" s="457" t="s">
        <v>1320</v>
      </c>
      <c r="AY31" s="458"/>
      <c r="AZ31" s="445" t="s">
        <v>1829</v>
      </c>
      <c r="BA31" s="446"/>
      <c r="BB31" s="461"/>
      <c r="BC31" s="462"/>
      <c r="BD31" s="465"/>
      <c r="BE31" s="466"/>
      <c r="BF31" s="457"/>
      <c r="BG31" s="458"/>
      <c r="BH31" s="445"/>
      <c r="BI31" s="446"/>
      <c r="BJ31" s="461" t="s">
        <v>1302</v>
      </c>
      <c r="BK31" s="462"/>
      <c r="BL31" s="465" t="s">
        <v>2582</v>
      </c>
      <c r="BM31" s="466"/>
    </row>
    <row r="32" spans="2:70" ht="27" customHeight="1">
      <c r="B32" s="482"/>
      <c r="C32" s="482"/>
      <c r="D32" s="485"/>
      <c r="E32" s="486"/>
      <c r="F32" s="447"/>
      <c r="G32" s="448"/>
      <c r="H32" s="463"/>
      <c r="I32" s="464"/>
      <c r="J32" s="467"/>
      <c r="K32" s="468"/>
      <c r="L32" s="485"/>
      <c r="M32" s="486"/>
      <c r="N32" s="447"/>
      <c r="O32" s="448"/>
      <c r="P32" s="463"/>
      <c r="Q32" s="464"/>
      <c r="R32" s="467"/>
      <c r="S32" s="468"/>
      <c r="T32" s="485"/>
      <c r="U32" s="486"/>
      <c r="V32" s="447"/>
      <c r="W32" s="448"/>
      <c r="X32" s="463"/>
      <c r="Y32" s="464"/>
      <c r="Z32" s="467"/>
      <c r="AA32" s="468"/>
      <c r="AB32" s="485"/>
      <c r="AC32" s="486"/>
      <c r="AD32" s="447"/>
      <c r="AE32" s="448"/>
      <c r="AF32" s="463"/>
      <c r="AG32" s="464"/>
      <c r="AH32" s="467"/>
      <c r="AI32" s="468"/>
      <c r="AJ32" s="485"/>
      <c r="AK32" s="486"/>
      <c r="AL32" s="447"/>
      <c r="AM32" s="448"/>
      <c r="AP32" s="459"/>
      <c r="AQ32" s="460"/>
      <c r="AR32" s="447"/>
      <c r="AS32" s="448"/>
      <c r="AT32" s="463"/>
      <c r="AU32" s="464"/>
      <c r="AV32" s="467"/>
      <c r="AW32" s="468"/>
      <c r="AX32" s="459"/>
      <c r="AY32" s="460"/>
      <c r="AZ32" s="447"/>
      <c r="BA32" s="448"/>
      <c r="BB32" s="463"/>
      <c r="BC32" s="464"/>
      <c r="BD32" s="467"/>
      <c r="BE32" s="468"/>
      <c r="BF32" s="459"/>
      <c r="BG32" s="460"/>
      <c r="BH32" s="447"/>
      <c r="BI32" s="448"/>
      <c r="BJ32" s="463"/>
      <c r="BK32" s="464"/>
      <c r="BL32" s="467"/>
      <c r="BM32" s="468"/>
    </row>
  </sheetData>
  <mergeCells count="430">
    <mergeCell ref="BJ29:BK30"/>
    <mergeCell ref="BL29:BM30"/>
    <mergeCell ref="BJ31:BK32"/>
    <mergeCell ref="BL31:BM32"/>
    <mergeCell ref="AP8:AS8"/>
    <mergeCell ref="AT8:AW8"/>
    <mergeCell ref="AX8:BA8"/>
    <mergeCell ref="BB8:BE8"/>
    <mergeCell ref="BF8:BI8"/>
    <mergeCell ref="BJ8:BM8"/>
    <mergeCell ref="BJ19:BK20"/>
    <mergeCell ref="BL19:BM20"/>
    <mergeCell ref="BJ21:BK22"/>
    <mergeCell ref="BL21:BM22"/>
    <mergeCell ref="BJ23:BK24"/>
    <mergeCell ref="BL23:BM24"/>
    <mergeCell ref="BJ25:BK26"/>
    <mergeCell ref="BL25:BM26"/>
    <mergeCell ref="BJ27:BK28"/>
    <mergeCell ref="BL27:BM28"/>
    <mergeCell ref="BJ9:BK10"/>
    <mergeCell ref="BL9:BM10"/>
    <mergeCell ref="BJ11:BK12"/>
    <mergeCell ref="BL11:BM12"/>
    <mergeCell ref="BJ13:BK14"/>
    <mergeCell ref="BL13:BM14"/>
    <mergeCell ref="BJ15:BK16"/>
    <mergeCell ref="BL15:BM16"/>
    <mergeCell ref="BJ17:BK18"/>
    <mergeCell ref="BL17:BM18"/>
    <mergeCell ref="BD29:BE30"/>
    <mergeCell ref="BF29:BG30"/>
    <mergeCell ref="BH29:BI30"/>
    <mergeCell ref="AX31:AY32"/>
    <mergeCell ref="AZ31:BA32"/>
    <mergeCell ref="BB31:BC32"/>
    <mergeCell ref="BD31:BE32"/>
    <mergeCell ref="BF31:BG32"/>
    <mergeCell ref="BH31:BI32"/>
    <mergeCell ref="BD25:BE26"/>
    <mergeCell ref="BF25:BG26"/>
    <mergeCell ref="BH25:BI26"/>
    <mergeCell ref="AX27:AY28"/>
    <mergeCell ref="AZ27:BA28"/>
    <mergeCell ref="BB27:BC28"/>
    <mergeCell ref="BD27:BE28"/>
    <mergeCell ref="BF27:BG28"/>
    <mergeCell ref="BH27:BI28"/>
    <mergeCell ref="BD21:BE22"/>
    <mergeCell ref="BF21:BG22"/>
    <mergeCell ref="BH21:BI22"/>
    <mergeCell ref="AX23:AY24"/>
    <mergeCell ref="AZ23:BA24"/>
    <mergeCell ref="BB23:BC24"/>
    <mergeCell ref="BD23:BE24"/>
    <mergeCell ref="BF23:BG24"/>
    <mergeCell ref="BH23:BI24"/>
    <mergeCell ref="BD17:BE18"/>
    <mergeCell ref="BF17:BG18"/>
    <mergeCell ref="BH17:BI18"/>
    <mergeCell ref="AX19:AY20"/>
    <mergeCell ref="AZ19:BA20"/>
    <mergeCell ref="BB19:BC20"/>
    <mergeCell ref="BD19:BE20"/>
    <mergeCell ref="BF19:BG20"/>
    <mergeCell ref="BH19:BI20"/>
    <mergeCell ref="BD13:BE14"/>
    <mergeCell ref="BF13:BG14"/>
    <mergeCell ref="BH13:BI14"/>
    <mergeCell ref="AX15:AY16"/>
    <mergeCell ref="AZ15:BA16"/>
    <mergeCell ref="BB15:BC16"/>
    <mergeCell ref="BD15:BE16"/>
    <mergeCell ref="BF15:BG16"/>
    <mergeCell ref="BH15:BI16"/>
    <mergeCell ref="BD9:BE10"/>
    <mergeCell ref="BB11:BC12"/>
    <mergeCell ref="BD11:BE12"/>
    <mergeCell ref="BF9:BG10"/>
    <mergeCell ref="BH9:BI10"/>
    <mergeCell ref="BF11:BG12"/>
    <mergeCell ref="BH11:BI12"/>
    <mergeCell ref="AP31:AQ32"/>
    <mergeCell ref="AR31:AS32"/>
    <mergeCell ref="AT31:AU32"/>
    <mergeCell ref="AV31:AW32"/>
    <mergeCell ref="AX9:AY10"/>
    <mergeCell ref="AZ9:BA10"/>
    <mergeCell ref="AX11:AY12"/>
    <mergeCell ref="AZ11:BA12"/>
    <mergeCell ref="BB9:BC10"/>
    <mergeCell ref="AX13:AY14"/>
    <mergeCell ref="AZ13:BA14"/>
    <mergeCell ref="BB13:BC14"/>
    <mergeCell ref="AX17:AY18"/>
    <mergeCell ref="AZ17:BA18"/>
    <mergeCell ref="BB17:BC18"/>
    <mergeCell ref="AX21:AY22"/>
    <mergeCell ref="AZ21:BA22"/>
    <mergeCell ref="BB21:BC22"/>
    <mergeCell ref="AX25:AY26"/>
    <mergeCell ref="AZ25:BA26"/>
    <mergeCell ref="BB25:BC26"/>
    <mergeCell ref="AX29:AY30"/>
    <mergeCell ref="AZ29:BA30"/>
    <mergeCell ref="BB29:BC30"/>
    <mergeCell ref="AP25:AQ26"/>
    <mergeCell ref="AR25:AS26"/>
    <mergeCell ref="AT25:AU26"/>
    <mergeCell ref="AV25:AW26"/>
    <mergeCell ref="AP27:AQ28"/>
    <mergeCell ref="AR27:AS28"/>
    <mergeCell ref="AT27:AU28"/>
    <mergeCell ref="AV27:AW28"/>
    <mergeCell ref="AP29:AQ30"/>
    <mergeCell ref="AR29:AS30"/>
    <mergeCell ref="AT29:AU30"/>
    <mergeCell ref="AV29:AW30"/>
    <mergeCell ref="AP19:AQ20"/>
    <mergeCell ref="AR19:AS20"/>
    <mergeCell ref="AT19:AU20"/>
    <mergeCell ref="AV19:AW20"/>
    <mergeCell ref="AP21:AQ22"/>
    <mergeCell ref="AR21:AS22"/>
    <mergeCell ref="AT21:AU22"/>
    <mergeCell ref="AV21:AW22"/>
    <mergeCell ref="AP23:AQ24"/>
    <mergeCell ref="AR23:AS24"/>
    <mergeCell ref="AT23:AU24"/>
    <mergeCell ref="AV23:AW24"/>
    <mergeCell ref="AP13:AQ14"/>
    <mergeCell ref="AR13:AS14"/>
    <mergeCell ref="AT13:AU14"/>
    <mergeCell ref="AV13:AW14"/>
    <mergeCell ref="AP15:AQ16"/>
    <mergeCell ref="AR15:AS16"/>
    <mergeCell ref="AT15:AU16"/>
    <mergeCell ref="AV15:AW16"/>
    <mergeCell ref="AP17:AQ18"/>
    <mergeCell ref="AR17:AS18"/>
    <mergeCell ref="AT17:AU18"/>
    <mergeCell ref="AV17:AW18"/>
    <mergeCell ref="AP9:AQ10"/>
    <mergeCell ref="AR9:AS10"/>
    <mergeCell ref="AT9:AU10"/>
    <mergeCell ref="AV9:AW10"/>
    <mergeCell ref="AP11:AQ12"/>
    <mergeCell ref="AR11:AS12"/>
    <mergeCell ref="AT11:AU12"/>
    <mergeCell ref="AV11:AW12"/>
    <mergeCell ref="AJ11:AK12"/>
    <mergeCell ref="AJ27:AK28"/>
    <mergeCell ref="AF15:AG16"/>
    <mergeCell ref="AB19:AC20"/>
    <mergeCell ref="AD19:AE20"/>
    <mergeCell ref="AF19:AG20"/>
    <mergeCell ref="AH19:AI20"/>
    <mergeCell ref="AB23:AC24"/>
    <mergeCell ref="AF23:AG24"/>
    <mergeCell ref="AB27:AC28"/>
    <mergeCell ref="AD27:AE28"/>
    <mergeCell ref="AF27:AG28"/>
    <mergeCell ref="AH27:AI28"/>
    <mergeCell ref="AJ15:AK16"/>
    <mergeCell ref="AJ19:AK20"/>
    <mergeCell ref="AJ23:AK24"/>
    <mergeCell ref="AJ13:AK14"/>
    <mergeCell ref="AJ17:AK18"/>
    <mergeCell ref="AB17:AC18"/>
    <mergeCell ref="AF17:AG18"/>
    <mergeCell ref="AB21:AC22"/>
    <mergeCell ref="AF21:AG22"/>
    <mergeCell ref="AJ21:AK22"/>
    <mergeCell ref="AD21:AE22"/>
    <mergeCell ref="T15:U16"/>
    <mergeCell ref="T11:U12"/>
    <mergeCell ref="T21:U22"/>
    <mergeCell ref="X7:Y8"/>
    <mergeCell ref="X19:Y20"/>
    <mergeCell ref="X31:Y32"/>
    <mergeCell ref="Z5:AA6"/>
    <mergeCell ref="Z7:AA8"/>
    <mergeCell ref="Z9:AA10"/>
    <mergeCell ref="X11:Y12"/>
    <mergeCell ref="Z11:AA12"/>
    <mergeCell ref="X15:Y16"/>
    <mergeCell ref="Z21:AA22"/>
    <mergeCell ref="X23:Y24"/>
    <mergeCell ref="Z23:AA24"/>
    <mergeCell ref="X27:Y28"/>
    <mergeCell ref="Z27:AA28"/>
    <mergeCell ref="V5:W6"/>
    <mergeCell ref="T7:U8"/>
    <mergeCell ref="V7:W8"/>
    <mergeCell ref="T29:U30"/>
    <mergeCell ref="T31:U32"/>
    <mergeCell ref="V11:W12"/>
    <mergeCell ref="V13:W14"/>
    <mergeCell ref="P15:Q16"/>
    <mergeCell ref="R19:S20"/>
    <mergeCell ref="P23:Q24"/>
    <mergeCell ref="P27:Q28"/>
    <mergeCell ref="R27:S28"/>
    <mergeCell ref="P31:Q32"/>
    <mergeCell ref="N19:O20"/>
    <mergeCell ref="N27:O28"/>
    <mergeCell ref="L31:M32"/>
    <mergeCell ref="R21:S22"/>
    <mergeCell ref="H19:I20"/>
    <mergeCell ref="H21:I22"/>
    <mergeCell ref="H23:I24"/>
    <mergeCell ref="H27:I28"/>
    <mergeCell ref="H29:I30"/>
    <mergeCell ref="H31:I32"/>
    <mergeCell ref="F21:G22"/>
    <mergeCell ref="F23:G24"/>
    <mergeCell ref="F17:G18"/>
    <mergeCell ref="F13:G14"/>
    <mergeCell ref="F15:G16"/>
    <mergeCell ref="J5:K6"/>
    <mergeCell ref="H7:I8"/>
    <mergeCell ref="J7:K8"/>
    <mergeCell ref="H9:I10"/>
    <mergeCell ref="J9:K10"/>
    <mergeCell ref="H11:I12"/>
    <mergeCell ref="J11:K12"/>
    <mergeCell ref="H15:I16"/>
    <mergeCell ref="P4:S4"/>
    <mergeCell ref="AB4:AE4"/>
    <mergeCell ref="AF4:AI4"/>
    <mergeCell ref="AJ4:AM4"/>
    <mergeCell ref="B5:C8"/>
    <mergeCell ref="D5:E6"/>
    <mergeCell ref="H5:I6"/>
    <mergeCell ref="T5:U6"/>
    <mergeCell ref="D2:K2"/>
    <mergeCell ref="T2:AA2"/>
    <mergeCell ref="L2:S2"/>
    <mergeCell ref="AB2:AI2"/>
    <mergeCell ref="AJ2:AM2"/>
    <mergeCell ref="D4:G4"/>
    <mergeCell ref="H4:K4"/>
    <mergeCell ref="T4:W4"/>
    <mergeCell ref="X4:AA4"/>
    <mergeCell ref="L4:O4"/>
    <mergeCell ref="D7:E8"/>
    <mergeCell ref="L7:M8"/>
    <mergeCell ref="P7:Q8"/>
    <mergeCell ref="AF7:AG8"/>
    <mergeCell ref="AB7:AC8"/>
    <mergeCell ref="AJ7:AK8"/>
    <mergeCell ref="AB5:AC6"/>
    <mergeCell ref="AF5:AG6"/>
    <mergeCell ref="AJ5:AK6"/>
    <mergeCell ref="R5:S6"/>
    <mergeCell ref="AD5:AE6"/>
    <mergeCell ref="AH5:AI6"/>
    <mergeCell ref="X5:Y6"/>
    <mergeCell ref="L5:M6"/>
    <mergeCell ref="P5:Q6"/>
    <mergeCell ref="N5:O6"/>
    <mergeCell ref="AD7:AE8"/>
    <mergeCell ref="AH7:AI8"/>
    <mergeCell ref="N7:O8"/>
    <mergeCell ref="R7:S8"/>
    <mergeCell ref="B9:B16"/>
    <mergeCell ref="C9:C12"/>
    <mergeCell ref="D9:E10"/>
    <mergeCell ref="D11:E12"/>
    <mergeCell ref="D15:E16"/>
    <mergeCell ref="L9:M10"/>
    <mergeCell ref="N9:O10"/>
    <mergeCell ref="C13:C16"/>
    <mergeCell ref="D13:E14"/>
    <mergeCell ref="H13:I14"/>
    <mergeCell ref="N11:O12"/>
    <mergeCell ref="R11:S12"/>
    <mergeCell ref="AD11:AE12"/>
    <mergeCell ref="F11:G12"/>
    <mergeCell ref="P13:Q14"/>
    <mergeCell ref="AB13:AC14"/>
    <mergeCell ref="AF13:AG14"/>
    <mergeCell ref="R13:S14"/>
    <mergeCell ref="T13:U14"/>
    <mergeCell ref="X13:Y14"/>
    <mergeCell ref="AJ9:AK10"/>
    <mergeCell ref="P9:Q10"/>
    <mergeCell ref="AB9:AC10"/>
    <mergeCell ref="AF9:AG10"/>
    <mergeCell ref="R9:S10"/>
    <mergeCell ref="AD9:AE10"/>
    <mergeCell ref="AH9:AI10"/>
    <mergeCell ref="T9:U10"/>
    <mergeCell ref="X9:Y10"/>
    <mergeCell ref="V9:W10"/>
    <mergeCell ref="N13:O14"/>
    <mergeCell ref="B17:B24"/>
    <mergeCell ref="C17:C20"/>
    <mergeCell ref="D17:E18"/>
    <mergeCell ref="H17:I18"/>
    <mergeCell ref="Z15:AA16"/>
    <mergeCell ref="N15:O16"/>
    <mergeCell ref="R15:S16"/>
    <mergeCell ref="P17:Q18"/>
    <mergeCell ref="N17:O18"/>
    <mergeCell ref="R17:S18"/>
    <mergeCell ref="T17:U18"/>
    <mergeCell ref="X17:Y18"/>
    <mergeCell ref="L17:M18"/>
    <mergeCell ref="V17:W18"/>
    <mergeCell ref="Z17:AA18"/>
    <mergeCell ref="D19:E20"/>
    <mergeCell ref="L19:M20"/>
    <mergeCell ref="P19:Q20"/>
    <mergeCell ref="T19:U20"/>
    <mergeCell ref="F19:G20"/>
    <mergeCell ref="C21:C24"/>
    <mergeCell ref="D21:E22"/>
    <mergeCell ref="D23:E24"/>
    <mergeCell ref="B25:C28"/>
    <mergeCell ref="D25:E26"/>
    <mergeCell ref="H25:I26"/>
    <mergeCell ref="T25:U26"/>
    <mergeCell ref="N23:O24"/>
    <mergeCell ref="R23:S24"/>
    <mergeCell ref="AD23:AE24"/>
    <mergeCell ref="AH23:AI24"/>
    <mergeCell ref="AB25:AC26"/>
    <mergeCell ref="AF25:AG26"/>
    <mergeCell ref="L27:M28"/>
    <mergeCell ref="V27:W28"/>
    <mergeCell ref="J25:K26"/>
    <mergeCell ref="J27:K28"/>
    <mergeCell ref="T23:U24"/>
    <mergeCell ref="T27:U28"/>
    <mergeCell ref="D27:E28"/>
    <mergeCell ref="AJ25:AK26"/>
    <mergeCell ref="R25:S26"/>
    <mergeCell ref="AD25:AE26"/>
    <mergeCell ref="AH25:AI26"/>
    <mergeCell ref="X25:Y26"/>
    <mergeCell ref="L25:M26"/>
    <mergeCell ref="P25:Q26"/>
    <mergeCell ref="V25:W26"/>
    <mergeCell ref="Z25:AA26"/>
    <mergeCell ref="N25:O26"/>
    <mergeCell ref="B29:C32"/>
    <mergeCell ref="V31:W32"/>
    <mergeCell ref="Z31:AA32"/>
    <mergeCell ref="AB29:AC30"/>
    <mergeCell ref="AF29:AG30"/>
    <mergeCell ref="AJ29:AK30"/>
    <mergeCell ref="R29:S30"/>
    <mergeCell ref="AD29:AE30"/>
    <mergeCell ref="AH29:AI30"/>
    <mergeCell ref="X29:Y30"/>
    <mergeCell ref="L29:M30"/>
    <mergeCell ref="P29:Q30"/>
    <mergeCell ref="V29:W30"/>
    <mergeCell ref="Z29:AA30"/>
    <mergeCell ref="N29:O30"/>
    <mergeCell ref="AF31:AG32"/>
    <mergeCell ref="AB31:AC32"/>
    <mergeCell ref="AJ31:AK32"/>
    <mergeCell ref="J29:K30"/>
    <mergeCell ref="J31:K32"/>
    <mergeCell ref="D29:E30"/>
    <mergeCell ref="D31:E32"/>
    <mergeCell ref="D3:K3"/>
    <mergeCell ref="T3:AA3"/>
    <mergeCell ref="L3:S3"/>
    <mergeCell ref="AB3:AI3"/>
    <mergeCell ref="AJ3:AM3"/>
    <mergeCell ref="F9:G10"/>
    <mergeCell ref="N31:O32"/>
    <mergeCell ref="R31:S32"/>
    <mergeCell ref="AD31:AE32"/>
    <mergeCell ref="AH31:AI32"/>
    <mergeCell ref="F5:G6"/>
    <mergeCell ref="F7:G8"/>
    <mergeCell ref="F25:G26"/>
    <mergeCell ref="F27:G28"/>
    <mergeCell ref="F29:G30"/>
    <mergeCell ref="F31:G32"/>
    <mergeCell ref="J13:K14"/>
    <mergeCell ref="J15:K16"/>
    <mergeCell ref="J17:K18"/>
    <mergeCell ref="J19:K20"/>
    <mergeCell ref="J21:K22"/>
    <mergeCell ref="J23:K24"/>
    <mergeCell ref="V21:W22"/>
    <mergeCell ref="V23:W24"/>
    <mergeCell ref="V15:W16"/>
    <mergeCell ref="L23:M24"/>
    <mergeCell ref="L11:M12"/>
    <mergeCell ref="P11:Q12"/>
    <mergeCell ref="L15:M16"/>
    <mergeCell ref="AH11:AI12"/>
    <mergeCell ref="AD13:AE14"/>
    <mergeCell ref="AH13:AI14"/>
    <mergeCell ref="AD15:AE16"/>
    <mergeCell ref="AH15:AI16"/>
    <mergeCell ref="AD17:AE18"/>
    <mergeCell ref="AH17:AI18"/>
    <mergeCell ref="V19:W20"/>
    <mergeCell ref="Z19:AA20"/>
    <mergeCell ref="AB11:AC12"/>
    <mergeCell ref="AB15:AC16"/>
    <mergeCell ref="AF11:AG12"/>
    <mergeCell ref="AH21:AI22"/>
    <mergeCell ref="X21:Y22"/>
    <mergeCell ref="L21:M22"/>
    <mergeCell ref="P21:Q22"/>
    <mergeCell ref="N21:O22"/>
    <mergeCell ref="L13:M14"/>
    <mergeCell ref="Z13:AA14"/>
    <mergeCell ref="AL29:AM30"/>
    <mergeCell ref="AL31:AM32"/>
    <mergeCell ref="AL17:AM18"/>
    <mergeCell ref="AL19:AM20"/>
    <mergeCell ref="AL21:AM22"/>
    <mergeCell ref="AL23:AM24"/>
    <mergeCell ref="AL25:AM26"/>
    <mergeCell ref="AL27:AM28"/>
    <mergeCell ref="AL5:AM6"/>
    <mergeCell ref="AL7:AM8"/>
    <mergeCell ref="AL9:AM10"/>
    <mergeCell ref="AL11:AM12"/>
    <mergeCell ref="AL13:AM14"/>
    <mergeCell ref="AL15:AM16"/>
  </mergeCells>
  <phoneticPr fontId="87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6F5DF-D4F8-4A37-9E85-D5826F060C1F}">
  <dimension ref="B2:N24"/>
  <sheetViews>
    <sheetView showGridLines="0" workbookViewId="0">
      <selection activeCell="V6" sqref="V6"/>
    </sheetView>
  </sheetViews>
  <sheetFormatPr defaultRowHeight="16.5" outlineLevelCol="1"/>
  <cols>
    <col min="2" max="2" width="9.875" hidden="1" customWidth="1"/>
    <col min="3" max="4" width="9.875" customWidth="1"/>
    <col min="5" max="6" width="13" customWidth="1"/>
    <col min="7" max="8" width="15" customWidth="1"/>
    <col min="9" max="11" width="15" hidden="1" customWidth="1" outlineLevel="1"/>
    <col min="12" max="12" width="15" customWidth="1" collapsed="1"/>
    <col min="13" max="13" width="15" customWidth="1"/>
    <col min="14" max="14" width="15" hidden="1" customWidth="1"/>
    <col min="15" max="15" width="14.5" customWidth="1"/>
  </cols>
  <sheetData>
    <row r="2" spans="2:14" s="1" customFormat="1" ht="23.25">
      <c r="B2" s="47" t="s">
        <v>1054</v>
      </c>
      <c r="C2" s="255" t="s">
        <v>1064</v>
      </c>
      <c r="D2" s="255" t="s">
        <v>325</v>
      </c>
      <c r="E2" s="255" t="s">
        <v>0</v>
      </c>
      <c r="F2" s="255" t="s">
        <v>1065</v>
      </c>
      <c r="G2" s="255" t="s">
        <v>1057</v>
      </c>
      <c r="H2" s="255" t="s">
        <v>326</v>
      </c>
      <c r="I2" s="255" t="s">
        <v>1063</v>
      </c>
      <c r="J2" s="255" t="s">
        <v>1058</v>
      </c>
      <c r="K2" s="255" t="s">
        <v>1059</v>
      </c>
      <c r="L2" s="255" t="s">
        <v>1060</v>
      </c>
      <c r="M2" s="255" t="s">
        <v>1061</v>
      </c>
      <c r="N2" s="246" t="s">
        <v>1062</v>
      </c>
    </row>
    <row r="3" spans="2:14" ht="44.25">
      <c r="B3" s="238">
        <v>8</v>
      </c>
      <c r="C3" s="256">
        <v>1</v>
      </c>
      <c r="D3" s="257" t="s">
        <v>25</v>
      </c>
      <c r="E3" s="258" t="s">
        <v>7</v>
      </c>
      <c r="F3" s="258" t="s">
        <v>7</v>
      </c>
      <c r="G3" s="259" t="s">
        <v>47</v>
      </c>
      <c r="H3" s="285" t="s">
        <v>47</v>
      </c>
      <c r="I3" s="259" t="s">
        <v>47</v>
      </c>
      <c r="J3" s="259" t="s">
        <v>47</v>
      </c>
      <c r="K3" s="259" t="s">
        <v>47</v>
      </c>
      <c r="L3" s="285" t="s">
        <v>47</v>
      </c>
      <c r="M3" s="258" t="s">
        <v>1273</v>
      </c>
      <c r="N3" s="247" t="s">
        <v>1273</v>
      </c>
    </row>
    <row r="4" spans="2:14" ht="44.25">
      <c r="B4" s="239">
        <v>9</v>
      </c>
      <c r="C4" s="260">
        <v>1</v>
      </c>
      <c r="D4" s="261" t="s">
        <v>26</v>
      </c>
      <c r="E4" s="262" t="s">
        <v>7</v>
      </c>
      <c r="F4" s="262" t="s">
        <v>26</v>
      </c>
      <c r="G4" s="263" t="s">
        <v>48</v>
      </c>
      <c r="H4" s="286" t="s">
        <v>48</v>
      </c>
      <c r="I4" s="263" t="s">
        <v>48</v>
      </c>
      <c r="J4" s="263" t="s">
        <v>48</v>
      </c>
      <c r="K4" s="263" t="s">
        <v>1274</v>
      </c>
      <c r="L4" s="286" t="s">
        <v>48</v>
      </c>
      <c r="M4" s="262" t="s">
        <v>1275</v>
      </c>
      <c r="N4" s="248" t="s">
        <v>1275</v>
      </c>
    </row>
    <row r="5" spans="2:14" ht="44.25">
      <c r="B5" s="240">
        <v>2</v>
      </c>
      <c r="C5" s="264">
        <v>2</v>
      </c>
      <c r="D5" s="265" t="s">
        <v>19</v>
      </c>
      <c r="E5" s="266" t="s">
        <v>2</v>
      </c>
      <c r="F5" s="266" t="s">
        <v>2</v>
      </c>
      <c r="G5" s="267" t="s">
        <v>41</v>
      </c>
      <c r="H5" s="287" t="s">
        <v>41</v>
      </c>
      <c r="I5" s="267" t="s">
        <v>41</v>
      </c>
      <c r="J5" s="267" t="s">
        <v>41</v>
      </c>
      <c r="K5" s="267" t="s">
        <v>43</v>
      </c>
      <c r="L5" s="287" t="s">
        <v>43</v>
      </c>
      <c r="M5" s="266" t="s">
        <v>1276</v>
      </c>
      <c r="N5" s="249" t="s">
        <v>1276</v>
      </c>
    </row>
    <row r="6" spans="2:14" ht="44.25">
      <c r="B6" s="240">
        <v>10</v>
      </c>
      <c r="C6" s="264">
        <v>3</v>
      </c>
      <c r="D6" s="265" t="s">
        <v>27</v>
      </c>
      <c r="E6" s="266" t="s">
        <v>8</v>
      </c>
      <c r="F6" s="266" t="s">
        <v>8</v>
      </c>
      <c r="G6" s="267" t="s">
        <v>49</v>
      </c>
      <c r="H6" s="287" t="s">
        <v>49</v>
      </c>
      <c r="I6" s="267" t="s">
        <v>49</v>
      </c>
      <c r="J6" s="267" t="s">
        <v>49</v>
      </c>
      <c r="K6" s="267" t="s">
        <v>51</v>
      </c>
      <c r="L6" s="287" t="s">
        <v>51</v>
      </c>
      <c r="M6" s="266" t="s">
        <v>1277</v>
      </c>
      <c r="N6" s="249" t="s">
        <v>1277</v>
      </c>
    </row>
    <row r="7" spans="2:14" ht="44.25">
      <c r="B7" s="240">
        <v>11</v>
      </c>
      <c r="C7" s="264">
        <v>4</v>
      </c>
      <c r="D7" s="265" t="s">
        <v>28</v>
      </c>
      <c r="E7" s="266" t="s">
        <v>9</v>
      </c>
      <c r="F7" s="266" t="s">
        <v>9</v>
      </c>
      <c r="G7" s="267" t="s">
        <v>1278</v>
      </c>
      <c r="H7" s="287" t="s">
        <v>50</v>
      </c>
      <c r="I7" s="267" t="s">
        <v>50</v>
      </c>
      <c r="J7" s="267" t="s">
        <v>50</v>
      </c>
      <c r="K7" s="267" t="s">
        <v>49</v>
      </c>
      <c r="L7" s="287" t="s">
        <v>49</v>
      </c>
      <c r="M7" s="266" t="s">
        <v>1279</v>
      </c>
      <c r="N7" s="249" t="s">
        <v>1279</v>
      </c>
    </row>
    <row r="8" spans="2:14" ht="44.25">
      <c r="B8" s="240">
        <v>6</v>
      </c>
      <c r="C8" s="264">
        <v>5</v>
      </c>
      <c r="D8" s="265" t="s">
        <v>23</v>
      </c>
      <c r="E8" s="266" t="s">
        <v>5</v>
      </c>
      <c r="F8" s="266" t="s">
        <v>5</v>
      </c>
      <c r="G8" s="267" t="s">
        <v>45</v>
      </c>
      <c r="H8" s="287" t="s">
        <v>45</v>
      </c>
      <c r="I8" s="267" t="s">
        <v>45</v>
      </c>
      <c r="J8" s="267" t="s">
        <v>45</v>
      </c>
      <c r="K8" s="267" t="s">
        <v>1280</v>
      </c>
      <c r="L8" s="287" t="s">
        <v>1280</v>
      </c>
      <c r="M8" s="266" t="s">
        <v>1281</v>
      </c>
      <c r="N8" s="249" t="s">
        <v>1281</v>
      </c>
    </row>
    <row r="9" spans="2:14" ht="44.25">
      <c r="B9" s="240">
        <v>3</v>
      </c>
      <c r="C9" s="264">
        <v>6</v>
      </c>
      <c r="D9" s="265" t="s">
        <v>20</v>
      </c>
      <c r="E9" s="266" t="s">
        <v>3</v>
      </c>
      <c r="F9" s="266" t="s">
        <v>3</v>
      </c>
      <c r="G9" s="267" t="s">
        <v>1282</v>
      </c>
      <c r="H9" s="287" t="s">
        <v>42</v>
      </c>
      <c r="I9" s="267" t="s">
        <v>42</v>
      </c>
      <c r="J9" s="267" t="s">
        <v>42</v>
      </c>
      <c r="K9" s="267" t="s">
        <v>41</v>
      </c>
      <c r="L9" s="287" t="s">
        <v>41</v>
      </c>
      <c r="M9" s="266" t="s">
        <v>1283</v>
      </c>
      <c r="N9" s="249" t="s">
        <v>1283</v>
      </c>
    </row>
    <row r="10" spans="2:14" ht="44.25">
      <c r="B10" s="240">
        <v>7</v>
      </c>
      <c r="C10" s="264">
        <v>7</v>
      </c>
      <c r="D10" s="265" t="s">
        <v>24</v>
      </c>
      <c r="E10" s="266" t="s">
        <v>6</v>
      </c>
      <c r="F10" s="266" t="s">
        <v>6</v>
      </c>
      <c r="G10" s="267" t="s">
        <v>1284</v>
      </c>
      <c r="H10" s="287" t="s">
        <v>46</v>
      </c>
      <c r="I10" s="267" t="s">
        <v>46</v>
      </c>
      <c r="J10" s="267" t="s">
        <v>46</v>
      </c>
      <c r="K10" s="267" t="s">
        <v>45</v>
      </c>
      <c r="L10" s="287" t="s">
        <v>45</v>
      </c>
      <c r="M10" s="266" t="s">
        <v>1285</v>
      </c>
      <c r="N10" s="249" t="s">
        <v>1285</v>
      </c>
    </row>
    <row r="11" spans="2:14" ht="44.25">
      <c r="B11" s="241">
        <v>15</v>
      </c>
      <c r="C11" s="268">
        <v>8</v>
      </c>
      <c r="D11" s="269" t="s">
        <v>32</v>
      </c>
      <c r="E11" s="270" t="s">
        <v>12</v>
      </c>
      <c r="F11" s="270" t="s">
        <v>12</v>
      </c>
      <c r="G11" s="271" t="s">
        <v>1286</v>
      </c>
      <c r="H11" s="288" t="s">
        <v>54</v>
      </c>
      <c r="I11" s="271" t="s">
        <v>1287</v>
      </c>
      <c r="J11" s="271" t="s">
        <v>1288</v>
      </c>
      <c r="K11" s="271" t="s">
        <v>1287</v>
      </c>
      <c r="L11" s="288" t="s">
        <v>1287</v>
      </c>
      <c r="M11" s="270" t="s">
        <v>1289</v>
      </c>
      <c r="N11" s="250" t="s">
        <v>1289</v>
      </c>
    </row>
    <row r="12" spans="2:14" ht="44.25">
      <c r="B12" s="242">
        <v>16</v>
      </c>
      <c r="C12" s="272">
        <v>8</v>
      </c>
      <c r="D12" s="273" t="s">
        <v>33</v>
      </c>
      <c r="E12" s="274" t="s">
        <v>12</v>
      </c>
      <c r="F12" s="274" t="s">
        <v>12</v>
      </c>
      <c r="G12" s="275" t="s">
        <v>1290</v>
      </c>
      <c r="H12" s="289" t="s">
        <v>55</v>
      </c>
      <c r="I12" s="275" t="s">
        <v>1291</v>
      </c>
      <c r="J12" s="275" t="s">
        <v>1292</v>
      </c>
      <c r="K12" s="275" t="s">
        <v>1291</v>
      </c>
      <c r="L12" s="289" t="s">
        <v>60</v>
      </c>
      <c r="M12" s="274" t="s">
        <v>1293</v>
      </c>
      <c r="N12" s="251" t="s">
        <v>1293</v>
      </c>
    </row>
    <row r="13" spans="2:14" ht="44.25">
      <c r="B13" s="243">
        <v>21</v>
      </c>
      <c r="C13" s="276">
        <v>9</v>
      </c>
      <c r="D13" s="277" t="s">
        <v>38</v>
      </c>
      <c r="E13" s="278" t="s">
        <v>15</v>
      </c>
      <c r="F13" s="278" t="s">
        <v>15</v>
      </c>
      <c r="G13" s="279" t="s">
        <v>1294</v>
      </c>
      <c r="H13" s="290" t="s">
        <v>60</v>
      </c>
      <c r="I13" s="279" t="s">
        <v>60</v>
      </c>
      <c r="J13" s="279" t="s">
        <v>60</v>
      </c>
      <c r="K13" s="279" t="s">
        <v>1295</v>
      </c>
      <c r="L13" s="290" t="s">
        <v>1295</v>
      </c>
      <c r="M13" s="278" t="s">
        <v>1296</v>
      </c>
      <c r="N13" s="252" t="s">
        <v>1297</v>
      </c>
    </row>
    <row r="14" spans="2:14" ht="44.25">
      <c r="B14" s="242">
        <v>22</v>
      </c>
      <c r="C14" s="272">
        <v>9</v>
      </c>
      <c r="D14" s="273" t="s">
        <v>39</v>
      </c>
      <c r="E14" s="274" t="s">
        <v>16</v>
      </c>
      <c r="F14" s="274" t="s">
        <v>16</v>
      </c>
      <c r="G14" s="275" t="s">
        <v>1298</v>
      </c>
      <c r="H14" s="289" t="s">
        <v>61</v>
      </c>
      <c r="I14" s="275" t="s">
        <v>527</v>
      </c>
      <c r="J14" s="275" t="s">
        <v>527</v>
      </c>
      <c r="K14" s="275" t="s">
        <v>1299</v>
      </c>
      <c r="L14" s="289" t="s">
        <v>1698</v>
      </c>
      <c r="M14" s="274" t="s">
        <v>1301</v>
      </c>
      <c r="N14" s="251" t="s">
        <v>1297</v>
      </c>
    </row>
    <row r="15" spans="2:14" ht="44.25">
      <c r="B15" s="241">
        <v>19</v>
      </c>
      <c r="C15" s="268">
        <v>10</v>
      </c>
      <c r="D15" s="269" t="s">
        <v>36</v>
      </c>
      <c r="E15" s="270" t="s">
        <v>14</v>
      </c>
      <c r="F15" s="270" t="s">
        <v>14</v>
      </c>
      <c r="G15" s="271" t="s">
        <v>58</v>
      </c>
      <c r="H15" s="288" t="s">
        <v>58</v>
      </c>
      <c r="I15" s="271" t="s">
        <v>58</v>
      </c>
      <c r="J15" s="271" t="s">
        <v>58</v>
      </c>
      <c r="K15" s="271" t="s">
        <v>58</v>
      </c>
      <c r="L15" s="288" t="s">
        <v>58</v>
      </c>
      <c r="M15" s="270" t="s">
        <v>1302</v>
      </c>
      <c r="N15" s="250" t="s">
        <v>1302</v>
      </c>
    </row>
    <row r="16" spans="2:14" ht="44.25">
      <c r="B16" s="242">
        <v>20</v>
      </c>
      <c r="C16" s="272">
        <v>10</v>
      </c>
      <c r="D16" s="273" t="s">
        <v>37</v>
      </c>
      <c r="E16" s="274" t="s">
        <v>14</v>
      </c>
      <c r="F16" s="274" t="s">
        <v>14</v>
      </c>
      <c r="G16" s="275" t="s">
        <v>1303</v>
      </c>
      <c r="H16" s="289" t="s">
        <v>59</v>
      </c>
      <c r="I16" s="275" t="s">
        <v>59</v>
      </c>
      <c r="J16" s="275" t="s">
        <v>59</v>
      </c>
      <c r="K16" s="275" t="s">
        <v>59</v>
      </c>
      <c r="L16" s="289" t="s">
        <v>1304</v>
      </c>
      <c r="M16" s="274" t="s">
        <v>1305</v>
      </c>
      <c r="N16" s="251" t="s">
        <v>1305</v>
      </c>
    </row>
    <row r="17" spans="2:14" ht="44.25">
      <c r="B17" s="240">
        <v>1</v>
      </c>
      <c r="C17" s="264">
        <v>11</v>
      </c>
      <c r="D17" s="265" t="s">
        <v>18</v>
      </c>
      <c r="E17" s="266" t="s">
        <v>1</v>
      </c>
      <c r="F17" s="266" t="s">
        <v>1</v>
      </c>
      <c r="G17" s="267" t="s">
        <v>1079</v>
      </c>
      <c r="H17" s="287" t="s">
        <v>327</v>
      </c>
      <c r="I17" s="267" t="s">
        <v>1079</v>
      </c>
      <c r="J17" s="267" t="s">
        <v>1079</v>
      </c>
      <c r="K17" s="267" t="s">
        <v>1079</v>
      </c>
      <c r="L17" s="287" t="s">
        <v>1079</v>
      </c>
      <c r="M17" s="266" t="s">
        <v>1079</v>
      </c>
      <c r="N17" s="249" t="s">
        <v>1079</v>
      </c>
    </row>
    <row r="18" spans="2:14" ht="44.25">
      <c r="B18" s="238">
        <v>4</v>
      </c>
      <c r="C18" s="256">
        <v>12</v>
      </c>
      <c r="D18" s="257" t="s">
        <v>21</v>
      </c>
      <c r="E18" s="258" t="s">
        <v>4</v>
      </c>
      <c r="F18" s="258" t="s">
        <v>4</v>
      </c>
      <c r="G18" s="259" t="s">
        <v>43</v>
      </c>
      <c r="H18" s="285" t="s">
        <v>43</v>
      </c>
      <c r="I18" s="259" t="s">
        <v>43</v>
      </c>
      <c r="J18" s="259" t="s">
        <v>43</v>
      </c>
      <c r="K18" s="259" t="s">
        <v>1306</v>
      </c>
      <c r="L18" s="285" t="s">
        <v>1306</v>
      </c>
      <c r="M18" s="258" t="s">
        <v>1307</v>
      </c>
      <c r="N18" s="247" t="s">
        <v>1308</v>
      </c>
    </row>
    <row r="19" spans="2:14" ht="44.25">
      <c r="B19" s="244">
        <v>5</v>
      </c>
      <c r="C19" s="280">
        <v>12</v>
      </c>
      <c r="D19" s="281" t="s">
        <v>22</v>
      </c>
      <c r="E19" s="282" t="s">
        <v>1540</v>
      </c>
      <c r="F19" s="282" t="s">
        <v>22</v>
      </c>
      <c r="G19" s="283" t="s">
        <v>44</v>
      </c>
      <c r="H19" s="291" t="s">
        <v>1541</v>
      </c>
      <c r="I19" s="283" t="s">
        <v>44</v>
      </c>
      <c r="J19" s="283" t="s">
        <v>44</v>
      </c>
      <c r="K19" s="283" t="s">
        <v>1309</v>
      </c>
      <c r="L19" s="291" t="s">
        <v>1541</v>
      </c>
      <c r="M19" s="282" t="s">
        <v>1238</v>
      </c>
      <c r="N19" s="253" t="s">
        <v>1238</v>
      </c>
    </row>
    <row r="20" spans="2:14" ht="44.25">
      <c r="B20" s="238">
        <v>12</v>
      </c>
      <c r="C20" s="256">
        <v>13</v>
      </c>
      <c r="D20" s="257" t="s">
        <v>29</v>
      </c>
      <c r="E20" s="258" t="s">
        <v>10</v>
      </c>
      <c r="F20" s="258" t="s">
        <v>10</v>
      </c>
      <c r="G20" s="259" t="s">
        <v>1310</v>
      </c>
      <c r="H20" s="285" t="s">
        <v>51</v>
      </c>
      <c r="I20" s="259" t="s">
        <v>51</v>
      </c>
      <c r="J20" s="259" t="s">
        <v>51</v>
      </c>
      <c r="K20" s="259" t="s">
        <v>1311</v>
      </c>
      <c r="L20" s="285" t="s">
        <v>1311</v>
      </c>
      <c r="M20" s="258" t="s">
        <v>1312</v>
      </c>
      <c r="N20" s="247" t="s">
        <v>1313</v>
      </c>
    </row>
    <row r="21" spans="2:14" ht="44.25">
      <c r="B21" s="244">
        <v>13</v>
      </c>
      <c r="C21" s="280">
        <v>13</v>
      </c>
      <c r="D21" s="281" t="s">
        <v>30</v>
      </c>
      <c r="E21" s="282" t="s">
        <v>1544</v>
      </c>
      <c r="F21" s="282" t="s">
        <v>30</v>
      </c>
      <c r="G21" s="283" t="s">
        <v>1314</v>
      </c>
      <c r="H21" s="291" t="s">
        <v>1545</v>
      </c>
      <c r="I21" s="283" t="s">
        <v>52</v>
      </c>
      <c r="J21" s="283" t="s">
        <v>52</v>
      </c>
      <c r="K21" s="283" t="s">
        <v>1315</v>
      </c>
      <c r="L21" s="291" t="s">
        <v>1545</v>
      </c>
      <c r="M21" s="282" t="s">
        <v>1313</v>
      </c>
      <c r="N21" s="253" t="s">
        <v>1316</v>
      </c>
    </row>
    <row r="22" spans="2:14" ht="44.25">
      <c r="B22" s="243">
        <v>17</v>
      </c>
      <c r="C22" s="276">
        <v>14</v>
      </c>
      <c r="D22" s="277" t="s">
        <v>34</v>
      </c>
      <c r="E22" s="278" t="s">
        <v>13</v>
      </c>
      <c r="F22" s="278" t="s">
        <v>13</v>
      </c>
      <c r="G22" s="279" t="s">
        <v>1317</v>
      </c>
      <c r="H22" s="290" t="s">
        <v>56</v>
      </c>
      <c r="I22" s="279" t="s">
        <v>1318</v>
      </c>
      <c r="J22" s="279" t="s">
        <v>1319</v>
      </c>
      <c r="K22" s="279" t="s">
        <v>1318</v>
      </c>
      <c r="L22" s="290" t="s">
        <v>1318</v>
      </c>
      <c r="M22" s="278" t="s">
        <v>1320</v>
      </c>
      <c r="N22" s="252" t="s">
        <v>1320</v>
      </c>
    </row>
    <row r="23" spans="2:14" ht="44.25">
      <c r="B23" s="242">
        <v>18</v>
      </c>
      <c r="C23" s="272">
        <v>14</v>
      </c>
      <c r="D23" s="273" t="s">
        <v>35</v>
      </c>
      <c r="E23" s="274" t="s">
        <v>1542</v>
      </c>
      <c r="F23" s="274" t="s">
        <v>1542</v>
      </c>
      <c r="G23" s="275" t="s">
        <v>1321</v>
      </c>
      <c r="H23" s="289" t="s">
        <v>1543</v>
      </c>
      <c r="I23" s="275" t="s">
        <v>1322</v>
      </c>
      <c r="J23" s="275" t="s">
        <v>1323</v>
      </c>
      <c r="K23" s="275" t="s">
        <v>1322</v>
      </c>
      <c r="L23" s="289" t="s">
        <v>1699</v>
      </c>
      <c r="M23" s="274" t="s">
        <v>1324</v>
      </c>
      <c r="N23" s="251" t="s">
        <v>1324</v>
      </c>
    </row>
    <row r="24" spans="2:14" ht="44.25">
      <c r="B24" s="245">
        <v>14</v>
      </c>
      <c r="C24" s="264">
        <v>15</v>
      </c>
      <c r="D24" s="265" t="s">
        <v>31</v>
      </c>
      <c r="E24" s="266" t="s">
        <v>11</v>
      </c>
      <c r="F24" s="266" t="s">
        <v>11</v>
      </c>
      <c r="G24" s="267" t="s">
        <v>53</v>
      </c>
      <c r="H24" s="287" t="s">
        <v>53</v>
      </c>
      <c r="I24" s="267" t="s">
        <v>53</v>
      </c>
      <c r="J24" s="267" t="s">
        <v>53</v>
      </c>
      <c r="K24" s="267" t="s">
        <v>53</v>
      </c>
      <c r="L24" s="287" t="s">
        <v>53</v>
      </c>
      <c r="M24" s="284" t="s">
        <v>1385</v>
      </c>
      <c r="N24" s="254" t="s">
        <v>1325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47C45-B66D-4C8C-8D96-CD6B541E56FC}">
  <dimension ref="A1:R110"/>
  <sheetViews>
    <sheetView showGridLines="0" workbookViewId="0">
      <pane ySplit="2" topLeftCell="A3" activePane="bottomLeft" state="frozen"/>
      <selection pane="bottomLeft" activeCell="P5" sqref="P5"/>
    </sheetView>
  </sheetViews>
  <sheetFormatPr defaultRowHeight="22.5"/>
  <cols>
    <col min="1" max="1" width="2" customWidth="1"/>
    <col min="2" max="2" width="8.125" style="329" customWidth="1"/>
    <col min="3" max="3" width="8.125" style="1" customWidth="1"/>
    <col min="4" max="4" width="10.625" customWidth="1"/>
    <col min="5" max="8" width="14.25" customWidth="1"/>
    <col min="9" max="11" width="14.25" hidden="1" customWidth="1"/>
    <col min="12" max="13" width="14.25" customWidth="1"/>
    <col min="14" max="14" width="14.25" hidden="1" customWidth="1"/>
    <col min="16" max="18" width="9" style="41"/>
  </cols>
  <sheetData>
    <row r="1" spans="1:15" ht="9" customHeight="1"/>
    <row r="2" spans="1:15" s="41" customFormat="1" ht="25.5">
      <c r="A2"/>
      <c r="B2" s="306" t="s">
        <v>1054</v>
      </c>
      <c r="C2" s="306" t="s">
        <v>1056</v>
      </c>
      <c r="D2" s="306" t="s">
        <v>17</v>
      </c>
      <c r="E2" s="306" t="s">
        <v>324</v>
      </c>
      <c r="F2" s="306" t="s">
        <v>1057</v>
      </c>
      <c r="G2" s="306" t="s">
        <v>1875</v>
      </c>
      <c r="H2" s="306" t="s">
        <v>40</v>
      </c>
      <c r="I2" s="306" t="s">
        <v>1063</v>
      </c>
      <c r="J2" s="306" t="s">
        <v>1058</v>
      </c>
      <c r="K2" s="306" t="s">
        <v>1059</v>
      </c>
      <c r="L2" s="306" t="s">
        <v>1060</v>
      </c>
      <c r="M2" s="306" t="s">
        <v>1061</v>
      </c>
      <c r="N2" s="301" t="s">
        <v>1062</v>
      </c>
      <c r="O2"/>
    </row>
    <row r="3" spans="1:15" s="41" customFormat="1" ht="45" customHeight="1">
      <c r="A3"/>
      <c r="B3" s="330">
        <v>1</v>
      </c>
      <c r="C3" s="315">
        <f xml:space="preserve"> IF(MOD(韻母表_47[[#This Row],[序號]],2)=0, 韻母表_47[[#This Row],[序號]]/2, ROUNDUP(韻母表_47[[#This Row],[序號]]/2,0))</f>
        <v>1</v>
      </c>
      <c r="D3" s="307" t="s">
        <v>240</v>
      </c>
      <c r="E3" s="320" t="s">
        <v>1383</v>
      </c>
      <c r="F3" s="316" t="s">
        <v>162</v>
      </c>
      <c r="G3" s="316"/>
      <c r="H3" s="316" t="s">
        <v>162</v>
      </c>
      <c r="I3" s="316" t="s">
        <v>162</v>
      </c>
      <c r="J3" s="316" t="s">
        <v>162</v>
      </c>
      <c r="K3" s="316" t="s">
        <v>162</v>
      </c>
      <c r="L3" s="316" t="s">
        <v>162</v>
      </c>
      <c r="M3" s="327" t="s">
        <v>1066</v>
      </c>
      <c r="N3" s="302" t="s">
        <v>1066</v>
      </c>
      <c r="O3"/>
    </row>
    <row r="4" spans="1:15" s="41" customFormat="1" ht="45" customHeight="1">
      <c r="A4"/>
      <c r="B4" s="330">
        <v>2</v>
      </c>
      <c r="C4" s="315">
        <f xml:space="preserve"> IF(MOD(韻母表_47[[#This Row],[序號]],2)=0, 韻母表_47[[#This Row],[序號]]/2, ROUNDUP(韻母表_47[[#This Row],[序號]]/2,0))</f>
        <v>1</v>
      </c>
      <c r="D4" s="307" t="s">
        <v>242</v>
      </c>
      <c r="E4" s="320" t="s">
        <v>63</v>
      </c>
      <c r="F4" s="316" t="s">
        <v>1067</v>
      </c>
      <c r="G4" s="316"/>
      <c r="H4" s="316" t="s">
        <v>163</v>
      </c>
      <c r="I4" s="316" t="s">
        <v>163</v>
      </c>
      <c r="J4" s="316" t="s">
        <v>163</v>
      </c>
      <c r="K4" s="316" t="s">
        <v>163</v>
      </c>
      <c r="L4" s="316" t="s">
        <v>163</v>
      </c>
      <c r="M4" s="327" t="s">
        <v>1068</v>
      </c>
      <c r="N4" s="303" t="s">
        <v>1069</v>
      </c>
      <c r="O4"/>
    </row>
    <row r="5" spans="1:15" s="41" customFormat="1" ht="45" customHeight="1">
      <c r="A5"/>
      <c r="B5" s="330">
        <v>3</v>
      </c>
      <c r="C5" s="315">
        <f xml:space="preserve"> IF(MOD(韻母表_47[[#This Row],[序號]],2)=0, 韻母表_47[[#This Row],[序號]]/2, ROUNDUP(韻母表_47[[#This Row],[序號]]/2,0))</f>
        <v>2</v>
      </c>
      <c r="D5" s="307" t="s">
        <v>241</v>
      </c>
      <c r="E5" s="320" t="s">
        <v>64</v>
      </c>
      <c r="F5" s="316" t="s">
        <v>1840</v>
      </c>
      <c r="G5" s="316"/>
      <c r="H5" s="316" t="s">
        <v>164</v>
      </c>
      <c r="I5" s="316" t="s">
        <v>164</v>
      </c>
      <c r="J5" s="316" t="s">
        <v>164</v>
      </c>
      <c r="K5" s="316" t="s">
        <v>164</v>
      </c>
      <c r="L5" s="316" t="s">
        <v>164</v>
      </c>
      <c r="M5" s="327" t="s">
        <v>1070</v>
      </c>
      <c r="N5" s="303" t="s">
        <v>1070</v>
      </c>
      <c r="O5"/>
    </row>
    <row r="6" spans="1:15" s="41" customFormat="1" ht="45" customHeight="1">
      <c r="A6"/>
      <c r="B6" s="330">
        <v>4</v>
      </c>
      <c r="C6" s="315">
        <f xml:space="preserve"> IF(MOD(韻母表_47[[#This Row],[序號]],2)=0, 韻母表_47[[#This Row],[序號]]/2, ROUNDUP(韻母表_47[[#This Row],[序號]]/2,0))</f>
        <v>2</v>
      </c>
      <c r="D6" s="307" t="s">
        <v>243</v>
      </c>
      <c r="E6" s="320" t="s">
        <v>65</v>
      </c>
      <c r="F6" s="316" t="s">
        <v>1841</v>
      </c>
      <c r="G6" s="316"/>
      <c r="H6" s="316" t="s">
        <v>165</v>
      </c>
      <c r="I6" s="316" t="s">
        <v>165</v>
      </c>
      <c r="J6" s="316" t="s">
        <v>165</v>
      </c>
      <c r="K6" s="316" t="s">
        <v>165</v>
      </c>
      <c r="L6" s="316" t="s">
        <v>165</v>
      </c>
      <c r="M6" s="327" t="s">
        <v>1071</v>
      </c>
      <c r="N6" s="303" t="s">
        <v>1072</v>
      </c>
      <c r="O6"/>
    </row>
    <row r="7" spans="1:15" s="41" customFormat="1" ht="45" customHeight="1">
      <c r="A7"/>
      <c r="B7" s="330">
        <v>5</v>
      </c>
      <c r="C7" s="315">
        <f xml:space="preserve"> IF(MOD(韻母表_47[[#This Row],[序號]],2)=0, 韻母表_47[[#This Row],[序號]]/2, ROUNDUP(韻母表_47[[#This Row],[序號]]/2,0))</f>
        <v>3</v>
      </c>
      <c r="D7" s="307" t="s">
        <v>244</v>
      </c>
      <c r="E7" s="320" t="s">
        <v>66</v>
      </c>
      <c r="F7" s="316" t="s">
        <v>166</v>
      </c>
      <c r="G7" s="316"/>
      <c r="H7" s="316" t="s">
        <v>166</v>
      </c>
      <c r="I7" s="316" t="s">
        <v>166</v>
      </c>
      <c r="J7" s="316" t="s">
        <v>166</v>
      </c>
      <c r="K7" s="316" t="s">
        <v>166</v>
      </c>
      <c r="L7" s="316" t="s">
        <v>166</v>
      </c>
      <c r="M7" s="327" t="s">
        <v>1073</v>
      </c>
      <c r="N7" s="303" t="s">
        <v>1074</v>
      </c>
      <c r="O7"/>
    </row>
    <row r="8" spans="1:15" s="41" customFormat="1" ht="45" customHeight="1">
      <c r="A8"/>
      <c r="B8" s="330">
        <v>6</v>
      </c>
      <c r="C8" s="315">
        <f xml:space="preserve"> IF(MOD(韻母表_47[[#This Row],[序號]],2)=0, 韻母表_47[[#This Row],[序號]]/2, ROUNDUP(韻母表_47[[#This Row],[序號]]/2,0))</f>
        <v>3</v>
      </c>
      <c r="D8" s="307" t="s">
        <v>247</v>
      </c>
      <c r="E8" s="320" t="s">
        <v>67</v>
      </c>
      <c r="F8" s="316" t="s">
        <v>1075</v>
      </c>
      <c r="G8" s="316"/>
      <c r="H8" s="316" t="s">
        <v>167</v>
      </c>
      <c r="I8" s="316" t="s">
        <v>167</v>
      </c>
      <c r="J8" s="316" t="s">
        <v>167</v>
      </c>
      <c r="K8" s="316" t="s">
        <v>167</v>
      </c>
      <c r="L8" s="316" t="s">
        <v>167</v>
      </c>
      <c r="M8" s="327" t="s">
        <v>1076</v>
      </c>
      <c r="N8" s="303" t="s">
        <v>1077</v>
      </c>
      <c r="O8"/>
    </row>
    <row r="9" spans="1:15" s="41" customFormat="1" ht="45" customHeight="1">
      <c r="A9"/>
      <c r="B9" s="330">
        <v>7</v>
      </c>
      <c r="C9" s="315">
        <f xml:space="preserve"> IF(MOD(韻母表_47[[#This Row],[序號]],2)=0, 韻母表_47[[#This Row],[序號]]/2, ROUNDUP(韻母表_47[[#This Row],[序號]]/2,0))</f>
        <v>4</v>
      </c>
      <c r="D9" s="307" t="s">
        <v>248</v>
      </c>
      <c r="E9" s="320" t="s">
        <v>68</v>
      </c>
      <c r="F9" s="316" t="s">
        <v>168</v>
      </c>
      <c r="G9" s="316"/>
      <c r="H9" s="316" t="s">
        <v>168</v>
      </c>
      <c r="I9" s="316" t="s">
        <v>168</v>
      </c>
      <c r="J9" s="316" t="s">
        <v>168</v>
      </c>
      <c r="K9" s="316" t="s">
        <v>168</v>
      </c>
      <c r="L9" s="316" t="s">
        <v>168</v>
      </c>
      <c r="M9" s="327" t="s">
        <v>1078</v>
      </c>
      <c r="N9" s="303" t="s">
        <v>1078</v>
      </c>
      <c r="O9"/>
    </row>
    <row r="10" spans="1:15" s="41" customFormat="1" ht="45" customHeight="1">
      <c r="A10"/>
      <c r="B10" s="331">
        <v>8</v>
      </c>
      <c r="C10" s="315">
        <f xml:space="preserve"> IF(MOD(韻母表_47[[#This Row],[序號]],2)=0, 韻母表_47[[#This Row],[序號]]/2, ROUNDUP(韻母表_47[[#This Row],[序號]]/2,0))</f>
        <v>4</v>
      </c>
      <c r="D10" s="308"/>
      <c r="E10" s="321" t="s">
        <v>69</v>
      </c>
      <c r="F10" s="317" t="s">
        <v>1079</v>
      </c>
      <c r="G10" s="317"/>
      <c r="H10" s="317" t="s">
        <v>1079</v>
      </c>
      <c r="I10" s="317" t="s">
        <v>1079</v>
      </c>
      <c r="J10" s="317" t="s">
        <v>1079</v>
      </c>
      <c r="K10" s="317" t="s">
        <v>1079</v>
      </c>
      <c r="L10" s="317" t="s">
        <v>1079</v>
      </c>
      <c r="M10" s="328" t="s">
        <v>1079</v>
      </c>
      <c r="N10" s="304" t="s">
        <v>1079</v>
      </c>
      <c r="O10"/>
    </row>
    <row r="11" spans="1:15" s="41" customFormat="1" ht="45" customHeight="1">
      <c r="A11"/>
      <c r="B11" s="330">
        <v>9</v>
      </c>
      <c r="C11" s="315">
        <f xml:space="preserve"> IF(MOD(韻母表_47[[#This Row],[序號]],2)=0, 韻母表_47[[#This Row],[序號]]/2, ROUNDUP(韻母表_47[[#This Row],[序號]]/2,0))</f>
        <v>5</v>
      </c>
      <c r="D11" s="309" t="s">
        <v>249</v>
      </c>
      <c r="E11" s="322" t="s">
        <v>70</v>
      </c>
      <c r="F11" s="316" t="s">
        <v>1328</v>
      </c>
      <c r="G11" s="316" t="s">
        <v>1398</v>
      </c>
      <c r="H11" s="316" t="s">
        <v>1876</v>
      </c>
      <c r="I11" s="316" t="s">
        <v>1876</v>
      </c>
      <c r="J11" s="316">
        <v>0</v>
      </c>
      <c r="K11" s="316">
        <v>0</v>
      </c>
      <c r="L11" s="316">
        <v>0</v>
      </c>
      <c r="M11" s="327" t="s">
        <v>1081</v>
      </c>
      <c r="N11" s="303" t="s">
        <v>1081</v>
      </c>
      <c r="O11"/>
    </row>
    <row r="12" spans="1:15" s="41" customFormat="1" ht="45" customHeight="1">
      <c r="A12"/>
      <c r="B12" s="330">
        <v>10</v>
      </c>
      <c r="C12" s="315">
        <f xml:space="preserve"> IF(MOD(韻母表_47[[#This Row],[序號]],2)=0, 韻母表_47[[#This Row],[序號]]/2, ROUNDUP(韻母表_47[[#This Row],[序號]]/2,0))</f>
        <v>5</v>
      </c>
      <c r="D12" s="309" t="s">
        <v>250</v>
      </c>
      <c r="E12" s="322" t="s">
        <v>71</v>
      </c>
      <c r="F12" s="316" t="s">
        <v>1382</v>
      </c>
      <c r="G12" s="316" t="s">
        <v>1877</v>
      </c>
      <c r="H12" s="316" t="s">
        <v>1878</v>
      </c>
      <c r="I12" s="316" t="s">
        <v>1878</v>
      </c>
      <c r="J12" s="316">
        <v>0</v>
      </c>
      <c r="K12" s="316">
        <v>0</v>
      </c>
      <c r="L12" s="316">
        <v>0</v>
      </c>
      <c r="M12" s="327" t="s">
        <v>1083</v>
      </c>
      <c r="N12" s="303" t="s">
        <v>1084</v>
      </c>
      <c r="O12"/>
    </row>
    <row r="13" spans="1:15" s="41" customFormat="1" ht="45" customHeight="1">
      <c r="A13"/>
      <c r="B13" s="330">
        <v>11</v>
      </c>
      <c r="C13" s="315">
        <f xml:space="preserve"> IF(MOD(韻母表_47[[#This Row],[序號]],2)=0, 韻母表_47[[#This Row],[序號]]/2, ROUNDUP(韻母表_47[[#This Row],[序號]]/2,0))</f>
        <v>6</v>
      </c>
      <c r="D13" s="307" t="s">
        <v>251</v>
      </c>
      <c r="E13" s="320" t="s">
        <v>72</v>
      </c>
      <c r="F13" s="316" t="s">
        <v>171</v>
      </c>
      <c r="G13" s="316"/>
      <c r="H13" s="316" t="s">
        <v>171</v>
      </c>
      <c r="I13" s="316" t="s">
        <v>171</v>
      </c>
      <c r="J13" s="316" t="s">
        <v>171</v>
      </c>
      <c r="K13" s="316" t="s">
        <v>171</v>
      </c>
      <c r="L13" s="316" t="s">
        <v>171</v>
      </c>
      <c r="M13" s="327" t="s">
        <v>1085</v>
      </c>
      <c r="N13" s="303" t="s">
        <v>1085</v>
      </c>
      <c r="O13"/>
    </row>
    <row r="14" spans="1:15" s="41" customFormat="1" ht="45" customHeight="1">
      <c r="A14"/>
      <c r="B14" s="330">
        <v>12</v>
      </c>
      <c r="C14" s="315">
        <f xml:space="preserve"> IF(MOD(韻母表_47[[#This Row],[序號]],2)=0, 韻母表_47[[#This Row],[序號]]/2, ROUNDUP(韻母表_47[[#This Row],[序號]]/2,0))</f>
        <v>6</v>
      </c>
      <c r="D14" s="307" t="s">
        <v>245</v>
      </c>
      <c r="E14" s="320" t="s">
        <v>73</v>
      </c>
      <c r="F14" s="316" t="s">
        <v>1086</v>
      </c>
      <c r="G14" s="316"/>
      <c r="H14" s="316" t="s">
        <v>172</v>
      </c>
      <c r="I14" s="316" t="s">
        <v>172</v>
      </c>
      <c r="J14" s="316" t="s">
        <v>172</v>
      </c>
      <c r="K14" s="316" t="s">
        <v>172</v>
      </c>
      <c r="L14" s="316" t="s">
        <v>172</v>
      </c>
      <c r="M14" s="327" t="s">
        <v>1087</v>
      </c>
      <c r="N14" s="303" t="s">
        <v>1088</v>
      </c>
      <c r="O14"/>
    </row>
    <row r="15" spans="1:15" s="41" customFormat="1" ht="45" customHeight="1">
      <c r="A15"/>
      <c r="B15" s="330">
        <v>13</v>
      </c>
      <c r="C15" s="315">
        <f xml:space="preserve"> IF(MOD(韻母表_47[[#This Row],[序號]],2)=0, 韻母表_47[[#This Row],[序號]]/2, ROUNDUP(韻母表_47[[#This Row],[序號]]/2,0))</f>
        <v>7</v>
      </c>
      <c r="D15" s="307" t="s">
        <v>255</v>
      </c>
      <c r="E15" s="320" t="s">
        <v>74</v>
      </c>
      <c r="F15" s="316" t="s">
        <v>1842</v>
      </c>
      <c r="G15" s="316"/>
      <c r="H15" s="316" t="s">
        <v>173</v>
      </c>
      <c r="I15" s="316" t="s">
        <v>173</v>
      </c>
      <c r="J15" s="316" t="s">
        <v>173</v>
      </c>
      <c r="K15" s="316" t="s">
        <v>173</v>
      </c>
      <c r="L15" s="316" t="s">
        <v>173</v>
      </c>
      <c r="M15" s="327" t="s">
        <v>1089</v>
      </c>
      <c r="N15" s="303" t="s">
        <v>1090</v>
      </c>
      <c r="O15"/>
    </row>
    <row r="16" spans="1:15" s="41" customFormat="1" ht="45" customHeight="1">
      <c r="A16"/>
      <c r="B16" s="330">
        <v>14</v>
      </c>
      <c r="C16" s="315">
        <f xml:space="preserve"> IF(MOD(韻母表_47[[#This Row],[序號]],2)=0, 韻母表_47[[#This Row],[序號]]/2, ROUNDUP(韻母表_47[[#This Row],[序號]]/2,0))</f>
        <v>7</v>
      </c>
      <c r="D16" s="307" t="s">
        <v>256</v>
      </c>
      <c r="E16" s="320" t="s">
        <v>75</v>
      </c>
      <c r="F16" s="316" t="s">
        <v>1843</v>
      </c>
      <c r="G16" s="316"/>
      <c r="H16" s="316" t="s">
        <v>174</v>
      </c>
      <c r="I16" s="316" t="s">
        <v>174</v>
      </c>
      <c r="J16" s="316" t="s">
        <v>174</v>
      </c>
      <c r="K16" s="316" t="s">
        <v>174</v>
      </c>
      <c r="L16" s="316" t="s">
        <v>174</v>
      </c>
      <c r="M16" s="327" t="s">
        <v>1091</v>
      </c>
      <c r="N16" s="303" t="s">
        <v>1092</v>
      </c>
      <c r="O16"/>
    </row>
    <row r="17" spans="1:15" s="41" customFormat="1" ht="45" customHeight="1">
      <c r="A17"/>
      <c r="B17" s="330">
        <v>15</v>
      </c>
      <c r="C17" s="315">
        <f xml:space="preserve"> IF(MOD(韻母表_47[[#This Row],[序號]],2)=0, 韻母表_47[[#This Row],[序號]]/2, ROUNDUP(韻母表_47[[#This Row],[序號]]/2,0))</f>
        <v>8</v>
      </c>
      <c r="D17" s="307" t="s">
        <v>257</v>
      </c>
      <c r="E17" s="320" t="s">
        <v>76</v>
      </c>
      <c r="F17" s="316" t="s">
        <v>175</v>
      </c>
      <c r="G17" s="316"/>
      <c r="H17" s="316" t="s">
        <v>175</v>
      </c>
      <c r="I17" s="316" t="s">
        <v>175</v>
      </c>
      <c r="J17" s="316" t="s">
        <v>1093</v>
      </c>
      <c r="K17" s="316" t="s">
        <v>175</v>
      </c>
      <c r="L17" s="316" t="s">
        <v>175</v>
      </c>
      <c r="M17" s="327" t="s">
        <v>1094</v>
      </c>
      <c r="N17" s="303" t="s">
        <v>1094</v>
      </c>
      <c r="O17"/>
    </row>
    <row r="18" spans="1:15" s="41" customFormat="1" ht="45" customHeight="1">
      <c r="A18"/>
      <c r="B18" s="330">
        <v>16</v>
      </c>
      <c r="C18" s="315">
        <f xml:space="preserve"> IF(MOD(韻母表_47[[#This Row],[序號]],2)=0, 韻母表_47[[#This Row],[序號]]/2, ROUNDUP(韻母表_47[[#This Row],[序號]]/2,0))</f>
        <v>8</v>
      </c>
      <c r="D18" s="310" t="s">
        <v>258</v>
      </c>
      <c r="E18" s="323" t="s">
        <v>77</v>
      </c>
      <c r="F18" s="316" t="s">
        <v>1095</v>
      </c>
      <c r="G18" s="316"/>
      <c r="H18" s="316" t="s">
        <v>176</v>
      </c>
      <c r="I18" s="316" t="s">
        <v>176</v>
      </c>
      <c r="J18" s="316" t="s">
        <v>1096</v>
      </c>
      <c r="K18" s="316" t="s">
        <v>176</v>
      </c>
      <c r="L18" s="316" t="s">
        <v>176</v>
      </c>
      <c r="M18" s="327" t="s">
        <v>1097</v>
      </c>
      <c r="N18" s="303" t="s">
        <v>1098</v>
      </c>
      <c r="O18"/>
    </row>
    <row r="19" spans="1:15" s="41" customFormat="1" ht="45" customHeight="1">
      <c r="A19"/>
      <c r="B19" s="330">
        <v>17</v>
      </c>
      <c r="C19" s="315">
        <f xml:space="preserve"> IF(MOD(韻母表_47[[#This Row],[序號]],2)=0, 韻母表_47[[#This Row],[序號]]/2, ROUNDUP(韻母表_47[[#This Row],[序號]]/2,0))</f>
        <v>9</v>
      </c>
      <c r="D19" s="307" t="s">
        <v>259</v>
      </c>
      <c r="E19" s="320" t="s">
        <v>78</v>
      </c>
      <c r="F19" s="316" t="s">
        <v>1844</v>
      </c>
      <c r="G19" s="316" t="s">
        <v>1371</v>
      </c>
      <c r="H19" s="316" t="s">
        <v>1373</v>
      </c>
      <c r="I19" s="316" t="s">
        <v>1373</v>
      </c>
      <c r="J19" s="316" t="s">
        <v>1099</v>
      </c>
      <c r="K19" s="316" t="s">
        <v>1373</v>
      </c>
      <c r="L19" s="316" t="s">
        <v>1373</v>
      </c>
      <c r="M19" s="327" t="s">
        <v>1375</v>
      </c>
      <c r="N19" s="303" t="s">
        <v>1375</v>
      </c>
      <c r="O19"/>
    </row>
    <row r="20" spans="1:15" s="41" customFormat="1" ht="45" customHeight="1">
      <c r="A20"/>
      <c r="B20" s="330">
        <v>18</v>
      </c>
      <c r="C20" s="315">
        <f xml:space="preserve"> IF(MOD(韻母表_47[[#This Row],[序號]],2)=0, 韻母表_47[[#This Row],[序號]]/2, ROUNDUP(韻母表_47[[#This Row],[序號]]/2,0))</f>
        <v>9</v>
      </c>
      <c r="D20" s="307" t="s">
        <v>35</v>
      </c>
      <c r="E20" s="320" t="s">
        <v>79</v>
      </c>
      <c r="F20" s="316" t="s">
        <v>1845</v>
      </c>
      <c r="G20" s="316" t="s">
        <v>1372</v>
      </c>
      <c r="H20" s="316" t="s">
        <v>1374</v>
      </c>
      <c r="I20" s="316" t="s">
        <v>1374</v>
      </c>
      <c r="J20" s="316" t="s">
        <v>1100</v>
      </c>
      <c r="K20" s="316" t="s">
        <v>1374</v>
      </c>
      <c r="L20" s="316" t="s">
        <v>1374</v>
      </c>
      <c r="M20" s="327" t="s">
        <v>1885</v>
      </c>
      <c r="N20" s="303" t="s">
        <v>1377</v>
      </c>
      <c r="O20"/>
    </row>
    <row r="21" spans="1:15" s="41" customFormat="1" ht="45" customHeight="1">
      <c r="A21"/>
      <c r="B21" s="330">
        <v>19</v>
      </c>
      <c r="C21" s="315">
        <f xml:space="preserve"> IF(MOD(韻母表_47[[#This Row],[序號]],2)=0, 韻母表_47[[#This Row],[序號]]/2, ROUNDUP(韻母表_47[[#This Row],[序號]]/2,0))</f>
        <v>10</v>
      </c>
      <c r="D21" s="307" t="s">
        <v>260</v>
      </c>
      <c r="E21" s="320" t="s">
        <v>80</v>
      </c>
      <c r="F21" s="316" t="s">
        <v>179</v>
      </c>
      <c r="G21" s="316"/>
      <c r="H21" s="316" t="s">
        <v>179</v>
      </c>
      <c r="I21" s="316" t="s">
        <v>179</v>
      </c>
      <c r="J21" s="316" t="s">
        <v>1101</v>
      </c>
      <c r="K21" s="316" t="s">
        <v>179</v>
      </c>
      <c r="L21" s="316" t="s">
        <v>179</v>
      </c>
      <c r="M21" s="327" t="s">
        <v>1102</v>
      </c>
      <c r="N21" s="303" t="s">
        <v>1102</v>
      </c>
      <c r="O21"/>
    </row>
    <row r="22" spans="1:15" s="41" customFormat="1" ht="45" customHeight="1">
      <c r="A22"/>
      <c r="B22" s="330">
        <v>20</v>
      </c>
      <c r="C22" s="315">
        <f xml:space="preserve"> IF(MOD(韻母表_47[[#This Row],[序號]],2)=0, 韻母表_47[[#This Row],[序號]]/2, ROUNDUP(韻母表_47[[#This Row],[序號]]/2,0))</f>
        <v>10</v>
      </c>
      <c r="D22" s="307" t="s">
        <v>261</v>
      </c>
      <c r="E22" s="320" t="s">
        <v>81</v>
      </c>
      <c r="F22" s="316" t="s">
        <v>1103</v>
      </c>
      <c r="G22" s="316"/>
      <c r="H22" s="316" t="s">
        <v>180</v>
      </c>
      <c r="I22" s="316" t="s">
        <v>180</v>
      </c>
      <c r="J22" s="316" t="s">
        <v>1104</v>
      </c>
      <c r="K22" s="316" t="s">
        <v>180</v>
      </c>
      <c r="L22" s="316" t="s">
        <v>180</v>
      </c>
      <c r="M22" s="327" t="s">
        <v>1105</v>
      </c>
      <c r="N22" s="303" t="s">
        <v>1106</v>
      </c>
      <c r="O22"/>
    </row>
    <row r="23" spans="1:15" s="41" customFormat="1" ht="45" customHeight="1">
      <c r="A23"/>
      <c r="B23" s="330">
        <v>21</v>
      </c>
      <c r="C23" s="315">
        <f xml:space="preserve"> IF(MOD(韻母表_47[[#This Row],[序號]],2)=0, 韻母表_47[[#This Row],[序號]]/2, ROUNDUP(韻母表_47[[#This Row],[序號]]/2,0))</f>
        <v>11</v>
      </c>
      <c r="D23" s="307" t="s">
        <v>262</v>
      </c>
      <c r="E23" s="320" t="s">
        <v>82</v>
      </c>
      <c r="F23" s="316" t="s">
        <v>1846</v>
      </c>
      <c r="G23" s="316" t="s">
        <v>1378</v>
      </c>
      <c r="H23" s="316" t="s">
        <v>181</v>
      </c>
      <c r="I23" s="316" t="s">
        <v>181</v>
      </c>
      <c r="J23" s="316" t="s">
        <v>1108</v>
      </c>
      <c r="K23" s="316" t="s">
        <v>181</v>
      </c>
      <c r="L23" s="316" t="s">
        <v>181</v>
      </c>
      <c r="M23" s="327" t="s">
        <v>1109</v>
      </c>
      <c r="N23" s="303" t="s">
        <v>1110</v>
      </c>
      <c r="O23"/>
    </row>
    <row r="24" spans="1:15" s="41" customFormat="1" ht="45" customHeight="1">
      <c r="A24"/>
      <c r="B24" s="330">
        <v>22</v>
      </c>
      <c r="C24" s="315">
        <f xml:space="preserve"> IF(MOD(韻母表_47[[#This Row],[序號]],2)=0, 韻母表_47[[#This Row],[序號]]/2, ROUNDUP(韻母表_47[[#This Row],[序號]]/2,0))</f>
        <v>11</v>
      </c>
      <c r="D24" s="307"/>
      <c r="E24" s="320" t="s">
        <v>1384</v>
      </c>
      <c r="F24" s="316" t="str">
        <f xml:space="preserve"> _xlfn.CONCAT(F23, "h")</f>
        <v>ɔh</v>
      </c>
      <c r="G24" s="316"/>
      <c r="H24" s="316" t="str">
        <f xml:space="preserve"> _xlfn.CONCAT(H23, "h")</f>
        <v>ooh</v>
      </c>
      <c r="I24" s="316" t="str">
        <f xml:space="preserve"> _xlfn.CONCAT(I23, "h")</f>
        <v>ooh</v>
      </c>
      <c r="J24" s="316" t="str">
        <f xml:space="preserve"> _xlfn.CONCAT(J23, "h")</f>
        <v>o͘h</v>
      </c>
      <c r="K24" s="316" t="str">
        <f xml:space="preserve"> _xlfn.CONCAT(K23, "h")</f>
        <v>ooh</v>
      </c>
      <c r="L24" s="316" t="str">
        <f xml:space="preserve"> _xlfn.CONCAT(L23, "h")</f>
        <v>ooh</v>
      </c>
      <c r="M24" s="327" t="str">
        <f xml:space="preserve"> _xlfn.CONCAT(M23, "ㆷ")</f>
        <v>ㆦㆷ</v>
      </c>
      <c r="N24" s="303" t="str">
        <f xml:space="preserve"> _xlfn.CONCAT(N23, "ㄏ")</f>
        <v>ㄛㄏ</v>
      </c>
      <c r="O24"/>
    </row>
    <row r="25" spans="1:15" s="41" customFormat="1" ht="45" customHeight="1">
      <c r="A25"/>
      <c r="B25" s="330">
        <v>23</v>
      </c>
      <c r="C25" s="315">
        <f xml:space="preserve"> IF(MOD(韻母表_47[[#This Row],[序號]],2)=0, 韻母表_47[[#This Row],[序號]]/2, ROUNDUP(韻母表_47[[#This Row],[序號]]/2,0))</f>
        <v>12</v>
      </c>
      <c r="D25" s="307" t="s">
        <v>263</v>
      </c>
      <c r="E25" s="320" t="s">
        <v>84</v>
      </c>
      <c r="F25" s="316" t="s">
        <v>1847</v>
      </c>
      <c r="G25" s="316"/>
      <c r="H25" s="316" t="s">
        <v>182</v>
      </c>
      <c r="I25" s="316" t="s">
        <v>182</v>
      </c>
      <c r="J25" s="316" t="s">
        <v>182</v>
      </c>
      <c r="K25" s="316" t="s">
        <v>1111</v>
      </c>
      <c r="L25" s="316" t="s">
        <v>182</v>
      </c>
      <c r="M25" s="327" t="s">
        <v>1112</v>
      </c>
      <c r="N25" s="303" t="s">
        <v>1112</v>
      </c>
      <c r="O25"/>
    </row>
    <row r="26" spans="1:15" s="41" customFormat="1" ht="45" customHeight="1">
      <c r="A26"/>
      <c r="B26" s="330">
        <v>24</v>
      </c>
      <c r="C26" s="315">
        <f xml:space="preserve"> IF(MOD(韻母表_47[[#This Row],[序號]],2)=0, 韻母表_47[[#This Row],[序號]]/2, ROUNDUP(韻母表_47[[#This Row],[序號]]/2,0))</f>
        <v>12</v>
      </c>
      <c r="D26" s="311" t="s">
        <v>264</v>
      </c>
      <c r="E26" s="324" t="s">
        <v>85</v>
      </c>
      <c r="F26" s="316" t="s">
        <v>1848</v>
      </c>
      <c r="G26" s="316"/>
      <c r="H26" s="316" t="s">
        <v>183</v>
      </c>
      <c r="I26" s="316" t="s">
        <v>183</v>
      </c>
      <c r="J26" s="316" t="s">
        <v>183</v>
      </c>
      <c r="K26" s="316" t="s">
        <v>1113</v>
      </c>
      <c r="L26" s="316" t="s">
        <v>183</v>
      </c>
      <c r="M26" s="327" t="s">
        <v>1114</v>
      </c>
      <c r="N26" s="303" t="s">
        <v>1115</v>
      </c>
      <c r="O26"/>
    </row>
    <row r="27" spans="1:15" s="41" customFormat="1" ht="45" customHeight="1">
      <c r="A27"/>
      <c r="B27" s="330">
        <v>25</v>
      </c>
      <c r="C27" s="315">
        <f xml:space="preserve"> IF(MOD(韻母表_47[[#This Row],[序號]],2)=0, 韻母表_47[[#This Row],[序號]]/2, ROUNDUP(韻母表_47[[#This Row],[序號]]/2,0))</f>
        <v>13</v>
      </c>
      <c r="D27" s="309" t="s">
        <v>265</v>
      </c>
      <c r="E27" s="322" t="s">
        <v>86</v>
      </c>
      <c r="F27" s="316" t="s">
        <v>1328</v>
      </c>
      <c r="G27" s="316" t="s">
        <v>1879</v>
      </c>
      <c r="H27" s="316" t="s">
        <v>1328</v>
      </c>
      <c r="I27" s="316" t="s">
        <v>1879</v>
      </c>
      <c r="J27" s="316" t="s">
        <v>1328</v>
      </c>
      <c r="K27" s="316" t="s">
        <v>1328</v>
      </c>
      <c r="L27" s="316" t="s">
        <v>1328</v>
      </c>
      <c r="M27" s="327" t="s">
        <v>1117</v>
      </c>
      <c r="N27" s="303" t="s">
        <v>1081</v>
      </c>
      <c r="O27"/>
    </row>
    <row r="28" spans="1:15" s="41" customFormat="1" ht="45" customHeight="1">
      <c r="A28"/>
      <c r="B28" s="330">
        <v>26</v>
      </c>
      <c r="C28" s="315">
        <f xml:space="preserve"> IF(MOD(韻母表_47[[#This Row],[序號]],2)=0, 韻母表_47[[#This Row],[序號]]/2, ROUNDUP(韻母表_47[[#This Row],[序號]]/2,0))</f>
        <v>13</v>
      </c>
      <c r="D28" s="311"/>
      <c r="E28" s="324"/>
      <c r="F28" s="316" t="s">
        <v>1079</v>
      </c>
      <c r="G28" s="316"/>
      <c r="H28" s="316" t="s">
        <v>1079</v>
      </c>
      <c r="I28" s="316" t="s">
        <v>1079</v>
      </c>
      <c r="J28" s="316" t="s">
        <v>1079</v>
      </c>
      <c r="K28" s="316" t="s">
        <v>1079</v>
      </c>
      <c r="L28" s="316" t="s">
        <v>1079</v>
      </c>
      <c r="M28" s="327" t="s">
        <v>1079</v>
      </c>
      <c r="N28" s="303" t="s">
        <v>1079</v>
      </c>
      <c r="O28"/>
    </row>
    <row r="29" spans="1:15" s="41" customFormat="1" ht="45" customHeight="1">
      <c r="A29"/>
      <c r="B29" s="330">
        <v>27</v>
      </c>
      <c r="C29" s="315">
        <f xml:space="preserve"> IF(MOD(韻母表_47[[#This Row],[序號]],2)=0, 韻母表_47[[#This Row],[序號]]/2, ROUNDUP(韻母表_47[[#This Row],[序號]]/2,0))</f>
        <v>14</v>
      </c>
      <c r="D29" s="307" t="s">
        <v>266</v>
      </c>
      <c r="E29" s="320" t="s">
        <v>88</v>
      </c>
      <c r="F29" s="316" t="s">
        <v>1849</v>
      </c>
      <c r="G29" s="316"/>
      <c r="H29" s="316" t="s">
        <v>185</v>
      </c>
      <c r="I29" s="316" t="s">
        <v>185</v>
      </c>
      <c r="J29" s="316" t="s">
        <v>185</v>
      </c>
      <c r="K29" s="316" t="s">
        <v>185</v>
      </c>
      <c r="L29" s="316" t="s">
        <v>185</v>
      </c>
      <c r="M29" s="327" t="s">
        <v>1118</v>
      </c>
      <c r="N29" s="303" t="s">
        <v>1119</v>
      </c>
      <c r="O29"/>
    </row>
    <row r="30" spans="1:15" s="41" customFormat="1" ht="45" customHeight="1">
      <c r="A30"/>
      <c r="B30" s="330">
        <v>28</v>
      </c>
      <c r="C30" s="315">
        <f xml:space="preserve"> IF(MOD(韻母表_47[[#This Row],[序號]],2)=0, 韻母表_47[[#This Row],[序號]]/2, ROUNDUP(韻母表_47[[#This Row],[序號]]/2,0))</f>
        <v>14</v>
      </c>
      <c r="D30" s="307" t="s">
        <v>267</v>
      </c>
      <c r="E30" s="320" t="s">
        <v>89</v>
      </c>
      <c r="F30" s="316" t="s">
        <v>1850</v>
      </c>
      <c r="G30" s="316"/>
      <c r="H30" s="316" t="s">
        <v>186</v>
      </c>
      <c r="I30" s="316" t="s">
        <v>186</v>
      </c>
      <c r="J30" s="316" t="s">
        <v>186</v>
      </c>
      <c r="K30" s="316" t="s">
        <v>186</v>
      </c>
      <c r="L30" s="316" t="s">
        <v>1120</v>
      </c>
      <c r="M30" s="327" t="s">
        <v>1121</v>
      </c>
      <c r="N30" s="303" t="s">
        <v>1122</v>
      </c>
      <c r="O30"/>
    </row>
    <row r="31" spans="1:15" s="41" customFormat="1" ht="45" customHeight="1">
      <c r="A31"/>
      <c r="B31" s="330">
        <v>29</v>
      </c>
      <c r="C31" s="315">
        <f xml:space="preserve"> IF(MOD(韻母表_47[[#This Row],[序號]],2)=0, 韻母表_47[[#This Row],[序號]]/2, ROUNDUP(韻母表_47[[#This Row],[序號]]/2,0))</f>
        <v>15</v>
      </c>
      <c r="D31" s="307" t="s">
        <v>268</v>
      </c>
      <c r="E31" s="320" t="s">
        <v>90</v>
      </c>
      <c r="F31" s="316" t="s">
        <v>1123</v>
      </c>
      <c r="G31" s="316"/>
      <c r="H31" s="316" t="s">
        <v>187</v>
      </c>
      <c r="I31" s="316" t="s">
        <v>187</v>
      </c>
      <c r="J31" s="316" t="s">
        <v>187</v>
      </c>
      <c r="K31" s="316" t="s">
        <v>187</v>
      </c>
      <c r="L31" s="316" t="s">
        <v>1124</v>
      </c>
      <c r="M31" s="327" t="s">
        <v>1125</v>
      </c>
      <c r="N31" s="303" t="s">
        <v>1125</v>
      </c>
      <c r="O31"/>
    </row>
    <row r="32" spans="1:15" s="41" customFormat="1" ht="45" customHeight="1">
      <c r="A32"/>
      <c r="B32" s="330">
        <v>30</v>
      </c>
      <c r="C32" s="315">
        <f xml:space="preserve"> IF(MOD(韻母表_47[[#This Row],[序號]],2)=0, 韻母表_47[[#This Row],[序號]]/2, ROUNDUP(韻母表_47[[#This Row],[序號]]/2,0))</f>
        <v>15</v>
      </c>
      <c r="D32" s="307" t="s">
        <v>269</v>
      </c>
      <c r="E32" s="320" t="s">
        <v>91</v>
      </c>
      <c r="F32" s="316" t="s">
        <v>1126</v>
      </c>
      <c r="G32" s="316"/>
      <c r="H32" s="316" t="s">
        <v>188</v>
      </c>
      <c r="I32" s="316" t="s">
        <v>188</v>
      </c>
      <c r="J32" s="316" t="s">
        <v>188</v>
      </c>
      <c r="K32" s="316" t="s">
        <v>188</v>
      </c>
      <c r="L32" s="316" t="s">
        <v>1127</v>
      </c>
      <c r="M32" s="327" t="s">
        <v>1128</v>
      </c>
      <c r="N32" s="303" t="s">
        <v>1129</v>
      </c>
      <c r="O32"/>
    </row>
    <row r="33" spans="1:15" s="41" customFormat="1" ht="45" customHeight="1">
      <c r="A33"/>
      <c r="B33" s="330">
        <v>31</v>
      </c>
      <c r="C33" s="315">
        <f xml:space="preserve"> IF(MOD(韻母表_47[[#This Row],[序號]],2)=0, 韻母表_47[[#This Row],[序號]]/2, ROUNDUP(韻母表_47[[#This Row],[序號]]/2,0))</f>
        <v>16</v>
      </c>
      <c r="D33" s="307" t="s">
        <v>270</v>
      </c>
      <c r="E33" s="320" t="s">
        <v>92</v>
      </c>
      <c r="F33" s="316" t="s">
        <v>1851</v>
      </c>
      <c r="G33" s="316"/>
      <c r="H33" s="316" t="s">
        <v>189</v>
      </c>
      <c r="I33" s="316" t="s">
        <v>189</v>
      </c>
      <c r="J33" s="316" t="s">
        <v>189</v>
      </c>
      <c r="K33" s="316" t="s">
        <v>189</v>
      </c>
      <c r="L33" s="316" t="s">
        <v>189</v>
      </c>
      <c r="M33" s="327" t="s">
        <v>1130</v>
      </c>
      <c r="N33" s="303" t="s">
        <v>1130</v>
      </c>
      <c r="O33"/>
    </row>
    <row r="34" spans="1:15" s="41" customFormat="1" ht="45" customHeight="1">
      <c r="A34"/>
      <c r="B34" s="330">
        <v>32</v>
      </c>
      <c r="C34" s="315">
        <f xml:space="preserve"> IF(MOD(韻母表_47[[#This Row],[序號]],2)=0, 韻母表_47[[#This Row],[序號]]/2, ROUNDUP(韻母表_47[[#This Row],[序號]]/2,0))</f>
        <v>16</v>
      </c>
      <c r="D34" s="311"/>
      <c r="E34" s="324"/>
      <c r="F34" s="316"/>
      <c r="G34" s="316"/>
      <c r="H34" s="316"/>
      <c r="I34" s="316"/>
      <c r="J34" s="316"/>
      <c r="K34" s="316"/>
      <c r="L34" s="316"/>
      <c r="M34" s="327"/>
      <c r="N34" s="303"/>
      <c r="O34"/>
    </row>
    <row r="35" spans="1:15" s="41" customFormat="1" ht="45" customHeight="1">
      <c r="A35"/>
      <c r="B35" s="330">
        <v>33</v>
      </c>
      <c r="C35" s="315">
        <f xml:space="preserve"> IF(MOD(韻母表_47[[#This Row],[序號]],2)=0, 韻母表_47[[#This Row],[序號]]/2, ROUNDUP(韻母表_47[[#This Row],[序號]]/2,0))</f>
        <v>17</v>
      </c>
      <c r="D35" s="307" t="s">
        <v>271</v>
      </c>
      <c r="E35" s="320" t="s">
        <v>94</v>
      </c>
      <c r="F35" s="316" t="s">
        <v>190</v>
      </c>
      <c r="G35" s="316"/>
      <c r="H35" s="316" t="s">
        <v>190</v>
      </c>
      <c r="I35" s="316" t="s">
        <v>190</v>
      </c>
      <c r="J35" s="316" t="s">
        <v>190</v>
      </c>
      <c r="K35" s="316" t="s">
        <v>190</v>
      </c>
      <c r="L35" s="316" t="s">
        <v>190</v>
      </c>
      <c r="M35" s="327" t="s">
        <v>1131</v>
      </c>
      <c r="N35" s="303" t="s">
        <v>1131</v>
      </c>
      <c r="O35"/>
    </row>
    <row r="36" spans="1:15" s="41" customFormat="1" ht="45" customHeight="1">
      <c r="A36"/>
      <c r="B36" s="330">
        <v>34</v>
      </c>
      <c r="C36" s="315">
        <f xml:space="preserve"> IF(MOD(韻母表_47[[#This Row],[序號]],2)=0, 韻母表_47[[#This Row],[序號]]/2, ROUNDUP(韻母表_47[[#This Row],[序號]]/2,0))</f>
        <v>17</v>
      </c>
      <c r="D36" s="307" t="s">
        <v>272</v>
      </c>
      <c r="E36" s="320" t="s">
        <v>95</v>
      </c>
      <c r="F36" s="316" t="s">
        <v>1132</v>
      </c>
      <c r="G36" s="316"/>
      <c r="H36" s="316" t="s">
        <v>191</v>
      </c>
      <c r="I36" s="316" t="s">
        <v>191</v>
      </c>
      <c r="J36" s="316" t="s">
        <v>191</v>
      </c>
      <c r="K36" s="316" t="s">
        <v>191</v>
      </c>
      <c r="L36" s="316" t="s">
        <v>191</v>
      </c>
      <c r="M36" s="327" t="s">
        <v>1133</v>
      </c>
      <c r="N36" s="303" t="s">
        <v>1134</v>
      </c>
      <c r="O36"/>
    </row>
    <row r="37" spans="1:15" s="41" customFormat="1" ht="45" customHeight="1">
      <c r="A37"/>
      <c r="B37" s="330">
        <v>35</v>
      </c>
      <c r="C37" s="315">
        <f xml:space="preserve"> IF(MOD(韻母表_47[[#This Row],[序號]],2)=0, 韻母表_47[[#This Row],[序號]]/2, ROUNDUP(韻母表_47[[#This Row],[序號]]/2,0))</f>
        <v>18</v>
      </c>
      <c r="D37" s="307" t="s">
        <v>274</v>
      </c>
      <c r="E37" s="320" t="s">
        <v>96</v>
      </c>
      <c r="F37" s="316" t="s">
        <v>1852</v>
      </c>
      <c r="G37" s="316"/>
      <c r="H37" s="316" t="s">
        <v>192</v>
      </c>
      <c r="I37" s="316" t="s">
        <v>192</v>
      </c>
      <c r="J37" s="316" t="s">
        <v>192</v>
      </c>
      <c r="K37" s="316" t="s">
        <v>192</v>
      </c>
      <c r="L37" s="316" t="s">
        <v>192</v>
      </c>
      <c r="M37" s="327" t="s">
        <v>1135</v>
      </c>
      <c r="N37" s="303" t="s">
        <v>1135</v>
      </c>
      <c r="O37"/>
    </row>
    <row r="38" spans="1:15" s="41" customFormat="1" ht="45" customHeight="1">
      <c r="A38"/>
      <c r="B38" s="330">
        <v>36</v>
      </c>
      <c r="C38" s="315">
        <f xml:space="preserve"> IF(MOD(韻母表_47[[#This Row],[序號]],2)=0, 韻母表_47[[#This Row],[序號]]/2, ROUNDUP(韻母表_47[[#This Row],[序號]]/2,0))</f>
        <v>18</v>
      </c>
      <c r="D38" s="307" t="s">
        <v>275</v>
      </c>
      <c r="E38" s="320" t="s">
        <v>97</v>
      </c>
      <c r="F38" s="316" t="s">
        <v>1853</v>
      </c>
      <c r="G38" s="316"/>
      <c r="H38" s="316" t="s">
        <v>193</v>
      </c>
      <c r="I38" s="316" t="s">
        <v>193</v>
      </c>
      <c r="J38" s="316" t="s">
        <v>193</v>
      </c>
      <c r="K38" s="316" t="s">
        <v>193</v>
      </c>
      <c r="L38" s="316" t="s">
        <v>193</v>
      </c>
      <c r="M38" s="327" t="s">
        <v>1136</v>
      </c>
      <c r="N38" s="303" t="s">
        <v>1137</v>
      </c>
      <c r="O38"/>
    </row>
    <row r="39" spans="1:15" s="41" customFormat="1" ht="45" customHeight="1">
      <c r="A39"/>
      <c r="B39" s="330">
        <v>37</v>
      </c>
      <c r="C39" s="315">
        <f xml:space="preserve"> IF(MOD(韻母表_47[[#This Row],[序號]],2)=0, 韻母表_47[[#This Row],[序號]]/2, ROUNDUP(韻母表_47[[#This Row],[序號]]/2,0))</f>
        <v>19</v>
      </c>
      <c r="D39" s="307" t="s">
        <v>276</v>
      </c>
      <c r="E39" s="320" t="s">
        <v>98</v>
      </c>
      <c r="F39" s="316" t="s">
        <v>194</v>
      </c>
      <c r="G39" s="316"/>
      <c r="H39" s="316" t="s">
        <v>194</v>
      </c>
      <c r="I39" s="316" t="s">
        <v>194</v>
      </c>
      <c r="J39" s="316" t="s">
        <v>194</v>
      </c>
      <c r="K39" s="316" t="s">
        <v>194</v>
      </c>
      <c r="L39" s="316" t="s">
        <v>194</v>
      </c>
      <c r="M39" s="327" t="s">
        <v>1138</v>
      </c>
      <c r="N39" s="303" t="s">
        <v>1139</v>
      </c>
      <c r="O39"/>
    </row>
    <row r="40" spans="1:15" s="41" customFormat="1" ht="45" customHeight="1">
      <c r="A40"/>
      <c r="B40" s="330">
        <v>38</v>
      </c>
      <c r="C40" s="315">
        <f xml:space="preserve"> IF(MOD(韻母表_47[[#This Row],[序號]],2)=0, 韻母表_47[[#This Row],[序號]]/2, ROUNDUP(韻母表_47[[#This Row],[序號]]/2,0))</f>
        <v>19</v>
      </c>
      <c r="D40" s="307" t="s">
        <v>277</v>
      </c>
      <c r="E40" s="320" t="s">
        <v>99</v>
      </c>
      <c r="F40" s="316" t="s">
        <v>1140</v>
      </c>
      <c r="G40" s="316"/>
      <c r="H40" s="316" t="s">
        <v>195</v>
      </c>
      <c r="I40" s="316" t="s">
        <v>195</v>
      </c>
      <c r="J40" s="316" t="s">
        <v>195</v>
      </c>
      <c r="K40" s="316" t="s">
        <v>195</v>
      </c>
      <c r="L40" s="316" t="s">
        <v>195</v>
      </c>
      <c r="M40" s="327" t="s">
        <v>1141</v>
      </c>
      <c r="N40" s="303" t="s">
        <v>1142</v>
      </c>
      <c r="O40"/>
    </row>
    <row r="41" spans="1:15" s="41" customFormat="1" ht="45" customHeight="1">
      <c r="A41"/>
      <c r="B41" s="330">
        <v>39</v>
      </c>
      <c r="C41" s="315">
        <f xml:space="preserve"> IF(MOD(韻母表_47[[#This Row],[序號]],2)=0, 韻母表_47[[#This Row],[序號]]/2, ROUNDUP(韻母表_47[[#This Row],[序號]]/2,0))</f>
        <v>20</v>
      </c>
      <c r="D41" s="307" t="s">
        <v>278</v>
      </c>
      <c r="E41" s="320" t="s">
        <v>100</v>
      </c>
      <c r="F41" s="316" t="s">
        <v>196</v>
      </c>
      <c r="G41" s="316"/>
      <c r="H41" s="316" t="s">
        <v>196</v>
      </c>
      <c r="I41" s="316" t="s">
        <v>196</v>
      </c>
      <c r="J41" s="316" t="s">
        <v>1143</v>
      </c>
      <c r="K41" s="316" t="s">
        <v>196</v>
      </c>
      <c r="L41" s="316" t="s">
        <v>196</v>
      </c>
      <c r="M41" s="327" t="s">
        <v>1144</v>
      </c>
      <c r="N41" s="303" t="s">
        <v>1144</v>
      </c>
      <c r="O41"/>
    </row>
    <row r="42" spans="1:15" s="41" customFormat="1" ht="45" customHeight="1">
      <c r="A42"/>
      <c r="B42" s="330">
        <v>40</v>
      </c>
      <c r="C42" s="315">
        <f xml:space="preserve"> IF(MOD(韻母表_47[[#This Row],[序號]],2)=0, 韻母表_47[[#This Row],[序號]]/2, ROUNDUP(韻母表_47[[#This Row],[序號]]/2,0))</f>
        <v>20</v>
      </c>
      <c r="D42" s="307" t="s">
        <v>279</v>
      </c>
      <c r="E42" s="320" t="s">
        <v>101</v>
      </c>
      <c r="F42" s="316" t="s">
        <v>1145</v>
      </c>
      <c r="G42" s="316"/>
      <c r="H42" s="316" t="s">
        <v>197</v>
      </c>
      <c r="I42" s="316" t="s">
        <v>197</v>
      </c>
      <c r="J42" s="316" t="s">
        <v>1146</v>
      </c>
      <c r="K42" s="316" t="s">
        <v>197</v>
      </c>
      <c r="L42" s="316" t="s">
        <v>197</v>
      </c>
      <c r="M42" s="327" t="s">
        <v>1147</v>
      </c>
      <c r="N42" s="303" t="s">
        <v>1148</v>
      </c>
      <c r="O42"/>
    </row>
    <row r="43" spans="1:15" s="41" customFormat="1" ht="45" customHeight="1">
      <c r="A43"/>
      <c r="B43" s="330">
        <v>41</v>
      </c>
      <c r="C43" s="315">
        <f xml:space="preserve"> IF(MOD(韻母表_47[[#This Row],[序號]],2)=0, 韻母表_47[[#This Row],[序號]]/2, ROUNDUP(韻母表_47[[#This Row],[序號]]/2,0))</f>
        <v>21</v>
      </c>
      <c r="D43" s="307" t="s">
        <v>280</v>
      </c>
      <c r="E43" s="320" t="s">
        <v>102</v>
      </c>
      <c r="F43" s="316" t="s">
        <v>1854</v>
      </c>
      <c r="G43" s="316"/>
      <c r="H43" s="316" t="s">
        <v>198</v>
      </c>
      <c r="I43" s="316" t="s">
        <v>198</v>
      </c>
      <c r="J43" s="316" t="s">
        <v>198</v>
      </c>
      <c r="K43" s="316" t="s">
        <v>198</v>
      </c>
      <c r="L43" s="316" t="s">
        <v>198</v>
      </c>
      <c r="M43" s="327" t="s">
        <v>1149</v>
      </c>
      <c r="N43" s="303" t="s">
        <v>1149</v>
      </c>
      <c r="O43"/>
    </row>
    <row r="44" spans="1:15" s="41" customFormat="1" ht="45" customHeight="1">
      <c r="A44"/>
      <c r="B44" s="330">
        <v>42</v>
      </c>
      <c r="C44" s="315">
        <f xml:space="preserve"> IF(MOD(韻母表_47[[#This Row],[序號]],2)=0, 韻母表_47[[#This Row],[序號]]/2, ROUNDUP(韻母表_47[[#This Row],[序號]]/2,0))</f>
        <v>21</v>
      </c>
      <c r="D44" s="307" t="s">
        <v>281</v>
      </c>
      <c r="E44" s="320" t="s">
        <v>103</v>
      </c>
      <c r="F44" s="316" t="s">
        <v>1150</v>
      </c>
      <c r="G44" s="316"/>
      <c r="H44" s="316" t="s">
        <v>199</v>
      </c>
      <c r="I44" s="316" t="s">
        <v>199</v>
      </c>
      <c r="J44" s="316" t="s">
        <v>199</v>
      </c>
      <c r="K44" s="316" t="s">
        <v>199</v>
      </c>
      <c r="L44" s="316" t="s">
        <v>199</v>
      </c>
      <c r="M44" s="327" t="s">
        <v>1151</v>
      </c>
      <c r="N44" s="303" t="s">
        <v>1152</v>
      </c>
      <c r="O44"/>
    </row>
    <row r="45" spans="1:15" s="41" customFormat="1" ht="45" customHeight="1">
      <c r="A45"/>
      <c r="B45" s="330">
        <v>43</v>
      </c>
      <c r="C45" s="315">
        <f xml:space="preserve"> IF(MOD(韻母表_47[[#This Row],[序號]],2)=0, 韻母表_47[[#This Row],[序號]]/2, ROUNDUP(韻母表_47[[#This Row],[序號]]/2,0))</f>
        <v>22</v>
      </c>
      <c r="D45" s="307" t="s">
        <v>282</v>
      </c>
      <c r="E45" s="320" t="s">
        <v>104</v>
      </c>
      <c r="F45" s="316" t="s">
        <v>1855</v>
      </c>
      <c r="G45" s="316"/>
      <c r="H45" s="316" t="s">
        <v>200</v>
      </c>
      <c r="I45" s="316" t="s">
        <v>200</v>
      </c>
      <c r="J45" s="316" t="s">
        <v>200</v>
      </c>
      <c r="K45" s="316" t="s">
        <v>200</v>
      </c>
      <c r="L45" s="316" t="s">
        <v>200</v>
      </c>
      <c r="M45" s="327" t="s">
        <v>1153</v>
      </c>
      <c r="N45" s="303" t="s">
        <v>1154</v>
      </c>
      <c r="O45"/>
    </row>
    <row r="46" spans="1:15" s="41" customFormat="1" ht="45" customHeight="1">
      <c r="A46"/>
      <c r="B46" s="330">
        <v>44</v>
      </c>
      <c r="C46" s="315">
        <f xml:space="preserve"> IF(MOD(韻母表_47[[#This Row],[序號]],2)=0, 韻母表_47[[#This Row],[序號]]/2, ROUNDUP(韻母表_47[[#This Row],[序號]]/2,0))</f>
        <v>22</v>
      </c>
      <c r="D46" s="307" t="s">
        <v>283</v>
      </c>
      <c r="E46" s="320" t="s">
        <v>105</v>
      </c>
      <c r="F46" s="316" t="s">
        <v>1856</v>
      </c>
      <c r="G46" s="316"/>
      <c r="H46" s="316" t="s">
        <v>201</v>
      </c>
      <c r="I46" s="316" t="s">
        <v>201</v>
      </c>
      <c r="J46" s="316" t="s">
        <v>201</v>
      </c>
      <c r="K46" s="316" t="s">
        <v>201</v>
      </c>
      <c r="L46" s="316" t="s">
        <v>201</v>
      </c>
      <c r="M46" s="327" t="s">
        <v>1155</v>
      </c>
      <c r="N46" s="303" t="s">
        <v>1156</v>
      </c>
      <c r="O46"/>
    </row>
    <row r="47" spans="1:15" s="41" customFormat="1" ht="45" customHeight="1">
      <c r="A47"/>
      <c r="B47" s="330">
        <v>45</v>
      </c>
      <c r="C47" s="315">
        <f xml:space="preserve"> IF(MOD(韻母表_47[[#This Row],[序號]],2)=0, 韻母表_47[[#This Row],[序號]]/2, ROUNDUP(韻母表_47[[#This Row],[序號]]/2,0))</f>
        <v>23</v>
      </c>
      <c r="D47" s="307" t="s">
        <v>284</v>
      </c>
      <c r="E47" s="320" t="s">
        <v>106</v>
      </c>
      <c r="F47" s="316" t="s">
        <v>1857</v>
      </c>
      <c r="G47" s="316"/>
      <c r="H47" s="316" t="s">
        <v>202</v>
      </c>
      <c r="I47" s="316" t="s">
        <v>202</v>
      </c>
      <c r="J47" s="316" t="s">
        <v>202</v>
      </c>
      <c r="K47" s="316" t="s">
        <v>1157</v>
      </c>
      <c r="L47" s="316" t="s">
        <v>202</v>
      </c>
      <c r="M47" s="327" t="s">
        <v>1158</v>
      </c>
      <c r="N47" s="303" t="s">
        <v>1158</v>
      </c>
      <c r="O47"/>
    </row>
    <row r="48" spans="1:15" s="41" customFormat="1" ht="45" customHeight="1">
      <c r="A48"/>
      <c r="B48" s="330">
        <v>46</v>
      </c>
      <c r="C48" s="315">
        <f xml:space="preserve"> IF(MOD(韻母表_47[[#This Row],[序號]],2)=0, 韻母表_47[[#This Row],[序號]]/2, ROUNDUP(韻母表_47[[#This Row],[序號]]/2,0))</f>
        <v>23</v>
      </c>
      <c r="D48" s="307" t="s">
        <v>285</v>
      </c>
      <c r="E48" s="320" t="s">
        <v>107</v>
      </c>
      <c r="F48" s="316" t="s">
        <v>1159</v>
      </c>
      <c r="G48" s="316"/>
      <c r="H48" s="316" t="s">
        <v>203</v>
      </c>
      <c r="I48" s="316" t="s">
        <v>203</v>
      </c>
      <c r="J48" s="316" t="s">
        <v>203</v>
      </c>
      <c r="K48" s="316" t="s">
        <v>1160</v>
      </c>
      <c r="L48" s="316" t="s">
        <v>203</v>
      </c>
      <c r="M48" s="327" t="s">
        <v>1161</v>
      </c>
      <c r="N48" s="303" t="s">
        <v>1162</v>
      </c>
      <c r="O48"/>
    </row>
    <row r="49" spans="1:15" s="41" customFormat="1" ht="45" customHeight="1">
      <c r="A49"/>
      <c r="B49" s="330">
        <v>47</v>
      </c>
      <c r="C49" s="315">
        <f xml:space="preserve"> IF(MOD(韻母表_47[[#This Row],[序號]],2)=0, 韻母表_47[[#This Row],[序號]]/2, ROUNDUP(韻母表_47[[#This Row],[序號]]/2,0))</f>
        <v>24</v>
      </c>
      <c r="D49" s="307" t="s">
        <v>286</v>
      </c>
      <c r="E49" s="320" t="s">
        <v>108</v>
      </c>
      <c r="F49" s="316" t="s">
        <v>1858</v>
      </c>
      <c r="G49" s="316"/>
      <c r="H49" s="316" t="s">
        <v>204</v>
      </c>
      <c r="I49" s="316" t="s">
        <v>204</v>
      </c>
      <c r="J49" s="316" t="s">
        <v>204</v>
      </c>
      <c r="K49" s="316" t="s">
        <v>204</v>
      </c>
      <c r="L49" s="316" t="s">
        <v>204</v>
      </c>
      <c r="M49" s="327" t="s">
        <v>1163</v>
      </c>
      <c r="N49" s="303" t="s">
        <v>1163</v>
      </c>
      <c r="O49"/>
    </row>
    <row r="50" spans="1:15" s="41" customFormat="1" ht="45" customHeight="1">
      <c r="A50"/>
      <c r="B50" s="330">
        <v>48</v>
      </c>
      <c r="C50" s="315">
        <f xml:space="preserve"> IF(MOD(韻母表_47[[#This Row],[序號]],2)=0, 韻母表_47[[#This Row],[序號]]/2, ROUNDUP(韻母表_47[[#This Row],[序號]]/2,0))</f>
        <v>24</v>
      </c>
      <c r="D50" s="307" t="s">
        <v>287</v>
      </c>
      <c r="E50" s="320" t="s">
        <v>109</v>
      </c>
      <c r="F50" s="316" t="s">
        <v>1859</v>
      </c>
      <c r="G50" s="316"/>
      <c r="H50" s="316" t="s">
        <v>205</v>
      </c>
      <c r="I50" s="316" t="s">
        <v>205</v>
      </c>
      <c r="J50" s="316" t="s">
        <v>205</v>
      </c>
      <c r="K50" s="316" t="s">
        <v>205</v>
      </c>
      <c r="L50" s="316" t="s">
        <v>205</v>
      </c>
      <c r="M50" s="327" t="s">
        <v>1164</v>
      </c>
      <c r="N50" s="303" t="s">
        <v>1165</v>
      </c>
      <c r="O50"/>
    </row>
    <row r="51" spans="1:15" s="41" customFormat="1" ht="45" customHeight="1">
      <c r="A51"/>
      <c r="B51" s="330">
        <v>49</v>
      </c>
      <c r="C51" s="315">
        <f xml:space="preserve"> IF(MOD(韻母表_47[[#This Row],[序號]],2)=0, 韻母表_47[[#This Row],[序號]]/2, ROUNDUP(韻母表_47[[#This Row],[序號]]/2,0))</f>
        <v>25</v>
      </c>
      <c r="D51" s="307" t="s">
        <v>288</v>
      </c>
      <c r="E51" s="320" t="s">
        <v>110</v>
      </c>
      <c r="F51" s="316" t="s">
        <v>1380</v>
      </c>
      <c r="G51" s="316" t="s">
        <v>1880</v>
      </c>
      <c r="H51" s="316" t="s">
        <v>1380</v>
      </c>
      <c r="I51" s="316" t="s">
        <v>1380</v>
      </c>
      <c r="J51" s="316" t="s">
        <v>1881</v>
      </c>
      <c r="K51" s="316" t="s">
        <v>1380</v>
      </c>
      <c r="L51" s="316" t="s">
        <v>1380</v>
      </c>
      <c r="M51" s="327" t="s">
        <v>1167</v>
      </c>
      <c r="N51" s="303" t="s">
        <v>1168</v>
      </c>
      <c r="O51"/>
    </row>
    <row r="52" spans="1:15" s="41" customFormat="1" ht="45" customHeight="1">
      <c r="A52"/>
      <c r="B52" s="330">
        <v>50</v>
      </c>
      <c r="C52" s="315">
        <f xml:space="preserve"> IF(MOD(韻母表_47[[#This Row],[序號]],2)=0, 韻母表_47[[#This Row],[序號]]/2, ROUNDUP(韻母表_47[[#This Row],[序號]]/2,0))</f>
        <v>25</v>
      </c>
      <c r="D52" s="307" t="s">
        <v>289</v>
      </c>
      <c r="E52" s="320" t="s">
        <v>111</v>
      </c>
      <c r="F52" s="316" t="s">
        <v>1381</v>
      </c>
      <c r="G52" s="316" t="s">
        <v>1882</v>
      </c>
      <c r="H52" s="316" t="s">
        <v>1883</v>
      </c>
      <c r="I52" s="316" t="s">
        <v>1883</v>
      </c>
      <c r="J52" s="316" t="s">
        <v>1884</v>
      </c>
      <c r="K52" s="316" t="s">
        <v>1883</v>
      </c>
      <c r="L52" s="316" t="s">
        <v>1883</v>
      </c>
      <c r="M52" s="327" t="s">
        <v>1170</v>
      </c>
      <c r="N52" s="303" t="s">
        <v>1171</v>
      </c>
      <c r="O52"/>
    </row>
    <row r="53" spans="1:15" s="41" customFormat="1" ht="45" customHeight="1">
      <c r="A53"/>
      <c r="B53" s="330">
        <v>51</v>
      </c>
      <c r="C53" s="315">
        <f xml:space="preserve"> IF(MOD(韻母表_47[[#This Row],[序號]],2)=0, 韻母表_47[[#This Row],[序號]]/2, ROUNDUP(韻母表_47[[#This Row],[序號]]/2,0))</f>
        <v>26</v>
      </c>
      <c r="D53" s="307" t="s">
        <v>290</v>
      </c>
      <c r="E53" s="320" t="s">
        <v>112</v>
      </c>
      <c r="F53" s="316" t="s">
        <v>1172</v>
      </c>
      <c r="G53" s="316"/>
      <c r="H53" s="316" t="s">
        <v>208</v>
      </c>
      <c r="I53" s="316" t="s">
        <v>208</v>
      </c>
      <c r="J53" s="316" t="s">
        <v>1173</v>
      </c>
      <c r="K53" s="316" t="s">
        <v>335</v>
      </c>
      <c r="L53" s="316" t="s">
        <v>208</v>
      </c>
      <c r="M53" s="327" t="s">
        <v>1174</v>
      </c>
      <c r="N53" s="303" t="s">
        <v>1175</v>
      </c>
      <c r="O53"/>
    </row>
    <row r="54" spans="1:15" s="41" customFormat="1" ht="45" customHeight="1">
      <c r="A54"/>
      <c r="B54" s="330">
        <v>52</v>
      </c>
      <c r="C54" s="315">
        <f xml:space="preserve"> IF(MOD(韻母表_47[[#This Row],[序號]],2)=0, 韻母表_47[[#This Row],[序號]]/2, ROUNDUP(韻母表_47[[#This Row],[序號]]/2,0))</f>
        <v>26</v>
      </c>
      <c r="D54" s="312" t="s">
        <v>291</v>
      </c>
      <c r="E54" s="320" t="s">
        <v>113</v>
      </c>
      <c r="F54" s="316" t="s">
        <v>1176</v>
      </c>
      <c r="G54" s="316"/>
      <c r="H54" s="316" t="s">
        <v>209</v>
      </c>
      <c r="I54" s="316" t="s">
        <v>209</v>
      </c>
      <c r="J54" s="316" t="s">
        <v>1177</v>
      </c>
      <c r="K54" s="316" t="s">
        <v>349</v>
      </c>
      <c r="L54" s="316" t="s">
        <v>209</v>
      </c>
      <c r="M54" s="327" t="s">
        <v>1178</v>
      </c>
      <c r="N54" s="303" t="s">
        <v>1179</v>
      </c>
      <c r="O54"/>
    </row>
    <row r="55" spans="1:15" s="41" customFormat="1" ht="45" customHeight="1">
      <c r="A55"/>
      <c r="B55" s="330">
        <v>53</v>
      </c>
      <c r="C55" s="315">
        <f xml:space="preserve"> IF(MOD(韻母表_47[[#This Row],[序號]],2)=0, 韻母表_47[[#This Row],[序號]]/2, ROUNDUP(韻母表_47[[#This Row],[序號]]/2,0))</f>
        <v>27</v>
      </c>
      <c r="D55" s="307" t="s">
        <v>292</v>
      </c>
      <c r="E55" s="320" t="s">
        <v>114</v>
      </c>
      <c r="F55" s="316" t="s">
        <v>210</v>
      </c>
      <c r="G55" s="316"/>
      <c r="H55" s="316" t="s">
        <v>210</v>
      </c>
      <c r="I55" s="316" t="s">
        <v>210</v>
      </c>
      <c r="J55" s="316" t="s">
        <v>210</v>
      </c>
      <c r="K55" s="316" t="s">
        <v>210</v>
      </c>
      <c r="L55" s="316" t="s">
        <v>210</v>
      </c>
      <c r="M55" s="327" t="s">
        <v>1180</v>
      </c>
      <c r="N55" s="303" t="s">
        <v>1180</v>
      </c>
      <c r="O55"/>
    </row>
    <row r="56" spans="1:15" s="41" customFormat="1" ht="45" customHeight="1">
      <c r="A56"/>
      <c r="B56" s="330">
        <v>54</v>
      </c>
      <c r="C56" s="315">
        <f xml:space="preserve"> IF(MOD(韻母表_47[[#This Row],[序號]],2)=0, 韻母表_47[[#This Row],[序號]]/2, ROUNDUP(韻母表_47[[#This Row],[序號]]/2,0))</f>
        <v>27</v>
      </c>
      <c r="D56" s="307" t="s">
        <v>293</v>
      </c>
      <c r="E56" s="320" t="s">
        <v>115</v>
      </c>
      <c r="F56" s="316" t="s">
        <v>1181</v>
      </c>
      <c r="G56" s="316"/>
      <c r="H56" s="316" t="s">
        <v>211</v>
      </c>
      <c r="I56" s="316" t="s">
        <v>211</v>
      </c>
      <c r="J56" s="316" t="s">
        <v>211</v>
      </c>
      <c r="K56" s="316" t="s">
        <v>211</v>
      </c>
      <c r="L56" s="316" t="s">
        <v>211</v>
      </c>
      <c r="M56" s="327" t="s">
        <v>1182</v>
      </c>
      <c r="N56" s="303" t="s">
        <v>1183</v>
      </c>
      <c r="O56"/>
    </row>
    <row r="57" spans="1:15" s="41" customFormat="1" ht="45" customHeight="1">
      <c r="A57"/>
      <c r="B57" s="330">
        <v>55</v>
      </c>
      <c r="C57" s="315">
        <f xml:space="preserve"> IF(MOD(韻母表_47[[#This Row],[序號]],2)=0, 韻母表_47[[#This Row],[序號]]/2, ROUNDUP(韻母表_47[[#This Row],[序號]]/2,0))</f>
        <v>28</v>
      </c>
      <c r="D57" s="307" t="s">
        <v>294</v>
      </c>
      <c r="E57" s="320" t="s">
        <v>116</v>
      </c>
      <c r="F57" s="316" t="s">
        <v>212</v>
      </c>
      <c r="G57" s="316"/>
      <c r="H57" s="316" t="s">
        <v>212</v>
      </c>
      <c r="I57" s="316" t="s">
        <v>212</v>
      </c>
      <c r="J57" s="316" t="s">
        <v>212</v>
      </c>
      <c r="K57" s="316" t="s">
        <v>212</v>
      </c>
      <c r="L57" s="316" t="s">
        <v>212</v>
      </c>
      <c r="M57" s="327" t="s">
        <v>1184</v>
      </c>
      <c r="N57" s="303" t="s">
        <v>1184</v>
      </c>
      <c r="O57"/>
    </row>
    <row r="58" spans="1:15" s="41" customFormat="1" ht="45" customHeight="1">
      <c r="A58"/>
      <c r="B58" s="330">
        <v>56</v>
      </c>
      <c r="C58" s="315">
        <f xml:space="preserve"> IF(MOD(韻母表_47[[#This Row],[序號]],2)=0, 韻母表_47[[#This Row],[序號]]/2, ROUNDUP(韻母表_47[[#This Row],[序號]]/2,0))</f>
        <v>28</v>
      </c>
      <c r="D58" s="307" t="s">
        <v>295</v>
      </c>
      <c r="E58" s="320" t="s">
        <v>117</v>
      </c>
      <c r="F58" s="316" t="s">
        <v>1185</v>
      </c>
      <c r="G58" s="316"/>
      <c r="H58" s="316" t="s">
        <v>213</v>
      </c>
      <c r="I58" s="316" t="s">
        <v>213</v>
      </c>
      <c r="J58" s="316" t="s">
        <v>213</v>
      </c>
      <c r="K58" s="316" t="s">
        <v>213</v>
      </c>
      <c r="L58" s="316" t="s">
        <v>213</v>
      </c>
      <c r="M58" s="327" t="s">
        <v>1186</v>
      </c>
      <c r="N58" s="303" t="s">
        <v>1187</v>
      </c>
      <c r="O58"/>
    </row>
    <row r="59" spans="1:15" s="41" customFormat="1" ht="45" customHeight="1">
      <c r="A59"/>
      <c r="B59" s="330">
        <v>57</v>
      </c>
      <c r="C59" s="315">
        <f xml:space="preserve"> IF(MOD(韻母表_47[[#This Row],[序號]],2)=0, 韻母表_47[[#This Row],[序號]]/2, ROUNDUP(韻母表_47[[#This Row],[序號]]/2,0))</f>
        <v>29</v>
      </c>
      <c r="D59" s="307" t="s">
        <v>246</v>
      </c>
      <c r="E59" s="320" t="s">
        <v>118</v>
      </c>
      <c r="F59" s="316" t="s">
        <v>214</v>
      </c>
      <c r="G59" s="316"/>
      <c r="H59" s="316" t="s">
        <v>214</v>
      </c>
      <c r="I59" s="316" t="s">
        <v>214</v>
      </c>
      <c r="J59" s="316" t="s">
        <v>214</v>
      </c>
      <c r="K59" s="316" t="s">
        <v>214</v>
      </c>
      <c r="L59" s="316" t="s">
        <v>214</v>
      </c>
      <c r="M59" s="327" t="s">
        <v>1188</v>
      </c>
      <c r="N59" s="303" t="s">
        <v>1188</v>
      </c>
      <c r="O59"/>
    </row>
    <row r="60" spans="1:15" s="41" customFormat="1" ht="45" customHeight="1">
      <c r="A60"/>
      <c r="B60" s="330">
        <v>58</v>
      </c>
      <c r="C60" s="315">
        <f xml:space="preserve"> IF(MOD(韻母表_47[[#This Row],[序號]],2)=0, 韻母表_47[[#This Row],[序號]]/2, ROUNDUP(韻母表_47[[#This Row],[序號]]/2,0))</f>
        <v>29</v>
      </c>
      <c r="D60" s="307" t="s">
        <v>296</v>
      </c>
      <c r="E60" s="320" t="s">
        <v>119</v>
      </c>
      <c r="F60" s="316" t="s">
        <v>1189</v>
      </c>
      <c r="G60" s="316"/>
      <c r="H60" s="316" t="s">
        <v>215</v>
      </c>
      <c r="I60" s="316" t="s">
        <v>215</v>
      </c>
      <c r="J60" s="316" t="s">
        <v>215</v>
      </c>
      <c r="K60" s="316" t="s">
        <v>215</v>
      </c>
      <c r="L60" s="316" t="s">
        <v>215</v>
      </c>
      <c r="M60" s="327" t="s">
        <v>1190</v>
      </c>
      <c r="N60" s="303" t="s">
        <v>1191</v>
      </c>
      <c r="O60"/>
    </row>
    <row r="61" spans="1:15" s="41" customFormat="1" ht="45" customHeight="1">
      <c r="A61"/>
      <c r="B61" s="330">
        <v>59</v>
      </c>
      <c r="C61" s="315">
        <f xml:space="preserve"> IF(MOD(韻母表_47[[#This Row],[序號]],2)=0, 韻母表_47[[#This Row],[序號]]/2, ROUNDUP(韻母表_47[[#This Row],[序號]]/2,0))</f>
        <v>30</v>
      </c>
      <c r="D61" s="307" t="s">
        <v>297</v>
      </c>
      <c r="E61" s="320" t="s">
        <v>120</v>
      </c>
      <c r="F61" s="316" t="s">
        <v>1860</v>
      </c>
      <c r="G61" s="316"/>
      <c r="H61" s="316" t="s">
        <v>216</v>
      </c>
      <c r="I61" s="316" t="s">
        <v>216</v>
      </c>
      <c r="J61" s="316" t="s">
        <v>216</v>
      </c>
      <c r="K61" s="316" t="s">
        <v>216</v>
      </c>
      <c r="L61" s="316" t="s">
        <v>216</v>
      </c>
      <c r="M61" s="327" t="s">
        <v>1192</v>
      </c>
      <c r="N61" s="303" t="s">
        <v>1192</v>
      </c>
      <c r="O61"/>
    </row>
    <row r="62" spans="1:15" s="41" customFormat="1" ht="45" customHeight="1">
      <c r="A62"/>
      <c r="B62" s="330">
        <v>60</v>
      </c>
      <c r="C62" s="315">
        <f xml:space="preserve"> IF(MOD(韻母表_47[[#This Row],[序號]],2)=0, 韻母表_47[[#This Row],[序號]]/2, ROUNDUP(韻母表_47[[#This Row],[序號]]/2,0))</f>
        <v>30</v>
      </c>
      <c r="D62" s="311"/>
      <c r="E62" s="324"/>
      <c r="F62" s="316" t="s">
        <v>1079</v>
      </c>
      <c r="G62" s="316"/>
      <c r="H62" s="316" t="s">
        <v>1079</v>
      </c>
      <c r="I62" s="316" t="s">
        <v>1079</v>
      </c>
      <c r="J62" s="316" t="s">
        <v>1079</v>
      </c>
      <c r="K62" s="316" t="s">
        <v>1079</v>
      </c>
      <c r="L62" s="316" t="s">
        <v>1079</v>
      </c>
      <c r="M62" s="327" t="s">
        <v>1079</v>
      </c>
      <c r="N62" s="303" t="s">
        <v>1079</v>
      </c>
      <c r="O62"/>
    </row>
    <row r="63" spans="1:15" s="41" customFormat="1" ht="45" customHeight="1">
      <c r="A63"/>
      <c r="B63" s="330">
        <v>61</v>
      </c>
      <c r="C63" s="315">
        <f xml:space="preserve"> IF(MOD(韻母表_47[[#This Row],[序號]],2)=0, 韻母表_47[[#This Row],[序號]]/2, ROUNDUP(韻母表_47[[#This Row],[序號]]/2,0))</f>
        <v>31</v>
      </c>
      <c r="D63" s="307" t="s">
        <v>298</v>
      </c>
      <c r="E63" s="320" t="s">
        <v>122</v>
      </c>
      <c r="F63" s="316" t="str">
        <f xml:space="preserve"> _xlfn.CONCAT("e", _xlfn.UNICHAR(HEX2DEC(RIGHT("U+0303",4))))</f>
        <v>ẽ</v>
      </c>
      <c r="G63" s="316" t="str">
        <f xml:space="preserve"> _xlfn.CONCAT("ɛ", _xlfn.UNICHAR(HEX2DEC(RIGHT("U+0303",4))))</f>
        <v>ɛ̃</v>
      </c>
      <c r="H63" s="316" t="s">
        <v>217</v>
      </c>
      <c r="I63" s="316" t="s">
        <v>217</v>
      </c>
      <c r="J63" s="316" t="s">
        <v>1193</v>
      </c>
      <c r="K63" s="316" t="s">
        <v>489</v>
      </c>
      <c r="L63" s="316" t="s">
        <v>217</v>
      </c>
      <c r="M63" s="327" t="s">
        <v>1194</v>
      </c>
      <c r="N63" s="303" t="s">
        <v>1195</v>
      </c>
      <c r="O63"/>
    </row>
    <row r="64" spans="1:15" s="41" customFormat="1" ht="45" customHeight="1">
      <c r="A64"/>
      <c r="B64" s="330">
        <v>62</v>
      </c>
      <c r="C64" s="315">
        <f xml:space="preserve"> IF(MOD(韻母表_47[[#This Row],[序號]],2)=0, 韻母表_47[[#This Row],[序號]]/2, ROUNDUP(韻母表_47[[#This Row],[序號]]/2,0))</f>
        <v>31</v>
      </c>
      <c r="D64" s="307" t="s">
        <v>299</v>
      </c>
      <c r="E64" s="320" t="s">
        <v>123</v>
      </c>
      <c r="F64" s="316" t="str">
        <f xml:space="preserve"> _xlfn.CONCAT("e", _xlfn.UNICHAR(HEX2DEC(RIGHT("U+0294",4))))</f>
        <v>eʔ</v>
      </c>
      <c r="G64" s="316" t="str">
        <f xml:space="preserve"> _xlfn.CONCAT("ɛ", _xlfn.UNICHAR(HEX2DEC(RIGHT("U+0294",4))))</f>
        <v>ɛʔ</v>
      </c>
      <c r="H64" s="316" t="s">
        <v>218</v>
      </c>
      <c r="I64" s="316" t="s">
        <v>218</v>
      </c>
      <c r="J64" s="316" t="s">
        <v>1196</v>
      </c>
      <c r="K64" s="316" t="s">
        <v>218</v>
      </c>
      <c r="L64" s="316" t="s">
        <v>218</v>
      </c>
      <c r="M64" s="327" t="s">
        <v>1197</v>
      </c>
      <c r="N64" s="303" t="s">
        <v>1198</v>
      </c>
      <c r="O64"/>
    </row>
    <row r="65" spans="1:15" s="41" customFormat="1" ht="45" customHeight="1">
      <c r="A65"/>
      <c r="B65" s="330">
        <v>63</v>
      </c>
      <c r="C65" s="315">
        <f xml:space="preserve"> IF(MOD(韻母表_47[[#This Row],[序號]],2)=0, 韻母表_47[[#This Row],[序號]]/2, ROUNDUP(韻母表_47[[#This Row],[序號]]/2,0))</f>
        <v>32</v>
      </c>
      <c r="D65" s="307" t="s">
        <v>1327</v>
      </c>
      <c r="E65" s="324" t="s">
        <v>124</v>
      </c>
      <c r="F65" s="316" t="s">
        <v>1199</v>
      </c>
      <c r="G65" s="316"/>
      <c r="H65" s="316" t="s">
        <v>219</v>
      </c>
      <c r="I65" s="316" t="s">
        <v>219</v>
      </c>
      <c r="J65" s="316" t="s">
        <v>1200</v>
      </c>
      <c r="K65" s="316" t="s">
        <v>1201</v>
      </c>
      <c r="L65" s="316" t="s">
        <v>219</v>
      </c>
      <c r="M65" s="327" t="s">
        <v>1202</v>
      </c>
      <c r="N65" s="303" t="s">
        <v>1203</v>
      </c>
      <c r="O65"/>
    </row>
    <row r="66" spans="1:15" s="41" customFormat="1" ht="45" customHeight="1">
      <c r="A66"/>
      <c r="B66" s="330">
        <v>64</v>
      </c>
      <c r="C66" s="315">
        <f xml:space="preserve"> IF(MOD(韻母表_47[[#This Row],[序號]],2)=0, 韻母表_47[[#This Row],[序號]]/2, ROUNDUP(韻母表_47[[#This Row],[序號]]/2,0))</f>
        <v>32</v>
      </c>
      <c r="D66" s="311"/>
      <c r="E66" s="324"/>
      <c r="F66" s="316"/>
      <c r="G66" s="316"/>
      <c r="H66" s="316"/>
      <c r="I66" s="316"/>
      <c r="J66" s="316"/>
      <c r="K66" s="316"/>
      <c r="L66" s="316"/>
      <c r="M66" s="327"/>
      <c r="N66" s="303"/>
      <c r="O66"/>
    </row>
    <row r="67" spans="1:15" s="41" customFormat="1" ht="45" customHeight="1">
      <c r="A67"/>
      <c r="B67" s="330">
        <v>65</v>
      </c>
      <c r="C67" s="315">
        <f xml:space="preserve"> IF(MOD(韻母表_47[[#This Row],[序號]],2)=0, 韻母表_47[[#This Row],[序號]]/2, ROUNDUP(韻母表_47[[#This Row],[序號]]/2,0))</f>
        <v>33</v>
      </c>
      <c r="D67" s="307" t="s">
        <v>300</v>
      </c>
      <c r="E67" s="320" t="s">
        <v>126</v>
      </c>
      <c r="F67" s="316" t="s">
        <v>1861</v>
      </c>
      <c r="G67" s="316"/>
      <c r="H67" s="316" t="s">
        <v>220</v>
      </c>
      <c r="I67" s="316" t="s">
        <v>220</v>
      </c>
      <c r="J67" s="316" t="s">
        <v>220</v>
      </c>
      <c r="K67" s="316" t="s">
        <v>220</v>
      </c>
      <c r="L67" s="316" t="s">
        <v>1204</v>
      </c>
      <c r="M67" s="327" t="s">
        <v>1205</v>
      </c>
      <c r="N67" s="303" t="s">
        <v>1205</v>
      </c>
      <c r="O67"/>
    </row>
    <row r="68" spans="1:15" s="41" customFormat="1" ht="45" customHeight="1">
      <c r="A68"/>
      <c r="B68" s="330">
        <v>66</v>
      </c>
      <c r="C68" s="315">
        <f xml:space="preserve"> IF(MOD(韻母表_47[[#This Row],[序號]],2)=0, 韻母表_47[[#This Row],[序號]]/2, ROUNDUP(韻母表_47[[#This Row],[序號]]/2,0))</f>
        <v>33</v>
      </c>
      <c r="D68" s="307" t="s">
        <v>301</v>
      </c>
      <c r="E68" s="320" t="s">
        <v>127</v>
      </c>
      <c r="F68" s="316" t="s">
        <v>1862</v>
      </c>
      <c r="G68" s="316"/>
      <c r="H68" s="316" t="s">
        <v>1529</v>
      </c>
      <c r="I68" s="316" t="s">
        <v>1529</v>
      </c>
      <c r="J68" s="316" t="s">
        <v>1529</v>
      </c>
      <c r="K68" s="316" t="s">
        <v>1529</v>
      </c>
      <c r="L68" s="316" t="s">
        <v>1530</v>
      </c>
      <c r="M68" s="327" t="s">
        <v>1207</v>
      </c>
      <c r="N68" s="303" t="s">
        <v>1208</v>
      </c>
      <c r="O68"/>
    </row>
    <row r="69" spans="1:15" s="41" customFormat="1" ht="45" customHeight="1">
      <c r="A69"/>
      <c r="B69" s="330">
        <v>67</v>
      </c>
      <c r="C69" s="315">
        <f xml:space="preserve"> IF(MOD(韻母表_47[[#This Row],[序號]],2)=0, 韻母表_47[[#This Row],[序號]]/2, ROUNDUP(韻母表_47[[#This Row],[序號]]/2,0))</f>
        <v>34</v>
      </c>
      <c r="D69" s="307" t="s">
        <v>302</v>
      </c>
      <c r="E69" s="320" t="s">
        <v>128</v>
      </c>
      <c r="F69" s="316" t="s">
        <v>1209</v>
      </c>
      <c r="G69" s="316"/>
      <c r="H69" s="316" t="s">
        <v>222</v>
      </c>
      <c r="I69" s="316" t="s">
        <v>222</v>
      </c>
      <c r="J69" s="316" t="s">
        <v>1210</v>
      </c>
      <c r="K69" s="316" t="s">
        <v>532</v>
      </c>
      <c r="L69" s="316" t="s">
        <v>222</v>
      </c>
      <c r="M69" s="327" t="s">
        <v>1211</v>
      </c>
      <c r="N69" s="303" t="s">
        <v>1212</v>
      </c>
      <c r="O69"/>
    </row>
    <row r="70" spans="1:15" s="41" customFormat="1" ht="45" customHeight="1">
      <c r="A70"/>
      <c r="B70" s="330">
        <v>68</v>
      </c>
      <c r="C70" s="315">
        <f xml:space="preserve"> IF(MOD(韻母表_47[[#This Row],[序號]],2)=0, 韻母表_47[[#This Row],[序號]]/2, ROUNDUP(韻母表_47[[#This Row],[序號]]/2,0))</f>
        <v>34</v>
      </c>
      <c r="D70" s="311"/>
      <c r="E70" s="324" t="s">
        <v>129</v>
      </c>
      <c r="F70" s="316" t="s">
        <v>1353</v>
      </c>
      <c r="G70" s="316"/>
      <c r="H70" s="316" t="s">
        <v>1079</v>
      </c>
      <c r="I70" s="316" t="s">
        <v>1079</v>
      </c>
      <c r="J70" s="316" t="s">
        <v>1079</v>
      </c>
      <c r="K70" s="316" t="s">
        <v>1079</v>
      </c>
      <c r="L70" s="316" t="s">
        <v>1079</v>
      </c>
      <c r="M70" s="327" t="s">
        <v>1079</v>
      </c>
      <c r="N70" s="303" t="s">
        <v>1079</v>
      </c>
      <c r="O70"/>
    </row>
    <row r="71" spans="1:15" s="41" customFormat="1" ht="45" customHeight="1">
      <c r="A71"/>
      <c r="B71" s="330">
        <v>69</v>
      </c>
      <c r="C71" s="315">
        <f xml:space="preserve"> IF(MOD(韻母表_47[[#This Row],[序號]],2)=0, 韻母表_47[[#This Row],[序號]]/2, ROUNDUP(韻母表_47[[#This Row],[序號]]/2,0))</f>
        <v>35</v>
      </c>
      <c r="D71" s="313" t="s">
        <v>303</v>
      </c>
      <c r="E71" s="324" t="s">
        <v>130</v>
      </c>
      <c r="F71" s="316" t="s">
        <v>1863</v>
      </c>
      <c r="G71" s="316"/>
      <c r="H71" s="316" t="s">
        <v>224</v>
      </c>
      <c r="I71" s="316" t="s">
        <v>224</v>
      </c>
      <c r="J71" s="316" t="s">
        <v>1213</v>
      </c>
      <c r="K71" s="316" t="s">
        <v>1214</v>
      </c>
      <c r="L71" s="316" t="s">
        <v>1215</v>
      </c>
      <c r="M71" s="327" t="s">
        <v>1216</v>
      </c>
      <c r="N71" s="303" t="s">
        <v>1217</v>
      </c>
      <c r="O71"/>
    </row>
    <row r="72" spans="1:15" s="41" customFormat="1" ht="45" customHeight="1">
      <c r="A72"/>
      <c r="B72" s="330">
        <v>70</v>
      </c>
      <c r="C72" s="315">
        <f xml:space="preserve"> IF(MOD(韻母表_47[[#This Row],[序號]],2)=0, 韻母表_47[[#This Row],[序號]]/2, ROUNDUP(韻母表_47[[#This Row],[序號]]/2,0))</f>
        <v>35</v>
      </c>
      <c r="D72" s="311"/>
      <c r="E72" s="324"/>
      <c r="F72" s="316" t="s">
        <v>1079</v>
      </c>
      <c r="G72" s="316"/>
      <c r="H72" s="316" t="s">
        <v>1079</v>
      </c>
      <c r="I72" s="316" t="s">
        <v>1079</v>
      </c>
      <c r="J72" s="316" t="s">
        <v>1079</v>
      </c>
      <c r="K72" s="316" t="s">
        <v>1079</v>
      </c>
      <c r="L72" s="316" t="s">
        <v>1079</v>
      </c>
      <c r="M72" s="327" t="s">
        <v>1079</v>
      </c>
      <c r="N72" s="303" t="s">
        <v>1079</v>
      </c>
      <c r="O72"/>
    </row>
    <row r="73" spans="1:15" s="41" customFormat="1" ht="45" customHeight="1">
      <c r="A73"/>
      <c r="B73" s="330">
        <v>71</v>
      </c>
      <c r="C73" s="315">
        <f xml:space="preserve"> IF(MOD(韻母表_47[[#This Row],[序號]],2)=0, 韻母表_47[[#This Row],[序號]]/2, ROUNDUP(韻母表_47[[#This Row],[序號]]/2,0))</f>
        <v>36</v>
      </c>
      <c r="D73" s="307" t="s">
        <v>304</v>
      </c>
      <c r="E73" s="320" t="s">
        <v>132</v>
      </c>
      <c r="F73" s="316" t="s">
        <v>1864</v>
      </c>
      <c r="G73" s="316"/>
      <c r="H73" s="316" t="s">
        <v>305</v>
      </c>
      <c r="I73" s="316" t="s">
        <v>305</v>
      </c>
      <c r="J73" s="316" t="s">
        <v>1218</v>
      </c>
      <c r="K73" s="316" t="s">
        <v>543</v>
      </c>
      <c r="L73" s="316" t="s">
        <v>305</v>
      </c>
      <c r="M73" s="327" t="s">
        <v>1219</v>
      </c>
      <c r="N73" s="303" t="s">
        <v>1220</v>
      </c>
      <c r="O73"/>
    </row>
    <row r="74" spans="1:15" s="41" customFormat="1" ht="45" customHeight="1">
      <c r="A74"/>
      <c r="B74" s="330">
        <v>72</v>
      </c>
      <c r="C74" s="315">
        <f xml:space="preserve"> IF(MOD(韻母表_47[[#This Row],[序號]],2)=0, 韻母表_47[[#This Row],[序號]]/2, ROUNDUP(韻母表_47[[#This Row],[序號]]/2,0))</f>
        <v>36</v>
      </c>
      <c r="D74" s="311"/>
      <c r="E74" s="320" t="s">
        <v>1386</v>
      </c>
      <c r="F74" s="316" t="str">
        <f xml:space="preserve"> _xlfn.CONCAT(F73, "h")</f>
        <v>ɪãh</v>
      </c>
      <c r="G74" s="316"/>
      <c r="H74" s="316" t="str">
        <f xml:space="preserve"> _xlfn.CONCAT(H73, "h")</f>
        <v>iannh</v>
      </c>
      <c r="I74" s="316" t="str">
        <f xml:space="preserve"> _xlfn.CONCAT(I73, "h")</f>
        <v>iannh</v>
      </c>
      <c r="J74" s="316" t="str">
        <f xml:space="preserve"> _xlfn.CONCAT(J73, "h")</f>
        <v>iaⁿh</v>
      </c>
      <c r="K74" s="316" t="str">
        <f xml:space="preserve"> _xlfn.CONCAT(K73, "h")</f>
        <v>niah</v>
      </c>
      <c r="L74" s="316" t="str">
        <f xml:space="preserve"> _xlfn.CONCAT(L73, "h")</f>
        <v>iannh</v>
      </c>
      <c r="M74" s="327" t="str">
        <f xml:space="preserve"> _xlfn.CONCAT(M73, "ㆷ")</f>
        <v>ㄧㆩㆷ</v>
      </c>
      <c r="N74" s="303" t="str">
        <f xml:space="preserve"> _xlfn.CONCAT(N73, "ㄏ")</f>
        <v>⁰ㄧㄚㄏ</v>
      </c>
      <c r="O74"/>
    </row>
    <row r="75" spans="1:15" s="41" customFormat="1" ht="45" customHeight="1">
      <c r="A75"/>
      <c r="B75" s="330">
        <v>73</v>
      </c>
      <c r="C75" s="315">
        <f xml:space="preserve"> IF(MOD(韻母表_47[[#This Row],[序號]],2)=0, 韻母表_47[[#This Row],[序號]]/2, ROUNDUP(韻母表_47[[#This Row],[序號]]/2,0))</f>
        <v>37</v>
      </c>
      <c r="D75" s="307" t="s">
        <v>307</v>
      </c>
      <c r="E75" s="320" t="s">
        <v>134</v>
      </c>
      <c r="F75" s="316" t="s">
        <v>1221</v>
      </c>
      <c r="G75" s="316"/>
      <c r="H75" s="316" t="s">
        <v>226</v>
      </c>
      <c r="I75" s="316" t="s">
        <v>226</v>
      </c>
      <c r="J75" s="316" t="s">
        <v>1222</v>
      </c>
      <c r="K75" s="316" t="s">
        <v>923</v>
      </c>
      <c r="L75" s="316" t="s">
        <v>226</v>
      </c>
      <c r="M75" s="327" t="s">
        <v>1223</v>
      </c>
      <c r="N75" s="303" t="s">
        <v>1224</v>
      </c>
      <c r="O75"/>
    </row>
    <row r="76" spans="1:15" s="41" customFormat="1" ht="45" customHeight="1">
      <c r="A76"/>
      <c r="B76" s="330">
        <v>74</v>
      </c>
      <c r="C76" s="315">
        <f xml:space="preserve"> IF(MOD(韻母表_47[[#This Row],[序號]],2)=0, 韻母表_47[[#This Row],[序號]]/2, ROUNDUP(韻母表_47[[#This Row],[序號]]/2,0))</f>
        <v>37</v>
      </c>
      <c r="D76" s="311"/>
      <c r="E76" s="324"/>
      <c r="F76" s="316" t="s">
        <v>1079</v>
      </c>
      <c r="G76" s="316"/>
      <c r="H76" s="316" t="s">
        <v>1079</v>
      </c>
      <c r="I76" s="316" t="s">
        <v>1079</v>
      </c>
      <c r="J76" s="316" t="s">
        <v>1079</v>
      </c>
      <c r="K76" s="316" t="s">
        <v>1079</v>
      </c>
      <c r="L76" s="316" t="s">
        <v>1079</v>
      </c>
      <c r="M76" s="327" t="s">
        <v>1079</v>
      </c>
      <c r="N76" s="303" t="s">
        <v>1079</v>
      </c>
      <c r="O76"/>
    </row>
    <row r="77" spans="1:15" s="41" customFormat="1" ht="45" customHeight="1">
      <c r="A77"/>
      <c r="B77" s="330">
        <v>75</v>
      </c>
      <c r="C77" s="315">
        <f xml:space="preserve"> IF(MOD(韻母表_47[[#This Row],[序號]],2)=0, 韻母表_47[[#This Row],[序號]]/2, ROUNDUP(韻母表_47[[#This Row],[序號]]/2,0))</f>
        <v>38</v>
      </c>
      <c r="D77" s="307" t="s">
        <v>273</v>
      </c>
      <c r="E77" s="320" t="s">
        <v>136</v>
      </c>
      <c r="F77" s="316" t="s">
        <v>1865</v>
      </c>
      <c r="G77" s="316"/>
      <c r="H77" s="316" t="s">
        <v>52</v>
      </c>
      <c r="I77" s="316" t="s">
        <v>52</v>
      </c>
      <c r="J77" s="316" t="s">
        <v>52</v>
      </c>
      <c r="K77" s="316" t="s">
        <v>52</v>
      </c>
      <c r="L77" s="316" t="s">
        <v>52</v>
      </c>
      <c r="M77" s="327" t="s">
        <v>1225</v>
      </c>
      <c r="N77" s="303" t="s">
        <v>1226</v>
      </c>
      <c r="O77"/>
    </row>
    <row r="78" spans="1:15" s="41" customFormat="1" ht="45" customHeight="1">
      <c r="A78"/>
      <c r="B78" s="330">
        <v>76</v>
      </c>
      <c r="C78" s="315">
        <f xml:space="preserve"> IF(MOD(韻母表_47[[#This Row],[序號]],2)=0, 韻母表_47[[#This Row],[序號]]/2, ROUNDUP(韻母表_47[[#This Row],[序號]]/2,0))</f>
        <v>38</v>
      </c>
      <c r="D78" s="311"/>
      <c r="E78" s="320" t="s">
        <v>1387</v>
      </c>
      <c r="F78" s="316" t="str">
        <f xml:space="preserve"> _xlfn.CONCAT(F77, "h")</f>
        <v>ŋ̍h</v>
      </c>
      <c r="G78" s="316"/>
      <c r="H78" s="316" t="str">
        <f xml:space="preserve"> _xlfn.CONCAT(H77, "h")</f>
        <v>ngh</v>
      </c>
      <c r="I78" s="316" t="str">
        <f xml:space="preserve"> _xlfn.CONCAT(I77, "h")</f>
        <v>ngh</v>
      </c>
      <c r="J78" s="316" t="str">
        <f xml:space="preserve"> _xlfn.CONCAT(J77, "h")</f>
        <v>ngh</v>
      </c>
      <c r="K78" s="316" t="str">
        <f xml:space="preserve"> _xlfn.CONCAT(K77, "h")</f>
        <v>ngh</v>
      </c>
      <c r="L78" s="316" t="str">
        <f xml:space="preserve"> _xlfn.CONCAT(L77, "h")</f>
        <v>ngh</v>
      </c>
      <c r="M78" s="327" t="str">
        <f xml:space="preserve"> _xlfn.CONCAT(M77, "ㆷ")</f>
        <v>ㆭㆷ</v>
      </c>
      <c r="N78" s="303" t="str">
        <f xml:space="preserve"> _xlfn.CONCAT(N77, "ㄏ")</f>
        <v>ㄥㄏ</v>
      </c>
      <c r="O78"/>
    </row>
    <row r="79" spans="1:15" s="41" customFormat="1" ht="45" customHeight="1">
      <c r="A79"/>
      <c r="B79" s="330">
        <v>77</v>
      </c>
      <c r="C79" s="315">
        <f xml:space="preserve"> IF(MOD(韻母表_47[[#This Row],[序號]],2)=0, 韻母表_47[[#This Row],[序號]]/2, ROUNDUP(韻母表_47[[#This Row],[序號]]/2,0))</f>
        <v>39</v>
      </c>
      <c r="D79" s="307" t="s">
        <v>308</v>
      </c>
      <c r="E79" s="320" t="s">
        <v>138</v>
      </c>
      <c r="F79" s="316" t="s">
        <v>1328</v>
      </c>
      <c r="G79" s="316"/>
      <c r="H79" s="316" t="s">
        <v>1079</v>
      </c>
      <c r="I79" s="316" t="s">
        <v>1079</v>
      </c>
      <c r="J79" s="316" t="s">
        <v>1079</v>
      </c>
      <c r="K79" s="316" t="s">
        <v>1079</v>
      </c>
      <c r="L79" s="316" t="s">
        <v>1079</v>
      </c>
      <c r="M79" s="327" t="s">
        <v>1079</v>
      </c>
      <c r="N79" s="303" t="s">
        <v>1079</v>
      </c>
      <c r="O79"/>
    </row>
    <row r="80" spans="1:15" s="41" customFormat="1" ht="45" customHeight="1">
      <c r="A80"/>
      <c r="B80" s="330">
        <v>78</v>
      </c>
      <c r="C80" s="315">
        <f xml:space="preserve"> IF(MOD(韻母表_47[[#This Row],[序號]],2)=0, 韻母表_47[[#This Row],[序號]]/2, ROUNDUP(韻母表_47[[#This Row],[序號]]/2,0))</f>
        <v>39</v>
      </c>
      <c r="D80" s="307" t="s">
        <v>309</v>
      </c>
      <c r="E80" s="320" t="s">
        <v>139</v>
      </c>
      <c r="F80" s="316" t="s">
        <v>1227</v>
      </c>
      <c r="G80" s="316"/>
      <c r="H80" s="316" t="s">
        <v>227</v>
      </c>
      <c r="I80" s="316" t="s">
        <v>227</v>
      </c>
      <c r="J80" s="316" t="s">
        <v>227</v>
      </c>
      <c r="K80" s="316" t="s">
        <v>227</v>
      </c>
      <c r="L80" s="316" t="s">
        <v>227</v>
      </c>
      <c r="M80" s="327" t="s">
        <v>1228</v>
      </c>
      <c r="N80" s="303" t="s">
        <v>1084</v>
      </c>
      <c r="O80"/>
    </row>
    <row r="81" spans="1:15" s="41" customFormat="1" ht="45" customHeight="1">
      <c r="A81"/>
      <c r="B81" s="330">
        <v>79</v>
      </c>
      <c r="C81" s="315">
        <f xml:space="preserve"> IF(MOD(韻母表_47[[#This Row],[序號]],2)=0, 韻母表_47[[#This Row],[序號]]/2, ROUNDUP(韻母表_47[[#This Row],[序號]]/2,0))</f>
        <v>40</v>
      </c>
      <c r="D81" s="307" t="s">
        <v>310</v>
      </c>
      <c r="E81" s="320" t="s">
        <v>140</v>
      </c>
      <c r="F81" s="316" t="s">
        <v>1866</v>
      </c>
      <c r="G81" s="316"/>
      <c r="H81" s="316" t="s">
        <v>228</v>
      </c>
      <c r="I81" s="316" t="s">
        <v>228</v>
      </c>
      <c r="J81" s="316" t="s">
        <v>1229</v>
      </c>
      <c r="K81" s="316" t="s">
        <v>364</v>
      </c>
      <c r="L81" s="316" t="s">
        <v>228</v>
      </c>
      <c r="M81" s="327" t="s">
        <v>1230</v>
      </c>
      <c r="N81" s="303" t="s">
        <v>1231</v>
      </c>
      <c r="O81"/>
    </row>
    <row r="82" spans="1:15" s="41" customFormat="1" ht="45" customHeight="1">
      <c r="A82"/>
      <c r="B82" s="330">
        <v>80</v>
      </c>
      <c r="C82" s="315">
        <f xml:space="preserve"> IF(MOD(韻母表_47[[#This Row],[序號]],2)=0, 韻母表_47[[#This Row],[序號]]/2, ROUNDUP(韻母表_47[[#This Row],[序號]]/2,0))</f>
        <v>40</v>
      </c>
      <c r="D82" s="311"/>
      <c r="E82" s="324"/>
      <c r="F82" s="316" t="s">
        <v>1079</v>
      </c>
      <c r="G82" s="316"/>
      <c r="H82" s="316" t="s">
        <v>1079</v>
      </c>
      <c r="I82" s="316" t="s">
        <v>1079</v>
      </c>
      <c r="J82" s="316" t="s">
        <v>1079</v>
      </c>
      <c r="K82" s="316" t="s">
        <v>1079</v>
      </c>
      <c r="L82" s="316" t="s">
        <v>1079</v>
      </c>
      <c r="M82" s="327" t="s">
        <v>1079</v>
      </c>
      <c r="N82" s="303" t="s">
        <v>1079</v>
      </c>
      <c r="O82"/>
    </row>
    <row r="83" spans="1:15" s="41" customFormat="1" ht="45" customHeight="1">
      <c r="A83"/>
      <c r="B83" s="330">
        <v>81</v>
      </c>
      <c r="C83" s="315">
        <f xml:space="preserve"> IF(MOD(韻母表_47[[#This Row],[序號]],2)=0, 韻母表_47[[#This Row],[序號]]/2, ROUNDUP(韻母表_47[[#This Row],[序號]]/2,0))</f>
        <v>41</v>
      </c>
      <c r="D83" s="311" t="s">
        <v>262</v>
      </c>
      <c r="E83" s="324" t="s">
        <v>142</v>
      </c>
      <c r="F83" s="316" t="str">
        <f xml:space="preserve"> _xlfn.CONCAT("ɔ", _xlfn.UNICHAR(HEX2DEC(RIGHT("U+0303",4))))</f>
        <v>ɔ̃</v>
      </c>
      <c r="G83" s="316" t="str">
        <f xml:space="preserve"> _xlfn.CONCAT("o", _xlfn.UNICHAR(HEX2DEC(RIGHT("U+0303",4))), "u")</f>
        <v>õu</v>
      </c>
      <c r="H83" s="316" t="s">
        <v>229</v>
      </c>
      <c r="I83" s="316" t="s">
        <v>229</v>
      </c>
      <c r="J83" s="316" t="s">
        <v>1232</v>
      </c>
      <c r="K83" s="316" t="s">
        <v>892</v>
      </c>
      <c r="L83" s="316" t="s">
        <v>1233</v>
      </c>
      <c r="M83" s="327" t="s">
        <v>1234</v>
      </c>
      <c r="N83" s="303" t="s">
        <v>1235</v>
      </c>
      <c r="O83"/>
    </row>
    <row r="84" spans="1:15" s="41" customFormat="1" ht="45" customHeight="1">
      <c r="A84"/>
      <c r="B84" s="330">
        <v>82</v>
      </c>
      <c r="C84" s="315">
        <f xml:space="preserve"> IF(MOD(韻母表_47[[#This Row],[序號]],2)=0, 韻母表_47[[#This Row],[序號]]/2, ROUNDUP(韻母表_47[[#This Row],[序號]]/2,0))</f>
        <v>41</v>
      </c>
      <c r="D84" s="311"/>
      <c r="E84" s="324"/>
      <c r="F84" s="316" t="s">
        <v>1079</v>
      </c>
      <c r="G84" s="316"/>
      <c r="H84" s="316" t="s">
        <v>1079</v>
      </c>
      <c r="I84" s="316" t="s">
        <v>1079</v>
      </c>
      <c r="J84" s="316" t="s">
        <v>1079</v>
      </c>
      <c r="K84" s="316" t="s">
        <v>1079</v>
      </c>
      <c r="L84" s="316" t="s">
        <v>1079</v>
      </c>
      <c r="M84" s="327" t="s">
        <v>1079</v>
      </c>
      <c r="N84" s="303" t="s">
        <v>1079</v>
      </c>
      <c r="O84"/>
    </row>
    <row r="85" spans="1:15" s="41" customFormat="1" ht="45" customHeight="1">
      <c r="A85"/>
      <c r="B85" s="330">
        <v>83</v>
      </c>
      <c r="C85" s="315">
        <f xml:space="preserve"> IF(MOD(韻母表_47[[#This Row],[序號]],2)=0, 韻母表_47[[#This Row],[序號]]/2, ROUNDUP(韻母表_47[[#This Row],[序號]]/2,0))</f>
        <v>42</v>
      </c>
      <c r="D85" s="307" t="s">
        <v>311</v>
      </c>
      <c r="E85" s="320" t="s">
        <v>144</v>
      </c>
      <c r="F85" s="316" t="s">
        <v>1236</v>
      </c>
      <c r="G85" s="316"/>
      <c r="H85" s="316" t="s">
        <v>44</v>
      </c>
      <c r="I85" s="316" t="s">
        <v>44</v>
      </c>
      <c r="J85" s="316" t="s">
        <v>44</v>
      </c>
      <c r="K85" s="316" t="s">
        <v>44</v>
      </c>
      <c r="L85" s="316" t="s">
        <v>44</v>
      </c>
      <c r="M85" s="327" t="s">
        <v>1237</v>
      </c>
      <c r="N85" s="303" t="s">
        <v>1238</v>
      </c>
      <c r="O85"/>
    </row>
    <row r="86" spans="1:15" s="41" customFormat="1" ht="45" customHeight="1">
      <c r="A86"/>
      <c r="B86" s="330">
        <v>84</v>
      </c>
      <c r="C86" s="315">
        <f xml:space="preserve"> IF(MOD(韻母表_47[[#This Row],[序號]],2)=0, 韻母表_47[[#This Row],[序號]]/2, ROUNDUP(韻母表_47[[#This Row],[序號]]/2,0))</f>
        <v>42</v>
      </c>
      <c r="D86" s="311"/>
      <c r="E86" s="320" t="s">
        <v>1388</v>
      </c>
      <c r="F86" s="316" t="str">
        <f xml:space="preserve"> _xlfn.CONCAT(F85, "h")</f>
        <v>m̩h</v>
      </c>
      <c r="G86" s="316"/>
      <c r="H86" s="316" t="str">
        <f xml:space="preserve"> _xlfn.CONCAT(H85, "h")</f>
        <v>mh</v>
      </c>
      <c r="I86" s="316" t="str">
        <f xml:space="preserve"> _xlfn.CONCAT(I85, "h")</f>
        <v>mh</v>
      </c>
      <c r="J86" s="316" t="str">
        <f xml:space="preserve"> _xlfn.CONCAT(J85, "h")</f>
        <v>mh</v>
      </c>
      <c r="K86" s="316" t="str">
        <f xml:space="preserve"> _xlfn.CONCAT(K85, "h")</f>
        <v>mh</v>
      </c>
      <c r="L86" s="316" t="str">
        <f xml:space="preserve"> _xlfn.CONCAT(L85, "h")</f>
        <v>mh</v>
      </c>
      <c r="M86" s="327" t="str">
        <f xml:space="preserve"> _xlfn.CONCAT(M85, "ㆷ")</f>
        <v>ㆬㆷ</v>
      </c>
      <c r="N86" s="303" t="str">
        <f xml:space="preserve"> _xlfn.CONCAT(N85, "ㄏ")</f>
        <v>ㄇㄏ</v>
      </c>
      <c r="O86"/>
    </row>
    <row r="87" spans="1:15" s="41" customFormat="1" ht="45" customHeight="1">
      <c r="A87"/>
      <c r="B87" s="330">
        <v>85</v>
      </c>
      <c r="C87" s="315">
        <f xml:space="preserve"> IF(MOD(韻母表_47[[#This Row],[序號]],2)=0, 韻母表_47[[#This Row],[序號]]/2, ROUNDUP(韻母表_47[[#This Row],[序號]]/2,0))</f>
        <v>43</v>
      </c>
      <c r="D87" s="307" t="s">
        <v>312</v>
      </c>
      <c r="E87" s="320" t="s">
        <v>146</v>
      </c>
      <c r="F87" s="316" t="s">
        <v>1867</v>
      </c>
      <c r="G87" s="316"/>
      <c r="H87" s="316" t="s">
        <v>230</v>
      </c>
      <c r="I87" s="316" t="s">
        <v>230</v>
      </c>
      <c r="J87" s="316" t="s">
        <v>1239</v>
      </c>
      <c r="K87" s="316" t="s">
        <v>230</v>
      </c>
      <c r="L87" s="316" t="s">
        <v>230</v>
      </c>
      <c r="M87" s="327" t="s">
        <v>1240</v>
      </c>
      <c r="N87" s="303" t="s">
        <v>1240</v>
      </c>
      <c r="O87"/>
    </row>
    <row r="88" spans="1:15" s="41" customFormat="1" ht="45" customHeight="1">
      <c r="A88"/>
      <c r="B88" s="330">
        <v>86</v>
      </c>
      <c r="C88" s="315">
        <f xml:space="preserve"> IF(MOD(韻母表_47[[#This Row],[序號]],2)=0, 韻母表_47[[#This Row],[序號]]/2, ROUNDUP(韻母表_47[[#This Row],[序號]]/2,0))</f>
        <v>43</v>
      </c>
      <c r="D88" s="311"/>
      <c r="E88" s="324" t="s">
        <v>147</v>
      </c>
      <c r="F88" s="316" t="s">
        <v>1329</v>
      </c>
      <c r="G88" s="316"/>
      <c r="H88" s="316" t="s">
        <v>1079</v>
      </c>
      <c r="I88" s="316" t="s">
        <v>1079</v>
      </c>
      <c r="J88" s="316" t="s">
        <v>1079</v>
      </c>
      <c r="K88" s="316" t="s">
        <v>1079</v>
      </c>
      <c r="L88" s="316" t="s">
        <v>1079</v>
      </c>
      <c r="M88" s="327" t="s">
        <v>1079</v>
      </c>
      <c r="N88" s="303" t="s">
        <v>1079</v>
      </c>
      <c r="O88"/>
    </row>
    <row r="89" spans="1:15" s="41" customFormat="1" ht="45" customHeight="1">
      <c r="A89"/>
      <c r="B89" s="330">
        <v>87</v>
      </c>
      <c r="C89" s="315">
        <f xml:space="preserve"> IF(MOD(韻母表_47[[#This Row],[序號]],2)=0, 韻母表_47[[#This Row],[序號]]/2, ROUNDUP(韻母表_47[[#This Row],[序號]]/2,0))</f>
        <v>44</v>
      </c>
      <c r="D89" s="311"/>
      <c r="E89" s="324" t="s">
        <v>148</v>
      </c>
      <c r="F89" s="316" t="s">
        <v>1241</v>
      </c>
      <c r="G89" s="316"/>
      <c r="H89" s="316" t="s">
        <v>232</v>
      </c>
      <c r="I89" s="316" t="s">
        <v>232</v>
      </c>
      <c r="J89" s="316" t="s">
        <v>1242</v>
      </c>
      <c r="K89" s="316" t="s">
        <v>1243</v>
      </c>
      <c r="L89" s="316" t="s">
        <v>232</v>
      </c>
      <c r="M89" s="327" t="s">
        <v>1244</v>
      </c>
      <c r="N89" s="303" t="s">
        <v>1245</v>
      </c>
      <c r="O89"/>
    </row>
    <row r="90" spans="1:15" s="41" customFormat="1" ht="45" customHeight="1">
      <c r="A90"/>
      <c r="B90" s="330">
        <v>88</v>
      </c>
      <c r="C90" s="315">
        <f xml:space="preserve"> IF(MOD(韻母表_47[[#This Row],[序號]],2)=0, 韻母表_47[[#This Row],[序號]]/2, ROUNDUP(韻母表_47[[#This Row],[序號]]/2,0))</f>
        <v>44</v>
      </c>
      <c r="D90" s="311"/>
      <c r="E90" s="324" t="s">
        <v>149</v>
      </c>
      <c r="F90" s="316" t="s">
        <v>1246</v>
      </c>
      <c r="G90" s="316"/>
      <c r="H90" s="316" t="s">
        <v>233</v>
      </c>
      <c r="I90" s="316" t="s">
        <v>1247</v>
      </c>
      <c r="J90" s="316" t="s">
        <v>1248</v>
      </c>
      <c r="K90" s="316" t="s">
        <v>233</v>
      </c>
      <c r="L90" s="316" t="s">
        <v>233</v>
      </c>
      <c r="M90" s="327" t="s">
        <v>1249</v>
      </c>
      <c r="N90" s="303" t="s">
        <v>1250</v>
      </c>
      <c r="O90"/>
    </row>
    <row r="91" spans="1:15" s="41" customFormat="1" ht="45" customHeight="1">
      <c r="A91"/>
      <c r="B91" s="330">
        <v>89</v>
      </c>
      <c r="C91" s="315">
        <f xml:space="preserve"> IF(MOD(韻母表_47[[#This Row],[序號]],2)=0, 韻母表_47[[#This Row],[序號]]/2, ROUNDUP(韻母表_47[[#This Row],[序號]]/2,0))</f>
        <v>45</v>
      </c>
      <c r="D91" s="313" t="s">
        <v>313</v>
      </c>
      <c r="E91" s="324" t="s">
        <v>150</v>
      </c>
      <c r="F91" s="316" t="s">
        <v>1365</v>
      </c>
      <c r="G91" s="316"/>
      <c r="H91" s="316" t="s">
        <v>1079</v>
      </c>
      <c r="I91" s="316" t="s">
        <v>1079</v>
      </c>
      <c r="J91" s="316" t="s">
        <v>1079</v>
      </c>
      <c r="K91" s="316" t="s">
        <v>1079</v>
      </c>
      <c r="L91" s="316" t="s">
        <v>1079</v>
      </c>
      <c r="M91" s="327" t="s">
        <v>1079</v>
      </c>
      <c r="N91" s="303" t="s">
        <v>1079</v>
      </c>
      <c r="O91"/>
    </row>
    <row r="92" spans="1:15" s="41" customFormat="1" ht="45" customHeight="1">
      <c r="A92"/>
      <c r="B92" s="330">
        <v>90</v>
      </c>
      <c r="C92" s="315">
        <f xml:space="preserve"> IF(MOD(韻母表_47[[#This Row],[序號]],2)=0, 韻母表_47[[#This Row],[序號]]/2, ROUNDUP(韻母表_47[[#This Row],[序號]]/2,0))</f>
        <v>45</v>
      </c>
      <c r="D92" s="313" t="s">
        <v>314</v>
      </c>
      <c r="E92" s="324" t="s">
        <v>151</v>
      </c>
      <c r="F92" s="316" t="s">
        <v>1364</v>
      </c>
      <c r="G92" s="316"/>
      <c r="H92" s="316" t="s">
        <v>1079</v>
      </c>
      <c r="I92" s="316" t="s">
        <v>1079</v>
      </c>
      <c r="J92" s="316" t="s">
        <v>1079</v>
      </c>
      <c r="K92" s="316" t="s">
        <v>1079</v>
      </c>
      <c r="L92" s="316" t="s">
        <v>1079</v>
      </c>
      <c r="M92" s="327" t="s">
        <v>1079</v>
      </c>
      <c r="N92" s="303" t="s">
        <v>1079</v>
      </c>
      <c r="O92"/>
    </row>
    <row r="93" spans="1:15" s="41" customFormat="1" ht="45" customHeight="1">
      <c r="A93"/>
      <c r="B93" s="330">
        <v>91</v>
      </c>
      <c r="C93" s="315">
        <f xml:space="preserve"> IF(MOD(韻母表_47[[#This Row],[序號]],2)=0, 韻母表_47[[#This Row],[序號]]/2, ROUNDUP(韻母表_47[[#This Row],[序號]]/2,0))</f>
        <v>46</v>
      </c>
      <c r="D93" s="307" t="s">
        <v>316</v>
      </c>
      <c r="E93" s="324" t="s">
        <v>152</v>
      </c>
      <c r="F93" s="316" t="s">
        <v>1868</v>
      </c>
      <c r="G93" s="316"/>
      <c r="H93" s="316" t="s">
        <v>235</v>
      </c>
      <c r="I93" s="316" t="s">
        <v>235</v>
      </c>
      <c r="J93" s="316" t="s">
        <v>1251</v>
      </c>
      <c r="K93" s="316" t="s">
        <v>1252</v>
      </c>
      <c r="L93" s="316" t="s">
        <v>235</v>
      </c>
      <c r="M93" s="327" t="s">
        <v>1253</v>
      </c>
      <c r="N93" s="303" t="s">
        <v>1254</v>
      </c>
      <c r="O93"/>
    </row>
    <row r="94" spans="1:15" s="41" customFormat="1" ht="45" customHeight="1">
      <c r="A94"/>
      <c r="B94" s="330">
        <v>92</v>
      </c>
      <c r="C94" s="315">
        <f xml:space="preserve"> IF(MOD(韻母表_47[[#This Row],[序號]],2)=0, 韻母表_47[[#This Row],[序號]]/2, ROUNDUP(韻母表_47[[#This Row],[序號]]/2,0))</f>
        <v>46</v>
      </c>
      <c r="D94" s="307" t="s">
        <v>318</v>
      </c>
      <c r="E94" s="324" t="s">
        <v>153</v>
      </c>
      <c r="F94" s="316" t="s">
        <v>1366</v>
      </c>
      <c r="G94" s="316"/>
      <c r="H94" s="316" t="s">
        <v>1079</v>
      </c>
      <c r="I94" s="316" t="s">
        <v>1079</v>
      </c>
      <c r="J94" s="316" t="s">
        <v>1079</v>
      </c>
      <c r="K94" s="316" t="s">
        <v>1079</v>
      </c>
      <c r="L94" s="316" t="s">
        <v>1079</v>
      </c>
      <c r="M94" s="327" t="s">
        <v>1079</v>
      </c>
      <c r="N94" s="303" t="s">
        <v>1079</v>
      </c>
      <c r="O94"/>
    </row>
    <row r="95" spans="1:15" s="41" customFormat="1" ht="45" customHeight="1">
      <c r="A95"/>
      <c r="B95" s="330">
        <v>93</v>
      </c>
      <c r="C95" s="315">
        <f xml:space="preserve"> IF(MOD(韻母表_47[[#This Row],[序號]],2)=0, 韻母表_47[[#This Row],[序號]]/2, ROUNDUP(韻母表_47[[#This Row],[序號]]/2,0))</f>
        <v>47</v>
      </c>
      <c r="D95" s="307" t="s">
        <v>319</v>
      </c>
      <c r="E95" s="320" t="s">
        <v>154</v>
      </c>
      <c r="F95" s="316" t="s">
        <v>1869</v>
      </c>
      <c r="G95" s="316"/>
      <c r="H95" s="316" t="s">
        <v>236</v>
      </c>
      <c r="I95" s="316" t="s">
        <v>236</v>
      </c>
      <c r="J95" s="316" t="s">
        <v>236</v>
      </c>
      <c r="K95" s="316" t="s">
        <v>236</v>
      </c>
      <c r="L95" s="316" t="s">
        <v>1255</v>
      </c>
      <c r="M95" s="327" t="s">
        <v>1256</v>
      </c>
      <c r="N95" s="303" t="s">
        <v>1257</v>
      </c>
      <c r="O95"/>
    </row>
    <row r="96" spans="1:15" s="41" customFormat="1" ht="45" customHeight="1">
      <c r="A96"/>
      <c r="B96" s="330">
        <v>94</v>
      </c>
      <c r="C96" s="315">
        <f xml:space="preserve"> IF(MOD(韻母表_47[[#This Row],[序號]],2)=0, 韻母表_47[[#This Row],[序號]]/2, ROUNDUP(韻母表_47[[#This Row],[序號]]/2,0))</f>
        <v>47</v>
      </c>
      <c r="D96" s="307" t="s">
        <v>320</v>
      </c>
      <c r="E96" s="324" t="s">
        <v>155</v>
      </c>
      <c r="F96" s="316" t="s">
        <v>1870</v>
      </c>
      <c r="G96" s="316"/>
      <c r="H96" s="316" t="s">
        <v>1258</v>
      </c>
      <c r="I96" s="316" t="s">
        <v>1258</v>
      </c>
      <c r="J96" s="316" t="s">
        <v>1258</v>
      </c>
      <c r="K96" s="316" t="s">
        <v>1258</v>
      </c>
      <c r="L96" s="316" t="s">
        <v>1259</v>
      </c>
      <c r="M96" s="327" t="s">
        <v>1260</v>
      </c>
      <c r="N96" s="303" t="s">
        <v>1261</v>
      </c>
      <c r="O96"/>
    </row>
    <row r="97" spans="1:15" s="41" customFormat="1" ht="45" customHeight="1">
      <c r="A97"/>
      <c r="B97" s="330">
        <v>95</v>
      </c>
      <c r="C97" s="315">
        <f xml:space="preserve"> IF(MOD(韻母表_47[[#This Row],[序號]],2)=0, 韻母表_47[[#This Row],[序號]]/2, ROUNDUP(韻母表_47[[#This Row],[序號]]/2,0))</f>
        <v>48</v>
      </c>
      <c r="D97" s="314" t="s">
        <v>322</v>
      </c>
      <c r="E97" s="320" t="s">
        <v>156</v>
      </c>
      <c r="F97" s="316" t="s">
        <v>1367</v>
      </c>
      <c r="G97" s="316"/>
      <c r="H97" s="316" t="s">
        <v>1079</v>
      </c>
      <c r="I97" s="316" t="s">
        <v>1079</v>
      </c>
      <c r="J97" s="316" t="s">
        <v>1079</v>
      </c>
      <c r="K97" s="316" t="s">
        <v>1079</v>
      </c>
      <c r="L97" s="316" t="s">
        <v>1079</v>
      </c>
      <c r="M97" s="327" t="s">
        <v>1079</v>
      </c>
      <c r="N97" s="303" t="s">
        <v>1079</v>
      </c>
      <c r="O97"/>
    </row>
    <row r="98" spans="1:15" s="41" customFormat="1" ht="45" customHeight="1">
      <c r="A98"/>
      <c r="B98" s="330">
        <v>96</v>
      </c>
      <c r="C98" s="315">
        <f xml:space="preserve"> IF(MOD(韻母表_47[[#This Row],[序號]],2)=0, 韻母表_47[[#This Row],[序號]]/2, ROUNDUP(韻母表_47[[#This Row],[序號]]/2,0))</f>
        <v>48</v>
      </c>
      <c r="D98" s="307"/>
      <c r="E98" s="324"/>
      <c r="F98" s="316" t="s">
        <v>1079</v>
      </c>
      <c r="G98" s="316"/>
      <c r="H98" s="316" t="s">
        <v>1079</v>
      </c>
      <c r="I98" s="316" t="s">
        <v>1079</v>
      </c>
      <c r="J98" s="316" t="s">
        <v>1079</v>
      </c>
      <c r="K98" s="316" t="s">
        <v>1079</v>
      </c>
      <c r="L98" s="316" t="s">
        <v>1079</v>
      </c>
      <c r="M98" s="327" t="s">
        <v>1079</v>
      </c>
      <c r="N98" s="303" t="s">
        <v>1079</v>
      </c>
      <c r="O98"/>
    </row>
    <row r="99" spans="1:15" s="41" customFormat="1" ht="45" customHeight="1">
      <c r="A99"/>
      <c r="B99" s="330">
        <v>97</v>
      </c>
      <c r="C99" s="315">
        <f xml:space="preserve"> IF(MOD(韻母表_47[[#This Row],[序號]],2)=0, 韻母表_47[[#This Row],[序號]]/2, ROUNDUP(韻母表_47[[#This Row],[序號]]/2,0))</f>
        <v>49</v>
      </c>
      <c r="D99" s="307"/>
      <c r="E99" s="324" t="s">
        <v>158</v>
      </c>
      <c r="F99" s="318" t="s">
        <v>1871</v>
      </c>
      <c r="G99" s="318"/>
      <c r="H99" s="318" t="s">
        <v>1079</v>
      </c>
      <c r="I99" s="318" t="s">
        <v>1079</v>
      </c>
      <c r="J99" s="318" t="s">
        <v>1079</v>
      </c>
      <c r="K99" s="318" t="s">
        <v>1079</v>
      </c>
      <c r="L99" s="318" t="s">
        <v>1079</v>
      </c>
      <c r="M99" s="327" t="s">
        <v>1079</v>
      </c>
      <c r="N99" s="303" t="s">
        <v>1079</v>
      </c>
      <c r="O99"/>
    </row>
    <row r="100" spans="1:15" s="41" customFormat="1" ht="45" customHeight="1">
      <c r="A100"/>
      <c r="B100" s="330">
        <v>98</v>
      </c>
      <c r="C100" s="315">
        <f xml:space="preserve"> IF(MOD(韻母表_47[[#This Row],[序號]],2)=0, 韻母表_47[[#This Row],[序號]]/2, ROUNDUP(韻母表_47[[#This Row],[序號]]/2,0))</f>
        <v>49</v>
      </c>
      <c r="D100" s="307"/>
      <c r="E100" s="324" t="s">
        <v>159</v>
      </c>
      <c r="F100" s="316" t="s">
        <v>1872</v>
      </c>
      <c r="G100" s="316"/>
      <c r="H100" s="316" t="s">
        <v>238</v>
      </c>
      <c r="I100" s="316" t="s">
        <v>1262</v>
      </c>
      <c r="J100" s="316" t="s">
        <v>1263</v>
      </c>
      <c r="K100" s="316" t="s">
        <v>1264</v>
      </c>
      <c r="L100" s="316" t="s">
        <v>238</v>
      </c>
      <c r="M100" s="327" t="s">
        <v>1265</v>
      </c>
      <c r="N100" s="303" t="s">
        <v>1266</v>
      </c>
      <c r="O100"/>
    </row>
    <row r="101" spans="1:15" s="41" customFormat="1" ht="45" customHeight="1">
      <c r="A101"/>
      <c r="B101" s="330">
        <v>99</v>
      </c>
      <c r="C101" s="315">
        <f xml:space="preserve"> IF(MOD(韻母表_47[[#This Row],[序號]],2)=0, 韻母表_47[[#This Row],[序號]]/2, ROUNDUP(韻母表_47[[#This Row],[序號]]/2,0))</f>
        <v>50</v>
      </c>
      <c r="D101" s="307" t="s">
        <v>303</v>
      </c>
      <c r="E101" s="320" t="s">
        <v>160</v>
      </c>
      <c r="F101" s="316" t="s">
        <v>1873</v>
      </c>
      <c r="G101" s="316"/>
      <c r="H101" s="316" t="s">
        <v>239</v>
      </c>
      <c r="I101" s="316" t="s">
        <v>239</v>
      </c>
      <c r="J101" s="316" t="s">
        <v>1267</v>
      </c>
      <c r="K101" s="316" t="s">
        <v>796</v>
      </c>
      <c r="L101" s="316" t="s">
        <v>239</v>
      </c>
      <c r="M101" s="327" t="s">
        <v>1268</v>
      </c>
      <c r="N101" s="303" t="s">
        <v>1269</v>
      </c>
      <c r="O101"/>
    </row>
    <row r="102" spans="1:15" s="41" customFormat="1" ht="45" customHeight="1">
      <c r="A102"/>
      <c r="B102" s="330">
        <v>100</v>
      </c>
      <c r="C102" s="315">
        <f xml:space="preserve"> IF(MOD(韻母表_47[[#This Row],[序號]],2)=0, 韻母表_47[[#This Row],[序號]]/2, ROUNDUP(韻母表_47[[#This Row],[序號]]/2,0))</f>
        <v>50</v>
      </c>
      <c r="D102" s="307"/>
      <c r="E102" s="325" t="s">
        <v>161</v>
      </c>
      <c r="F102" s="319" t="s">
        <v>1874</v>
      </c>
      <c r="G102" s="319"/>
      <c r="H102" s="319" t="s">
        <v>810</v>
      </c>
      <c r="I102" s="319" t="s">
        <v>810</v>
      </c>
      <c r="J102" s="319" t="s">
        <v>1270</v>
      </c>
      <c r="K102" s="319" t="s">
        <v>1264</v>
      </c>
      <c r="L102" s="319" t="s">
        <v>810</v>
      </c>
      <c r="M102" s="326" t="s">
        <v>1271</v>
      </c>
      <c r="N102" s="305" t="s">
        <v>1272</v>
      </c>
      <c r="O102"/>
    </row>
    <row r="104" spans="1:15" s="41" customFormat="1">
      <c r="A104"/>
      <c r="B104" s="329"/>
      <c r="C104" s="1"/>
      <c r="D104"/>
      <c r="E104"/>
      <c r="F104"/>
      <c r="G104"/>
      <c r="H104"/>
      <c r="I104"/>
      <c r="J104"/>
      <c r="K104"/>
      <c r="L104"/>
      <c r="M104"/>
      <c r="N104"/>
      <c r="O104"/>
    </row>
    <row r="105" spans="1:15" s="41" customFormat="1">
      <c r="A105"/>
      <c r="B105" s="329"/>
      <c r="C105" s="1"/>
      <c r="D105"/>
      <c r="E105"/>
      <c r="F105"/>
      <c r="G105"/>
      <c r="H105"/>
      <c r="I105"/>
      <c r="J105"/>
      <c r="K105"/>
      <c r="L105"/>
      <c r="M105"/>
      <c r="N105"/>
      <c r="O105"/>
    </row>
    <row r="106" spans="1:15" s="41" customFormat="1">
      <c r="A106"/>
      <c r="B106" s="329"/>
      <c r="C106" s="1"/>
      <c r="D106"/>
      <c r="E106"/>
      <c r="F106"/>
      <c r="G106"/>
      <c r="H106"/>
      <c r="I106"/>
      <c r="J106"/>
      <c r="K106"/>
      <c r="L106"/>
      <c r="M106"/>
      <c r="N106"/>
      <c r="O106"/>
    </row>
    <row r="107" spans="1:15" s="41" customFormat="1">
      <c r="A107"/>
      <c r="B107" s="329"/>
      <c r="C107" s="1"/>
      <c r="D107"/>
      <c r="E107"/>
      <c r="F107"/>
      <c r="G107"/>
      <c r="H107"/>
      <c r="I107"/>
      <c r="J107"/>
      <c r="K107"/>
      <c r="L107"/>
      <c r="M107"/>
      <c r="N107"/>
      <c r="O107"/>
    </row>
    <row r="108" spans="1:15" s="41" customFormat="1">
      <c r="A108"/>
      <c r="B108" s="329"/>
      <c r="C108" s="1"/>
      <c r="D108"/>
      <c r="E108"/>
      <c r="F108"/>
      <c r="G108"/>
      <c r="H108"/>
      <c r="I108"/>
      <c r="J108"/>
      <c r="K108"/>
      <c r="L108"/>
      <c r="M108"/>
      <c r="N108"/>
      <c r="O108"/>
    </row>
    <row r="109" spans="1:15" s="41" customFormat="1">
      <c r="A109"/>
      <c r="B109" s="329"/>
      <c r="C109" s="1"/>
      <c r="D109"/>
      <c r="E109"/>
      <c r="F109"/>
      <c r="G109"/>
      <c r="H109"/>
      <c r="I109"/>
      <c r="J109"/>
      <c r="K109"/>
      <c r="L109"/>
      <c r="M109"/>
      <c r="N109"/>
      <c r="O109"/>
    </row>
    <row r="110" spans="1:15" s="41" customFormat="1">
      <c r="A110"/>
      <c r="B110" s="329"/>
      <c r="C110" s="1"/>
      <c r="D110"/>
      <c r="E110"/>
      <c r="F110"/>
      <c r="G110"/>
      <c r="H110"/>
      <c r="I110"/>
      <c r="J110"/>
      <c r="K110"/>
      <c r="L110"/>
      <c r="M110"/>
      <c r="N110"/>
      <c r="O110"/>
    </row>
  </sheetData>
  <phoneticPr fontId="2" type="noConversion"/>
  <conditionalFormatting sqref="B3:N102">
    <cfRule type="expression" dxfId="26" priority="17">
      <formula>MOD($C3,2)&lt;&gt;0</formula>
    </cfRule>
    <cfRule type="expression" dxfId="25" priority="18">
      <formula>MOD($B3,2)&lt;&gt;0</formula>
    </cfRule>
    <cfRule type="expression" dxfId="24" priority="19">
      <formula>MOD($B3,2)=0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EC261-62A8-46AE-BFF6-5E85825B9C82}">
  <dimension ref="B1:AA53"/>
  <sheetViews>
    <sheetView showGridLines="0" workbookViewId="0">
      <pane ySplit="3" topLeftCell="A28" activePane="bottomLeft" state="frozen"/>
      <selection pane="bottomLeft" activeCell="H28" sqref="H28"/>
    </sheetView>
  </sheetViews>
  <sheetFormatPr defaultColWidth="8.875" defaultRowHeight="39"/>
  <cols>
    <col min="1" max="1" width="8.875" style="336"/>
    <col min="2" max="2" width="7.75" style="334" customWidth="1"/>
    <col min="3" max="10" width="8.625" style="339" customWidth="1"/>
    <col min="11" max="12" width="9.375" style="339" customWidth="1"/>
    <col min="13" max="13" width="8.625" style="339" customWidth="1"/>
    <col min="14" max="21" width="8.625" style="336" customWidth="1"/>
    <col min="22" max="22" width="25.125" style="336" customWidth="1"/>
    <col min="23" max="24" width="23" style="336" customWidth="1"/>
    <col min="25" max="16384" width="8.875" style="336"/>
  </cols>
  <sheetData>
    <row r="1" spans="2:27" ht="9" customHeight="1"/>
    <row r="2" spans="2:27" ht="25.5" customHeight="1">
      <c r="B2" s="488" t="s">
        <v>2496</v>
      </c>
      <c r="C2" s="345" t="s">
        <v>2497</v>
      </c>
      <c r="D2" s="345" t="s">
        <v>2498</v>
      </c>
      <c r="E2" s="345" t="s">
        <v>2499</v>
      </c>
      <c r="F2" s="345" t="s">
        <v>2500</v>
      </c>
      <c r="G2" s="345" t="s">
        <v>2501</v>
      </c>
      <c r="H2" s="345" t="s">
        <v>2502</v>
      </c>
      <c r="I2" s="345" t="s">
        <v>2503</v>
      </c>
      <c r="J2" s="345" t="s">
        <v>2504</v>
      </c>
      <c r="K2" s="488" t="s">
        <v>2506</v>
      </c>
      <c r="L2" s="488" t="s">
        <v>2505</v>
      </c>
      <c r="M2" s="337"/>
    </row>
    <row r="3" spans="2:27" s="332" customFormat="1" ht="45.75" customHeight="1">
      <c r="B3" s="489"/>
      <c r="C3" s="344" t="s">
        <v>1886</v>
      </c>
      <c r="D3" s="344" t="s">
        <v>39</v>
      </c>
      <c r="E3" s="344" t="s">
        <v>1887</v>
      </c>
      <c r="F3" s="344" t="s">
        <v>1888</v>
      </c>
      <c r="G3" s="344" t="s">
        <v>1889</v>
      </c>
      <c r="H3" s="344" t="s">
        <v>1890</v>
      </c>
      <c r="I3" s="344" t="s">
        <v>1891</v>
      </c>
      <c r="J3" s="344" t="s">
        <v>1892</v>
      </c>
      <c r="K3" s="489"/>
      <c r="L3" s="489"/>
      <c r="M3" s="338"/>
      <c r="N3" s="332">
        <v>1</v>
      </c>
      <c r="O3" s="332">
        <v>2</v>
      </c>
      <c r="P3" s="332">
        <v>3</v>
      </c>
      <c r="Q3" s="332">
        <v>4</v>
      </c>
      <c r="R3" s="332">
        <v>5</v>
      </c>
      <c r="S3" s="332">
        <v>6</v>
      </c>
      <c r="T3" s="332">
        <v>7</v>
      </c>
      <c r="U3" s="332">
        <v>8</v>
      </c>
      <c r="V3" s="332" t="s">
        <v>1893</v>
      </c>
      <c r="W3" s="333" t="s">
        <v>1894</v>
      </c>
      <c r="X3" s="333"/>
    </row>
    <row r="4" spans="2:27">
      <c r="B4" s="343">
        <v>1</v>
      </c>
      <c r="C4" s="342" t="s">
        <v>1581</v>
      </c>
      <c r="D4" s="342" t="s">
        <v>1589</v>
      </c>
      <c r="E4" s="342" t="s">
        <v>1594</v>
      </c>
      <c r="F4" s="346" t="s">
        <v>1601</v>
      </c>
      <c r="G4" s="342" t="s">
        <v>1585</v>
      </c>
      <c r="H4" s="342" t="s">
        <v>1589</v>
      </c>
      <c r="I4" s="342" t="s">
        <v>1895</v>
      </c>
      <c r="J4" s="346" t="s">
        <v>1896</v>
      </c>
      <c r="K4" s="348" t="str">
        <f>Z4</f>
        <v>un</v>
      </c>
      <c r="L4" s="347" t="str">
        <f>AA4</f>
        <v>ut</v>
      </c>
      <c r="N4" s="336" t="s">
        <v>1897</v>
      </c>
      <c r="O4" s="336" t="s">
        <v>1898</v>
      </c>
      <c r="P4" s="336" t="s">
        <v>1899</v>
      </c>
      <c r="Q4" s="336" t="s">
        <v>1900</v>
      </c>
      <c r="R4" s="336" t="s">
        <v>1901</v>
      </c>
      <c r="S4" s="336" t="s">
        <v>1898</v>
      </c>
      <c r="T4" s="336" t="s">
        <v>1902</v>
      </c>
      <c r="U4" s="336" t="s">
        <v>1903</v>
      </c>
      <c r="W4" s="335" t="s">
        <v>1904</v>
      </c>
      <c r="X4" s="335" t="s">
        <v>1904</v>
      </c>
      <c r="Y4" s="336">
        <f xml:space="preserve"> FIND("、",W4)</f>
        <v>3</v>
      </c>
      <c r="Z4" s="336" t="str">
        <f xml:space="preserve"> LEFT(W4,Y4-1)</f>
        <v>un</v>
      </c>
      <c r="AA4" s="336" t="str">
        <f xml:space="preserve"> MID(W4,Y4+1, LEN(W4))</f>
        <v>ut</v>
      </c>
    </row>
    <row r="5" spans="2:27">
      <c r="B5" s="343">
        <v>2</v>
      </c>
      <c r="C5" s="342" t="s">
        <v>1905</v>
      </c>
      <c r="D5" s="342" t="s">
        <v>1906</v>
      </c>
      <c r="E5" s="342" t="s">
        <v>1907</v>
      </c>
      <c r="F5" s="346" t="s">
        <v>1908</v>
      </c>
      <c r="G5" s="342" t="s">
        <v>1909</v>
      </c>
      <c r="H5" s="342" t="s">
        <v>1906</v>
      </c>
      <c r="I5" s="342" t="s">
        <v>1910</v>
      </c>
      <c r="J5" s="346" t="s">
        <v>1911</v>
      </c>
      <c r="K5" s="348" t="str">
        <f t="shared" ref="K5:K53" si="0">Z5</f>
        <v>ian</v>
      </c>
      <c r="L5" s="347" t="str">
        <f t="shared" ref="L5:L52" si="1">AA5</f>
        <v>iat</v>
      </c>
      <c r="N5" s="336" t="s">
        <v>1912</v>
      </c>
      <c r="O5" s="336" t="s">
        <v>1913</v>
      </c>
      <c r="P5" s="336" t="s">
        <v>1914</v>
      </c>
      <c r="Q5" s="336" t="s">
        <v>1915</v>
      </c>
      <c r="R5" s="336" t="s">
        <v>1916</v>
      </c>
      <c r="S5" s="336" t="s">
        <v>1913</v>
      </c>
      <c r="T5" s="336" t="s">
        <v>1917</v>
      </c>
      <c r="U5" s="336" t="s">
        <v>1918</v>
      </c>
      <c r="W5" s="335" t="s">
        <v>2507</v>
      </c>
      <c r="X5" s="340" t="s">
        <v>2511</v>
      </c>
      <c r="Y5" s="336">
        <f t="shared" ref="Y5:Y53" si="2" xml:space="preserve"> FIND("、",W5)</f>
        <v>4</v>
      </c>
      <c r="Z5" s="336" t="str">
        <f t="shared" ref="Z5:Z53" si="3" xml:space="preserve"> LEFT(W5,Y5-1)</f>
        <v>ian</v>
      </c>
      <c r="AA5" s="336" t="str">
        <f t="shared" ref="AA5:AA53" si="4" xml:space="preserve"> MID(W5,Y5+1, LEN(W5))</f>
        <v>iat</v>
      </c>
    </row>
    <row r="6" spans="2:27">
      <c r="B6" s="343">
        <v>3</v>
      </c>
      <c r="C6" s="342" t="s">
        <v>1919</v>
      </c>
      <c r="D6" s="342" t="s">
        <v>1920</v>
      </c>
      <c r="E6" s="342" t="s">
        <v>1921</v>
      </c>
      <c r="F6" s="346" t="s">
        <v>1922</v>
      </c>
      <c r="G6" s="342" t="s">
        <v>1909</v>
      </c>
      <c r="H6" s="342" t="s">
        <v>1920</v>
      </c>
      <c r="I6" s="342" t="s">
        <v>1923</v>
      </c>
      <c r="J6" s="346" t="s">
        <v>1924</v>
      </c>
      <c r="K6" s="348" t="str">
        <f t="shared" si="0"/>
        <v>im</v>
      </c>
      <c r="L6" s="347" t="str">
        <f t="shared" si="1"/>
        <v>ip</v>
      </c>
      <c r="N6" s="336" t="s">
        <v>1925</v>
      </c>
      <c r="O6" s="336" t="s">
        <v>1926</v>
      </c>
      <c r="P6" s="336" t="s">
        <v>1927</v>
      </c>
      <c r="Q6" s="336" t="s">
        <v>1928</v>
      </c>
      <c r="R6" s="336" t="s">
        <v>1929</v>
      </c>
      <c r="S6" s="336" t="s">
        <v>1926</v>
      </c>
      <c r="T6" s="336" t="s">
        <v>1930</v>
      </c>
      <c r="U6" s="336" t="s">
        <v>1931</v>
      </c>
      <c r="W6" s="335" t="s">
        <v>1932</v>
      </c>
      <c r="X6" s="335" t="s">
        <v>1932</v>
      </c>
      <c r="Y6" s="336">
        <f t="shared" si="2"/>
        <v>3</v>
      </c>
      <c r="Z6" s="336" t="str">
        <f t="shared" si="3"/>
        <v>im</v>
      </c>
      <c r="AA6" s="336" t="str">
        <f t="shared" si="4"/>
        <v>ip</v>
      </c>
    </row>
    <row r="7" spans="2:27">
      <c r="B7" s="343">
        <v>4</v>
      </c>
      <c r="C7" s="342" t="s">
        <v>1933</v>
      </c>
      <c r="D7" s="342" t="s">
        <v>1934</v>
      </c>
      <c r="E7" s="342" t="s">
        <v>1935</v>
      </c>
      <c r="F7" s="346" t="s">
        <v>1909</v>
      </c>
      <c r="G7" s="342" t="s">
        <v>1936</v>
      </c>
      <c r="H7" s="342" t="s">
        <v>1934</v>
      </c>
      <c r="I7" s="342" t="s">
        <v>1937</v>
      </c>
      <c r="J7" s="346" t="s">
        <v>1909</v>
      </c>
      <c r="K7" s="348" t="str">
        <f t="shared" si="0"/>
        <v>ui</v>
      </c>
      <c r="L7" s="347" t="str">
        <f t="shared" si="1"/>
        <v>uih</v>
      </c>
      <c r="N7" s="336" t="s">
        <v>1938</v>
      </c>
      <c r="O7" s="336" t="s">
        <v>1939</v>
      </c>
      <c r="P7" s="336" t="s">
        <v>1940</v>
      </c>
      <c r="Q7" s="336" t="s">
        <v>1941</v>
      </c>
      <c r="R7" s="336" t="s">
        <v>1942</v>
      </c>
      <c r="S7" s="336" t="s">
        <v>1939</v>
      </c>
      <c r="T7" s="336" t="s">
        <v>1943</v>
      </c>
      <c r="U7" s="336" t="s">
        <v>1944</v>
      </c>
      <c r="W7" s="335" t="s">
        <v>1945</v>
      </c>
      <c r="X7" s="335" t="s">
        <v>1945</v>
      </c>
      <c r="Y7" s="336">
        <f t="shared" si="2"/>
        <v>3</v>
      </c>
      <c r="Z7" s="336" t="str">
        <f t="shared" si="3"/>
        <v>ui</v>
      </c>
      <c r="AA7" s="336" t="str">
        <f t="shared" si="4"/>
        <v>uih</v>
      </c>
    </row>
    <row r="8" spans="2:27">
      <c r="B8" s="343">
        <v>5</v>
      </c>
      <c r="C8" s="342" t="s">
        <v>1946</v>
      </c>
      <c r="D8" s="342" t="s">
        <v>1947</v>
      </c>
      <c r="E8" s="342" t="s">
        <v>1948</v>
      </c>
      <c r="F8" s="346" t="s">
        <v>1949</v>
      </c>
      <c r="G8" s="342" t="s">
        <v>1950</v>
      </c>
      <c r="H8" s="342" t="s">
        <v>1951</v>
      </c>
      <c r="I8" s="342" t="s">
        <v>1952</v>
      </c>
      <c r="J8" s="346" t="s">
        <v>1953</v>
      </c>
      <c r="K8" s="348" t="str">
        <f t="shared" si="0"/>
        <v>ee</v>
      </c>
      <c r="L8" s="347" t="str">
        <f t="shared" si="1"/>
        <v>eeh</v>
      </c>
      <c r="N8" s="336" t="s">
        <v>1954</v>
      </c>
      <c r="O8" s="336" t="s">
        <v>1955</v>
      </c>
      <c r="P8" s="336" t="s">
        <v>1956</v>
      </c>
      <c r="Q8" s="336" t="s">
        <v>1957</v>
      </c>
      <c r="R8" s="336" t="s">
        <v>1958</v>
      </c>
      <c r="S8" s="336" t="s">
        <v>1955</v>
      </c>
      <c r="T8" s="336" t="s">
        <v>1959</v>
      </c>
      <c r="U8" s="336" t="s">
        <v>1960</v>
      </c>
      <c r="V8" s="336" t="s">
        <v>1961</v>
      </c>
      <c r="W8" s="335" t="s">
        <v>2508</v>
      </c>
      <c r="X8" s="340" t="s">
        <v>2510</v>
      </c>
      <c r="Y8" s="336">
        <f t="shared" si="2"/>
        <v>3</v>
      </c>
      <c r="Z8" s="336" t="str">
        <f t="shared" si="3"/>
        <v>ee</v>
      </c>
      <c r="AA8" s="336" t="str">
        <f t="shared" si="4"/>
        <v>eeh</v>
      </c>
    </row>
    <row r="9" spans="2:27">
      <c r="B9" s="343">
        <v>6</v>
      </c>
      <c r="C9" s="342" t="s">
        <v>1962</v>
      </c>
      <c r="D9" s="342" t="s">
        <v>1963</v>
      </c>
      <c r="E9" s="342" t="s">
        <v>1964</v>
      </c>
      <c r="F9" s="346" t="s">
        <v>1965</v>
      </c>
      <c r="G9" s="342" t="s">
        <v>1909</v>
      </c>
      <c r="H9" s="342" t="s">
        <v>1963</v>
      </c>
      <c r="I9" s="342" t="s">
        <v>1909</v>
      </c>
      <c r="J9" s="346" t="s">
        <v>1909</v>
      </c>
      <c r="K9" s="348" t="str">
        <f t="shared" si="0"/>
        <v>an</v>
      </c>
      <c r="L9" s="347" t="str">
        <f t="shared" si="1"/>
        <v>ant</v>
      </c>
      <c r="N9" s="336" t="s">
        <v>1966</v>
      </c>
      <c r="O9" s="336" t="s">
        <v>1967</v>
      </c>
      <c r="P9" s="336" t="s">
        <v>1968</v>
      </c>
      <c r="Q9" s="336" t="s">
        <v>1969</v>
      </c>
      <c r="R9" s="336" t="s">
        <v>1970</v>
      </c>
      <c r="S9" s="336" t="s">
        <v>1967</v>
      </c>
      <c r="T9" s="336" t="s">
        <v>1971</v>
      </c>
      <c r="U9" s="336" t="s">
        <v>1972</v>
      </c>
      <c r="W9" s="335" t="s">
        <v>1973</v>
      </c>
      <c r="X9" s="335" t="s">
        <v>1973</v>
      </c>
      <c r="Y9" s="336">
        <f t="shared" si="2"/>
        <v>3</v>
      </c>
      <c r="Z9" s="336" t="str">
        <f t="shared" si="3"/>
        <v>an</v>
      </c>
      <c r="AA9" s="336" t="str">
        <f t="shared" si="4"/>
        <v>ant</v>
      </c>
    </row>
    <row r="10" spans="2:27">
      <c r="B10" s="343">
        <v>7</v>
      </c>
      <c r="C10" s="342" t="s">
        <v>1974</v>
      </c>
      <c r="D10" s="342" t="s">
        <v>1975</v>
      </c>
      <c r="E10" s="342" t="s">
        <v>1976</v>
      </c>
      <c r="F10" s="346" t="s">
        <v>1977</v>
      </c>
      <c r="G10" s="342" t="s">
        <v>1978</v>
      </c>
      <c r="H10" s="342" t="s">
        <v>1975</v>
      </c>
      <c r="I10" s="342" t="s">
        <v>1978</v>
      </c>
      <c r="J10" s="346" t="s">
        <v>1979</v>
      </c>
      <c r="K10" s="348" t="str">
        <f t="shared" si="0"/>
        <v>ong</v>
      </c>
      <c r="L10" s="347" t="str">
        <f t="shared" si="1"/>
        <v>ok</v>
      </c>
      <c r="N10" s="336" t="s">
        <v>1980</v>
      </c>
      <c r="O10" s="336" t="s">
        <v>1981</v>
      </c>
      <c r="P10" s="336" t="s">
        <v>1982</v>
      </c>
      <c r="Q10" s="336" t="s">
        <v>1983</v>
      </c>
      <c r="R10" s="336" t="s">
        <v>1984</v>
      </c>
      <c r="S10" s="336" t="s">
        <v>1981</v>
      </c>
      <c r="T10" s="336" t="s">
        <v>1985</v>
      </c>
      <c r="U10" s="336" t="s">
        <v>1986</v>
      </c>
      <c r="W10" s="335" t="s">
        <v>1987</v>
      </c>
      <c r="X10" s="335" t="s">
        <v>1987</v>
      </c>
      <c r="Y10" s="336">
        <f t="shared" si="2"/>
        <v>4</v>
      </c>
      <c r="Z10" s="336" t="str">
        <f t="shared" si="3"/>
        <v>ong</v>
      </c>
      <c r="AA10" s="336" t="str">
        <f t="shared" si="4"/>
        <v>ok</v>
      </c>
    </row>
    <row r="11" spans="2:27">
      <c r="B11" s="343">
        <v>8</v>
      </c>
      <c r="C11" s="342" t="s">
        <v>1988</v>
      </c>
      <c r="D11" s="342" t="s">
        <v>1989</v>
      </c>
      <c r="E11" s="342" t="s">
        <v>1990</v>
      </c>
      <c r="F11" s="346" t="s">
        <v>1909</v>
      </c>
      <c r="G11" s="342" t="s">
        <v>1909</v>
      </c>
      <c r="H11" s="342" t="s">
        <v>1989</v>
      </c>
      <c r="I11" s="342" t="s">
        <v>1909</v>
      </c>
      <c r="J11" s="346" t="s">
        <v>1909</v>
      </c>
      <c r="K11" s="348" t="str">
        <f t="shared" si="0"/>
        <v>uai</v>
      </c>
      <c r="L11" s="347" t="str">
        <f t="shared" si="1"/>
        <v>uaih</v>
      </c>
      <c r="N11" s="336" t="s">
        <v>1991</v>
      </c>
      <c r="O11" s="336" t="s">
        <v>1992</v>
      </c>
      <c r="P11" s="336" t="s">
        <v>1993</v>
      </c>
      <c r="Q11" s="336" t="s">
        <v>1994</v>
      </c>
      <c r="R11" s="336" t="s">
        <v>1995</v>
      </c>
      <c r="S11" s="336" t="s">
        <v>1992</v>
      </c>
      <c r="T11" s="336" t="s">
        <v>1996</v>
      </c>
      <c r="U11" s="336" t="s">
        <v>1997</v>
      </c>
      <c r="W11" s="335" t="s">
        <v>1998</v>
      </c>
      <c r="X11" s="335" t="s">
        <v>1998</v>
      </c>
      <c r="Y11" s="336">
        <f t="shared" si="2"/>
        <v>4</v>
      </c>
      <c r="Z11" s="336" t="str">
        <f t="shared" si="3"/>
        <v>uai</v>
      </c>
      <c r="AA11" s="336" t="str">
        <f t="shared" si="4"/>
        <v>uaih</v>
      </c>
    </row>
    <row r="12" spans="2:27">
      <c r="B12" s="343">
        <v>9</v>
      </c>
      <c r="C12" s="342" t="s">
        <v>1999</v>
      </c>
      <c r="D12" s="342" t="s">
        <v>2000</v>
      </c>
      <c r="E12" s="342" t="s">
        <v>2001</v>
      </c>
      <c r="F12" s="346" t="s">
        <v>2002</v>
      </c>
      <c r="G12" s="342" t="s">
        <v>2003</v>
      </c>
      <c r="H12" s="342" t="s">
        <v>2000</v>
      </c>
      <c r="I12" s="342" t="s">
        <v>2004</v>
      </c>
      <c r="J12" s="346" t="s">
        <v>2005</v>
      </c>
      <c r="K12" s="348" t="str">
        <f t="shared" si="0"/>
        <v>eng</v>
      </c>
      <c r="L12" s="347" t="str">
        <f t="shared" si="1"/>
        <v>ek</v>
      </c>
      <c r="N12" s="336" t="s">
        <v>2006</v>
      </c>
      <c r="O12" s="336" t="s">
        <v>2007</v>
      </c>
      <c r="P12" s="336" t="s">
        <v>2008</v>
      </c>
      <c r="Q12" s="336" t="s">
        <v>2009</v>
      </c>
      <c r="R12" s="336" t="s">
        <v>2010</v>
      </c>
      <c r="S12" s="336" t="s">
        <v>2007</v>
      </c>
      <c r="T12" s="336" t="s">
        <v>2011</v>
      </c>
      <c r="U12" s="336" t="s">
        <v>2012</v>
      </c>
      <c r="V12" s="336" t="s">
        <v>2013</v>
      </c>
      <c r="W12" s="340" t="s">
        <v>2509</v>
      </c>
      <c r="X12" s="335" t="s">
        <v>2512</v>
      </c>
      <c r="Y12" s="336">
        <f t="shared" si="2"/>
        <v>4</v>
      </c>
      <c r="Z12" s="336" t="str">
        <f t="shared" si="3"/>
        <v>eng</v>
      </c>
      <c r="AA12" s="336" t="str">
        <f t="shared" si="4"/>
        <v>ek</v>
      </c>
    </row>
    <row r="13" spans="2:27">
      <c r="B13" s="343">
        <v>10</v>
      </c>
      <c r="C13" s="342" t="s">
        <v>2014</v>
      </c>
      <c r="D13" s="342" t="s">
        <v>2015</v>
      </c>
      <c r="E13" s="342" t="s">
        <v>2016</v>
      </c>
      <c r="F13" s="346" t="s">
        <v>2017</v>
      </c>
      <c r="G13" s="342" t="s">
        <v>2018</v>
      </c>
      <c r="H13" s="342" t="s">
        <v>2015</v>
      </c>
      <c r="I13" s="342" t="s">
        <v>2019</v>
      </c>
      <c r="J13" s="346" t="s">
        <v>2020</v>
      </c>
      <c r="K13" s="348" t="str">
        <f t="shared" si="0"/>
        <v>uan</v>
      </c>
      <c r="L13" s="347" t="str">
        <f t="shared" si="1"/>
        <v>uat</v>
      </c>
      <c r="N13" s="336" t="s">
        <v>2021</v>
      </c>
      <c r="O13" s="336" t="s">
        <v>2022</v>
      </c>
      <c r="P13" s="336" t="s">
        <v>2023</v>
      </c>
      <c r="Q13" s="336" t="s">
        <v>2024</v>
      </c>
      <c r="R13" s="336" t="s">
        <v>2025</v>
      </c>
      <c r="S13" s="336" t="s">
        <v>2022</v>
      </c>
      <c r="T13" s="336" t="s">
        <v>2026</v>
      </c>
      <c r="U13" s="336" t="s">
        <v>2027</v>
      </c>
      <c r="V13" s="336" t="s">
        <v>2028</v>
      </c>
      <c r="W13" s="335" t="s">
        <v>2029</v>
      </c>
      <c r="X13" s="335" t="s">
        <v>2029</v>
      </c>
      <c r="Y13" s="336">
        <f t="shared" si="2"/>
        <v>4</v>
      </c>
      <c r="Z13" s="336" t="str">
        <f t="shared" si="3"/>
        <v>uan</v>
      </c>
      <c r="AA13" s="336" t="str">
        <f t="shared" si="4"/>
        <v>uat</v>
      </c>
    </row>
    <row r="14" spans="2:27">
      <c r="B14" s="343">
        <v>11</v>
      </c>
      <c r="C14" s="342" t="s">
        <v>2030</v>
      </c>
      <c r="D14" s="342" t="s">
        <v>2031</v>
      </c>
      <c r="E14" s="342" t="s">
        <v>2032</v>
      </c>
      <c r="F14" s="346" t="s">
        <v>1909</v>
      </c>
      <c r="G14" s="342" t="s">
        <v>2033</v>
      </c>
      <c r="H14" s="342" t="s">
        <v>2031</v>
      </c>
      <c r="I14" s="342" t="s">
        <v>2034</v>
      </c>
      <c r="J14" s="346" t="s">
        <v>1909</v>
      </c>
      <c r="K14" s="348" t="str">
        <f t="shared" si="0"/>
        <v>oo</v>
      </c>
      <c r="L14" s="347" t="str">
        <f t="shared" si="1"/>
        <v>ooh</v>
      </c>
      <c r="N14" s="336" t="s">
        <v>2035</v>
      </c>
      <c r="O14" s="336" t="s">
        <v>2036</v>
      </c>
      <c r="P14" s="336" t="s">
        <v>2037</v>
      </c>
      <c r="Q14" s="336" t="s">
        <v>2038</v>
      </c>
      <c r="R14" s="336" t="s">
        <v>2039</v>
      </c>
      <c r="S14" s="336" t="s">
        <v>2036</v>
      </c>
      <c r="T14" s="336" t="s">
        <v>2040</v>
      </c>
      <c r="U14" s="336" t="s">
        <v>2041</v>
      </c>
      <c r="W14" s="335" t="s">
        <v>2042</v>
      </c>
      <c r="X14" s="335" t="s">
        <v>2042</v>
      </c>
      <c r="Y14" s="336">
        <f t="shared" si="2"/>
        <v>3</v>
      </c>
      <c r="Z14" s="336" t="str">
        <f t="shared" si="3"/>
        <v>oo</v>
      </c>
      <c r="AA14" s="336" t="str">
        <f t="shared" si="4"/>
        <v>ooh</v>
      </c>
    </row>
    <row r="15" spans="2:27">
      <c r="B15" s="343">
        <v>12</v>
      </c>
      <c r="C15" s="342" t="s">
        <v>2043</v>
      </c>
      <c r="D15" s="342" t="s">
        <v>2044</v>
      </c>
      <c r="E15" s="342" t="s">
        <v>2045</v>
      </c>
      <c r="F15" s="346" t="s">
        <v>2046</v>
      </c>
      <c r="G15" s="342" t="s">
        <v>2047</v>
      </c>
      <c r="H15" s="342" t="s">
        <v>2044</v>
      </c>
      <c r="I15" s="342" t="s">
        <v>2048</v>
      </c>
      <c r="J15" s="346" t="s">
        <v>2049</v>
      </c>
      <c r="K15" s="348" t="str">
        <f t="shared" si="0"/>
        <v>iau</v>
      </c>
      <c r="L15" s="347" t="str">
        <f t="shared" si="1"/>
        <v>iauh</v>
      </c>
      <c r="N15" s="336" t="s">
        <v>2050</v>
      </c>
      <c r="O15" s="336" t="s">
        <v>2051</v>
      </c>
      <c r="P15" s="336" t="s">
        <v>2052</v>
      </c>
      <c r="Q15" s="336" t="s">
        <v>2053</v>
      </c>
      <c r="R15" s="336" t="s">
        <v>2054</v>
      </c>
      <c r="S15" s="336" t="s">
        <v>2051</v>
      </c>
      <c r="T15" s="336" t="s">
        <v>2055</v>
      </c>
      <c r="U15" s="336" t="s">
        <v>2056</v>
      </c>
      <c r="V15" s="336" t="s">
        <v>2057</v>
      </c>
      <c r="W15" s="335" t="s">
        <v>2058</v>
      </c>
      <c r="X15" s="335" t="s">
        <v>2058</v>
      </c>
      <c r="Y15" s="336">
        <f t="shared" si="2"/>
        <v>4</v>
      </c>
      <c r="Z15" s="336" t="str">
        <f t="shared" si="3"/>
        <v>iau</v>
      </c>
      <c r="AA15" s="336" t="str">
        <f t="shared" si="4"/>
        <v>iauh</v>
      </c>
    </row>
    <row r="16" spans="2:27">
      <c r="B16" s="343">
        <v>13</v>
      </c>
      <c r="C16" s="342" t="s">
        <v>2059</v>
      </c>
      <c r="D16" s="342" t="s">
        <v>2060</v>
      </c>
      <c r="E16" s="342" t="s">
        <v>2061</v>
      </c>
      <c r="F16" s="346" t="s">
        <v>2062</v>
      </c>
      <c r="G16" s="342" t="s">
        <v>2063</v>
      </c>
      <c r="H16" s="342" t="s">
        <v>2060</v>
      </c>
      <c r="I16" s="342" t="s">
        <v>2064</v>
      </c>
      <c r="J16" s="346" t="s">
        <v>1909</v>
      </c>
      <c r="K16" s="348" t="str">
        <f t="shared" si="0"/>
        <v>e</v>
      </c>
      <c r="L16" s="347" t="str">
        <f t="shared" si="1"/>
        <v>eh</v>
      </c>
      <c r="N16" s="336" t="s">
        <v>2065</v>
      </c>
      <c r="O16" s="336" t="s">
        <v>2066</v>
      </c>
      <c r="P16" s="336" t="s">
        <v>2067</v>
      </c>
      <c r="Q16" s="336" t="s">
        <v>2068</v>
      </c>
      <c r="R16" s="336" t="s">
        <v>2069</v>
      </c>
      <c r="S16" s="336" t="s">
        <v>2066</v>
      </c>
      <c r="T16" s="336" t="s">
        <v>2070</v>
      </c>
      <c r="U16" s="336" t="s">
        <v>2071</v>
      </c>
      <c r="V16" s="336" t="s">
        <v>2072</v>
      </c>
      <c r="W16" s="335" t="s">
        <v>2073</v>
      </c>
      <c r="X16" s="335" t="s">
        <v>2073</v>
      </c>
      <c r="Y16" s="336">
        <f t="shared" si="2"/>
        <v>2</v>
      </c>
      <c r="Z16" s="336" t="str">
        <f t="shared" si="3"/>
        <v>e</v>
      </c>
      <c r="AA16" s="336" t="str">
        <f t="shared" si="4"/>
        <v>eh</v>
      </c>
    </row>
    <row r="17" spans="2:27">
      <c r="B17" s="343">
        <v>14</v>
      </c>
      <c r="C17" s="342" t="s">
        <v>2074</v>
      </c>
      <c r="D17" s="342" t="s">
        <v>2075</v>
      </c>
      <c r="E17" s="342" t="s">
        <v>2076</v>
      </c>
      <c r="F17" s="346" t="s">
        <v>2077</v>
      </c>
      <c r="G17" s="342" t="s">
        <v>2078</v>
      </c>
      <c r="H17" s="342" t="s">
        <v>2075</v>
      </c>
      <c r="I17" s="342" t="s">
        <v>2079</v>
      </c>
      <c r="J17" s="346" t="s">
        <v>2080</v>
      </c>
      <c r="K17" s="348" t="str">
        <f t="shared" si="0"/>
        <v>iong</v>
      </c>
      <c r="L17" s="347" t="str">
        <f t="shared" si="1"/>
        <v>iok</v>
      </c>
      <c r="N17" s="336" t="s">
        <v>2081</v>
      </c>
      <c r="O17" s="336" t="s">
        <v>2082</v>
      </c>
      <c r="P17" s="336" t="s">
        <v>2083</v>
      </c>
      <c r="Q17" s="336" t="s">
        <v>2084</v>
      </c>
      <c r="R17" s="336" t="s">
        <v>2085</v>
      </c>
      <c r="S17" s="336" t="s">
        <v>2082</v>
      </c>
      <c r="T17" s="336" t="s">
        <v>2086</v>
      </c>
      <c r="U17" s="336" t="s">
        <v>2087</v>
      </c>
      <c r="W17" s="335" t="s">
        <v>2088</v>
      </c>
      <c r="X17" s="335" t="s">
        <v>2088</v>
      </c>
      <c r="Y17" s="336">
        <f t="shared" si="2"/>
        <v>5</v>
      </c>
      <c r="Z17" s="336" t="str">
        <f t="shared" si="3"/>
        <v>iong</v>
      </c>
      <c r="AA17" s="336" t="str">
        <f t="shared" si="4"/>
        <v>iok</v>
      </c>
    </row>
    <row r="18" spans="2:27">
      <c r="B18" s="343">
        <v>15</v>
      </c>
      <c r="C18" s="342" t="s">
        <v>2089</v>
      </c>
      <c r="D18" s="342" t="s">
        <v>2090</v>
      </c>
      <c r="E18" s="342" t="s">
        <v>2091</v>
      </c>
      <c r="F18" s="346" t="s">
        <v>2092</v>
      </c>
      <c r="G18" s="342" t="s">
        <v>2093</v>
      </c>
      <c r="H18" s="342" t="s">
        <v>2090</v>
      </c>
      <c r="I18" s="342" t="s">
        <v>2094</v>
      </c>
      <c r="J18" s="346" t="s">
        <v>1909</v>
      </c>
      <c r="K18" s="348" t="str">
        <f t="shared" si="0"/>
        <v>o</v>
      </c>
      <c r="L18" s="347" t="str">
        <f t="shared" si="1"/>
        <v>oh</v>
      </c>
      <c r="N18" s="336" t="s">
        <v>2095</v>
      </c>
      <c r="O18" s="336" t="s">
        <v>2096</v>
      </c>
      <c r="P18" s="336" t="s">
        <v>2097</v>
      </c>
      <c r="Q18" s="336" t="s">
        <v>2098</v>
      </c>
      <c r="R18" s="336" t="s">
        <v>2099</v>
      </c>
      <c r="S18" s="336" t="s">
        <v>2096</v>
      </c>
      <c r="T18" s="336" t="s">
        <v>2097</v>
      </c>
      <c r="U18" s="336" t="s">
        <v>2100</v>
      </c>
      <c r="W18" s="335" t="s">
        <v>2101</v>
      </c>
      <c r="X18" s="335" t="s">
        <v>2101</v>
      </c>
      <c r="Y18" s="336">
        <f t="shared" si="2"/>
        <v>2</v>
      </c>
      <c r="Z18" s="336" t="str">
        <f t="shared" si="3"/>
        <v>o</v>
      </c>
      <c r="AA18" s="336" t="str">
        <f t="shared" si="4"/>
        <v>oh</v>
      </c>
    </row>
    <row r="19" spans="2:27">
      <c r="B19" s="343">
        <v>16</v>
      </c>
      <c r="C19" s="342" t="s">
        <v>2102</v>
      </c>
      <c r="D19" s="342" t="s">
        <v>2060</v>
      </c>
      <c r="E19" s="342" t="s">
        <v>2103</v>
      </c>
      <c r="F19" s="346" t="s">
        <v>1909</v>
      </c>
      <c r="G19" s="342" t="s">
        <v>1909</v>
      </c>
      <c r="H19" s="342" t="s">
        <v>2060</v>
      </c>
      <c r="I19" s="342" t="s">
        <v>1909</v>
      </c>
      <c r="J19" s="346" t="s">
        <v>1909</v>
      </c>
      <c r="K19" s="348" t="str">
        <f t="shared" si="0"/>
        <v>ai</v>
      </c>
      <c r="L19" s="347" t="str">
        <f t="shared" si="1"/>
        <v>aih</v>
      </c>
      <c r="N19" s="336" t="s">
        <v>2104</v>
      </c>
      <c r="O19" s="336" t="s">
        <v>2105</v>
      </c>
      <c r="P19" s="336" t="s">
        <v>2106</v>
      </c>
      <c r="Q19" s="336" t="s">
        <v>2107</v>
      </c>
      <c r="R19" s="336" t="s">
        <v>2108</v>
      </c>
      <c r="S19" s="336" t="s">
        <v>2105</v>
      </c>
      <c r="T19" s="336" t="s">
        <v>2109</v>
      </c>
      <c r="U19" s="336" t="s">
        <v>2110</v>
      </c>
      <c r="W19" s="335" t="s">
        <v>2111</v>
      </c>
      <c r="X19" s="335" t="s">
        <v>2111</v>
      </c>
      <c r="Y19" s="336">
        <f t="shared" si="2"/>
        <v>3</v>
      </c>
      <c r="Z19" s="336" t="str">
        <f t="shared" si="3"/>
        <v>ai</v>
      </c>
      <c r="AA19" s="336" t="str">
        <f t="shared" si="4"/>
        <v>aih</v>
      </c>
    </row>
    <row r="20" spans="2:27">
      <c r="B20" s="343">
        <v>17</v>
      </c>
      <c r="C20" s="342" t="s">
        <v>2112</v>
      </c>
      <c r="D20" s="342" t="s">
        <v>2113</v>
      </c>
      <c r="E20" s="342" t="s">
        <v>2114</v>
      </c>
      <c r="F20" s="346" t="s">
        <v>2115</v>
      </c>
      <c r="G20" s="342" t="s">
        <v>1909</v>
      </c>
      <c r="H20" s="342" t="s">
        <v>2113</v>
      </c>
      <c r="I20" s="342" t="s">
        <v>2116</v>
      </c>
      <c r="J20" s="346" t="s">
        <v>2117</v>
      </c>
      <c r="K20" s="348" t="str">
        <f t="shared" si="0"/>
        <v>in</v>
      </c>
      <c r="L20" s="347" t="str">
        <f t="shared" si="1"/>
        <v>it</v>
      </c>
      <c r="N20" s="336" t="s">
        <v>2118</v>
      </c>
      <c r="O20" s="336" t="s">
        <v>2119</v>
      </c>
      <c r="P20" s="336" t="s">
        <v>2120</v>
      </c>
      <c r="Q20" s="336" t="s">
        <v>2121</v>
      </c>
      <c r="R20" s="336" t="s">
        <v>2122</v>
      </c>
      <c r="S20" s="336" t="s">
        <v>2119</v>
      </c>
      <c r="T20" s="336" t="s">
        <v>2123</v>
      </c>
      <c r="U20" s="336" t="s">
        <v>2124</v>
      </c>
      <c r="W20" s="335" t="s">
        <v>2125</v>
      </c>
      <c r="X20" s="335" t="s">
        <v>2125</v>
      </c>
      <c r="Y20" s="336">
        <f t="shared" si="2"/>
        <v>3</v>
      </c>
      <c r="Z20" s="336" t="str">
        <f t="shared" si="3"/>
        <v>in</v>
      </c>
      <c r="AA20" s="336" t="str">
        <f t="shared" si="4"/>
        <v>it</v>
      </c>
    </row>
    <row r="21" spans="2:27">
      <c r="B21" s="343">
        <v>18</v>
      </c>
      <c r="C21" s="342" t="s">
        <v>2126</v>
      </c>
      <c r="D21" s="342" t="s">
        <v>2127</v>
      </c>
      <c r="E21" s="342" t="s">
        <v>1909</v>
      </c>
      <c r="F21" s="346" t="s">
        <v>2128</v>
      </c>
      <c r="G21" s="342" t="s">
        <v>2129</v>
      </c>
      <c r="H21" s="342" t="s">
        <v>2127</v>
      </c>
      <c r="I21" s="342" t="s">
        <v>2130</v>
      </c>
      <c r="J21" s="346" t="s">
        <v>2131</v>
      </c>
      <c r="K21" s="348" t="str">
        <f t="shared" si="0"/>
        <v>iang</v>
      </c>
      <c r="L21" s="347" t="str">
        <f t="shared" si="1"/>
        <v>iak</v>
      </c>
      <c r="N21" s="336" t="s">
        <v>2132</v>
      </c>
      <c r="O21" s="336" t="s">
        <v>2133</v>
      </c>
      <c r="P21" s="336" t="s">
        <v>2134</v>
      </c>
      <c r="Q21" s="336" t="s">
        <v>2135</v>
      </c>
      <c r="R21" s="336" t="s">
        <v>2136</v>
      </c>
      <c r="S21" s="336" t="s">
        <v>2133</v>
      </c>
      <c r="T21" s="336" t="s">
        <v>2137</v>
      </c>
      <c r="U21" s="336" t="s">
        <v>2138</v>
      </c>
      <c r="V21" s="336" t="s">
        <v>2139</v>
      </c>
      <c r="W21" s="335" t="s">
        <v>2513</v>
      </c>
      <c r="X21" s="340" t="s">
        <v>2514</v>
      </c>
      <c r="Y21" s="336">
        <f t="shared" si="2"/>
        <v>5</v>
      </c>
      <c r="Z21" s="336" t="str">
        <f t="shared" si="3"/>
        <v>iang</v>
      </c>
      <c r="AA21" s="336" t="str">
        <f t="shared" si="4"/>
        <v>iak</v>
      </c>
    </row>
    <row r="22" spans="2:27">
      <c r="B22" s="343">
        <v>19</v>
      </c>
      <c r="C22" s="342" t="s">
        <v>2140</v>
      </c>
      <c r="D22" s="342" t="s">
        <v>2141</v>
      </c>
      <c r="E22" s="342" t="s">
        <v>2142</v>
      </c>
      <c r="F22" s="346" t="s">
        <v>2143</v>
      </c>
      <c r="G22" s="342" t="s">
        <v>2144</v>
      </c>
      <c r="H22" s="342" t="s">
        <v>2141</v>
      </c>
      <c r="I22" s="342" t="s">
        <v>2145</v>
      </c>
      <c r="J22" s="346" t="s">
        <v>1909</v>
      </c>
      <c r="K22" s="348" t="str">
        <f t="shared" si="0"/>
        <v>am</v>
      </c>
      <c r="L22" s="347" t="str">
        <f t="shared" si="1"/>
        <v>ap</v>
      </c>
      <c r="N22" s="336" t="s">
        <v>2146</v>
      </c>
      <c r="O22" s="336" t="s">
        <v>2147</v>
      </c>
      <c r="P22" s="336" t="s">
        <v>2148</v>
      </c>
      <c r="Q22" s="336" t="s">
        <v>2149</v>
      </c>
      <c r="R22" s="336" t="s">
        <v>2150</v>
      </c>
      <c r="S22" s="336" t="s">
        <v>2147</v>
      </c>
      <c r="T22" s="336" t="s">
        <v>2151</v>
      </c>
      <c r="U22" s="336" t="s">
        <v>2152</v>
      </c>
      <c r="W22" s="335" t="s">
        <v>2153</v>
      </c>
      <c r="X22" s="335" t="s">
        <v>2153</v>
      </c>
      <c r="Y22" s="336">
        <f t="shared" si="2"/>
        <v>3</v>
      </c>
      <c r="Z22" s="336" t="str">
        <f t="shared" si="3"/>
        <v>am</v>
      </c>
      <c r="AA22" s="336" t="str">
        <f t="shared" si="4"/>
        <v>ap</v>
      </c>
    </row>
    <row r="23" spans="2:27">
      <c r="B23" s="343">
        <v>20</v>
      </c>
      <c r="C23" s="342" t="s">
        <v>2154</v>
      </c>
      <c r="D23" s="342" t="s">
        <v>2155</v>
      </c>
      <c r="E23" s="342" t="s">
        <v>2156</v>
      </c>
      <c r="F23" s="346" t="s">
        <v>2157</v>
      </c>
      <c r="G23" s="342" t="s">
        <v>1909</v>
      </c>
      <c r="H23" s="342" t="s">
        <v>2155</v>
      </c>
      <c r="I23" s="342" t="s">
        <v>1909</v>
      </c>
      <c r="J23" s="346" t="s">
        <v>1909</v>
      </c>
      <c r="K23" s="348" t="str">
        <f t="shared" si="0"/>
        <v>ua</v>
      </c>
      <c r="L23" s="347" t="str">
        <f t="shared" si="1"/>
        <v>uah</v>
      </c>
      <c r="N23" s="336" t="s">
        <v>2158</v>
      </c>
      <c r="O23" s="336" t="s">
        <v>2159</v>
      </c>
      <c r="P23" s="336" t="s">
        <v>2160</v>
      </c>
      <c r="Q23" s="336" t="s">
        <v>2161</v>
      </c>
      <c r="R23" s="336" t="s">
        <v>2162</v>
      </c>
      <c r="S23" s="336" t="s">
        <v>2159</v>
      </c>
      <c r="T23" s="336" t="s">
        <v>2163</v>
      </c>
      <c r="U23" s="336" t="s">
        <v>2164</v>
      </c>
      <c r="W23" s="335" t="s">
        <v>2165</v>
      </c>
      <c r="X23" s="335" t="s">
        <v>2165</v>
      </c>
      <c r="Y23" s="336">
        <f t="shared" si="2"/>
        <v>3</v>
      </c>
      <c r="Z23" s="336" t="str">
        <f t="shared" si="3"/>
        <v>ua</v>
      </c>
      <c r="AA23" s="336" t="str">
        <f t="shared" si="4"/>
        <v>uah</v>
      </c>
    </row>
    <row r="24" spans="2:27">
      <c r="B24" s="343">
        <v>21</v>
      </c>
      <c r="C24" s="342" t="s">
        <v>2166</v>
      </c>
      <c r="D24" s="342" t="s">
        <v>2167</v>
      </c>
      <c r="E24" s="342" t="s">
        <v>2168</v>
      </c>
      <c r="F24" s="346" t="s">
        <v>2169</v>
      </c>
      <c r="G24" s="342" t="s">
        <v>1909</v>
      </c>
      <c r="H24" s="342" t="s">
        <v>2167</v>
      </c>
      <c r="I24" s="342" t="s">
        <v>2079</v>
      </c>
      <c r="J24" s="346" t="s">
        <v>2170</v>
      </c>
      <c r="K24" s="348" t="str">
        <f t="shared" si="0"/>
        <v>ang</v>
      </c>
      <c r="L24" s="347" t="str">
        <f t="shared" si="1"/>
        <v>ak</v>
      </c>
      <c r="N24" s="336" t="s">
        <v>2171</v>
      </c>
      <c r="O24" s="336" t="s">
        <v>2172</v>
      </c>
      <c r="P24" s="336" t="s">
        <v>2173</v>
      </c>
      <c r="Q24" s="336" t="s">
        <v>2174</v>
      </c>
      <c r="R24" s="336" t="s">
        <v>2175</v>
      </c>
      <c r="S24" s="336" t="s">
        <v>2172</v>
      </c>
      <c r="T24" s="336" t="s">
        <v>2176</v>
      </c>
      <c r="U24" s="336" t="s">
        <v>2177</v>
      </c>
      <c r="W24" s="335" t="s">
        <v>2178</v>
      </c>
      <c r="X24" s="335" t="s">
        <v>2178</v>
      </c>
      <c r="Y24" s="336">
        <f t="shared" si="2"/>
        <v>4</v>
      </c>
      <c r="Z24" s="336" t="str">
        <f t="shared" si="3"/>
        <v>ang</v>
      </c>
      <c r="AA24" s="336" t="str">
        <f t="shared" si="4"/>
        <v>ak</v>
      </c>
    </row>
    <row r="25" spans="2:27">
      <c r="B25" s="343">
        <v>22</v>
      </c>
      <c r="C25" s="342" t="s">
        <v>2179</v>
      </c>
      <c r="D25" s="342" t="s">
        <v>2180</v>
      </c>
      <c r="E25" s="342" t="s">
        <v>2181</v>
      </c>
      <c r="F25" s="346" t="s">
        <v>2182</v>
      </c>
      <c r="G25" s="342" t="s">
        <v>2183</v>
      </c>
      <c r="H25" s="342" t="s">
        <v>2180</v>
      </c>
      <c r="I25" s="342" t="s">
        <v>2184</v>
      </c>
      <c r="J25" s="346" t="s">
        <v>1909</v>
      </c>
      <c r="K25" s="348" t="str">
        <f t="shared" si="0"/>
        <v>iam</v>
      </c>
      <c r="L25" s="347" t="str">
        <f t="shared" si="1"/>
        <v>iap</v>
      </c>
      <c r="N25" s="336" t="s">
        <v>2185</v>
      </c>
      <c r="O25" s="336" t="s">
        <v>2186</v>
      </c>
      <c r="P25" s="336" t="s">
        <v>2187</v>
      </c>
      <c r="Q25" s="336" t="s">
        <v>2188</v>
      </c>
      <c r="R25" s="336" t="s">
        <v>2189</v>
      </c>
      <c r="S25" s="336" t="s">
        <v>2186</v>
      </c>
      <c r="T25" s="336" t="s">
        <v>2190</v>
      </c>
      <c r="U25" s="336" t="s">
        <v>2191</v>
      </c>
      <c r="V25" s="336" t="s">
        <v>2192</v>
      </c>
      <c r="W25" s="335" t="s">
        <v>2193</v>
      </c>
      <c r="X25" s="335" t="s">
        <v>2193</v>
      </c>
      <c r="Y25" s="336">
        <f t="shared" si="2"/>
        <v>4</v>
      </c>
      <c r="Z25" s="336" t="str">
        <f t="shared" si="3"/>
        <v>iam</v>
      </c>
      <c r="AA25" s="336" t="str">
        <f t="shared" si="4"/>
        <v>iap</v>
      </c>
    </row>
    <row r="26" spans="2:27">
      <c r="B26" s="343">
        <v>23</v>
      </c>
      <c r="C26" s="342" t="s">
        <v>2194</v>
      </c>
      <c r="D26" s="342" t="s">
        <v>2195</v>
      </c>
      <c r="E26" s="342" t="s">
        <v>2196</v>
      </c>
      <c r="F26" s="346" t="s">
        <v>2197</v>
      </c>
      <c r="G26" s="342" t="s">
        <v>2198</v>
      </c>
      <c r="H26" s="342" t="s">
        <v>2195</v>
      </c>
      <c r="I26" s="342" t="s">
        <v>2199</v>
      </c>
      <c r="J26" s="346" t="s">
        <v>1909</v>
      </c>
      <c r="K26" s="348" t="str">
        <f t="shared" si="0"/>
        <v>au</v>
      </c>
      <c r="L26" s="347" t="str">
        <f t="shared" si="1"/>
        <v>auh</v>
      </c>
      <c r="N26" s="336" t="s">
        <v>2200</v>
      </c>
      <c r="O26" s="336" t="s">
        <v>2201</v>
      </c>
      <c r="P26" s="336" t="s">
        <v>2202</v>
      </c>
      <c r="Q26" s="336" t="s">
        <v>2203</v>
      </c>
      <c r="R26" s="336" t="s">
        <v>2204</v>
      </c>
      <c r="S26" s="336" t="s">
        <v>2201</v>
      </c>
      <c r="T26" s="336" t="s">
        <v>2205</v>
      </c>
      <c r="U26" s="336" t="s">
        <v>2206</v>
      </c>
      <c r="W26" s="335" t="s">
        <v>2207</v>
      </c>
      <c r="X26" s="335" t="s">
        <v>2207</v>
      </c>
      <c r="Y26" s="336">
        <f t="shared" si="2"/>
        <v>3</v>
      </c>
      <c r="Z26" s="336" t="str">
        <f t="shared" si="3"/>
        <v>au</v>
      </c>
      <c r="AA26" s="336" t="str">
        <f t="shared" si="4"/>
        <v>auh</v>
      </c>
    </row>
    <row r="27" spans="2:27">
      <c r="B27" s="343">
        <v>24</v>
      </c>
      <c r="C27" s="342" t="s">
        <v>2208</v>
      </c>
      <c r="D27" s="342" t="s">
        <v>1909</v>
      </c>
      <c r="E27" s="342" t="s">
        <v>2209</v>
      </c>
      <c r="F27" s="346" t="s">
        <v>1909</v>
      </c>
      <c r="G27" s="342" t="s">
        <v>2210</v>
      </c>
      <c r="H27" s="342" t="s">
        <v>1909</v>
      </c>
      <c r="I27" s="342" t="s">
        <v>2211</v>
      </c>
      <c r="J27" s="346" t="s">
        <v>2212</v>
      </c>
      <c r="K27" s="348" t="str">
        <f t="shared" si="0"/>
        <v>ia</v>
      </c>
      <c r="L27" s="347" t="str">
        <f t="shared" si="1"/>
        <v>iah</v>
      </c>
      <c r="N27" s="336" t="s">
        <v>2213</v>
      </c>
      <c r="O27" s="336" t="s">
        <v>2214</v>
      </c>
      <c r="P27" s="336" t="s">
        <v>2215</v>
      </c>
      <c r="Q27" s="336" t="s">
        <v>2216</v>
      </c>
      <c r="R27" s="336" t="s">
        <v>2217</v>
      </c>
      <c r="S27" s="336" t="s">
        <v>2214</v>
      </c>
      <c r="T27" s="336" t="s">
        <v>2218</v>
      </c>
      <c r="U27" s="336" t="s">
        <v>2219</v>
      </c>
      <c r="W27" s="335" t="s">
        <v>2220</v>
      </c>
      <c r="X27" s="335" t="s">
        <v>2220</v>
      </c>
      <c r="Y27" s="336">
        <f t="shared" si="2"/>
        <v>3</v>
      </c>
      <c r="Z27" s="336" t="str">
        <f t="shared" si="3"/>
        <v>ia</v>
      </c>
      <c r="AA27" s="336" t="str">
        <f t="shared" si="4"/>
        <v>iah</v>
      </c>
    </row>
    <row r="28" spans="2:27">
      <c r="B28" s="343">
        <v>25</v>
      </c>
      <c r="C28" s="342" t="s">
        <v>2221</v>
      </c>
      <c r="D28" s="342" t="s">
        <v>2222</v>
      </c>
      <c r="E28" s="342" t="s">
        <v>2221</v>
      </c>
      <c r="F28" s="346" t="s">
        <v>2223</v>
      </c>
      <c r="G28" s="342" t="s">
        <v>1936</v>
      </c>
      <c r="H28" s="342" t="s">
        <v>2222</v>
      </c>
      <c r="I28" s="342" t="s">
        <v>2224</v>
      </c>
      <c r="J28" s="346" t="s">
        <v>2225</v>
      </c>
      <c r="K28" s="348" t="str">
        <f t="shared" si="0"/>
        <v>ue</v>
      </c>
      <c r="L28" s="347" t="str">
        <f t="shared" si="1"/>
        <v>ueh</v>
      </c>
      <c r="N28" s="336" t="s">
        <v>2226</v>
      </c>
      <c r="O28" s="336" t="s">
        <v>2227</v>
      </c>
      <c r="P28" s="336" t="s">
        <v>2228</v>
      </c>
      <c r="Q28" s="336" t="s">
        <v>2229</v>
      </c>
      <c r="R28" s="336" t="s">
        <v>2230</v>
      </c>
      <c r="S28" s="336" t="s">
        <v>2227</v>
      </c>
      <c r="T28" s="336" t="s">
        <v>2231</v>
      </c>
      <c r="U28" s="336" t="s">
        <v>2232</v>
      </c>
      <c r="W28" s="335" t="s">
        <v>2233</v>
      </c>
      <c r="X28" s="335" t="s">
        <v>2233</v>
      </c>
      <c r="Y28" s="336">
        <f t="shared" si="2"/>
        <v>3</v>
      </c>
      <c r="Z28" s="336" t="str">
        <f t="shared" si="3"/>
        <v>ue</v>
      </c>
      <c r="AA28" s="336" t="str">
        <f t="shared" si="4"/>
        <v>ueh</v>
      </c>
    </row>
    <row r="29" spans="2:27">
      <c r="B29" s="343">
        <v>26</v>
      </c>
      <c r="C29" s="342" t="s">
        <v>2234</v>
      </c>
      <c r="D29" s="342" t="s">
        <v>2141</v>
      </c>
      <c r="E29" s="342" t="s">
        <v>2235</v>
      </c>
      <c r="F29" s="346" t="s">
        <v>1909</v>
      </c>
      <c r="G29" s="342" t="s">
        <v>2236</v>
      </c>
      <c r="H29" s="342" t="s">
        <v>2141</v>
      </c>
      <c r="I29" s="342" t="s">
        <v>1909</v>
      </c>
      <c r="J29" s="346" t="s">
        <v>1909</v>
      </c>
      <c r="K29" s="348" t="str">
        <f t="shared" si="0"/>
        <v>ann</v>
      </c>
      <c r="L29" s="347" t="str">
        <f t="shared" si="1"/>
        <v>annh</v>
      </c>
      <c r="N29" s="336" t="s">
        <v>2237</v>
      </c>
      <c r="O29" s="336" t="s">
        <v>2238</v>
      </c>
      <c r="P29" s="336" t="s">
        <v>2239</v>
      </c>
      <c r="Q29" s="336" t="s">
        <v>2240</v>
      </c>
      <c r="R29" s="336" t="s">
        <v>2241</v>
      </c>
      <c r="S29" s="336" t="s">
        <v>2238</v>
      </c>
      <c r="T29" s="336" t="s">
        <v>2242</v>
      </c>
      <c r="U29" s="336" t="s">
        <v>2243</v>
      </c>
      <c r="W29" s="335" t="s">
        <v>2244</v>
      </c>
      <c r="X29" s="335" t="s">
        <v>2244</v>
      </c>
      <c r="Y29" s="336">
        <f t="shared" si="2"/>
        <v>4</v>
      </c>
      <c r="Z29" s="336" t="str">
        <f t="shared" si="3"/>
        <v>ann</v>
      </c>
      <c r="AA29" s="336" t="str">
        <f t="shared" si="4"/>
        <v>annh</v>
      </c>
    </row>
    <row r="30" spans="2:27">
      <c r="B30" s="343">
        <v>27</v>
      </c>
      <c r="C30" s="342" t="s">
        <v>2245</v>
      </c>
      <c r="D30" s="342" t="s">
        <v>2246</v>
      </c>
      <c r="E30" s="342" t="s">
        <v>2247</v>
      </c>
      <c r="F30" s="346" t="s">
        <v>2248</v>
      </c>
      <c r="G30" s="342" t="s">
        <v>2249</v>
      </c>
      <c r="H30" s="342" t="s">
        <v>2246</v>
      </c>
      <c r="I30" s="342" t="s">
        <v>2250</v>
      </c>
      <c r="J30" s="346" t="s">
        <v>1909</v>
      </c>
      <c r="K30" s="348" t="str">
        <f t="shared" si="0"/>
        <v>u</v>
      </c>
      <c r="L30" s="347" t="str">
        <f t="shared" si="1"/>
        <v>uh</v>
      </c>
      <c r="N30" s="336" t="s">
        <v>2251</v>
      </c>
      <c r="O30" s="336" t="s">
        <v>2252</v>
      </c>
      <c r="P30" s="336" t="s">
        <v>2253</v>
      </c>
      <c r="Q30" s="336" t="s">
        <v>2254</v>
      </c>
      <c r="R30" s="336" t="s">
        <v>2255</v>
      </c>
      <c r="S30" s="336" t="s">
        <v>2252</v>
      </c>
      <c r="T30" s="336" t="s">
        <v>2256</v>
      </c>
      <c r="U30" s="336" t="s">
        <v>2257</v>
      </c>
      <c r="W30" s="335" t="s">
        <v>2258</v>
      </c>
      <c r="X30" s="335" t="s">
        <v>2258</v>
      </c>
      <c r="Y30" s="336">
        <f t="shared" si="2"/>
        <v>2</v>
      </c>
      <c r="Z30" s="336" t="str">
        <f t="shared" si="3"/>
        <v>u</v>
      </c>
      <c r="AA30" s="336" t="str">
        <f t="shared" si="4"/>
        <v>uh</v>
      </c>
    </row>
    <row r="31" spans="2:27">
      <c r="B31" s="343">
        <v>28</v>
      </c>
      <c r="C31" s="342" t="s">
        <v>2259</v>
      </c>
      <c r="D31" s="342" t="s">
        <v>2260</v>
      </c>
      <c r="E31" s="342" t="s">
        <v>2196</v>
      </c>
      <c r="F31" s="346" t="s">
        <v>2261</v>
      </c>
      <c r="G31" s="342" t="s">
        <v>1909</v>
      </c>
      <c r="H31" s="342" t="s">
        <v>2260</v>
      </c>
      <c r="I31" s="342" t="s">
        <v>2262</v>
      </c>
      <c r="J31" s="346" t="s">
        <v>1909</v>
      </c>
      <c r="K31" s="348" t="str">
        <f t="shared" si="0"/>
        <v>a</v>
      </c>
      <c r="L31" s="347" t="str">
        <f t="shared" si="1"/>
        <v>ah</v>
      </c>
      <c r="N31" s="336" t="s">
        <v>2263</v>
      </c>
      <c r="O31" s="336" t="s">
        <v>2264</v>
      </c>
      <c r="P31" s="336" t="s">
        <v>2265</v>
      </c>
      <c r="Q31" s="336" t="s">
        <v>2266</v>
      </c>
      <c r="R31" s="336" t="s">
        <v>2267</v>
      </c>
      <c r="S31" s="336" t="s">
        <v>2264</v>
      </c>
      <c r="T31" s="336" t="s">
        <v>2268</v>
      </c>
      <c r="U31" s="336" t="s">
        <v>2269</v>
      </c>
      <c r="W31" s="335" t="s">
        <v>2270</v>
      </c>
      <c r="X31" s="335" t="s">
        <v>2270</v>
      </c>
      <c r="Y31" s="336">
        <f t="shared" si="2"/>
        <v>2</v>
      </c>
      <c r="Z31" s="336" t="str">
        <f t="shared" si="3"/>
        <v>a</v>
      </c>
      <c r="AA31" s="336" t="str">
        <f t="shared" si="4"/>
        <v>ah</v>
      </c>
    </row>
    <row r="32" spans="2:27">
      <c r="B32" s="343">
        <v>29</v>
      </c>
      <c r="C32" s="342" t="s">
        <v>2271</v>
      </c>
      <c r="D32" s="342" t="s">
        <v>1794</v>
      </c>
      <c r="E32" s="342" t="s">
        <v>2272</v>
      </c>
      <c r="F32" s="346" t="s">
        <v>2273</v>
      </c>
      <c r="G32" s="342" t="s">
        <v>2274</v>
      </c>
      <c r="H32" s="342" t="s">
        <v>2275</v>
      </c>
      <c r="I32" s="342" t="s">
        <v>2276</v>
      </c>
      <c r="J32" s="346" t="s">
        <v>1909</v>
      </c>
      <c r="K32" s="348" t="str">
        <f t="shared" si="0"/>
        <v>i</v>
      </c>
      <c r="L32" s="347" t="str">
        <f t="shared" si="1"/>
        <v>ih</v>
      </c>
      <c r="N32" s="336" t="s">
        <v>2277</v>
      </c>
      <c r="O32" s="336" t="s">
        <v>2278</v>
      </c>
      <c r="P32" s="336" t="s">
        <v>2279</v>
      </c>
      <c r="Q32" s="336" t="s">
        <v>2280</v>
      </c>
      <c r="R32" s="336" t="s">
        <v>2281</v>
      </c>
      <c r="S32" s="336" t="s">
        <v>2278</v>
      </c>
      <c r="T32" s="336" t="s">
        <v>2282</v>
      </c>
      <c r="U32" s="336" t="s">
        <v>2283</v>
      </c>
      <c r="V32" s="336" t="s">
        <v>2284</v>
      </c>
      <c r="W32" s="335" t="s">
        <v>2285</v>
      </c>
      <c r="X32" s="335" t="s">
        <v>2285</v>
      </c>
      <c r="Y32" s="336">
        <f t="shared" si="2"/>
        <v>2</v>
      </c>
      <c r="Z32" s="336" t="str">
        <f t="shared" si="3"/>
        <v>i</v>
      </c>
      <c r="AA32" s="336" t="str">
        <f t="shared" si="4"/>
        <v>ih</v>
      </c>
    </row>
    <row r="33" spans="2:27">
      <c r="B33" s="343">
        <v>30</v>
      </c>
      <c r="C33" s="342" t="s">
        <v>2286</v>
      </c>
      <c r="D33" s="342" t="s">
        <v>2287</v>
      </c>
      <c r="E33" s="342" t="s">
        <v>2288</v>
      </c>
      <c r="F33" s="346" t="s">
        <v>1909</v>
      </c>
      <c r="G33" s="342" t="s">
        <v>8</v>
      </c>
      <c r="H33" s="342" t="s">
        <v>2287</v>
      </c>
      <c r="I33" s="342" t="s">
        <v>2289</v>
      </c>
      <c r="J33" s="346" t="s">
        <v>1909</v>
      </c>
      <c r="K33" s="348" t="str">
        <f t="shared" si="0"/>
        <v>iu</v>
      </c>
      <c r="L33" s="347" t="str">
        <f t="shared" si="1"/>
        <v>iuh</v>
      </c>
      <c r="N33" s="336" t="s">
        <v>2290</v>
      </c>
      <c r="O33" s="336" t="s">
        <v>2291</v>
      </c>
      <c r="P33" s="336" t="s">
        <v>2292</v>
      </c>
      <c r="Q33" s="336" t="s">
        <v>2293</v>
      </c>
      <c r="R33" s="336" t="s">
        <v>2294</v>
      </c>
      <c r="S33" s="336" t="s">
        <v>2291</v>
      </c>
      <c r="T33" s="336" t="s">
        <v>2295</v>
      </c>
      <c r="U33" s="336" t="s">
        <v>2296</v>
      </c>
      <c r="W33" s="335" t="s">
        <v>2297</v>
      </c>
      <c r="X33" s="335" t="s">
        <v>2297</v>
      </c>
      <c r="Y33" s="336">
        <f t="shared" si="2"/>
        <v>3</v>
      </c>
      <c r="Z33" s="336" t="str">
        <f t="shared" si="3"/>
        <v>iu</v>
      </c>
      <c r="AA33" s="336" t="str">
        <f t="shared" si="4"/>
        <v>iuh</v>
      </c>
    </row>
    <row r="34" spans="2:27">
      <c r="B34" s="343">
        <v>31</v>
      </c>
      <c r="C34" s="342" t="s">
        <v>2298</v>
      </c>
      <c r="D34" s="342" t="s">
        <v>2299</v>
      </c>
      <c r="E34" s="342" t="s">
        <v>2300</v>
      </c>
      <c r="F34" s="346" t="s">
        <v>1909</v>
      </c>
      <c r="G34" s="342" t="s">
        <v>1909</v>
      </c>
      <c r="H34" s="342" t="s">
        <v>2299</v>
      </c>
      <c r="I34" s="342" t="s">
        <v>1909</v>
      </c>
      <c r="J34" s="346" t="s">
        <v>1909</v>
      </c>
      <c r="K34" s="348" t="str">
        <f t="shared" si="0"/>
        <v>enn</v>
      </c>
      <c r="L34" s="347" t="str">
        <f t="shared" si="1"/>
        <v>ennh</v>
      </c>
      <c r="N34" s="336" t="s">
        <v>2301</v>
      </c>
      <c r="O34" s="336" t="s">
        <v>2302</v>
      </c>
      <c r="P34" s="336" t="s">
        <v>2303</v>
      </c>
      <c r="Q34" s="336" t="s">
        <v>2304</v>
      </c>
      <c r="R34" s="336" t="s">
        <v>2305</v>
      </c>
      <c r="S34" s="336" t="s">
        <v>2302</v>
      </c>
      <c r="T34" s="336" t="s">
        <v>2306</v>
      </c>
      <c r="U34" s="336" t="s">
        <v>2307</v>
      </c>
      <c r="W34" s="335" t="s">
        <v>2308</v>
      </c>
      <c r="X34" s="335" t="s">
        <v>2308</v>
      </c>
      <c r="Y34" s="336">
        <f t="shared" si="2"/>
        <v>4</v>
      </c>
      <c r="Z34" s="336" t="str">
        <f t="shared" si="3"/>
        <v>enn</v>
      </c>
      <c r="AA34" s="336" t="str">
        <f t="shared" si="4"/>
        <v>ennh</v>
      </c>
    </row>
    <row r="35" spans="2:27">
      <c r="B35" s="343">
        <v>32</v>
      </c>
      <c r="C35" s="342" t="s">
        <v>1327</v>
      </c>
      <c r="D35" s="342" t="s">
        <v>2309</v>
      </c>
      <c r="E35" s="342" t="s">
        <v>2310</v>
      </c>
      <c r="F35" s="346" t="s">
        <v>1909</v>
      </c>
      <c r="G35" s="342" t="s">
        <v>1909</v>
      </c>
      <c r="H35" s="342" t="s">
        <v>2309</v>
      </c>
      <c r="I35" s="342" t="s">
        <v>1909</v>
      </c>
      <c r="J35" s="346" t="s">
        <v>1909</v>
      </c>
      <c r="K35" s="348" t="str">
        <f t="shared" si="0"/>
        <v>uinn</v>
      </c>
      <c r="L35" s="347" t="str">
        <f t="shared" si="1"/>
        <v>uinnh</v>
      </c>
      <c r="N35" s="336" t="s">
        <v>2311</v>
      </c>
      <c r="O35" s="336" t="s">
        <v>2312</v>
      </c>
      <c r="P35" s="336" t="s">
        <v>2313</v>
      </c>
      <c r="Q35" s="336" t="s">
        <v>2314</v>
      </c>
      <c r="R35" s="336" t="s">
        <v>2315</v>
      </c>
      <c r="S35" s="336" t="s">
        <v>2312</v>
      </c>
      <c r="T35" s="336" t="s">
        <v>2316</v>
      </c>
      <c r="U35" s="336" t="s">
        <v>2317</v>
      </c>
      <c r="V35" s="336" t="s">
        <v>2318</v>
      </c>
      <c r="W35" s="335" t="s">
        <v>2515</v>
      </c>
      <c r="X35" s="340" t="s">
        <v>2516</v>
      </c>
      <c r="Y35" s="336">
        <f t="shared" si="2"/>
        <v>5</v>
      </c>
      <c r="Z35" s="336" t="str">
        <f t="shared" si="3"/>
        <v>uinn</v>
      </c>
      <c r="AA35" s="336" t="str">
        <f t="shared" si="4"/>
        <v>uinnh</v>
      </c>
    </row>
    <row r="36" spans="2:27">
      <c r="B36" s="343">
        <v>33</v>
      </c>
      <c r="C36" s="342" t="s">
        <v>2319</v>
      </c>
      <c r="D36" s="342" t="s">
        <v>1909</v>
      </c>
      <c r="E36" s="342" t="s">
        <v>2045</v>
      </c>
      <c r="F36" s="346" t="s">
        <v>2128</v>
      </c>
      <c r="G36" s="342" t="s">
        <v>2319</v>
      </c>
      <c r="H36" s="342" t="s">
        <v>1909</v>
      </c>
      <c r="I36" s="342" t="s">
        <v>2048</v>
      </c>
      <c r="J36" s="346" t="s">
        <v>1909</v>
      </c>
      <c r="K36" s="348" t="str">
        <f t="shared" si="0"/>
        <v>io</v>
      </c>
      <c r="L36" s="347" t="str">
        <f t="shared" si="1"/>
        <v>ioh</v>
      </c>
      <c r="N36" s="336" t="s">
        <v>2320</v>
      </c>
      <c r="O36" s="336" t="s">
        <v>2321</v>
      </c>
      <c r="P36" s="336" t="s">
        <v>2322</v>
      </c>
      <c r="Q36" s="336" t="s">
        <v>2323</v>
      </c>
      <c r="R36" s="336" t="s">
        <v>2324</v>
      </c>
      <c r="S36" s="336" t="s">
        <v>2321</v>
      </c>
      <c r="T36" s="336" t="s">
        <v>2325</v>
      </c>
      <c r="U36" s="336" t="s">
        <v>2326</v>
      </c>
      <c r="W36" s="335" t="s">
        <v>2327</v>
      </c>
      <c r="X36" s="335" t="s">
        <v>2327</v>
      </c>
      <c r="Y36" s="336">
        <f t="shared" si="2"/>
        <v>3</v>
      </c>
      <c r="Z36" s="336" t="str">
        <f t="shared" si="3"/>
        <v>io</v>
      </c>
      <c r="AA36" s="336" t="str">
        <f t="shared" si="4"/>
        <v>ioh</v>
      </c>
    </row>
    <row r="37" spans="2:27">
      <c r="B37" s="343">
        <v>34</v>
      </c>
      <c r="C37" s="342" t="s">
        <v>2328</v>
      </c>
      <c r="D37" s="342" t="s">
        <v>1909</v>
      </c>
      <c r="E37" s="342" t="s">
        <v>1907</v>
      </c>
      <c r="F37" s="346" t="s">
        <v>1909</v>
      </c>
      <c r="G37" s="342" t="s">
        <v>2329</v>
      </c>
      <c r="H37" s="342" t="s">
        <v>1909</v>
      </c>
      <c r="I37" s="342" t="s">
        <v>1909</v>
      </c>
      <c r="J37" s="346" t="s">
        <v>1909</v>
      </c>
      <c r="K37" s="348" t="str">
        <f t="shared" si="0"/>
        <v>inn</v>
      </c>
      <c r="L37" s="347" t="str">
        <f t="shared" si="1"/>
        <v>innh</v>
      </c>
      <c r="N37" s="336" t="s">
        <v>2330</v>
      </c>
      <c r="O37" s="336" t="s">
        <v>2331</v>
      </c>
      <c r="P37" s="336" t="s">
        <v>2332</v>
      </c>
      <c r="Q37" s="336" t="s">
        <v>2333</v>
      </c>
      <c r="R37" s="336" t="s">
        <v>2334</v>
      </c>
      <c r="S37" s="336" t="s">
        <v>2331</v>
      </c>
      <c r="T37" s="336" t="s">
        <v>2335</v>
      </c>
      <c r="U37" s="336" t="s">
        <v>2336</v>
      </c>
      <c r="W37" s="335" t="s">
        <v>2337</v>
      </c>
      <c r="X37" s="335" t="s">
        <v>2337</v>
      </c>
      <c r="Y37" s="336">
        <f t="shared" si="2"/>
        <v>4</v>
      </c>
      <c r="Z37" s="336" t="str">
        <f t="shared" si="3"/>
        <v>inn</v>
      </c>
      <c r="AA37" s="336" t="str">
        <f t="shared" si="4"/>
        <v>innh</v>
      </c>
    </row>
    <row r="38" spans="2:27">
      <c r="B38" s="343">
        <v>35</v>
      </c>
      <c r="C38" s="342" t="s">
        <v>2338</v>
      </c>
      <c r="D38" s="342" t="s">
        <v>1909</v>
      </c>
      <c r="E38" s="342" t="s">
        <v>1909</v>
      </c>
      <c r="F38" s="346" t="s">
        <v>1909</v>
      </c>
      <c r="G38" s="342" t="s">
        <v>2339</v>
      </c>
      <c r="H38" s="342" t="s">
        <v>1909</v>
      </c>
      <c r="I38" s="342" t="s">
        <v>2340</v>
      </c>
      <c r="J38" s="346" t="s">
        <v>1909</v>
      </c>
      <c r="K38" s="348" t="str">
        <f t="shared" si="0"/>
        <v>ionn</v>
      </c>
      <c r="L38" s="347" t="str">
        <f t="shared" si="1"/>
        <v>ionnh</v>
      </c>
      <c r="N38" s="336" t="s">
        <v>2341</v>
      </c>
      <c r="O38" s="336" t="s">
        <v>2342</v>
      </c>
      <c r="P38" s="336" t="s">
        <v>2343</v>
      </c>
      <c r="Q38" s="336" t="s">
        <v>2344</v>
      </c>
      <c r="R38" s="336" t="s">
        <v>2345</v>
      </c>
      <c r="S38" s="336" t="s">
        <v>2342</v>
      </c>
      <c r="T38" s="336" t="s">
        <v>2346</v>
      </c>
      <c r="U38" s="336" t="s">
        <v>2347</v>
      </c>
      <c r="V38" s="336" t="s">
        <v>2348</v>
      </c>
      <c r="W38" s="335" t="s">
        <v>2517</v>
      </c>
      <c r="X38" s="340" t="s">
        <v>2518</v>
      </c>
      <c r="Y38" s="336">
        <f t="shared" si="2"/>
        <v>5</v>
      </c>
      <c r="Z38" s="336" t="str">
        <f t="shared" si="3"/>
        <v>ionn</v>
      </c>
      <c r="AA38" s="336" t="str">
        <f t="shared" si="4"/>
        <v>ionnh</v>
      </c>
    </row>
    <row r="39" spans="2:27">
      <c r="B39" s="343">
        <v>36</v>
      </c>
      <c r="C39" s="342" t="s">
        <v>2349</v>
      </c>
      <c r="D39" s="342" t="s">
        <v>2350</v>
      </c>
      <c r="E39" s="342" t="s">
        <v>2351</v>
      </c>
      <c r="F39" s="346" t="s">
        <v>1909</v>
      </c>
      <c r="G39" s="342" t="s">
        <v>2352</v>
      </c>
      <c r="H39" s="342" t="s">
        <v>2350</v>
      </c>
      <c r="I39" s="342" t="s">
        <v>2353</v>
      </c>
      <c r="J39" s="346" t="s">
        <v>1909</v>
      </c>
      <c r="K39" s="348" t="str">
        <f t="shared" si="0"/>
        <v>iann</v>
      </c>
      <c r="L39" s="347" t="str">
        <f t="shared" si="1"/>
        <v>iannh</v>
      </c>
      <c r="N39" s="336" t="s">
        <v>2354</v>
      </c>
      <c r="O39" s="336" t="s">
        <v>2355</v>
      </c>
      <c r="P39" s="336" t="s">
        <v>2356</v>
      </c>
      <c r="Q39" s="336" t="s">
        <v>2357</v>
      </c>
      <c r="R39" s="336" t="s">
        <v>2358</v>
      </c>
      <c r="S39" s="336" t="s">
        <v>2355</v>
      </c>
      <c r="T39" s="336" t="s">
        <v>2359</v>
      </c>
      <c r="U39" s="336" t="s">
        <v>2360</v>
      </c>
      <c r="W39" s="335" t="s">
        <v>2361</v>
      </c>
      <c r="X39" s="335" t="s">
        <v>2361</v>
      </c>
      <c r="Y39" s="336">
        <f t="shared" si="2"/>
        <v>5</v>
      </c>
      <c r="Z39" s="336" t="str">
        <f t="shared" si="3"/>
        <v>iann</v>
      </c>
      <c r="AA39" s="336" t="str">
        <f t="shared" si="4"/>
        <v>iannh</v>
      </c>
    </row>
    <row r="40" spans="2:27">
      <c r="B40" s="343">
        <v>37</v>
      </c>
      <c r="C40" s="342" t="s">
        <v>2362</v>
      </c>
      <c r="D40" s="342" t="s">
        <v>2363</v>
      </c>
      <c r="E40" s="342" t="s">
        <v>2014</v>
      </c>
      <c r="F40" s="346" t="s">
        <v>1909</v>
      </c>
      <c r="G40" s="342" t="s">
        <v>2364</v>
      </c>
      <c r="H40" s="342" t="s">
        <v>2363</v>
      </c>
      <c r="I40" s="342" t="s">
        <v>2365</v>
      </c>
      <c r="J40" s="346" t="s">
        <v>1909</v>
      </c>
      <c r="K40" s="348" t="str">
        <f t="shared" si="0"/>
        <v>uann</v>
      </c>
      <c r="L40" s="347" t="str">
        <f t="shared" si="1"/>
        <v>uannh</v>
      </c>
      <c r="N40" s="336" t="s">
        <v>2366</v>
      </c>
      <c r="O40" s="336" t="s">
        <v>2367</v>
      </c>
      <c r="P40" s="336" t="s">
        <v>2368</v>
      </c>
      <c r="Q40" s="336" t="s">
        <v>2369</v>
      </c>
      <c r="R40" s="336" t="s">
        <v>2370</v>
      </c>
      <c r="S40" s="336" t="s">
        <v>2367</v>
      </c>
      <c r="T40" s="336" t="s">
        <v>2371</v>
      </c>
      <c r="U40" s="336" t="s">
        <v>2372</v>
      </c>
      <c r="W40" s="335" t="s">
        <v>2373</v>
      </c>
      <c r="X40" s="335" t="s">
        <v>2373</v>
      </c>
      <c r="Y40" s="336">
        <f t="shared" si="2"/>
        <v>5</v>
      </c>
      <c r="Z40" s="336" t="str">
        <f t="shared" si="3"/>
        <v>uann</v>
      </c>
      <c r="AA40" s="336" t="str">
        <f t="shared" si="4"/>
        <v>uannh</v>
      </c>
    </row>
    <row r="41" spans="2:27">
      <c r="B41" s="343">
        <v>38</v>
      </c>
      <c r="C41" s="342" t="s">
        <v>2374</v>
      </c>
      <c r="D41" s="342" t="s">
        <v>1909</v>
      </c>
      <c r="E41" s="342" t="s">
        <v>2375</v>
      </c>
      <c r="F41" s="346" t="s">
        <v>1909</v>
      </c>
      <c r="G41" s="342" t="s">
        <v>1909</v>
      </c>
      <c r="H41" s="342" t="s">
        <v>1909</v>
      </c>
      <c r="I41" s="342" t="s">
        <v>1909</v>
      </c>
      <c r="J41" s="346" t="s">
        <v>1909</v>
      </c>
      <c r="K41" s="348" t="str">
        <f t="shared" si="0"/>
        <v>ng</v>
      </c>
      <c r="L41" s="347" t="str">
        <f t="shared" si="1"/>
        <v>ngh</v>
      </c>
      <c r="N41" s="336" t="s">
        <v>2376</v>
      </c>
      <c r="O41" s="336" t="s">
        <v>2377</v>
      </c>
      <c r="P41" s="336" t="s">
        <v>2378</v>
      </c>
      <c r="Q41" s="336" t="s">
        <v>2379</v>
      </c>
      <c r="R41" s="336" t="s">
        <v>2380</v>
      </c>
      <c r="S41" s="336" t="s">
        <v>2377</v>
      </c>
      <c r="T41" s="336" t="s">
        <v>2381</v>
      </c>
      <c r="U41" s="336" t="s">
        <v>2382</v>
      </c>
      <c r="V41" s="336" t="s">
        <v>2383</v>
      </c>
      <c r="W41" s="335" t="s">
        <v>2384</v>
      </c>
      <c r="X41" s="335" t="s">
        <v>2384</v>
      </c>
      <c r="Y41" s="336">
        <f t="shared" si="2"/>
        <v>3</v>
      </c>
      <c r="Z41" s="336" t="str">
        <f t="shared" si="3"/>
        <v>ng</v>
      </c>
      <c r="AA41" s="336" t="str">
        <f t="shared" si="4"/>
        <v>ngh</v>
      </c>
    </row>
    <row r="42" spans="2:27">
      <c r="B42" s="343">
        <v>39</v>
      </c>
      <c r="C42" s="342" t="s">
        <v>2210</v>
      </c>
      <c r="D42" s="342" t="s">
        <v>1909</v>
      </c>
      <c r="E42" s="342" t="s">
        <v>1909</v>
      </c>
      <c r="F42" s="346" t="s">
        <v>2062</v>
      </c>
      <c r="G42" s="342" t="s">
        <v>2385</v>
      </c>
      <c r="H42" s="342" t="s">
        <v>1909</v>
      </c>
      <c r="I42" s="342" t="s">
        <v>1909</v>
      </c>
      <c r="J42" s="346" t="s">
        <v>1909</v>
      </c>
      <c r="K42" s="348" t="str">
        <f t="shared" si="0"/>
        <v>e</v>
      </c>
      <c r="L42" s="347" t="str">
        <f t="shared" si="1"/>
        <v>eh</v>
      </c>
      <c r="N42" s="336" t="s">
        <v>2386</v>
      </c>
      <c r="O42" s="336" t="s">
        <v>2387</v>
      </c>
      <c r="P42" s="336" t="s">
        <v>2388</v>
      </c>
      <c r="Q42" s="336" t="s">
        <v>2389</v>
      </c>
      <c r="R42" s="336" t="s">
        <v>2390</v>
      </c>
      <c r="S42" s="336" t="s">
        <v>2387</v>
      </c>
      <c r="T42" s="336" t="s">
        <v>2391</v>
      </c>
      <c r="U42" s="336" t="s">
        <v>1960</v>
      </c>
      <c r="V42" s="336" t="s">
        <v>2392</v>
      </c>
      <c r="W42" s="335" t="s">
        <v>2073</v>
      </c>
      <c r="X42" s="335" t="s">
        <v>2073</v>
      </c>
      <c r="Y42" s="336">
        <f t="shared" si="2"/>
        <v>2</v>
      </c>
      <c r="Z42" s="336" t="str">
        <f t="shared" si="3"/>
        <v>e</v>
      </c>
      <c r="AA42" s="336" t="str">
        <f t="shared" si="4"/>
        <v>eh</v>
      </c>
    </row>
    <row r="43" spans="2:27">
      <c r="B43" s="343">
        <v>40</v>
      </c>
      <c r="C43" s="342" t="s">
        <v>2393</v>
      </c>
      <c r="D43" s="342" t="s">
        <v>2394</v>
      </c>
      <c r="E43" s="342" t="s">
        <v>1909</v>
      </c>
      <c r="F43" s="346" t="s">
        <v>1909</v>
      </c>
      <c r="G43" s="342" t="s">
        <v>1909</v>
      </c>
      <c r="H43" s="342" t="s">
        <v>2394</v>
      </c>
      <c r="I43" s="342" t="s">
        <v>1909</v>
      </c>
      <c r="J43" s="346" t="s">
        <v>1909</v>
      </c>
      <c r="K43" s="348" t="str">
        <f t="shared" si="0"/>
        <v>ainn</v>
      </c>
      <c r="L43" s="347" t="str">
        <f t="shared" si="1"/>
        <v>ainnh</v>
      </c>
      <c r="N43" s="336" t="s">
        <v>2395</v>
      </c>
      <c r="O43" s="336" t="s">
        <v>2396</v>
      </c>
      <c r="P43" s="336" t="s">
        <v>2397</v>
      </c>
      <c r="Q43" s="336" t="s">
        <v>2398</v>
      </c>
      <c r="R43" s="336" t="s">
        <v>2399</v>
      </c>
      <c r="S43" s="336" t="s">
        <v>2396</v>
      </c>
      <c r="T43" s="336" t="s">
        <v>2400</v>
      </c>
      <c r="U43" s="336" t="s">
        <v>2401</v>
      </c>
      <c r="W43" s="335" t="s">
        <v>2519</v>
      </c>
      <c r="X43" s="341" t="s">
        <v>1373</v>
      </c>
      <c r="Y43" s="336">
        <f t="shared" si="2"/>
        <v>5</v>
      </c>
      <c r="Z43" s="336" t="str">
        <f t="shared" si="3"/>
        <v>ainn</v>
      </c>
      <c r="AA43" s="336" t="str">
        <f t="shared" si="4"/>
        <v>ainnh</v>
      </c>
    </row>
    <row r="44" spans="2:27">
      <c r="B44" s="343">
        <v>41</v>
      </c>
      <c r="C44" s="342" t="s">
        <v>2402</v>
      </c>
      <c r="D44" s="342" t="s">
        <v>1909</v>
      </c>
      <c r="E44" s="342" t="s">
        <v>1909</v>
      </c>
      <c r="F44" s="346" t="s">
        <v>1909</v>
      </c>
      <c r="G44" s="342" t="s">
        <v>1909</v>
      </c>
      <c r="H44" s="342" t="s">
        <v>1909</v>
      </c>
      <c r="I44" s="342" t="s">
        <v>1909</v>
      </c>
      <c r="J44" s="346" t="s">
        <v>1909</v>
      </c>
      <c r="K44" s="348" t="str">
        <f t="shared" si="0"/>
        <v>oonn</v>
      </c>
      <c r="L44" s="347" t="str">
        <f t="shared" si="1"/>
        <v>oonnh</v>
      </c>
      <c r="N44" s="336" t="s">
        <v>2403</v>
      </c>
      <c r="O44" s="336" t="s">
        <v>2404</v>
      </c>
      <c r="P44" s="336" t="s">
        <v>2405</v>
      </c>
      <c r="Q44" s="336" t="s">
        <v>2406</v>
      </c>
      <c r="R44" s="336" t="s">
        <v>2407</v>
      </c>
      <c r="S44" s="336" t="s">
        <v>2404</v>
      </c>
      <c r="T44" s="336" t="s">
        <v>2408</v>
      </c>
      <c r="U44" s="336" t="s">
        <v>2409</v>
      </c>
      <c r="V44" s="336" t="s">
        <v>2410</v>
      </c>
      <c r="W44" s="335" t="s">
        <v>2411</v>
      </c>
      <c r="X44" s="335" t="s">
        <v>2411</v>
      </c>
      <c r="Y44" s="336">
        <f t="shared" si="2"/>
        <v>5</v>
      </c>
      <c r="Z44" s="336" t="str">
        <f t="shared" si="3"/>
        <v>oonn</v>
      </c>
      <c r="AA44" s="336" t="str">
        <f t="shared" si="4"/>
        <v>oonnh</v>
      </c>
    </row>
    <row r="45" spans="2:27">
      <c r="B45" s="343">
        <v>42</v>
      </c>
      <c r="C45" s="342" t="s">
        <v>2412</v>
      </c>
      <c r="D45" s="342" t="s">
        <v>1909</v>
      </c>
      <c r="E45" s="342" t="s">
        <v>1909</v>
      </c>
      <c r="F45" s="346" t="s">
        <v>1909</v>
      </c>
      <c r="G45" s="342" t="s">
        <v>1909</v>
      </c>
      <c r="H45" s="342" t="s">
        <v>1909</v>
      </c>
      <c r="I45" s="342" t="s">
        <v>1909</v>
      </c>
      <c r="J45" s="346" t="s">
        <v>1909</v>
      </c>
      <c r="K45" s="348" t="str">
        <f t="shared" si="0"/>
        <v>m</v>
      </c>
      <c r="L45" s="347" t="str">
        <f t="shared" si="1"/>
        <v>mh</v>
      </c>
      <c r="N45" s="336" t="s">
        <v>2413</v>
      </c>
      <c r="O45" s="336" t="s">
        <v>2414</v>
      </c>
      <c r="P45" s="336" t="s">
        <v>2415</v>
      </c>
      <c r="Q45" s="336" t="s">
        <v>2416</v>
      </c>
      <c r="R45" s="336" t="s">
        <v>2417</v>
      </c>
      <c r="S45" s="336" t="s">
        <v>2414</v>
      </c>
      <c r="T45" s="336" t="s">
        <v>2418</v>
      </c>
      <c r="U45" s="336" t="s">
        <v>2419</v>
      </c>
      <c r="W45" s="335" t="s">
        <v>2420</v>
      </c>
      <c r="X45" s="335" t="s">
        <v>2420</v>
      </c>
      <c r="Y45" s="336">
        <f t="shared" si="2"/>
        <v>2</v>
      </c>
      <c r="Z45" s="336" t="str">
        <f t="shared" si="3"/>
        <v>m</v>
      </c>
      <c r="AA45" s="336" t="str">
        <f t="shared" si="4"/>
        <v>mh</v>
      </c>
    </row>
    <row r="46" spans="2:27">
      <c r="B46" s="343">
        <v>43</v>
      </c>
      <c r="C46" s="342" t="s">
        <v>2421</v>
      </c>
      <c r="D46" s="342" t="s">
        <v>1909</v>
      </c>
      <c r="E46" s="342" t="s">
        <v>1909</v>
      </c>
      <c r="F46" s="346" t="s">
        <v>1909</v>
      </c>
      <c r="G46" s="342" t="s">
        <v>1909</v>
      </c>
      <c r="H46" s="342" t="s">
        <v>1909</v>
      </c>
      <c r="I46" s="342" t="s">
        <v>1909</v>
      </c>
      <c r="J46" s="346" t="s">
        <v>2422</v>
      </c>
      <c r="K46" s="348" t="str">
        <f t="shared" si="0"/>
        <v>uang</v>
      </c>
      <c r="L46" s="347" t="str">
        <f t="shared" si="1"/>
        <v>uak</v>
      </c>
      <c r="N46" s="336" t="s">
        <v>2423</v>
      </c>
      <c r="O46" s="336" t="s">
        <v>2424</v>
      </c>
      <c r="P46" s="336" t="s">
        <v>2425</v>
      </c>
      <c r="Q46" s="336" t="s">
        <v>2426</v>
      </c>
      <c r="R46" s="336" t="s">
        <v>2427</v>
      </c>
      <c r="S46" s="336" t="s">
        <v>2424</v>
      </c>
      <c r="T46" s="336" t="s">
        <v>2428</v>
      </c>
      <c r="U46" s="336" t="s">
        <v>2429</v>
      </c>
      <c r="W46" s="335" t="s">
        <v>2430</v>
      </c>
      <c r="X46" s="335" t="s">
        <v>2430</v>
      </c>
      <c r="Y46" s="336">
        <f t="shared" si="2"/>
        <v>5</v>
      </c>
      <c r="Z46" s="336" t="str">
        <f t="shared" si="3"/>
        <v>uang</v>
      </c>
      <c r="AA46" s="336" t="str">
        <f t="shared" si="4"/>
        <v>uak</v>
      </c>
    </row>
    <row r="47" spans="2:27">
      <c r="B47" s="343">
        <v>44</v>
      </c>
      <c r="C47" s="342" t="s">
        <v>2431</v>
      </c>
      <c r="D47" s="342" t="s">
        <v>1909</v>
      </c>
      <c r="E47" s="342" t="s">
        <v>1909</v>
      </c>
      <c r="F47" s="346" t="s">
        <v>1909</v>
      </c>
      <c r="G47" s="342" t="s">
        <v>1909</v>
      </c>
      <c r="H47" s="342" t="s">
        <v>1909</v>
      </c>
      <c r="I47" s="342" t="s">
        <v>1909</v>
      </c>
      <c r="J47" s="346" t="s">
        <v>1909</v>
      </c>
      <c r="K47" s="348" t="str">
        <f t="shared" si="0"/>
        <v>uainn</v>
      </c>
      <c r="L47" s="347" t="str">
        <f t="shared" si="1"/>
        <v>uainnh</v>
      </c>
      <c r="N47" s="336" t="s">
        <v>2432</v>
      </c>
      <c r="O47" s="336" t="s">
        <v>2433</v>
      </c>
      <c r="P47" s="336" t="s">
        <v>2434</v>
      </c>
      <c r="Q47" s="336" t="s">
        <v>2435</v>
      </c>
      <c r="R47" s="336" t="s">
        <v>2436</v>
      </c>
      <c r="S47" s="336" t="s">
        <v>2433</v>
      </c>
      <c r="T47" s="336" t="s">
        <v>2437</v>
      </c>
      <c r="U47" s="336" t="s">
        <v>2438</v>
      </c>
      <c r="V47" s="336" t="s">
        <v>2439</v>
      </c>
      <c r="W47" s="335" t="s">
        <v>2520</v>
      </c>
      <c r="X47" s="340" t="s">
        <v>2521</v>
      </c>
      <c r="Y47" s="336">
        <f t="shared" si="2"/>
        <v>6</v>
      </c>
      <c r="Z47" s="336" t="str">
        <f t="shared" si="3"/>
        <v>uainn</v>
      </c>
      <c r="AA47" s="336" t="str">
        <f t="shared" si="4"/>
        <v>uainnh</v>
      </c>
    </row>
    <row r="48" spans="2:27">
      <c r="B48" s="343">
        <v>45</v>
      </c>
      <c r="C48" s="342" t="s">
        <v>2440</v>
      </c>
      <c r="D48" s="342" t="s">
        <v>1909</v>
      </c>
      <c r="E48" s="342" t="s">
        <v>1909</v>
      </c>
      <c r="F48" s="346" t="s">
        <v>1909</v>
      </c>
      <c r="G48" s="342" t="s">
        <v>1909</v>
      </c>
      <c r="H48" s="342" t="s">
        <v>1909</v>
      </c>
      <c r="I48" s="342" t="s">
        <v>1909</v>
      </c>
      <c r="J48" s="346" t="s">
        <v>1909</v>
      </c>
      <c r="K48" s="348" t="str">
        <f t="shared" si="0"/>
        <v>uenn</v>
      </c>
      <c r="L48" s="347" t="str">
        <f t="shared" si="1"/>
        <v>uennh</v>
      </c>
      <c r="N48" s="336" t="s">
        <v>2441</v>
      </c>
      <c r="O48" s="336" t="s">
        <v>2442</v>
      </c>
      <c r="P48" s="336" t="s">
        <v>2443</v>
      </c>
      <c r="Q48" s="336" t="s">
        <v>2444</v>
      </c>
      <c r="R48" s="336" t="s">
        <v>2445</v>
      </c>
      <c r="S48" s="336" t="s">
        <v>2442</v>
      </c>
      <c r="T48" s="336" t="s">
        <v>2446</v>
      </c>
      <c r="U48" s="336" t="s">
        <v>2447</v>
      </c>
      <c r="V48" s="336" t="s">
        <v>2448</v>
      </c>
      <c r="W48" s="335" t="s">
        <v>2522</v>
      </c>
      <c r="X48" s="340" t="s">
        <v>2523</v>
      </c>
      <c r="Y48" s="336">
        <f t="shared" si="2"/>
        <v>5</v>
      </c>
      <c r="Z48" s="336" t="str">
        <f t="shared" si="3"/>
        <v>uenn</v>
      </c>
      <c r="AA48" s="336" t="str">
        <f t="shared" si="4"/>
        <v>uennh</v>
      </c>
    </row>
    <row r="49" spans="2:27">
      <c r="B49" s="343">
        <v>46</v>
      </c>
      <c r="C49" s="342" t="s">
        <v>2449</v>
      </c>
      <c r="D49" s="342" t="s">
        <v>1909</v>
      </c>
      <c r="E49" s="342" t="s">
        <v>1909</v>
      </c>
      <c r="F49" s="346" t="s">
        <v>1909</v>
      </c>
      <c r="G49" s="342" t="s">
        <v>1909</v>
      </c>
      <c r="H49" s="342" t="s">
        <v>1909</v>
      </c>
      <c r="I49" s="342" t="s">
        <v>1909</v>
      </c>
      <c r="J49" s="346" t="s">
        <v>1909</v>
      </c>
      <c r="K49" s="348" t="str">
        <f t="shared" si="0"/>
        <v>iaunn</v>
      </c>
      <c r="L49" s="347" t="str">
        <f t="shared" si="1"/>
        <v>iaunnh</v>
      </c>
      <c r="N49" s="336" t="s">
        <v>2450</v>
      </c>
      <c r="O49" s="336" t="s">
        <v>2451</v>
      </c>
      <c r="P49" s="336" t="s">
        <v>2452</v>
      </c>
      <c r="Q49" s="336" t="s">
        <v>2453</v>
      </c>
      <c r="R49" s="336" t="s">
        <v>2454</v>
      </c>
      <c r="S49" s="336" t="s">
        <v>2451</v>
      </c>
      <c r="T49" s="336" t="s">
        <v>2453</v>
      </c>
      <c r="U49" s="336" t="s">
        <v>2455</v>
      </c>
      <c r="W49" s="335" t="s">
        <v>2456</v>
      </c>
      <c r="X49" s="335" t="s">
        <v>2456</v>
      </c>
      <c r="Y49" s="336">
        <f t="shared" si="2"/>
        <v>6</v>
      </c>
      <c r="Z49" s="336" t="str">
        <f t="shared" si="3"/>
        <v>iaunn</v>
      </c>
      <c r="AA49" s="336" t="str">
        <f t="shared" si="4"/>
        <v>iaunnh</v>
      </c>
    </row>
    <row r="50" spans="2:27">
      <c r="B50" s="343">
        <v>47</v>
      </c>
      <c r="C50" s="342" t="s">
        <v>2457</v>
      </c>
      <c r="D50" s="342" t="s">
        <v>1909</v>
      </c>
      <c r="E50" s="342" t="s">
        <v>2458</v>
      </c>
      <c r="F50" s="346" t="s">
        <v>1909</v>
      </c>
      <c r="G50" s="342" t="s">
        <v>1909</v>
      </c>
      <c r="H50" s="342" t="s">
        <v>1909</v>
      </c>
      <c r="I50" s="342" t="s">
        <v>1909</v>
      </c>
      <c r="J50" s="346" t="s">
        <v>1909</v>
      </c>
      <c r="K50" s="348" t="str">
        <f t="shared" si="0"/>
        <v>om</v>
      </c>
      <c r="L50" s="347" t="str">
        <f t="shared" si="1"/>
        <v>op</v>
      </c>
      <c r="N50" s="336" t="s">
        <v>2459</v>
      </c>
      <c r="O50" s="336" t="s">
        <v>2460</v>
      </c>
      <c r="P50" s="336" t="s">
        <v>2461</v>
      </c>
      <c r="Q50" s="336" t="s">
        <v>2462</v>
      </c>
      <c r="R50" s="336" t="s">
        <v>2463</v>
      </c>
      <c r="S50" s="336" t="s">
        <v>2460</v>
      </c>
      <c r="T50" s="336" t="s">
        <v>2464</v>
      </c>
      <c r="U50" s="336" t="s">
        <v>2465</v>
      </c>
      <c r="W50" s="335" t="s">
        <v>2466</v>
      </c>
      <c r="X50" s="335" t="s">
        <v>2466</v>
      </c>
      <c r="Y50" s="336">
        <f t="shared" si="2"/>
        <v>3</v>
      </c>
      <c r="Z50" s="336" t="str">
        <f t="shared" si="3"/>
        <v>om</v>
      </c>
      <c r="AA50" s="336" t="str">
        <f t="shared" si="4"/>
        <v>op</v>
      </c>
    </row>
    <row r="51" spans="2:27">
      <c r="B51" s="343">
        <v>48</v>
      </c>
      <c r="C51" s="342" t="s">
        <v>2467</v>
      </c>
      <c r="D51" s="342" t="s">
        <v>1909</v>
      </c>
      <c r="E51" s="342" t="s">
        <v>1909</v>
      </c>
      <c r="F51" s="346" t="s">
        <v>1909</v>
      </c>
      <c r="G51" s="342" t="s">
        <v>1909</v>
      </c>
      <c r="H51" s="342" t="s">
        <v>1909</v>
      </c>
      <c r="I51" s="342" t="s">
        <v>1909</v>
      </c>
      <c r="J51" s="346" t="s">
        <v>1909</v>
      </c>
      <c r="K51" s="348" t="str">
        <f t="shared" si="0"/>
        <v>aunn</v>
      </c>
      <c r="L51" s="347" t="str">
        <f t="shared" si="1"/>
        <v>aunnh</v>
      </c>
      <c r="N51" s="336" t="s">
        <v>2468</v>
      </c>
      <c r="O51" s="336" t="s">
        <v>2469</v>
      </c>
      <c r="P51" s="336" t="s">
        <v>2470</v>
      </c>
      <c r="Q51" s="336" t="s">
        <v>2471</v>
      </c>
      <c r="R51" s="336" t="s">
        <v>2472</v>
      </c>
      <c r="S51" s="336" t="s">
        <v>2469</v>
      </c>
      <c r="T51" s="336" t="s">
        <v>2473</v>
      </c>
      <c r="U51" s="336" t="s">
        <v>2474</v>
      </c>
      <c r="W51" s="335" t="s">
        <v>2475</v>
      </c>
      <c r="X51" s="335" t="s">
        <v>2475</v>
      </c>
      <c r="Y51" s="336">
        <f t="shared" si="2"/>
        <v>5</v>
      </c>
      <c r="Z51" s="336" t="str">
        <f t="shared" si="3"/>
        <v>aunn</v>
      </c>
      <c r="AA51" s="336" t="str">
        <f t="shared" si="4"/>
        <v>aunnh</v>
      </c>
    </row>
    <row r="52" spans="2:27">
      <c r="B52" s="343">
        <v>49</v>
      </c>
      <c r="C52" s="342" t="s">
        <v>2476</v>
      </c>
      <c r="D52" s="342" t="s">
        <v>1909</v>
      </c>
      <c r="E52" s="342" t="s">
        <v>1909</v>
      </c>
      <c r="F52" s="346" t="s">
        <v>1909</v>
      </c>
      <c r="G52" s="342" t="s">
        <v>1909</v>
      </c>
      <c r="H52" s="342" t="s">
        <v>1909</v>
      </c>
      <c r="I52" s="342" t="s">
        <v>1909</v>
      </c>
      <c r="J52" s="346" t="s">
        <v>1909</v>
      </c>
      <c r="K52" s="348" t="str">
        <f t="shared" si="0"/>
        <v>onn</v>
      </c>
      <c r="L52" s="347" t="str">
        <f t="shared" si="1"/>
        <v>onnh</v>
      </c>
      <c r="N52" s="336" t="s">
        <v>2477</v>
      </c>
      <c r="O52" s="336" t="s">
        <v>2478</v>
      </c>
      <c r="P52" s="336" t="s">
        <v>2479</v>
      </c>
      <c r="Q52" s="336" t="s">
        <v>2480</v>
      </c>
      <c r="R52" s="336" t="s">
        <v>2481</v>
      </c>
      <c r="S52" s="336" t="s">
        <v>2478</v>
      </c>
      <c r="T52" s="336" t="s">
        <v>2482</v>
      </c>
      <c r="U52" s="336" t="s">
        <v>2483</v>
      </c>
      <c r="V52" s="336" t="s">
        <v>2484</v>
      </c>
      <c r="W52" s="335" t="s">
        <v>2485</v>
      </c>
      <c r="X52" s="335" t="s">
        <v>2485</v>
      </c>
      <c r="Y52" s="336">
        <f t="shared" si="2"/>
        <v>4</v>
      </c>
      <c r="Z52" s="336" t="str">
        <f t="shared" si="3"/>
        <v>onn</v>
      </c>
      <c r="AA52" s="336" t="str">
        <f t="shared" si="4"/>
        <v>onnh</v>
      </c>
    </row>
    <row r="53" spans="2:27">
      <c r="B53" s="343">
        <v>50</v>
      </c>
      <c r="C53" s="342" t="s">
        <v>2486</v>
      </c>
      <c r="D53" s="342" t="s">
        <v>1909</v>
      </c>
      <c r="E53" s="342" t="s">
        <v>1909</v>
      </c>
      <c r="F53" s="346" t="s">
        <v>2486</v>
      </c>
      <c r="G53" s="342" t="s">
        <v>1909</v>
      </c>
      <c r="H53" s="342" t="s">
        <v>1909</v>
      </c>
      <c r="I53" s="342" t="s">
        <v>1909</v>
      </c>
      <c r="J53" s="346" t="s">
        <v>1909</v>
      </c>
      <c r="K53" s="348" t="str">
        <f t="shared" si="0"/>
        <v>iunn</v>
      </c>
      <c r="L53" s="347" t="s">
        <v>2524</v>
      </c>
      <c r="N53" s="336" t="s">
        <v>2487</v>
      </c>
      <c r="O53" s="336" t="s">
        <v>2488</v>
      </c>
      <c r="P53" s="336" t="s">
        <v>2489</v>
      </c>
      <c r="Q53" s="336" t="s">
        <v>2490</v>
      </c>
      <c r="R53" s="336" t="s">
        <v>2491</v>
      </c>
      <c r="S53" s="336" t="s">
        <v>2488</v>
      </c>
      <c r="T53" s="336" t="s">
        <v>2492</v>
      </c>
      <c r="U53" s="336" t="s">
        <v>2493</v>
      </c>
      <c r="V53" s="336" t="s">
        <v>2494</v>
      </c>
      <c r="W53" s="335" t="s">
        <v>2495</v>
      </c>
      <c r="X53" s="335" t="s">
        <v>2495</v>
      </c>
      <c r="Y53" s="336">
        <f t="shared" si="2"/>
        <v>5</v>
      </c>
      <c r="Z53" s="336" t="str">
        <f t="shared" si="3"/>
        <v>iunn</v>
      </c>
      <c r="AA53" s="336" t="str">
        <f t="shared" si="4"/>
        <v>(iunnh)</v>
      </c>
    </row>
  </sheetData>
  <mergeCells count="3">
    <mergeCell ref="B2:B3"/>
    <mergeCell ref="K2:K3"/>
    <mergeCell ref="L2:L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91583-42E4-4C6F-8694-A5F2284BA87C}">
  <dimension ref="B1:J153"/>
  <sheetViews>
    <sheetView showGridLines="0" zoomScaleNormal="100" workbookViewId="0">
      <pane ySplit="3" topLeftCell="A4" activePane="bottomLeft" state="frozen"/>
      <selection pane="bottomLeft" activeCell="O9" sqref="O9"/>
    </sheetView>
  </sheetViews>
  <sheetFormatPr defaultColWidth="8.875" defaultRowHeight="39"/>
  <cols>
    <col min="1" max="1" width="8.875" style="336"/>
    <col min="2" max="2" width="7.75" style="334" customWidth="1"/>
    <col min="3" max="10" width="12.625" style="339" customWidth="1"/>
    <col min="11" max="16384" width="8.875" style="336"/>
  </cols>
  <sheetData>
    <row r="1" spans="2:10" ht="9" customHeight="1"/>
    <row r="2" spans="2:10" ht="25.5" customHeight="1">
      <c r="B2" s="488" t="s">
        <v>2496</v>
      </c>
      <c r="C2" s="345" t="s">
        <v>2497</v>
      </c>
      <c r="D2" s="345" t="s">
        <v>2498</v>
      </c>
      <c r="E2" s="345" t="s">
        <v>2499</v>
      </c>
      <c r="F2" s="345" t="s">
        <v>2500</v>
      </c>
      <c r="G2" s="345" t="s">
        <v>2501</v>
      </c>
      <c r="H2" s="345" t="s">
        <v>2502</v>
      </c>
      <c r="I2" s="345" t="s">
        <v>2503</v>
      </c>
      <c r="J2" s="345" t="s">
        <v>2504</v>
      </c>
    </row>
    <row r="3" spans="2:10" s="332" customFormat="1" ht="45.75" customHeight="1">
      <c r="B3" s="489"/>
      <c r="C3" s="351">
        <v>1</v>
      </c>
      <c r="D3" s="351">
        <v>2</v>
      </c>
      <c r="E3" s="351">
        <v>3</v>
      </c>
      <c r="F3" s="351">
        <v>4</v>
      </c>
      <c r="G3" s="351">
        <v>5</v>
      </c>
      <c r="H3" s="351">
        <v>6</v>
      </c>
      <c r="I3" s="351">
        <v>7</v>
      </c>
      <c r="J3" s="351">
        <v>8</v>
      </c>
    </row>
    <row r="4" spans="2:10" s="332" customFormat="1" ht="20.100000000000001" customHeight="1">
      <c r="B4" s="490">
        <v>1</v>
      </c>
      <c r="C4" s="353" t="str">
        <f xml:space="preserve"> _xlfn.CONCAT( IF(OR(C$3=4, C$3=8),
_xlfn.XLOOKUP(($B4*2), 韻母表[序號], 韻母表[方音符號]),
_xlfn.XLOOKUP($B4, 韻母表[韻序], 韻母表[方音符號])
), _xlfn.XLOOKUP(C$3, 聲調符號表[調號], 聲調符號表[調符]))</f>
        <v>ㄨㄣ</v>
      </c>
      <c r="D4" s="353" t="str">
        <f xml:space="preserve"> _xlfn.CONCAT( IF(OR(D$3=4, D$3=8),
_xlfn.XLOOKUP(($B4*2), 韻母表[序號], 韻母表[方音符號]),
_xlfn.XLOOKUP($B4, 韻母表[韻序], 韻母表[方音符號])
), _xlfn.XLOOKUP(D$3, 聲調符號表[調號], 聲調符號表[調符]))</f>
        <v>ㄨㄣˋ</v>
      </c>
      <c r="E4" s="353" t="str">
        <f xml:space="preserve"> _xlfn.CONCAT( IF(OR(E$3=4, E$3=8),
_xlfn.XLOOKUP(($B4*2), 韻母表[序號], 韻母表[方音符號]),
_xlfn.XLOOKUP($B4, 韻母表[韻序], 韻母表[方音符號])
), _xlfn.XLOOKUP(E$3, 聲調符號表[調號], 聲調符號表[調符]))</f>
        <v>ㄨㄣ˪</v>
      </c>
      <c r="F4" s="353" t="str">
        <f xml:space="preserve"> _xlfn.CONCAT( IF(OR(F$3=4, F$3=8),
_xlfn.XLOOKUP(($B4*2), 韻母表[序號], 韻母表[方音符號]),
_xlfn.XLOOKUP($B4, 韻母表[韻序], 韻母表[方音符號])
), _xlfn.XLOOKUP(F$3, 聲調符號表[調號], 聲調符號表[調符]))</f>
        <v>ㄨㆵ</v>
      </c>
      <c r="G4" s="353" t="str">
        <f xml:space="preserve"> _xlfn.CONCAT( IF(OR(G$3=4, G$3=8),
_xlfn.XLOOKUP(($B4*2), 韻母表[序號], 韻母表[方音符號]),
_xlfn.XLOOKUP($B4, 韻母表[韻序], 韻母表[方音符號])
), _xlfn.XLOOKUP(G$3, 聲調符號表[調號], 聲調符號表[調符]))</f>
        <v>ㄨㄣˊ</v>
      </c>
      <c r="H4" s="353" t="str">
        <f xml:space="preserve"> _xlfn.CONCAT( IF(OR(H$3=4, H$3=8),
_xlfn.XLOOKUP(($B4*2), 韻母表[序號], 韻母表[方音符號]),
_xlfn.XLOOKUP($B4, 韻母表[韻序], 韻母表[方音符號])
), _xlfn.XLOOKUP(H$3, 聲調符號表[調號], 聲調符號表[調符]))</f>
        <v>ㄨㄣˋ</v>
      </c>
      <c r="I4" s="353" t="str">
        <f xml:space="preserve"> _xlfn.CONCAT( IF(OR(I$3=4, I$3=8),
_xlfn.XLOOKUP(($B4*2), 韻母表[序號], 韻母表[方音符號]),
_xlfn.XLOOKUP($B4, 韻母表[韻序], 韻母表[方音符號])
), _xlfn.XLOOKUP(I$3, 聲調符號表[調號], 聲調符號表[調符]))</f>
        <v>ㄨㄣ˫</v>
      </c>
      <c r="J4" s="353" t="str">
        <f xml:space="preserve"> _xlfn.CONCAT( IF(OR(J$3=4, J$3=8),
_xlfn.XLOOKUP(($B4*2), 韻母表[序號], 韻母表[方音符號]),
_xlfn.XLOOKUP($B4, 韻母表[韻序], 韻母表[方音符號])
), _xlfn.XLOOKUP(J$3, 聲調符號表[調號], 聲調符號表[調符]))</f>
        <v>ㄨㆵ˙</v>
      </c>
    </row>
    <row r="5" spans="2:10">
      <c r="B5" s="491"/>
      <c r="C5" s="349" t="str" cm="1">
        <f t="array" ref="C5" xml:space="preserve"> INDEX(字母八音反切!$C$4:$J$53, $B4, C$3)</f>
        <v>君</v>
      </c>
      <c r="D5" s="349" t="str" cm="1">
        <f t="array" ref="D5" xml:space="preserve"> INDEX(字母八音反切!$C$4:$J$53, $B4, D$3)</f>
        <v>滾</v>
      </c>
      <c r="E5" s="349" t="str" cm="1">
        <f t="array" ref="E5" xml:space="preserve"> INDEX(字母八音反切!$C$4:$J$53, $B4, E$3)</f>
        <v>棍</v>
      </c>
      <c r="F5" s="352" t="str" cm="1">
        <f t="array" ref="F5" xml:space="preserve"> INDEX(字母八音反切!$C$4:$J$53, $B4, F$3)</f>
        <v>骨</v>
      </c>
      <c r="G5" s="349" t="str" cm="1">
        <f t="array" ref="G5" xml:space="preserve"> INDEX(字母八音反切!$C$4:$J$53, $B4, G$3)</f>
        <v>群</v>
      </c>
      <c r="H5" s="349" t="str" cm="1">
        <f t="array" ref="H5" xml:space="preserve"> INDEX(字母八音反切!$C$4:$J$53, $B4, H$3)</f>
        <v>滾</v>
      </c>
      <c r="I5" s="349" t="str" cm="1">
        <f t="array" ref="I5" xml:space="preserve"> INDEX(字母八音反切!$C$4:$J$53, $B4, I$3)</f>
        <v>郡</v>
      </c>
      <c r="J5" s="352" t="str" cm="1">
        <f t="array" ref="J5" xml:space="preserve"> INDEX(字母八音反切!$C$4:$J$53, $B4, J$3)</f>
        <v>滑</v>
      </c>
    </row>
    <row r="6" spans="2:10" ht="20.100000000000001" customHeight="1">
      <c r="B6" s="492"/>
      <c r="C6" s="350" t="str">
        <f xml:space="preserve"> _xlfn.CONCAT( IF(OR(C$3=4, C$3=8),
_xlfn.XLOOKUP(($B4*2), 韻母表[序號], 韻母表[台羅拼音]),
_xlfn.XLOOKUP($B4, 韻母表[韻序], 韻母表[台羅拼音])
), C$3)</f>
        <v>un1</v>
      </c>
      <c r="D6" s="350" t="str">
        <f xml:space="preserve"> _xlfn.CONCAT( IF(OR(D$3=4, D$3=8),
_xlfn.XLOOKUP(($B4*2), 韻母表[序號], 韻母表[台羅拼音]),
_xlfn.XLOOKUP($B4, 韻母表[韻序], 韻母表[台羅拼音])
), D$3)</f>
        <v>un2</v>
      </c>
      <c r="E6" s="350" t="str">
        <f xml:space="preserve"> _xlfn.CONCAT( IF(OR(E$3=4, E$3=8),
_xlfn.XLOOKUP(($B4*2), 韻母表[序號], 韻母表[台羅拼音]),
_xlfn.XLOOKUP($B4, 韻母表[韻序], 韻母表[台羅拼音])
), E$3)</f>
        <v>un3</v>
      </c>
      <c r="F6" s="350" t="str">
        <f xml:space="preserve"> _xlfn.CONCAT( IF(OR(F$3=4, F$3=8),
_xlfn.XLOOKUP(($B4*2), 韻母表[序號], 韻母表[台羅拼音]),
_xlfn.XLOOKUP($B4, 韻母表[韻序], 韻母表[台羅拼音])
), F$3)</f>
        <v>ut4</v>
      </c>
      <c r="G6" s="350" t="str">
        <f xml:space="preserve"> _xlfn.CONCAT( IF(OR(G$3=4, G$3=8),
_xlfn.XLOOKUP(($B4*2), 韻母表[序號], 韻母表[台羅拼音]),
_xlfn.XLOOKUP($B4, 韻母表[韻序], 韻母表[台羅拼音])
), G$3)</f>
        <v>un5</v>
      </c>
      <c r="H6" s="350" t="str">
        <f xml:space="preserve"> _xlfn.CONCAT( IF(OR(H$3=4, H$3=8),
_xlfn.XLOOKUP(($B4*2), 韻母表[序號], 韻母表[台羅拼音]),
_xlfn.XLOOKUP($B4, 韻母表[韻序], 韻母表[台羅拼音])
), H$3)</f>
        <v>un6</v>
      </c>
      <c r="I6" s="350" t="str">
        <f xml:space="preserve"> _xlfn.CONCAT( IF(OR(I$3=4, I$3=8),
_xlfn.XLOOKUP(($B4*2), 韻母表[序號], 韻母表[台羅拼音]),
_xlfn.XLOOKUP($B4, 韻母表[韻序], 韻母表[台羅拼音])
), I$3)</f>
        <v>un7</v>
      </c>
      <c r="J6" s="350" t="str">
        <f xml:space="preserve"> _xlfn.CONCAT( IF(OR(J$3=4, J$3=8),
_xlfn.XLOOKUP(($B4*2), 韻母表[序號], 韻母表[台羅拼音]),
_xlfn.XLOOKUP($B4, 韻母表[韻序], 韻母表[台羅拼音])
), J$3)</f>
        <v>ut8</v>
      </c>
    </row>
    <row r="7" spans="2:10" ht="24" customHeight="1">
      <c r="B7" s="490">
        <v>2</v>
      </c>
      <c r="C7" s="353" t="str">
        <f xml:space="preserve"> _xlfn.CONCAT( IF(OR(C$3=4, C$3=8),
_xlfn.XLOOKUP(($B7*2), 韻母表[序號], 韻母表[方音符號]),
_xlfn.XLOOKUP($B7, 韻母表[韻序], 韻母表[方音符號])
), _xlfn.XLOOKUP(C$3, 聲調符號表[調號], 聲調符號表[調符]))</f>
        <v>ㄧㄢ</v>
      </c>
      <c r="D7" s="353" t="str">
        <f xml:space="preserve"> _xlfn.CONCAT( IF(OR(D$3=4, D$3=8),
_xlfn.XLOOKUP(($B7*2), 韻母表[序號], 韻母表[方音符號]),
_xlfn.XLOOKUP($B7, 韻母表[韻序], 韻母表[方音符號])
), _xlfn.XLOOKUP(D$3, 聲調符號表[調號], 聲調符號表[調符]))</f>
        <v>ㄧㄢˋ</v>
      </c>
      <c r="E7" s="353" t="str">
        <f xml:space="preserve"> _xlfn.CONCAT( IF(OR(E$3=4, E$3=8),
_xlfn.XLOOKUP(($B7*2), 韻母表[序號], 韻母表[方音符號]),
_xlfn.XLOOKUP($B7, 韻母表[韻序], 韻母表[方音符號])
), _xlfn.XLOOKUP(E$3, 聲調符號表[調號], 聲調符號表[調符]))</f>
        <v>ㄧㄢ˪</v>
      </c>
      <c r="F7" s="353" t="str">
        <f xml:space="preserve"> _xlfn.CONCAT( IF(OR(F$3=4, F$3=8),
_xlfn.XLOOKUP(($B7*2), 韻母表[序號], 韻母表[方音符號]),
_xlfn.XLOOKUP($B7, 韻母表[韻序], 韻母表[方音符號])
), _xlfn.XLOOKUP(F$3, 聲調符號表[調號], 聲調符號表[調符]))</f>
        <v>ㄧㄚㆵ</v>
      </c>
      <c r="G7" s="353" t="str">
        <f xml:space="preserve"> _xlfn.CONCAT( IF(OR(G$3=4, G$3=8),
_xlfn.XLOOKUP(($B7*2), 韻母表[序號], 韻母表[方音符號]),
_xlfn.XLOOKUP($B7, 韻母表[韻序], 韻母表[方音符號])
), _xlfn.XLOOKUP(G$3, 聲調符號表[調號], 聲調符號表[調符]))</f>
        <v>ㄧㄢˊ</v>
      </c>
      <c r="H7" s="353" t="str">
        <f xml:space="preserve"> _xlfn.CONCAT( IF(OR(H$3=4, H$3=8),
_xlfn.XLOOKUP(($B7*2), 韻母表[序號], 韻母表[方音符號]),
_xlfn.XLOOKUP($B7, 韻母表[韻序], 韻母表[方音符號])
), _xlfn.XLOOKUP(H$3, 聲調符號表[調號], 聲調符號表[調符]))</f>
        <v>ㄧㄢˋ</v>
      </c>
      <c r="I7" s="353" t="str">
        <f xml:space="preserve"> _xlfn.CONCAT( IF(OR(I$3=4, I$3=8),
_xlfn.XLOOKUP(($B7*2), 韻母表[序號], 韻母表[方音符號]),
_xlfn.XLOOKUP($B7, 韻母表[韻序], 韻母表[方音符號])
), _xlfn.XLOOKUP(I$3, 聲調符號表[調號], 聲調符號表[調符]))</f>
        <v>ㄧㄢ˫</v>
      </c>
      <c r="J7" s="353" t="str">
        <f xml:space="preserve"> _xlfn.CONCAT( IF(OR(J$3=4, J$3=8),
_xlfn.XLOOKUP(($B7*2), 韻母表[序號], 韻母表[方音符號]),
_xlfn.XLOOKUP($B7, 韻母表[韻序], 韻母表[方音符號])
), _xlfn.XLOOKUP(J$3, 聲調符號表[調號], 聲調符號表[調符]))</f>
        <v>ㄧㄚㆵ˙</v>
      </c>
    </row>
    <row r="8" spans="2:10">
      <c r="B8" s="491">
        <v>2</v>
      </c>
      <c r="C8" s="349" t="str" cm="1">
        <f t="array" ref="C8" xml:space="preserve"> INDEX(字母八音反切!$C$4:$J$53, $B7, C$3)</f>
        <v>堅</v>
      </c>
      <c r="D8" s="349" t="str" cm="1">
        <f t="array" ref="D8" xml:space="preserve"> INDEX(字母八音反切!$C$4:$J$53, $B7, D$3)</f>
        <v>蹇</v>
      </c>
      <c r="E8" s="349" t="str" cm="1">
        <f t="array" ref="E8" xml:space="preserve"> INDEX(字母八音反切!$C$4:$J$53, $B7, E$3)</f>
        <v>見</v>
      </c>
      <c r="F8" s="352" t="str" cm="1">
        <f t="array" ref="F8" xml:space="preserve"> INDEX(字母八音反切!$C$4:$J$53, $B7, F$3)</f>
        <v>結</v>
      </c>
      <c r="G8" s="349" t="str" cm="1">
        <f t="array" ref="G8" xml:space="preserve"> INDEX(字母八音反切!$C$4:$J$53, $B7, G$3)</f>
        <v>○</v>
      </c>
      <c r="H8" s="349" t="str" cm="1">
        <f t="array" ref="H8" xml:space="preserve"> INDEX(字母八音反切!$C$4:$J$53, $B7, H$3)</f>
        <v>蹇</v>
      </c>
      <c r="I8" s="349" t="str" cm="1">
        <f t="array" ref="I8" xml:space="preserve"> INDEX(字母八音反切!$C$4:$J$53, $B7, I$3)</f>
        <v>健</v>
      </c>
      <c r="J8" s="352" t="str" cm="1">
        <f t="array" ref="J8" xml:space="preserve"> INDEX(字母八音反切!$C$4:$J$53, $B7, J$3)</f>
        <v>傑</v>
      </c>
    </row>
    <row r="9" spans="2:10" ht="23.25">
      <c r="B9" s="492"/>
      <c r="C9" s="350" t="str">
        <f xml:space="preserve"> _xlfn.CONCAT( IF(OR(C$3=4, C$3=8),
_xlfn.XLOOKUP(($B7*2), 韻母表[序號], 韻母表[台羅拼音]),
_xlfn.XLOOKUP($B7, 韻母表[韻序], 韻母表[台羅拼音])
), C$3)</f>
        <v>ian1</v>
      </c>
      <c r="D9" s="350" t="str">
        <f xml:space="preserve"> _xlfn.CONCAT( IF(OR(D$3=4, D$3=8),
_xlfn.XLOOKUP(($B7*2), 韻母表[序號], 韻母表[台羅拼音]),
_xlfn.XLOOKUP($B7, 韻母表[韻序], 韻母表[台羅拼音])
), D$3)</f>
        <v>ian2</v>
      </c>
      <c r="E9" s="350" t="str">
        <f xml:space="preserve"> _xlfn.CONCAT( IF(OR(E$3=4, E$3=8),
_xlfn.XLOOKUP(($B7*2), 韻母表[序號], 韻母表[台羅拼音]),
_xlfn.XLOOKUP($B7, 韻母表[韻序], 韻母表[台羅拼音])
), E$3)</f>
        <v>ian3</v>
      </c>
      <c r="F9" s="350" t="str">
        <f xml:space="preserve"> _xlfn.CONCAT( IF(OR(F$3=4, F$3=8),
_xlfn.XLOOKUP(($B7*2), 韻母表[序號], 韻母表[台羅拼音]),
_xlfn.XLOOKUP($B7, 韻母表[韻序], 韻母表[台羅拼音])
), F$3)</f>
        <v>iat4</v>
      </c>
      <c r="G9" s="350" t="str">
        <f xml:space="preserve"> _xlfn.CONCAT( IF(OR(G$3=4, G$3=8),
_xlfn.XLOOKUP(($B7*2), 韻母表[序號], 韻母表[台羅拼音]),
_xlfn.XLOOKUP($B7, 韻母表[韻序], 韻母表[台羅拼音])
), G$3)</f>
        <v>ian5</v>
      </c>
      <c r="H9" s="350" t="str">
        <f xml:space="preserve"> _xlfn.CONCAT( IF(OR(H$3=4, H$3=8),
_xlfn.XLOOKUP(($B7*2), 韻母表[序號], 韻母表[台羅拼音]),
_xlfn.XLOOKUP($B7, 韻母表[韻序], 韻母表[台羅拼音])
), H$3)</f>
        <v>ian6</v>
      </c>
      <c r="I9" s="350" t="str">
        <f xml:space="preserve"> _xlfn.CONCAT( IF(OR(I$3=4, I$3=8),
_xlfn.XLOOKUP(($B7*2), 韻母表[序號], 韻母表[台羅拼音]),
_xlfn.XLOOKUP($B7, 韻母表[韻序], 韻母表[台羅拼音])
), I$3)</f>
        <v>ian7</v>
      </c>
      <c r="J9" s="350" t="str">
        <f xml:space="preserve"> _xlfn.CONCAT( IF(OR(J$3=4, J$3=8),
_xlfn.XLOOKUP(($B7*2), 韻母表[序號], 韻母表[台羅拼音]),
_xlfn.XLOOKUP($B7, 韻母表[韻序], 韻母表[台羅拼音])
), J$3)</f>
        <v>iat8</v>
      </c>
    </row>
    <row r="10" spans="2:10" ht="20.25">
      <c r="B10" s="490">
        <v>3</v>
      </c>
      <c r="C10" s="353" t="str">
        <f xml:space="preserve"> _xlfn.CONCAT( IF(OR(C$3=4, C$3=8),
_xlfn.XLOOKUP(($B10*2), 韻母表[序號], 韻母表[方音符號]),
_xlfn.XLOOKUP($B10, 韻母表[韻序], 韻母表[方音符號])
), _xlfn.XLOOKUP(C$3, 聲調符號表[調號], 聲調符號表[調符]))</f>
        <v>ㄧㆬ</v>
      </c>
      <c r="D10" s="353" t="str">
        <f xml:space="preserve"> _xlfn.CONCAT( IF(OR(D$3=4, D$3=8),
_xlfn.XLOOKUP(($B10*2), 韻母表[序號], 韻母表[方音符號]),
_xlfn.XLOOKUP($B10, 韻母表[韻序], 韻母表[方音符號])
), _xlfn.XLOOKUP(D$3, 聲調符號表[調號], 聲調符號表[調符]))</f>
        <v>ㄧㆬˋ</v>
      </c>
      <c r="E10" s="353" t="str">
        <f xml:space="preserve"> _xlfn.CONCAT( IF(OR(E$3=4, E$3=8),
_xlfn.XLOOKUP(($B10*2), 韻母表[序號], 韻母表[方音符號]),
_xlfn.XLOOKUP($B10, 韻母表[韻序], 韻母表[方音符號])
), _xlfn.XLOOKUP(E$3, 聲調符號表[調號], 聲調符號表[調符]))</f>
        <v>ㄧㆬ˪</v>
      </c>
      <c r="F10" s="353" t="str">
        <f xml:space="preserve"> _xlfn.CONCAT( IF(OR(F$3=4, F$3=8),
_xlfn.XLOOKUP(($B10*2), 韻母表[序號], 韻母表[方音符號]),
_xlfn.XLOOKUP($B10, 韻母表[韻序], 韻母表[方音符號])
), _xlfn.XLOOKUP(F$3, 聲調符號表[調號], 聲調符號表[調符]))</f>
        <v>一ㆴ</v>
      </c>
      <c r="G10" s="353" t="str">
        <f xml:space="preserve"> _xlfn.CONCAT( IF(OR(G$3=4, G$3=8),
_xlfn.XLOOKUP(($B10*2), 韻母表[序號], 韻母表[方音符號]),
_xlfn.XLOOKUP($B10, 韻母表[韻序], 韻母表[方音符號])
), _xlfn.XLOOKUP(G$3, 聲調符號表[調號], 聲調符號表[調符]))</f>
        <v>ㄧㆬˊ</v>
      </c>
      <c r="H10" s="353" t="str">
        <f xml:space="preserve"> _xlfn.CONCAT( IF(OR(H$3=4, H$3=8),
_xlfn.XLOOKUP(($B10*2), 韻母表[序號], 韻母表[方音符號]),
_xlfn.XLOOKUP($B10, 韻母表[韻序], 韻母表[方音符號])
), _xlfn.XLOOKUP(H$3, 聲調符號表[調號], 聲調符號表[調符]))</f>
        <v>ㄧㆬˋ</v>
      </c>
      <c r="I10" s="353" t="str">
        <f xml:space="preserve"> _xlfn.CONCAT( IF(OR(I$3=4, I$3=8),
_xlfn.XLOOKUP(($B10*2), 韻母表[序號], 韻母表[方音符號]),
_xlfn.XLOOKUP($B10, 韻母表[韻序], 韻母表[方音符號])
), _xlfn.XLOOKUP(I$3, 聲調符號表[調號], 聲調符號表[調符]))</f>
        <v>ㄧㆬ˫</v>
      </c>
      <c r="J10" s="353" t="str">
        <f xml:space="preserve"> _xlfn.CONCAT( IF(OR(J$3=4, J$3=8),
_xlfn.XLOOKUP(($B10*2), 韻母表[序號], 韻母表[方音符號]),
_xlfn.XLOOKUP($B10, 韻母表[韻序], 韻母表[方音符號])
), _xlfn.XLOOKUP(J$3, 聲調符號表[調號], 聲調符號表[調符]))</f>
        <v>一ㆴ˙</v>
      </c>
    </row>
    <row r="11" spans="2:10">
      <c r="B11" s="491">
        <v>3</v>
      </c>
      <c r="C11" s="349" t="str" cm="1">
        <f t="array" ref="C11" xml:space="preserve"> INDEX(字母八音反切!$C$4:$J$53, $B10, C$3)</f>
        <v>金</v>
      </c>
      <c r="D11" s="349" t="str" cm="1">
        <f t="array" ref="D11" xml:space="preserve"> INDEX(字母八音反切!$C$4:$J$53, $B10, D$3)</f>
        <v>錦</v>
      </c>
      <c r="E11" s="349" t="str" cm="1">
        <f t="array" ref="E11" xml:space="preserve"> INDEX(字母八音反切!$C$4:$J$53, $B10, E$3)</f>
        <v>禁</v>
      </c>
      <c r="F11" s="352" t="str" cm="1">
        <f t="array" ref="F11" xml:space="preserve"> INDEX(字母八音反切!$C$4:$J$53, $B10, F$3)</f>
        <v>急</v>
      </c>
      <c r="G11" s="349" t="str" cm="1">
        <f t="array" ref="G11" xml:space="preserve"> INDEX(字母八音反切!$C$4:$J$53, $B10, G$3)</f>
        <v>○</v>
      </c>
      <c r="H11" s="349" t="str" cm="1">
        <f t="array" ref="H11" xml:space="preserve"> INDEX(字母八音反切!$C$4:$J$53, $B10, H$3)</f>
        <v>錦</v>
      </c>
      <c r="I11" s="349" t="str" cm="1">
        <f t="array" ref="I11" xml:space="preserve"> INDEX(字母八音反切!$C$4:$J$53, $B10, I$3)</f>
        <v>㦗</v>
      </c>
      <c r="J11" s="352" t="str" cm="1">
        <f t="array" ref="J11" xml:space="preserve"> INDEX(字母八音反切!$C$4:$J$53, $B10, J$3)</f>
        <v>及</v>
      </c>
    </row>
    <row r="12" spans="2:10" ht="23.25">
      <c r="B12" s="492"/>
      <c r="C12" s="350" t="str">
        <f xml:space="preserve"> _xlfn.CONCAT( IF(OR(C$3=4, C$3=8),
_xlfn.XLOOKUP(($B10*2), 韻母表[序號], 韻母表[台羅拼音]),
_xlfn.XLOOKUP($B10, 韻母表[韻序], 韻母表[台羅拼音])
), C$3)</f>
        <v>im1</v>
      </c>
      <c r="D12" s="350" t="str">
        <f xml:space="preserve"> _xlfn.CONCAT( IF(OR(D$3=4, D$3=8),
_xlfn.XLOOKUP(($B10*2), 韻母表[序號], 韻母表[台羅拼音]),
_xlfn.XLOOKUP($B10, 韻母表[韻序], 韻母表[台羅拼音])
), D$3)</f>
        <v>im2</v>
      </c>
      <c r="E12" s="350" t="str">
        <f xml:space="preserve"> _xlfn.CONCAT( IF(OR(E$3=4, E$3=8),
_xlfn.XLOOKUP(($B10*2), 韻母表[序號], 韻母表[台羅拼音]),
_xlfn.XLOOKUP($B10, 韻母表[韻序], 韻母表[台羅拼音])
), E$3)</f>
        <v>im3</v>
      </c>
      <c r="F12" s="350" t="str">
        <f xml:space="preserve"> _xlfn.CONCAT( IF(OR(F$3=4, F$3=8),
_xlfn.XLOOKUP(($B10*2), 韻母表[序號], 韻母表[台羅拼音]),
_xlfn.XLOOKUP($B10, 韻母表[韻序], 韻母表[台羅拼音])
), F$3)</f>
        <v>ip4</v>
      </c>
      <c r="G12" s="350" t="str">
        <f xml:space="preserve"> _xlfn.CONCAT( IF(OR(G$3=4, G$3=8),
_xlfn.XLOOKUP(($B10*2), 韻母表[序號], 韻母表[台羅拼音]),
_xlfn.XLOOKUP($B10, 韻母表[韻序], 韻母表[台羅拼音])
), G$3)</f>
        <v>im5</v>
      </c>
      <c r="H12" s="350" t="str">
        <f xml:space="preserve"> _xlfn.CONCAT( IF(OR(H$3=4, H$3=8),
_xlfn.XLOOKUP(($B10*2), 韻母表[序號], 韻母表[台羅拼音]),
_xlfn.XLOOKUP($B10, 韻母表[韻序], 韻母表[台羅拼音])
), H$3)</f>
        <v>im6</v>
      </c>
      <c r="I12" s="350" t="str">
        <f xml:space="preserve"> _xlfn.CONCAT( IF(OR(I$3=4, I$3=8),
_xlfn.XLOOKUP(($B10*2), 韻母表[序號], 韻母表[台羅拼音]),
_xlfn.XLOOKUP($B10, 韻母表[韻序], 韻母表[台羅拼音])
), I$3)</f>
        <v>im7</v>
      </c>
      <c r="J12" s="350" t="str">
        <f xml:space="preserve"> _xlfn.CONCAT( IF(OR(J$3=4, J$3=8),
_xlfn.XLOOKUP(($B10*2), 韻母表[序號], 韻母表[台羅拼音]),
_xlfn.XLOOKUP($B10, 韻母表[韻序], 韻母表[台羅拼音])
), J$3)</f>
        <v>ip8</v>
      </c>
    </row>
    <row r="13" spans="2:10" ht="20.25">
      <c r="B13" s="490">
        <v>4</v>
      </c>
      <c r="C13" s="353" t="str">
        <f xml:space="preserve"> _xlfn.CONCAT( IF(OR(C$3=4, C$3=8),
_xlfn.XLOOKUP(($B13*2), 韻母表[序號], 韻母表[方音符號]),
_xlfn.XLOOKUP($B13, 韻母表[韻序], 韻母表[方音符號])
), _xlfn.XLOOKUP(C$3, 聲調符號表[調號], 聲調符號表[調符]))</f>
        <v>ㄨㄧ</v>
      </c>
      <c r="D13" s="353" t="str">
        <f xml:space="preserve"> _xlfn.CONCAT( IF(OR(D$3=4, D$3=8),
_xlfn.XLOOKUP(($B13*2), 韻母表[序號], 韻母表[方音符號]),
_xlfn.XLOOKUP($B13, 韻母表[韻序], 韻母表[方音符號])
), _xlfn.XLOOKUP(D$3, 聲調符號表[調號], 聲調符號表[調符]))</f>
        <v>ㄨㄧˋ</v>
      </c>
      <c r="E13" s="353" t="str">
        <f xml:space="preserve"> _xlfn.CONCAT( IF(OR(E$3=4, E$3=8),
_xlfn.XLOOKUP(($B13*2), 韻母表[序號], 韻母表[方音符號]),
_xlfn.XLOOKUP($B13, 韻母表[韻序], 韻母表[方音符號])
), _xlfn.XLOOKUP(E$3, 聲調符號表[調號], 聲調符號表[調符]))</f>
        <v>ㄨㄧ˪</v>
      </c>
      <c r="F13" s="353" t="str">
        <f xml:space="preserve"> _xlfn.CONCAT( IF(OR(F$3=4, F$3=8),
_xlfn.XLOOKUP(($B13*2), 韻母表[序號], 韻母表[方音符號]),
_xlfn.XLOOKUP($B13, 韻母表[韻序], 韻母表[方音符號])
), _xlfn.XLOOKUP(F$3, 聲調符號表[調號], 聲調符號表[調符]))</f>
        <v>ㄨㄧㆷ</v>
      </c>
      <c r="G13" s="353" t="str">
        <f xml:space="preserve"> _xlfn.CONCAT( IF(OR(G$3=4, G$3=8),
_xlfn.XLOOKUP(($B13*2), 韻母表[序號], 韻母表[方音符號]),
_xlfn.XLOOKUP($B13, 韻母表[韻序], 韻母表[方音符號])
), _xlfn.XLOOKUP(G$3, 聲調符號表[調號], 聲調符號表[調符]))</f>
        <v>ㄨㄧˊ</v>
      </c>
      <c r="H13" s="353" t="str">
        <f xml:space="preserve"> _xlfn.CONCAT( IF(OR(H$3=4, H$3=8),
_xlfn.XLOOKUP(($B13*2), 韻母表[序號], 韻母表[方音符號]),
_xlfn.XLOOKUP($B13, 韻母表[韻序], 韻母表[方音符號])
), _xlfn.XLOOKUP(H$3, 聲調符號表[調號], 聲調符號表[調符]))</f>
        <v>ㄨㄧˋ</v>
      </c>
      <c r="I13" s="353" t="str">
        <f xml:space="preserve"> _xlfn.CONCAT( IF(OR(I$3=4, I$3=8),
_xlfn.XLOOKUP(($B13*2), 韻母表[序號], 韻母表[方音符號]),
_xlfn.XLOOKUP($B13, 韻母表[韻序], 韻母表[方音符號])
), _xlfn.XLOOKUP(I$3, 聲調符號表[調號], 聲調符號表[調符]))</f>
        <v>ㄨㄧ˫</v>
      </c>
      <c r="J13" s="353" t="str">
        <f xml:space="preserve"> _xlfn.CONCAT( IF(OR(J$3=4, J$3=8),
_xlfn.XLOOKUP(($B13*2), 韻母表[序號], 韻母表[方音符號]),
_xlfn.XLOOKUP($B13, 韻母表[韻序], 韻母表[方音符號])
), _xlfn.XLOOKUP(J$3, 聲調符號表[調號], 聲調符號表[調符]))</f>
        <v>ㄨㄧㆷ˙</v>
      </c>
    </row>
    <row r="14" spans="2:10">
      <c r="B14" s="491">
        <v>3.7</v>
      </c>
      <c r="C14" s="349" t="str" cm="1">
        <f t="array" ref="C14" xml:space="preserve"> INDEX(字母八音反切!$C$4:$J$53, $B13, C$3)</f>
        <v>規</v>
      </c>
      <c r="D14" s="349" t="str" cm="1">
        <f t="array" ref="D14" xml:space="preserve"> INDEX(字母八音反切!$C$4:$J$53, $B13, D$3)</f>
        <v>鬼</v>
      </c>
      <c r="E14" s="349" t="str" cm="1">
        <f t="array" ref="E14" xml:space="preserve"> INDEX(字母八音反切!$C$4:$J$53, $B13, E$3)</f>
        <v>季</v>
      </c>
      <c r="F14" s="352" t="str" cm="1">
        <f t="array" ref="F14" xml:space="preserve"> INDEX(字母八音反切!$C$4:$J$53, $B13, F$3)</f>
        <v>○</v>
      </c>
      <c r="G14" s="349" t="str" cm="1">
        <f t="array" ref="G14" xml:space="preserve"> INDEX(字母八音反切!$C$4:$J$53, $B13, G$3)</f>
        <v>葵</v>
      </c>
      <c r="H14" s="349" t="str" cm="1">
        <f t="array" ref="H14" xml:space="preserve"> INDEX(字母八音反切!$C$4:$J$53, $B13, H$3)</f>
        <v>鬼</v>
      </c>
      <c r="I14" s="349" t="str" cm="1">
        <f t="array" ref="I14" xml:space="preserve"> INDEX(字母八音反切!$C$4:$J$53, $B13, I$3)</f>
        <v>櫃</v>
      </c>
      <c r="J14" s="352" t="str" cm="1">
        <f t="array" ref="J14" xml:space="preserve"> INDEX(字母八音反切!$C$4:$J$53, $B13, J$3)</f>
        <v>○</v>
      </c>
    </row>
    <row r="15" spans="2:10" ht="23.25">
      <c r="B15" s="492">
        <v>4</v>
      </c>
      <c r="C15" s="350" t="str">
        <f xml:space="preserve"> _xlfn.CONCAT( IF(OR(C$3=4, C$3=8),
_xlfn.XLOOKUP(($B13*2), 韻母表[序號], 韻母表[台羅拼音]),
_xlfn.XLOOKUP($B13, 韻母表[韻序], 韻母表[台羅拼音])
), C$3)</f>
        <v>ui1</v>
      </c>
      <c r="D15" s="350" t="str">
        <f xml:space="preserve"> _xlfn.CONCAT( IF(OR(D$3=4, D$3=8),
_xlfn.XLOOKUP(($B13*2), 韻母表[序號], 韻母表[台羅拼音]),
_xlfn.XLOOKUP($B13, 韻母表[韻序], 韻母表[台羅拼音])
), D$3)</f>
        <v>ui2</v>
      </c>
      <c r="E15" s="350" t="str">
        <f xml:space="preserve"> _xlfn.CONCAT( IF(OR(E$3=4, E$3=8),
_xlfn.XLOOKUP(($B13*2), 韻母表[序號], 韻母表[台羅拼音]),
_xlfn.XLOOKUP($B13, 韻母表[韻序], 韻母表[台羅拼音])
), E$3)</f>
        <v>ui3</v>
      </c>
      <c r="F15" s="350" t="str">
        <f xml:space="preserve"> _xlfn.CONCAT( IF(OR(F$3=4, F$3=8),
_xlfn.XLOOKUP(($B13*2), 韻母表[序號], 韻母表[台羅拼音]),
_xlfn.XLOOKUP($B13, 韻母表[韻序], 韻母表[台羅拼音])
), F$3)</f>
        <v>ui4</v>
      </c>
      <c r="G15" s="350" t="str">
        <f xml:space="preserve"> _xlfn.CONCAT( IF(OR(G$3=4, G$3=8),
_xlfn.XLOOKUP(($B13*2), 韻母表[序號], 韻母表[台羅拼音]),
_xlfn.XLOOKUP($B13, 韻母表[韻序], 韻母表[台羅拼音])
), G$3)</f>
        <v>ui5</v>
      </c>
      <c r="H15" s="350" t="str">
        <f xml:space="preserve"> _xlfn.CONCAT( IF(OR(H$3=4, H$3=8),
_xlfn.XLOOKUP(($B13*2), 韻母表[序號], 韻母表[台羅拼音]),
_xlfn.XLOOKUP($B13, 韻母表[韻序], 韻母表[台羅拼音])
), H$3)</f>
        <v>ui6</v>
      </c>
      <c r="I15" s="350" t="str">
        <f xml:space="preserve"> _xlfn.CONCAT( IF(OR(I$3=4, I$3=8),
_xlfn.XLOOKUP(($B13*2), 韻母表[序號], 韻母表[台羅拼音]),
_xlfn.XLOOKUP($B13, 韻母表[韻序], 韻母表[台羅拼音])
), I$3)</f>
        <v>ui7</v>
      </c>
      <c r="J15" s="350" t="str">
        <f xml:space="preserve"> _xlfn.CONCAT( IF(OR(J$3=4, J$3=8),
_xlfn.XLOOKUP(($B13*2), 韻母表[序號], 韻母表[台羅拼音]),
_xlfn.XLOOKUP($B13, 韻母表[韻序], 韻母表[台羅拼音])
), J$3)</f>
        <v>ui8</v>
      </c>
    </row>
    <row r="16" spans="2:10" ht="20.25">
      <c r="B16" s="490">
        <f>B13+1</f>
        <v>5</v>
      </c>
      <c r="C16" s="353" t="str">
        <f xml:space="preserve"> _xlfn.CONCAT( IF(OR(C$3=4, C$3=8),
_xlfn.XLOOKUP(($B16*2), 韻母表[序號], 韻母表[方音符號]),
_xlfn.XLOOKUP($B16, 韻母表[韻序], 韻母表[方音符號])
), _xlfn.XLOOKUP(C$3, 聲調符號表[調號], 聲調符號表[調符]))</f>
        <v>ㄝ</v>
      </c>
      <c r="D16" s="353" t="str">
        <f xml:space="preserve"> _xlfn.CONCAT( IF(OR(D$3=4, D$3=8),
_xlfn.XLOOKUP(($B16*2), 韻母表[序號], 韻母表[方音符號]),
_xlfn.XLOOKUP($B16, 韻母表[韻序], 韻母表[方音符號])
), _xlfn.XLOOKUP(D$3, 聲調符號表[調號], 聲調符號表[調符]))</f>
        <v>ㄝˋ</v>
      </c>
      <c r="E16" s="353" t="str">
        <f xml:space="preserve"> _xlfn.CONCAT( IF(OR(E$3=4, E$3=8),
_xlfn.XLOOKUP(($B16*2), 韻母表[序號], 韻母表[方音符號]),
_xlfn.XLOOKUP($B16, 韻母表[韻序], 韻母表[方音符號])
), _xlfn.XLOOKUP(E$3, 聲調符號表[調號], 聲調符號表[調符]))</f>
        <v>ㄝ˪</v>
      </c>
      <c r="F16" s="353" t="str">
        <f xml:space="preserve"> _xlfn.CONCAT( IF(OR(F$3=4, F$3=8),
_xlfn.XLOOKUP(($B16*2), 韻母表[序號], 韻母表[方音符號]),
_xlfn.XLOOKUP($B16, 韻母表[韻序], 韻母表[方音符號])
), _xlfn.XLOOKUP(F$3, 聲調符號表[調號], 聲調符號表[調符]))</f>
        <v>ㄝㆷ</v>
      </c>
      <c r="G16" s="353" t="str">
        <f xml:space="preserve"> _xlfn.CONCAT( IF(OR(G$3=4, G$3=8),
_xlfn.XLOOKUP(($B16*2), 韻母表[序號], 韻母表[方音符號]),
_xlfn.XLOOKUP($B16, 韻母表[韻序], 韻母表[方音符號])
), _xlfn.XLOOKUP(G$3, 聲調符號表[調號], 聲調符號表[調符]))</f>
        <v>ㄝˊ</v>
      </c>
      <c r="H16" s="353" t="str">
        <f xml:space="preserve"> _xlfn.CONCAT( IF(OR(H$3=4, H$3=8),
_xlfn.XLOOKUP(($B16*2), 韻母表[序號], 韻母表[方音符號]),
_xlfn.XLOOKUP($B16, 韻母表[韻序], 韻母表[方音符號])
), _xlfn.XLOOKUP(H$3, 聲調符號表[調號], 聲調符號表[調符]))</f>
        <v>ㄝˋ</v>
      </c>
      <c r="I16" s="353" t="str">
        <f xml:space="preserve"> _xlfn.CONCAT( IF(OR(I$3=4, I$3=8),
_xlfn.XLOOKUP(($B16*2), 韻母表[序號], 韻母表[方音符號]),
_xlfn.XLOOKUP($B16, 韻母表[韻序], 韻母表[方音符號])
), _xlfn.XLOOKUP(I$3, 聲調符號表[調號], 聲調符號表[調符]))</f>
        <v>ㄝ˫</v>
      </c>
      <c r="J16" s="353" t="str">
        <f xml:space="preserve"> _xlfn.CONCAT( IF(OR(J$3=4, J$3=8),
_xlfn.XLOOKUP(($B16*2), 韻母表[序號], 韻母表[方音符號]),
_xlfn.XLOOKUP($B16, 韻母表[韻序], 韻母表[方音符號])
), _xlfn.XLOOKUP(J$3, 聲調符號表[調號], 聲調符號表[調符]))</f>
        <v>ㄝㆷ˙</v>
      </c>
    </row>
    <row r="17" spans="2:10">
      <c r="B17" s="491">
        <v>4.5999999999999996</v>
      </c>
      <c r="C17" s="349" t="str" cm="1">
        <f t="array" ref="C17" xml:space="preserve"> INDEX(字母八音反切!$C$4:$J$53, $B16, C$3)</f>
        <v>嘉</v>
      </c>
      <c r="D17" s="349" t="str" cm="1">
        <f t="array" ref="D17" xml:space="preserve"> INDEX(字母八音反切!$C$4:$J$53, $B16, D$3)</f>
        <v>賈</v>
      </c>
      <c r="E17" s="349" t="str" cm="1">
        <f t="array" ref="E17" xml:space="preserve"> INDEX(字母八音反切!$C$4:$J$53, $B16, E$3)</f>
        <v>嫁</v>
      </c>
      <c r="F17" s="352" t="str" cm="1">
        <f t="array" ref="F17" xml:space="preserve"> INDEX(字母八音反切!$C$4:$J$53, $B16, F$3)</f>
        <v>骼</v>
      </c>
      <c r="G17" s="349" t="str" cm="1">
        <f t="array" ref="G17" xml:space="preserve"> INDEX(字母八音反切!$C$4:$J$53, $B16, G$3)</f>
        <v>枷</v>
      </c>
      <c r="H17" s="349" t="str" cm="1">
        <f t="array" ref="H17" xml:space="preserve"> INDEX(字母八音反切!$C$4:$J$53, $B16, H$3)</f>
        <v>假</v>
      </c>
      <c r="I17" s="349" t="str" cm="1">
        <f t="array" ref="I17" xml:space="preserve"> INDEX(字母八音反切!$C$4:$J$53, $B16, I$3)</f>
        <v>下</v>
      </c>
      <c r="J17" s="352" t="str" cm="1">
        <f t="array" ref="J17" xml:space="preserve"> INDEX(字母八音反切!$C$4:$J$53, $B16, J$3)</f>
        <v>逆</v>
      </c>
    </row>
    <row r="18" spans="2:10" ht="23.25">
      <c r="B18" s="492"/>
      <c r="C18" s="350" t="str">
        <f xml:space="preserve"> _xlfn.CONCAT( IF(OR(C$3=4, C$3=8),
_xlfn.XLOOKUP(($B16*2), 韻母表[序號], 韻母表[台羅拼音]),
_xlfn.XLOOKUP($B16, 韻母表[韻序], 韻母表[台羅拼音])
), C$3)</f>
        <v>ee1</v>
      </c>
      <c r="D18" s="350" t="str">
        <f xml:space="preserve"> _xlfn.CONCAT( IF(OR(D$3=4, D$3=8),
_xlfn.XLOOKUP(($B16*2), 韻母表[序號], 韻母表[台羅拼音]),
_xlfn.XLOOKUP($B16, 韻母表[韻序], 韻母表[台羅拼音])
), D$3)</f>
        <v>ee2</v>
      </c>
      <c r="E18" s="350" t="str">
        <f xml:space="preserve"> _xlfn.CONCAT( IF(OR(E$3=4, E$3=8),
_xlfn.XLOOKUP(($B16*2), 韻母表[序號], 韻母表[台羅拼音]),
_xlfn.XLOOKUP($B16, 韻母表[韻序], 韻母表[台羅拼音])
), E$3)</f>
        <v>ee3</v>
      </c>
      <c r="F18" s="350" t="str">
        <f xml:space="preserve"> _xlfn.CONCAT( IF(OR(F$3=4, F$3=8),
_xlfn.XLOOKUP(($B16*2), 韻母表[序號], 韻母表[台羅拼音]),
_xlfn.XLOOKUP($B16, 韻母表[韻序], 韻母表[台羅拼音])
), F$3)</f>
        <v>eeh4</v>
      </c>
      <c r="G18" s="350" t="str">
        <f xml:space="preserve"> _xlfn.CONCAT( IF(OR(G$3=4, G$3=8),
_xlfn.XLOOKUP(($B16*2), 韻母表[序號], 韻母表[台羅拼音]),
_xlfn.XLOOKUP($B16, 韻母表[韻序], 韻母表[台羅拼音])
), G$3)</f>
        <v>ee5</v>
      </c>
      <c r="H18" s="350" t="str">
        <f xml:space="preserve"> _xlfn.CONCAT( IF(OR(H$3=4, H$3=8),
_xlfn.XLOOKUP(($B16*2), 韻母表[序號], 韻母表[台羅拼音]),
_xlfn.XLOOKUP($B16, 韻母表[韻序], 韻母表[台羅拼音])
), H$3)</f>
        <v>ee6</v>
      </c>
      <c r="I18" s="350" t="str">
        <f xml:space="preserve"> _xlfn.CONCAT( IF(OR(I$3=4, I$3=8),
_xlfn.XLOOKUP(($B16*2), 韻母表[序號], 韻母表[台羅拼音]),
_xlfn.XLOOKUP($B16, 韻母表[韻序], 韻母表[台羅拼音])
), I$3)</f>
        <v>ee7</v>
      </c>
      <c r="J18" s="350" t="str">
        <f xml:space="preserve"> _xlfn.CONCAT( IF(OR(J$3=4, J$3=8),
_xlfn.XLOOKUP(($B16*2), 韻母表[序號], 韻母表[台羅拼音]),
_xlfn.XLOOKUP($B16, 韻母表[韻序], 韻母表[台羅拼音])
), J$3)</f>
        <v>eeh8</v>
      </c>
    </row>
    <row r="19" spans="2:10" ht="20.25">
      <c r="B19" s="490">
        <f t="shared" ref="B19" si="0">B16+1</f>
        <v>6</v>
      </c>
      <c r="C19" s="353" t="str">
        <f xml:space="preserve"> _xlfn.CONCAT( IF(OR(C$3=4, C$3=8),
_xlfn.XLOOKUP(($B19*2), 韻母表[序號], 韻母表[方音符號]),
_xlfn.XLOOKUP($B19, 韻母表[韻序], 韻母表[方音符號])
), _xlfn.XLOOKUP(C$3, 聲調符號表[調號], 聲調符號表[調符]))</f>
        <v>ㄢ</v>
      </c>
      <c r="D19" s="353" t="str">
        <f xml:space="preserve"> _xlfn.CONCAT( IF(OR(D$3=4, D$3=8),
_xlfn.XLOOKUP(($B19*2), 韻母表[序號], 韻母表[方音符號]),
_xlfn.XLOOKUP($B19, 韻母表[韻序], 韻母表[方音符號])
), _xlfn.XLOOKUP(D$3, 聲調符號表[調號], 聲調符號表[調符]))</f>
        <v>ㄢˋ</v>
      </c>
      <c r="E19" s="353" t="str">
        <f xml:space="preserve"> _xlfn.CONCAT( IF(OR(E$3=4, E$3=8),
_xlfn.XLOOKUP(($B19*2), 韻母表[序號], 韻母表[方音符號]),
_xlfn.XLOOKUP($B19, 韻母表[韻序], 韻母表[方音符號])
), _xlfn.XLOOKUP(E$3, 聲調符號表[調號], 聲調符號表[調符]))</f>
        <v>ㄢ˪</v>
      </c>
      <c r="F19" s="353" t="str">
        <f xml:space="preserve"> _xlfn.CONCAT( IF(OR(F$3=4, F$3=8),
_xlfn.XLOOKUP(($B19*2), 韻母表[序號], 韻母表[方音符號]),
_xlfn.XLOOKUP($B19, 韻母表[韻序], 韻母表[方音符號])
), _xlfn.XLOOKUP(F$3, 聲調符號表[調號], 聲調符號表[調符]))</f>
        <v>ㄚㆵ</v>
      </c>
      <c r="G19" s="353" t="str">
        <f xml:space="preserve"> _xlfn.CONCAT( IF(OR(G$3=4, G$3=8),
_xlfn.XLOOKUP(($B19*2), 韻母表[序號], 韻母表[方音符號]),
_xlfn.XLOOKUP($B19, 韻母表[韻序], 韻母表[方音符號])
), _xlfn.XLOOKUP(G$3, 聲調符號表[調號], 聲調符號表[調符]))</f>
        <v>ㄢˊ</v>
      </c>
      <c r="H19" s="353" t="str">
        <f xml:space="preserve"> _xlfn.CONCAT( IF(OR(H$3=4, H$3=8),
_xlfn.XLOOKUP(($B19*2), 韻母表[序號], 韻母表[方音符號]),
_xlfn.XLOOKUP($B19, 韻母表[韻序], 韻母表[方音符號])
), _xlfn.XLOOKUP(H$3, 聲調符號表[調號], 聲調符號表[調符]))</f>
        <v>ㄢˋ</v>
      </c>
      <c r="I19" s="353" t="str">
        <f xml:space="preserve"> _xlfn.CONCAT( IF(OR(I$3=4, I$3=8),
_xlfn.XLOOKUP(($B19*2), 韻母表[序號], 韻母表[方音符號]),
_xlfn.XLOOKUP($B19, 韻母表[韻序], 韻母表[方音符號])
), _xlfn.XLOOKUP(I$3, 聲調符號表[調號], 聲調符號表[調符]))</f>
        <v>ㄢ˫</v>
      </c>
      <c r="J19" s="353" t="str">
        <f xml:space="preserve"> _xlfn.CONCAT( IF(OR(J$3=4, J$3=8),
_xlfn.XLOOKUP(($B19*2), 韻母表[序號], 韻母表[方音符號]),
_xlfn.XLOOKUP($B19, 韻母表[韻序], 韻母表[方音符號])
), _xlfn.XLOOKUP(J$3, 聲調符號表[調號], 聲調符號表[調符]))</f>
        <v>ㄚㆵ˙</v>
      </c>
    </row>
    <row r="20" spans="2:10">
      <c r="B20" s="491">
        <v>4.5999999999999996</v>
      </c>
      <c r="C20" s="349" t="str" cm="1">
        <f t="array" ref="C20" xml:space="preserve"> INDEX(字母八音反切!$C$4:$J$53, $B19, C$3)</f>
        <v>干</v>
      </c>
      <c r="D20" s="349" t="str" cm="1">
        <f t="array" ref="D20" xml:space="preserve"> INDEX(字母八音反切!$C$4:$J$53, $B19, D$3)</f>
        <v>柬</v>
      </c>
      <c r="E20" s="349" t="str" cm="1">
        <f t="array" ref="E20" xml:space="preserve"> INDEX(字母八音反切!$C$4:$J$53, $B19, E$3)</f>
        <v>澗</v>
      </c>
      <c r="F20" s="352" t="str" cm="1">
        <f t="array" ref="F20" xml:space="preserve"> INDEX(字母八音反切!$C$4:$J$53, $B19, F$3)</f>
        <v>葛</v>
      </c>
      <c r="G20" s="349" t="str" cm="1">
        <f t="array" ref="G20" xml:space="preserve"> INDEX(字母八音反切!$C$4:$J$53, $B19, G$3)</f>
        <v>○</v>
      </c>
      <c r="H20" s="349" t="str" cm="1">
        <f t="array" ref="H20" xml:space="preserve"> INDEX(字母八音反切!$C$4:$J$53, $B19, H$3)</f>
        <v>柬</v>
      </c>
      <c r="I20" s="349" t="str" cm="1">
        <f t="array" ref="I20" xml:space="preserve"> INDEX(字母八音反切!$C$4:$J$53, $B19, I$3)</f>
        <v>○</v>
      </c>
      <c r="J20" s="352" t="str" cm="1">
        <f t="array" ref="J20" xml:space="preserve"> INDEX(字母八音反切!$C$4:$J$53, $B19, J$3)</f>
        <v>○</v>
      </c>
    </row>
    <row r="21" spans="2:10" ht="23.25">
      <c r="B21" s="492"/>
      <c r="C21" s="350" t="str">
        <f xml:space="preserve"> _xlfn.CONCAT( IF(OR(C$3=4, C$3=8),
_xlfn.XLOOKUP(($B19*2), 韻母表[序號], 韻母表[台羅拼音]),
_xlfn.XLOOKUP($B19, 韻母表[韻序], 韻母表[台羅拼音])
), C$3)</f>
        <v>an1</v>
      </c>
      <c r="D21" s="350" t="str">
        <f xml:space="preserve"> _xlfn.CONCAT( IF(OR(D$3=4, D$3=8),
_xlfn.XLOOKUP(($B19*2), 韻母表[序號], 韻母表[台羅拼音]),
_xlfn.XLOOKUP($B19, 韻母表[韻序], 韻母表[台羅拼音])
), D$3)</f>
        <v>an2</v>
      </c>
      <c r="E21" s="350" t="str">
        <f xml:space="preserve"> _xlfn.CONCAT( IF(OR(E$3=4, E$3=8),
_xlfn.XLOOKUP(($B19*2), 韻母表[序號], 韻母表[台羅拼音]),
_xlfn.XLOOKUP($B19, 韻母表[韻序], 韻母表[台羅拼音])
), E$3)</f>
        <v>an3</v>
      </c>
      <c r="F21" s="350" t="str">
        <f xml:space="preserve"> _xlfn.CONCAT( IF(OR(F$3=4, F$3=8),
_xlfn.XLOOKUP(($B19*2), 韻母表[序號], 韻母表[台羅拼音]),
_xlfn.XLOOKUP($B19, 韻母表[韻序], 韻母表[台羅拼音])
), F$3)</f>
        <v>at4</v>
      </c>
      <c r="G21" s="350" t="str">
        <f xml:space="preserve"> _xlfn.CONCAT( IF(OR(G$3=4, G$3=8),
_xlfn.XLOOKUP(($B19*2), 韻母表[序號], 韻母表[台羅拼音]),
_xlfn.XLOOKUP($B19, 韻母表[韻序], 韻母表[台羅拼音])
), G$3)</f>
        <v>an5</v>
      </c>
      <c r="H21" s="350" t="str">
        <f xml:space="preserve"> _xlfn.CONCAT( IF(OR(H$3=4, H$3=8),
_xlfn.XLOOKUP(($B19*2), 韻母表[序號], 韻母表[台羅拼音]),
_xlfn.XLOOKUP($B19, 韻母表[韻序], 韻母表[台羅拼音])
), H$3)</f>
        <v>an6</v>
      </c>
      <c r="I21" s="350" t="str">
        <f xml:space="preserve"> _xlfn.CONCAT( IF(OR(I$3=4, I$3=8),
_xlfn.XLOOKUP(($B19*2), 韻母表[序號], 韻母表[台羅拼音]),
_xlfn.XLOOKUP($B19, 韻母表[韻序], 韻母表[台羅拼音])
), I$3)</f>
        <v>an7</v>
      </c>
      <c r="J21" s="350" t="str">
        <f xml:space="preserve"> _xlfn.CONCAT( IF(OR(J$3=4, J$3=8),
_xlfn.XLOOKUP(($B19*2), 韻母表[序號], 韻母表[台羅拼音]),
_xlfn.XLOOKUP($B19, 韻母表[韻序], 韻母表[台羅拼音])
), J$3)</f>
        <v>at8</v>
      </c>
    </row>
    <row r="22" spans="2:10" ht="20.25">
      <c r="B22" s="490">
        <f t="shared" ref="B22" si="1">B19+1</f>
        <v>7</v>
      </c>
      <c r="C22" s="353" t="str">
        <f xml:space="preserve"> _xlfn.CONCAT( IF(OR(C$3=4, C$3=8),
_xlfn.XLOOKUP(($B22*2), 韻母表[序號], 韻母表[方音符號]),
_xlfn.XLOOKUP($B22, 韻母表[韻序], 韻母表[方音符號])
), _xlfn.XLOOKUP(C$3, 聲調符號表[調號], 聲調符號表[調符]))</f>
        <v>ㆲ</v>
      </c>
      <c r="D22" s="353" t="str">
        <f xml:space="preserve"> _xlfn.CONCAT( IF(OR(D$3=4, D$3=8),
_xlfn.XLOOKUP(($B22*2), 韻母表[序號], 韻母表[方音符號]),
_xlfn.XLOOKUP($B22, 韻母表[韻序], 韻母表[方音符號])
), _xlfn.XLOOKUP(D$3, 聲調符號表[調號], 聲調符號表[調符]))</f>
        <v>ㆲˋ</v>
      </c>
      <c r="E22" s="353" t="str">
        <f xml:space="preserve"> _xlfn.CONCAT( IF(OR(E$3=4, E$3=8),
_xlfn.XLOOKUP(($B22*2), 韻母表[序號], 韻母表[方音符號]),
_xlfn.XLOOKUP($B22, 韻母表[韻序], 韻母表[方音符號])
), _xlfn.XLOOKUP(E$3, 聲調符號表[調號], 聲調符號表[調符]))</f>
        <v>ㆲ˪</v>
      </c>
      <c r="F22" s="353" t="str">
        <f xml:space="preserve"> _xlfn.CONCAT( IF(OR(F$3=4, F$3=8),
_xlfn.XLOOKUP(($B22*2), 韻母表[序號], 韻母表[方音符號]),
_xlfn.XLOOKUP($B22, 韻母表[韻序], 韻母表[方音符號])
), _xlfn.XLOOKUP(F$3, 聲調符號表[調號], 聲調符號表[調符]))</f>
        <v>ㆦㆻ</v>
      </c>
      <c r="G22" s="353" t="str">
        <f xml:space="preserve"> _xlfn.CONCAT( IF(OR(G$3=4, G$3=8),
_xlfn.XLOOKUP(($B22*2), 韻母表[序號], 韻母表[方音符號]),
_xlfn.XLOOKUP($B22, 韻母表[韻序], 韻母表[方音符號])
), _xlfn.XLOOKUP(G$3, 聲調符號表[調號], 聲調符號表[調符]))</f>
        <v>ㆲˊ</v>
      </c>
      <c r="H22" s="353" t="str">
        <f xml:space="preserve"> _xlfn.CONCAT( IF(OR(H$3=4, H$3=8),
_xlfn.XLOOKUP(($B22*2), 韻母表[序號], 韻母表[方音符號]),
_xlfn.XLOOKUP($B22, 韻母表[韻序], 韻母表[方音符號])
), _xlfn.XLOOKUP(H$3, 聲調符號表[調號], 聲調符號表[調符]))</f>
        <v>ㆲˋ</v>
      </c>
      <c r="I22" s="353" t="str">
        <f xml:space="preserve"> _xlfn.CONCAT( IF(OR(I$3=4, I$3=8),
_xlfn.XLOOKUP(($B22*2), 韻母表[序號], 韻母表[方音符號]),
_xlfn.XLOOKUP($B22, 韻母表[韻序], 韻母表[方音符號])
), _xlfn.XLOOKUP(I$3, 聲調符號表[調號], 聲調符號表[調符]))</f>
        <v>ㆲ˫</v>
      </c>
      <c r="J22" s="353" t="str">
        <f xml:space="preserve"> _xlfn.CONCAT( IF(OR(J$3=4, J$3=8),
_xlfn.XLOOKUP(($B22*2), 韻母表[序號], 韻母表[方音符號]),
_xlfn.XLOOKUP($B22, 韻母表[韻序], 韻母表[方音符號])
), _xlfn.XLOOKUP(J$3, 聲調符號表[調號], 聲調符號表[調符]))</f>
        <v>ㆦㆻ˙</v>
      </c>
    </row>
    <row r="23" spans="2:10">
      <c r="B23" s="491">
        <v>4.5999999999999996</v>
      </c>
      <c r="C23" s="349" t="str" cm="1">
        <f t="array" ref="C23" xml:space="preserve"> INDEX(字母八音反切!$C$4:$J$53, $B22, C$3)</f>
        <v>公</v>
      </c>
      <c r="D23" s="349" t="str" cm="1">
        <f t="array" ref="D23" xml:space="preserve"> INDEX(字母八音反切!$C$4:$J$53, $B22, D$3)</f>
        <v>廣</v>
      </c>
      <c r="E23" s="349" t="str" cm="1">
        <f t="array" ref="E23" xml:space="preserve"> INDEX(字母八音反切!$C$4:$J$53, $B22, E$3)</f>
        <v>貢</v>
      </c>
      <c r="F23" s="352" t="str" cm="1">
        <f t="array" ref="F23" xml:space="preserve"> INDEX(字母八音反切!$C$4:$J$53, $B22, F$3)</f>
        <v>國</v>
      </c>
      <c r="G23" s="349" t="str" cm="1">
        <f t="array" ref="G23" xml:space="preserve"> INDEX(字母八音反切!$C$4:$J$53, $B22, G$3)</f>
        <v>狂</v>
      </c>
      <c r="H23" s="349" t="str" cm="1">
        <f t="array" ref="H23" xml:space="preserve"> INDEX(字母八音反切!$C$4:$J$53, $B22, H$3)</f>
        <v>廣</v>
      </c>
      <c r="I23" s="349" t="str" cm="1">
        <f t="array" ref="I23" xml:space="preserve"> INDEX(字母八音反切!$C$4:$J$53, $B22, I$3)</f>
        <v>狂</v>
      </c>
      <c r="J23" s="352" t="str" cm="1">
        <f t="array" ref="J23" xml:space="preserve"> INDEX(字母八音反切!$C$4:$J$53, $B22, J$3)</f>
        <v>咯</v>
      </c>
    </row>
    <row r="24" spans="2:10" ht="23.25">
      <c r="B24" s="492"/>
      <c r="C24" s="350" t="str">
        <f xml:space="preserve"> _xlfn.CONCAT( IF(OR(C$3=4, C$3=8),
_xlfn.XLOOKUP(($B22*2), 韻母表[序號], 韻母表[台羅拼音]),
_xlfn.XLOOKUP($B22, 韻母表[韻序], 韻母表[台羅拼音])
), C$3)</f>
        <v>ong1</v>
      </c>
      <c r="D24" s="350" t="str">
        <f xml:space="preserve"> _xlfn.CONCAT( IF(OR(D$3=4, D$3=8),
_xlfn.XLOOKUP(($B22*2), 韻母表[序號], 韻母表[台羅拼音]),
_xlfn.XLOOKUP($B22, 韻母表[韻序], 韻母表[台羅拼音])
), D$3)</f>
        <v>ong2</v>
      </c>
      <c r="E24" s="350" t="str">
        <f xml:space="preserve"> _xlfn.CONCAT( IF(OR(E$3=4, E$3=8),
_xlfn.XLOOKUP(($B22*2), 韻母表[序號], 韻母表[台羅拼音]),
_xlfn.XLOOKUP($B22, 韻母表[韻序], 韻母表[台羅拼音])
), E$3)</f>
        <v>ong3</v>
      </c>
      <c r="F24" s="350" t="str">
        <f xml:space="preserve"> _xlfn.CONCAT( IF(OR(F$3=4, F$3=8),
_xlfn.XLOOKUP(($B22*2), 韻母表[序號], 韻母表[台羅拼音]),
_xlfn.XLOOKUP($B22, 韻母表[韻序], 韻母表[台羅拼音])
), F$3)</f>
        <v>ok4</v>
      </c>
      <c r="G24" s="350" t="str">
        <f xml:space="preserve"> _xlfn.CONCAT( IF(OR(G$3=4, G$3=8),
_xlfn.XLOOKUP(($B22*2), 韻母表[序號], 韻母表[台羅拼音]),
_xlfn.XLOOKUP($B22, 韻母表[韻序], 韻母表[台羅拼音])
), G$3)</f>
        <v>ong5</v>
      </c>
      <c r="H24" s="350" t="str">
        <f xml:space="preserve"> _xlfn.CONCAT( IF(OR(H$3=4, H$3=8),
_xlfn.XLOOKUP(($B22*2), 韻母表[序號], 韻母表[台羅拼音]),
_xlfn.XLOOKUP($B22, 韻母表[韻序], 韻母表[台羅拼音])
), H$3)</f>
        <v>ong6</v>
      </c>
      <c r="I24" s="350" t="str">
        <f xml:space="preserve"> _xlfn.CONCAT( IF(OR(I$3=4, I$3=8),
_xlfn.XLOOKUP(($B22*2), 韻母表[序號], 韻母表[台羅拼音]),
_xlfn.XLOOKUP($B22, 韻母表[韻序], 韻母表[台羅拼音])
), I$3)</f>
        <v>ong7</v>
      </c>
      <c r="J24" s="350" t="str">
        <f xml:space="preserve"> _xlfn.CONCAT( IF(OR(J$3=4, J$3=8),
_xlfn.XLOOKUP(($B22*2), 韻母表[序號], 韻母表[台羅拼音]),
_xlfn.XLOOKUP($B22, 韻母表[韻序], 韻母表[台羅拼音])
), J$3)</f>
        <v>ok8</v>
      </c>
    </row>
    <row r="25" spans="2:10" ht="20.25">
      <c r="B25" s="490">
        <f t="shared" ref="B25" si="2">B22+1</f>
        <v>8</v>
      </c>
      <c r="C25" s="353" t="str">
        <f xml:space="preserve"> _xlfn.CONCAT( IF(OR(C$3=4, C$3=8),
_xlfn.XLOOKUP(($B25*2), 韻母表[序號], 韻母表[方音符號]),
_xlfn.XLOOKUP($B25, 韻母表[韻序], 韻母表[方音符號])
), _xlfn.XLOOKUP(C$3, 聲調符號表[調號], 聲調符號表[調符]))</f>
        <v>ㄨㄞ</v>
      </c>
      <c r="D25" s="353" t="str">
        <f xml:space="preserve"> _xlfn.CONCAT( IF(OR(D$3=4, D$3=8),
_xlfn.XLOOKUP(($B25*2), 韻母表[序號], 韻母表[方音符號]),
_xlfn.XLOOKUP($B25, 韻母表[韻序], 韻母表[方音符號])
), _xlfn.XLOOKUP(D$3, 聲調符號表[調號], 聲調符號表[調符]))</f>
        <v>ㄨㄞˋ</v>
      </c>
      <c r="E25" s="353" t="str">
        <f xml:space="preserve"> _xlfn.CONCAT( IF(OR(E$3=4, E$3=8),
_xlfn.XLOOKUP(($B25*2), 韻母表[序號], 韻母表[方音符號]),
_xlfn.XLOOKUP($B25, 韻母表[韻序], 韻母表[方音符號])
), _xlfn.XLOOKUP(E$3, 聲調符號表[調號], 聲調符號表[調符]))</f>
        <v>ㄨㄞ˪</v>
      </c>
      <c r="F25" s="353" t="str">
        <f xml:space="preserve"> _xlfn.CONCAT( IF(OR(F$3=4, F$3=8),
_xlfn.XLOOKUP(($B25*2), 韻母表[序號], 韻母表[方音符號]),
_xlfn.XLOOKUP($B25, 韻母表[韻序], 韻母表[方音符號])
), _xlfn.XLOOKUP(F$3, 聲調符號表[調號], 聲調符號表[調符]))</f>
        <v>ㄨㄞㆷ</v>
      </c>
      <c r="G25" s="353" t="str">
        <f xml:space="preserve"> _xlfn.CONCAT( IF(OR(G$3=4, G$3=8),
_xlfn.XLOOKUP(($B25*2), 韻母表[序號], 韻母表[方音符號]),
_xlfn.XLOOKUP($B25, 韻母表[韻序], 韻母表[方音符號])
), _xlfn.XLOOKUP(G$3, 聲調符號表[調號], 聲調符號表[調符]))</f>
        <v>ㄨㄞˊ</v>
      </c>
      <c r="H25" s="353" t="str">
        <f xml:space="preserve"> _xlfn.CONCAT( IF(OR(H$3=4, H$3=8),
_xlfn.XLOOKUP(($B25*2), 韻母表[序號], 韻母表[方音符號]),
_xlfn.XLOOKUP($B25, 韻母表[韻序], 韻母表[方音符號])
), _xlfn.XLOOKUP(H$3, 聲調符號表[調號], 聲調符號表[調符]))</f>
        <v>ㄨㄞˋ</v>
      </c>
      <c r="I25" s="353" t="str">
        <f xml:space="preserve"> _xlfn.CONCAT( IF(OR(I$3=4, I$3=8),
_xlfn.XLOOKUP(($B25*2), 韻母表[序號], 韻母表[方音符號]),
_xlfn.XLOOKUP($B25, 韻母表[韻序], 韻母表[方音符號])
), _xlfn.XLOOKUP(I$3, 聲調符號表[調號], 聲調符號表[調符]))</f>
        <v>ㄨㄞ˫</v>
      </c>
      <c r="J25" s="353" t="str">
        <f xml:space="preserve"> _xlfn.CONCAT( IF(OR(J$3=4, J$3=8),
_xlfn.XLOOKUP(($B25*2), 韻母表[序號], 韻母表[方音符號]),
_xlfn.XLOOKUP($B25, 韻母表[韻序], 韻母表[方音符號])
), _xlfn.XLOOKUP(J$3, 聲調符號表[調號], 聲調符號表[調符]))</f>
        <v>ㄨㄞㆷ˙</v>
      </c>
    </row>
    <row r="26" spans="2:10">
      <c r="B26" s="491">
        <v>4.5999999999999996</v>
      </c>
      <c r="C26" s="349" t="str" cm="1">
        <f t="array" ref="C26" xml:space="preserve"> INDEX(字母八音反切!$C$4:$J$53, $B25, C$3)</f>
        <v>乖</v>
      </c>
      <c r="D26" s="349" t="str" cm="1">
        <f t="array" ref="D26" xml:space="preserve"> INDEX(字母八音反切!$C$4:$J$53, $B25, D$3)</f>
        <v>拐</v>
      </c>
      <c r="E26" s="349" t="str" cm="1">
        <f t="array" ref="E26" xml:space="preserve"> INDEX(字母八音反切!$C$4:$J$53, $B25, E$3)</f>
        <v>怪</v>
      </c>
      <c r="F26" s="352" t="str" cm="1">
        <f t="array" ref="F26" xml:space="preserve"> INDEX(字母八音反切!$C$4:$J$53, $B25, F$3)</f>
        <v>○</v>
      </c>
      <c r="G26" s="349" t="str" cm="1">
        <f t="array" ref="G26" xml:space="preserve"> INDEX(字母八音反切!$C$4:$J$53, $B25, G$3)</f>
        <v>○</v>
      </c>
      <c r="H26" s="349" t="str" cm="1">
        <f t="array" ref="H26" xml:space="preserve"> INDEX(字母八音反切!$C$4:$J$53, $B25, H$3)</f>
        <v>拐</v>
      </c>
      <c r="I26" s="349" t="str" cm="1">
        <f t="array" ref="I26" xml:space="preserve"> INDEX(字母八音反切!$C$4:$J$53, $B25, I$3)</f>
        <v>○</v>
      </c>
      <c r="J26" s="352" t="str" cm="1">
        <f t="array" ref="J26" xml:space="preserve"> INDEX(字母八音反切!$C$4:$J$53, $B25, J$3)</f>
        <v>○</v>
      </c>
    </row>
    <row r="27" spans="2:10" ht="23.25">
      <c r="B27" s="492"/>
      <c r="C27" s="350" t="str">
        <f xml:space="preserve"> _xlfn.CONCAT( IF(OR(C$3=4, C$3=8),
_xlfn.XLOOKUP(($B25*2), 韻母表[序號], 韻母表[台羅拼音]),
_xlfn.XLOOKUP($B25, 韻母表[韻序], 韻母表[台羅拼音])
), C$3)</f>
        <v>uai1</v>
      </c>
      <c r="D27" s="350" t="str">
        <f xml:space="preserve"> _xlfn.CONCAT( IF(OR(D$3=4, D$3=8),
_xlfn.XLOOKUP(($B25*2), 韻母表[序號], 韻母表[台羅拼音]),
_xlfn.XLOOKUP($B25, 韻母表[韻序], 韻母表[台羅拼音])
), D$3)</f>
        <v>uai2</v>
      </c>
      <c r="E27" s="350" t="str">
        <f xml:space="preserve"> _xlfn.CONCAT( IF(OR(E$3=4, E$3=8),
_xlfn.XLOOKUP(($B25*2), 韻母表[序號], 韻母表[台羅拼音]),
_xlfn.XLOOKUP($B25, 韻母表[韻序], 韻母表[台羅拼音])
), E$3)</f>
        <v>uai3</v>
      </c>
      <c r="F27" s="350" t="str">
        <f xml:space="preserve"> _xlfn.CONCAT( IF(OR(F$3=4, F$3=8),
_xlfn.XLOOKUP(($B25*2), 韻母表[序號], 韻母表[台羅拼音]),
_xlfn.XLOOKUP($B25, 韻母表[韻序], 韻母表[台羅拼音])
), F$3)</f>
        <v>uaih4</v>
      </c>
      <c r="G27" s="350" t="str">
        <f xml:space="preserve"> _xlfn.CONCAT( IF(OR(G$3=4, G$3=8),
_xlfn.XLOOKUP(($B25*2), 韻母表[序號], 韻母表[台羅拼音]),
_xlfn.XLOOKUP($B25, 韻母表[韻序], 韻母表[台羅拼音])
), G$3)</f>
        <v>uai5</v>
      </c>
      <c r="H27" s="350" t="str">
        <f xml:space="preserve"> _xlfn.CONCAT( IF(OR(H$3=4, H$3=8),
_xlfn.XLOOKUP(($B25*2), 韻母表[序號], 韻母表[台羅拼音]),
_xlfn.XLOOKUP($B25, 韻母表[韻序], 韻母表[台羅拼音])
), H$3)</f>
        <v>uai6</v>
      </c>
      <c r="I27" s="350" t="str">
        <f xml:space="preserve"> _xlfn.CONCAT( IF(OR(I$3=4, I$3=8),
_xlfn.XLOOKUP(($B25*2), 韻母表[序號], 韻母表[台羅拼音]),
_xlfn.XLOOKUP($B25, 韻母表[韻序], 韻母表[台羅拼音])
), I$3)</f>
        <v>uai7</v>
      </c>
      <c r="J27" s="350" t="str">
        <f xml:space="preserve"> _xlfn.CONCAT( IF(OR(J$3=4, J$3=8),
_xlfn.XLOOKUP(($B25*2), 韻母表[序號], 韻母表[台羅拼音]),
_xlfn.XLOOKUP($B25, 韻母表[韻序], 韻母表[台羅拼音])
), J$3)</f>
        <v>uaih8</v>
      </c>
    </row>
    <row r="28" spans="2:10" ht="20.25">
      <c r="B28" s="490">
        <f t="shared" ref="B28" si="3">B25+1</f>
        <v>9</v>
      </c>
      <c r="C28" s="353" t="str">
        <f xml:space="preserve"> _xlfn.CONCAT( IF(OR(C$3=4, C$3=8),
_xlfn.XLOOKUP(($B28*2), 韻母表[序號], 韻母表[方音符號]),
_xlfn.XLOOKUP($B28, 韻母表[韻序], 韻母表[方音符號])
), _xlfn.XLOOKUP(C$3, 聲調符號表[調號], 聲調符號表[調符]))</f>
        <v>ㄧㄥ</v>
      </c>
      <c r="D28" s="353" t="str">
        <f xml:space="preserve"> _xlfn.CONCAT( IF(OR(D$3=4, D$3=8),
_xlfn.XLOOKUP(($B28*2), 韻母表[序號], 韻母表[方音符號]),
_xlfn.XLOOKUP($B28, 韻母表[韻序], 韻母表[方音符號])
), _xlfn.XLOOKUP(D$3, 聲調符號表[調號], 聲調符號表[調符]))</f>
        <v>ㄧㄥˋ</v>
      </c>
      <c r="E28" s="353" t="str">
        <f xml:space="preserve"> _xlfn.CONCAT( IF(OR(E$3=4, E$3=8),
_xlfn.XLOOKUP(($B28*2), 韻母表[序號], 韻母表[方音符號]),
_xlfn.XLOOKUP($B28, 韻母表[韻序], 韻母表[方音符號])
), _xlfn.XLOOKUP(E$3, 聲調符號表[調號], 聲調符號表[調符]))</f>
        <v>ㄧㄥ˪</v>
      </c>
      <c r="F28" s="353" t="str">
        <f xml:space="preserve"> _xlfn.CONCAT( IF(OR(F$3=4, F$3=8),
_xlfn.XLOOKUP(($B28*2), 韻母表[序號], 韻母表[方音符號]),
_xlfn.XLOOKUP($B28, 韻母表[韻序], 韻母表[方音符號])
), _xlfn.XLOOKUP(F$3, 聲調符號表[調號], 聲調符號表[調符]))</f>
        <v>ㄧㆻ</v>
      </c>
      <c r="G28" s="353" t="str">
        <f xml:space="preserve"> _xlfn.CONCAT( IF(OR(G$3=4, G$3=8),
_xlfn.XLOOKUP(($B28*2), 韻母表[序號], 韻母表[方音符號]),
_xlfn.XLOOKUP($B28, 韻母表[韻序], 韻母表[方音符號])
), _xlfn.XLOOKUP(G$3, 聲調符號表[調號], 聲調符號表[調符]))</f>
        <v>ㄧㄥˊ</v>
      </c>
      <c r="H28" s="353" t="str">
        <f xml:space="preserve"> _xlfn.CONCAT( IF(OR(H$3=4, H$3=8),
_xlfn.XLOOKUP(($B28*2), 韻母表[序號], 韻母表[方音符號]),
_xlfn.XLOOKUP($B28, 韻母表[韻序], 韻母表[方音符號])
), _xlfn.XLOOKUP(H$3, 聲調符號表[調號], 聲調符號表[調符]))</f>
        <v>ㄧㄥˋ</v>
      </c>
      <c r="I28" s="353" t="str">
        <f xml:space="preserve"> _xlfn.CONCAT( IF(OR(I$3=4, I$3=8),
_xlfn.XLOOKUP(($B28*2), 韻母表[序號], 韻母表[方音符號]),
_xlfn.XLOOKUP($B28, 韻母表[韻序], 韻母表[方音符號])
), _xlfn.XLOOKUP(I$3, 聲調符號表[調號], 聲調符號表[調符]))</f>
        <v>ㄧㄥ˫</v>
      </c>
      <c r="J28" s="353" t="str">
        <f xml:space="preserve"> _xlfn.CONCAT( IF(OR(J$3=4, J$3=8),
_xlfn.XLOOKUP(($B28*2), 韻母表[序號], 韻母表[方音符號]),
_xlfn.XLOOKUP($B28, 韻母表[韻序], 韻母表[方音符號])
), _xlfn.XLOOKUP(J$3, 聲調符號表[調號], 聲調符號表[調符]))</f>
        <v>ㄧㆻ˙</v>
      </c>
    </row>
    <row r="29" spans="2:10">
      <c r="B29" s="491">
        <v>4.5999999999999996</v>
      </c>
      <c r="C29" s="349" t="str" cm="1">
        <f t="array" ref="C29" xml:space="preserve"> INDEX(字母八音反切!$C$4:$J$53, $B28, C$3)</f>
        <v>經</v>
      </c>
      <c r="D29" s="349" t="str" cm="1">
        <f t="array" ref="D29" xml:space="preserve"> INDEX(字母八音反切!$C$4:$J$53, $B28, D$3)</f>
        <v>景</v>
      </c>
      <c r="E29" s="349" t="str" cm="1">
        <f t="array" ref="E29" xml:space="preserve"> INDEX(字母八音反切!$C$4:$J$53, $B28, E$3)</f>
        <v>敬</v>
      </c>
      <c r="F29" s="352" t="str" cm="1">
        <f t="array" ref="F29" xml:space="preserve"> INDEX(字母八音反切!$C$4:$J$53, $B28, F$3)</f>
        <v>格</v>
      </c>
      <c r="G29" s="349" t="str" cm="1">
        <f t="array" ref="G29" xml:space="preserve"> INDEX(字母八音反切!$C$4:$J$53, $B28, G$3)</f>
        <v>煢</v>
      </c>
      <c r="H29" s="349" t="str" cm="1">
        <f t="array" ref="H29" xml:space="preserve"> INDEX(字母八音反切!$C$4:$J$53, $B28, H$3)</f>
        <v>景</v>
      </c>
      <c r="I29" s="349" t="str" cm="1">
        <f t="array" ref="I29" xml:space="preserve"> INDEX(字母八音反切!$C$4:$J$53, $B28, I$3)</f>
        <v>勁</v>
      </c>
      <c r="J29" s="352" t="str" cm="1">
        <f t="array" ref="J29" xml:space="preserve"> INDEX(字母八音反切!$C$4:$J$53, $B28, J$3)</f>
        <v>極</v>
      </c>
    </row>
    <row r="30" spans="2:10" ht="23.25">
      <c r="B30" s="492"/>
      <c r="C30" s="350" t="str">
        <f xml:space="preserve"> _xlfn.CONCAT( IF(OR(C$3=4, C$3=8),
_xlfn.XLOOKUP(($B28*2), 韻母表[序號], 韻母表[台羅拼音]),
_xlfn.XLOOKUP($B28, 韻母表[韻序], 韻母表[台羅拼音])
), C$3)</f>
        <v>ing1</v>
      </c>
      <c r="D30" s="350" t="str">
        <f xml:space="preserve"> _xlfn.CONCAT( IF(OR(D$3=4, D$3=8),
_xlfn.XLOOKUP(($B28*2), 韻母表[序號], 韻母表[台羅拼音]),
_xlfn.XLOOKUP($B28, 韻母表[韻序], 韻母表[台羅拼音])
), D$3)</f>
        <v>ing2</v>
      </c>
      <c r="E30" s="350" t="str">
        <f xml:space="preserve"> _xlfn.CONCAT( IF(OR(E$3=4, E$3=8),
_xlfn.XLOOKUP(($B28*2), 韻母表[序號], 韻母表[台羅拼音]),
_xlfn.XLOOKUP($B28, 韻母表[韻序], 韻母表[台羅拼音])
), E$3)</f>
        <v>ing3</v>
      </c>
      <c r="F30" s="350" t="str">
        <f xml:space="preserve"> _xlfn.CONCAT( IF(OR(F$3=4, F$3=8),
_xlfn.XLOOKUP(($B28*2), 韻母表[序號], 韻母表[台羅拼音]),
_xlfn.XLOOKUP($B28, 韻母表[韻序], 韻母表[台羅拼音])
), F$3)</f>
        <v>ik4</v>
      </c>
      <c r="G30" s="350" t="str">
        <f xml:space="preserve"> _xlfn.CONCAT( IF(OR(G$3=4, G$3=8),
_xlfn.XLOOKUP(($B28*2), 韻母表[序號], 韻母表[台羅拼音]),
_xlfn.XLOOKUP($B28, 韻母表[韻序], 韻母表[台羅拼音])
), G$3)</f>
        <v>ing5</v>
      </c>
      <c r="H30" s="350" t="str">
        <f xml:space="preserve"> _xlfn.CONCAT( IF(OR(H$3=4, H$3=8),
_xlfn.XLOOKUP(($B28*2), 韻母表[序號], 韻母表[台羅拼音]),
_xlfn.XLOOKUP($B28, 韻母表[韻序], 韻母表[台羅拼音])
), H$3)</f>
        <v>ing6</v>
      </c>
      <c r="I30" s="350" t="str">
        <f xml:space="preserve"> _xlfn.CONCAT( IF(OR(I$3=4, I$3=8),
_xlfn.XLOOKUP(($B28*2), 韻母表[序號], 韻母表[台羅拼音]),
_xlfn.XLOOKUP($B28, 韻母表[韻序], 韻母表[台羅拼音])
), I$3)</f>
        <v>ing7</v>
      </c>
      <c r="J30" s="350" t="str">
        <f xml:space="preserve"> _xlfn.CONCAT( IF(OR(J$3=4, J$3=8),
_xlfn.XLOOKUP(($B28*2), 韻母表[序號], 韻母表[台羅拼音]),
_xlfn.XLOOKUP($B28, 韻母表[韻序], 韻母表[台羅拼音])
), J$3)</f>
        <v>ik8</v>
      </c>
    </row>
    <row r="31" spans="2:10" ht="20.25">
      <c r="B31" s="490">
        <f t="shared" ref="B31" si="4">B28+1</f>
        <v>10</v>
      </c>
      <c r="C31" s="353" t="str">
        <f xml:space="preserve"> _xlfn.CONCAT( IF(OR(C$3=4, C$3=8),
_xlfn.XLOOKUP(($B31*2), 韻母表[序號], 韻母表[方音符號]),
_xlfn.XLOOKUP($B31, 韻母表[韻序], 韻母表[方音符號])
), _xlfn.XLOOKUP(C$3, 聲調符號表[調號], 聲調符號表[調符]))</f>
        <v>ㄨㄢ</v>
      </c>
      <c r="D31" s="353" t="str">
        <f xml:space="preserve"> _xlfn.CONCAT( IF(OR(D$3=4, D$3=8),
_xlfn.XLOOKUP(($B31*2), 韻母表[序號], 韻母表[方音符號]),
_xlfn.XLOOKUP($B31, 韻母表[韻序], 韻母表[方音符號])
), _xlfn.XLOOKUP(D$3, 聲調符號表[調號], 聲調符號表[調符]))</f>
        <v>ㄨㄢˋ</v>
      </c>
      <c r="E31" s="353" t="str">
        <f xml:space="preserve"> _xlfn.CONCAT( IF(OR(E$3=4, E$3=8),
_xlfn.XLOOKUP(($B31*2), 韻母表[序號], 韻母表[方音符號]),
_xlfn.XLOOKUP($B31, 韻母表[韻序], 韻母表[方音符號])
), _xlfn.XLOOKUP(E$3, 聲調符號表[調號], 聲調符號表[調符]))</f>
        <v>ㄨㄢ˪</v>
      </c>
      <c r="F31" s="353" t="str">
        <f xml:space="preserve"> _xlfn.CONCAT( IF(OR(F$3=4, F$3=8),
_xlfn.XLOOKUP(($B31*2), 韻母表[序號], 韻母表[方音符號]),
_xlfn.XLOOKUP($B31, 韻母表[韻序], 韻母表[方音符號])
), _xlfn.XLOOKUP(F$3, 聲調符號表[調號], 聲調符號表[調符]))</f>
        <v>ㄨㄚㆵ</v>
      </c>
      <c r="G31" s="353" t="str">
        <f xml:space="preserve"> _xlfn.CONCAT( IF(OR(G$3=4, G$3=8),
_xlfn.XLOOKUP(($B31*2), 韻母表[序號], 韻母表[方音符號]),
_xlfn.XLOOKUP($B31, 韻母表[韻序], 韻母表[方音符號])
), _xlfn.XLOOKUP(G$3, 聲調符號表[調號], 聲調符號表[調符]))</f>
        <v>ㄨㄢˊ</v>
      </c>
      <c r="H31" s="353" t="str">
        <f xml:space="preserve"> _xlfn.CONCAT( IF(OR(H$3=4, H$3=8),
_xlfn.XLOOKUP(($B31*2), 韻母表[序號], 韻母表[方音符號]),
_xlfn.XLOOKUP($B31, 韻母表[韻序], 韻母表[方音符號])
), _xlfn.XLOOKUP(H$3, 聲調符號表[調號], 聲調符號表[調符]))</f>
        <v>ㄨㄢˋ</v>
      </c>
      <c r="I31" s="353" t="str">
        <f xml:space="preserve"> _xlfn.CONCAT( IF(OR(I$3=4, I$3=8),
_xlfn.XLOOKUP(($B31*2), 韻母表[序號], 韻母表[方音符號]),
_xlfn.XLOOKUP($B31, 韻母表[韻序], 韻母表[方音符號])
), _xlfn.XLOOKUP(I$3, 聲調符號表[調號], 聲調符號表[調符]))</f>
        <v>ㄨㄢ˫</v>
      </c>
      <c r="J31" s="353" t="str">
        <f xml:space="preserve"> _xlfn.CONCAT( IF(OR(J$3=4, J$3=8),
_xlfn.XLOOKUP(($B31*2), 韻母表[序號], 韻母表[方音符號]),
_xlfn.XLOOKUP($B31, 韻母表[韻序], 韻母表[方音符號])
), _xlfn.XLOOKUP(J$3, 聲調符號表[調號], 聲調符號表[調符]))</f>
        <v>ㄨㄚㆵ˙</v>
      </c>
    </row>
    <row r="32" spans="2:10">
      <c r="B32" s="491">
        <v>4.5999999999999996</v>
      </c>
      <c r="C32" s="349" t="str" cm="1">
        <f t="array" ref="C32" xml:space="preserve"> INDEX(字母八音反切!$C$4:$J$53, $B31, C$3)</f>
        <v>觀</v>
      </c>
      <c r="D32" s="349" t="str" cm="1">
        <f t="array" ref="D32" xml:space="preserve"> INDEX(字母八音反切!$C$4:$J$53, $B31, D$3)</f>
        <v>琯</v>
      </c>
      <c r="E32" s="349" t="str" cm="1">
        <f t="array" ref="E32" xml:space="preserve"> INDEX(字母八音反切!$C$4:$J$53, $B31, E$3)</f>
        <v>貫</v>
      </c>
      <c r="F32" s="352" t="str" cm="1">
        <f t="array" ref="F32" xml:space="preserve"> INDEX(字母八音反切!$C$4:$J$53, $B31, F$3)</f>
        <v>适</v>
      </c>
      <c r="G32" s="349" t="str" cm="1">
        <f t="array" ref="G32" xml:space="preserve"> INDEX(字母八音反切!$C$4:$J$53, $B31, G$3)</f>
        <v>權</v>
      </c>
      <c r="H32" s="349" t="str" cm="1">
        <f t="array" ref="H32" xml:space="preserve"> INDEX(字母八音反切!$C$4:$J$53, $B31, H$3)</f>
        <v>琯</v>
      </c>
      <c r="I32" s="349" t="str" cm="1">
        <f t="array" ref="I32" xml:space="preserve"> INDEX(字母八音反切!$C$4:$J$53, $B31, I$3)</f>
        <v>縣</v>
      </c>
      <c r="J32" s="352" t="str" cm="1">
        <f t="array" ref="J32" xml:space="preserve"> INDEX(字母八音反切!$C$4:$J$53, $B31, J$3)</f>
        <v>橜</v>
      </c>
    </row>
    <row r="33" spans="2:10" ht="23.25">
      <c r="B33" s="492"/>
      <c r="C33" s="350" t="str">
        <f xml:space="preserve"> _xlfn.CONCAT( IF(OR(C$3=4, C$3=8),
_xlfn.XLOOKUP(($B31*2), 韻母表[序號], 韻母表[台羅拼音]),
_xlfn.XLOOKUP($B31, 韻母表[韻序], 韻母表[台羅拼音])
), C$3)</f>
        <v>uan1</v>
      </c>
      <c r="D33" s="350" t="str">
        <f xml:space="preserve"> _xlfn.CONCAT( IF(OR(D$3=4, D$3=8),
_xlfn.XLOOKUP(($B31*2), 韻母表[序號], 韻母表[台羅拼音]),
_xlfn.XLOOKUP($B31, 韻母表[韻序], 韻母表[台羅拼音])
), D$3)</f>
        <v>uan2</v>
      </c>
      <c r="E33" s="350" t="str">
        <f xml:space="preserve"> _xlfn.CONCAT( IF(OR(E$3=4, E$3=8),
_xlfn.XLOOKUP(($B31*2), 韻母表[序號], 韻母表[台羅拼音]),
_xlfn.XLOOKUP($B31, 韻母表[韻序], 韻母表[台羅拼音])
), E$3)</f>
        <v>uan3</v>
      </c>
      <c r="F33" s="350" t="str">
        <f xml:space="preserve"> _xlfn.CONCAT( IF(OR(F$3=4, F$3=8),
_xlfn.XLOOKUP(($B31*2), 韻母表[序號], 韻母表[台羅拼音]),
_xlfn.XLOOKUP($B31, 韻母表[韻序], 韻母表[台羅拼音])
), F$3)</f>
        <v>uat4</v>
      </c>
      <c r="G33" s="350" t="str">
        <f xml:space="preserve"> _xlfn.CONCAT( IF(OR(G$3=4, G$3=8),
_xlfn.XLOOKUP(($B31*2), 韻母表[序號], 韻母表[台羅拼音]),
_xlfn.XLOOKUP($B31, 韻母表[韻序], 韻母表[台羅拼音])
), G$3)</f>
        <v>uan5</v>
      </c>
      <c r="H33" s="350" t="str">
        <f xml:space="preserve"> _xlfn.CONCAT( IF(OR(H$3=4, H$3=8),
_xlfn.XLOOKUP(($B31*2), 韻母表[序號], 韻母表[台羅拼音]),
_xlfn.XLOOKUP($B31, 韻母表[韻序], 韻母表[台羅拼音])
), H$3)</f>
        <v>uan6</v>
      </c>
      <c r="I33" s="350" t="str">
        <f xml:space="preserve"> _xlfn.CONCAT( IF(OR(I$3=4, I$3=8),
_xlfn.XLOOKUP(($B31*2), 韻母表[序號], 韻母表[台羅拼音]),
_xlfn.XLOOKUP($B31, 韻母表[韻序], 韻母表[台羅拼音])
), I$3)</f>
        <v>uan7</v>
      </c>
      <c r="J33" s="350" t="str">
        <f xml:space="preserve"> _xlfn.CONCAT( IF(OR(J$3=4, J$3=8),
_xlfn.XLOOKUP(($B31*2), 韻母表[序號], 韻母表[台羅拼音]),
_xlfn.XLOOKUP($B31, 韻母表[韻序], 韻母表[台羅拼音])
), J$3)</f>
        <v>uat8</v>
      </c>
    </row>
    <row r="34" spans="2:10" ht="20.25">
      <c r="B34" s="490">
        <f t="shared" ref="B34" si="5">B31+1</f>
        <v>11</v>
      </c>
      <c r="C34" s="353" t="str">
        <f xml:space="preserve"> _xlfn.CONCAT( IF(OR(C$3=4, C$3=8),
_xlfn.XLOOKUP(($B34*2), 韻母表[序號], 韻母表[方音符號]),
_xlfn.XLOOKUP($B34, 韻母表[韻序], 韻母表[方音符號])
), _xlfn.XLOOKUP(C$3, 聲調符號表[調號], 聲調符號表[調符]))</f>
        <v>ㆦ</v>
      </c>
      <c r="D34" s="353" t="str">
        <f xml:space="preserve"> _xlfn.CONCAT( IF(OR(D$3=4, D$3=8),
_xlfn.XLOOKUP(($B34*2), 韻母表[序號], 韻母表[方音符號]),
_xlfn.XLOOKUP($B34, 韻母表[韻序], 韻母表[方音符號])
), _xlfn.XLOOKUP(D$3, 聲調符號表[調號], 聲調符號表[調符]))</f>
        <v>ㆦˋ</v>
      </c>
      <c r="E34" s="353" t="str">
        <f xml:space="preserve"> _xlfn.CONCAT( IF(OR(E$3=4, E$3=8),
_xlfn.XLOOKUP(($B34*2), 韻母表[序號], 韻母表[方音符號]),
_xlfn.XLOOKUP($B34, 韻母表[韻序], 韻母表[方音符號])
), _xlfn.XLOOKUP(E$3, 聲調符號表[調號], 聲調符號表[調符]))</f>
        <v>ㆦ˪</v>
      </c>
      <c r="F34" s="353" t="str">
        <f xml:space="preserve"> _xlfn.CONCAT( IF(OR(F$3=4, F$3=8),
_xlfn.XLOOKUP(($B34*2), 韻母表[序號], 韻母表[方音符號]),
_xlfn.XLOOKUP($B34, 韻母表[韻序], 韻母表[方音符號])
), _xlfn.XLOOKUP(F$3, 聲調符號表[調號], 聲調符號表[調符]))</f>
        <v>ㆦㆷ</v>
      </c>
      <c r="G34" s="353" t="str">
        <f xml:space="preserve"> _xlfn.CONCAT( IF(OR(G$3=4, G$3=8),
_xlfn.XLOOKUP(($B34*2), 韻母表[序號], 韻母表[方音符號]),
_xlfn.XLOOKUP($B34, 韻母表[韻序], 韻母表[方音符號])
), _xlfn.XLOOKUP(G$3, 聲調符號表[調號], 聲調符號表[調符]))</f>
        <v>ㆦˊ</v>
      </c>
      <c r="H34" s="353" t="str">
        <f xml:space="preserve"> _xlfn.CONCAT( IF(OR(H$3=4, H$3=8),
_xlfn.XLOOKUP(($B34*2), 韻母表[序號], 韻母表[方音符號]),
_xlfn.XLOOKUP($B34, 韻母表[韻序], 韻母表[方音符號])
), _xlfn.XLOOKUP(H$3, 聲調符號表[調號], 聲調符號表[調符]))</f>
        <v>ㆦˋ</v>
      </c>
      <c r="I34" s="353" t="str">
        <f xml:space="preserve"> _xlfn.CONCAT( IF(OR(I$3=4, I$3=8),
_xlfn.XLOOKUP(($B34*2), 韻母表[序號], 韻母表[方音符號]),
_xlfn.XLOOKUP($B34, 韻母表[韻序], 韻母表[方音符號])
), _xlfn.XLOOKUP(I$3, 聲調符號表[調號], 聲調符號表[調符]))</f>
        <v>ㆦ˫</v>
      </c>
      <c r="J34" s="353" t="str">
        <f xml:space="preserve"> _xlfn.CONCAT( IF(OR(J$3=4, J$3=8),
_xlfn.XLOOKUP(($B34*2), 韻母表[序號], 韻母表[方音符號]),
_xlfn.XLOOKUP($B34, 韻母表[韻序], 韻母表[方音符號])
), _xlfn.XLOOKUP(J$3, 聲調符號表[調號], 聲調符號表[調符]))</f>
        <v>ㆦㆷ˙</v>
      </c>
    </row>
    <row r="35" spans="2:10">
      <c r="B35" s="491">
        <v>4.5999999999999996</v>
      </c>
      <c r="C35" s="349" t="str" cm="1">
        <f t="array" ref="C35" xml:space="preserve"> INDEX(字母八音反切!$C$4:$J$53, $B34, C$3)</f>
        <v>沽</v>
      </c>
      <c r="D35" s="349" t="str" cm="1">
        <f t="array" ref="D35" xml:space="preserve"> INDEX(字母八音反切!$C$4:$J$53, $B34, D$3)</f>
        <v>古</v>
      </c>
      <c r="E35" s="349" t="str" cm="1">
        <f t="array" ref="E35" xml:space="preserve"> INDEX(字母八音反切!$C$4:$J$53, $B34, E$3)</f>
        <v>固</v>
      </c>
      <c r="F35" s="352" t="str" cm="1">
        <f t="array" ref="F35" xml:space="preserve"> INDEX(字母八音反切!$C$4:$J$53, $B34, F$3)</f>
        <v>○</v>
      </c>
      <c r="G35" s="349" t="str" cm="1">
        <f t="array" ref="G35" xml:space="preserve"> INDEX(字母八音反切!$C$4:$J$53, $B34, G$3)</f>
        <v>糊</v>
      </c>
      <c r="H35" s="349" t="str" cm="1">
        <f t="array" ref="H35" xml:space="preserve"> INDEX(字母八音反切!$C$4:$J$53, $B34, H$3)</f>
        <v>古</v>
      </c>
      <c r="I35" s="349" t="str" cm="1">
        <f t="array" ref="I35" xml:space="preserve"> INDEX(字母八音反切!$C$4:$J$53, $B34, I$3)</f>
        <v>怙</v>
      </c>
      <c r="J35" s="352" t="str" cm="1">
        <f t="array" ref="J35" xml:space="preserve"> INDEX(字母八音反切!$C$4:$J$53, $B34, J$3)</f>
        <v>○</v>
      </c>
    </row>
    <row r="36" spans="2:10" ht="23.25">
      <c r="B36" s="492"/>
      <c r="C36" s="350" t="str">
        <f xml:space="preserve"> _xlfn.CONCAT( IF(OR(C$3=4, C$3=8),
_xlfn.XLOOKUP(($B34*2), 韻母表[序號], 韻母表[台羅拼音]),
_xlfn.XLOOKUP($B34, 韻母表[韻序], 韻母表[台羅拼音])
), C$3)</f>
        <v>oo1</v>
      </c>
      <c r="D36" s="350" t="str">
        <f xml:space="preserve"> _xlfn.CONCAT( IF(OR(D$3=4, D$3=8),
_xlfn.XLOOKUP(($B34*2), 韻母表[序號], 韻母表[台羅拼音]),
_xlfn.XLOOKUP($B34, 韻母表[韻序], 韻母表[台羅拼音])
), D$3)</f>
        <v>oo2</v>
      </c>
      <c r="E36" s="350" t="str">
        <f xml:space="preserve"> _xlfn.CONCAT( IF(OR(E$3=4, E$3=8),
_xlfn.XLOOKUP(($B34*2), 韻母表[序號], 韻母表[台羅拼音]),
_xlfn.XLOOKUP($B34, 韻母表[韻序], 韻母表[台羅拼音])
), E$3)</f>
        <v>oo3</v>
      </c>
      <c r="F36" s="350" t="str">
        <f xml:space="preserve"> _xlfn.CONCAT( IF(OR(F$3=4, F$3=8),
_xlfn.XLOOKUP(($B34*2), 韻母表[序號], 韻母表[台羅拼音]),
_xlfn.XLOOKUP($B34, 韻母表[韻序], 韻母表[台羅拼音])
), F$3)</f>
        <v>ooh4</v>
      </c>
      <c r="G36" s="350" t="str">
        <f xml:space="preserve"> _xlfn.CONCAT( IF(OR(G$3=4, G$3=8),
_xlfn.XLOOKUP(($B34*2), 韻母表[序號], 韻母表[台羅拼音]),
_xlfn.XLOOKUP($B34, 韻母表[韻序], 韻母表[台羅拼音])
), G$3)</f>
        <v>oo5</v>
      </c>
      <c r="H36" s="350" t="str">
        <f xml:space="preserve"> _xlfn.CONCAT( IF(OR(H$3=4, H$3=8),
_xlfn.XLOOKUP(($B34*2), 韻母表[序號], 韻母表[台羅拼音]),
_xlfn.XLOOKUP($B34, 韻母表[韻序], 韻母表[台羅拼音])
), H$3)</f>
        <v>oo6</v>
      </c>
      <c r="I36" s="350" t="str">
        <f xml:space="preserve"> _xlfn.CONCAT( IF(OR(I$3=4, I$3=8),
_xlfn.XLOOKUP(($B34*2), 韻母表[序號], 韻母表[台羅拼音]),
_xlfn.XLOOKUP($B34, 韻母表[韻序], 韻母表[台羅拼音])
), I$3)</f>
        <v>oo7</v>
      </c>
      <c r="J36" s="350" t="str">
        <f xml:space="preserve"> _xlfn.CONCAT( IF(OR(J$3=4, J$3=8),
_xlfn.XLOOKUP(($B34*2), 韻母表[序號], 韻母表[台羅拼音]),
_xlfn.XLOOKUP($B34, 韻母表[韻序], 韻母表[台羅拼音])
), J$3)</f>
        <v>ooh8</v>
      </c>
    </row>
    <row r="37" spans="2:10" ht="20.25">
      <c r="B37" s="490">
        <f t="shared" ref="B37" si="6">B34+1</f>
        <v>12</v>
      </c>
      <c r="C37" s="353" t="str">
        <f xml:space="preserve"> _xlfn.CONCAT( IF(OR(C$3=4, C$3=8),
_xlfn.XLOOKUP(($B37*2), 韻母表[序號], 韻母表[方音符號]),
_xlfn.XLOOKUP($B37, 韻母表[韻序], 韻母表[方音符號])
), _xlfn.XLOOKUP(C$3, 聲調符號表[調號], 聲調符號表[調符]))</f>
        <v>ㄧㄠ</v>
      </c>
      <c r="D37" s="353" t="str">
        <f xml:space="preserve"> _xlfn.CONCAT( IF(OR(D$3=4, D$3=8),
_xlfn.XLOOKUP(($B37*2), 韻母表[序號], 韻母表[方音符號]),
_xlfn.XLOOKUP($B37, 韻母表[韻序], 韻母表[方音符號])
), _xlfn.XLOOKUP(D$3, 聲調符號表[調號], 聲調符號表[調符]))</f>
        <v>ㄧㄠˋ</v>
      </c>
      <c r="E37" s="353" t="str">
        <f xml:space="preserve"> _xlfn.CONCAT( IF(OR(E$3=4, E$3=8),
_xlfn.XLOOKUP(($B37*2), 韻母表[序號], 韻母表[方音符號]),
_xlfn.XLOOKUP($B37, 韻母表[韻序], 韻母表[方音符號])
), _xlfn.XLOOKUP(E$3, 聲調符號表[調號], 聲調符號表[調符]))</f>
        <v>ㄧㄠ˪</v>
      </c>
      <c r="F37" s="353" t="str">
        <f xml:space="preserve"> _xlfn.CONCAT( IF(OR(F$3=4, F$3=8),
_xlfn.XLOOKUP(($B37*2), 韻母表[序號], 韻母表[方音符號]),
_xlfn.XLOOKUP($B37, 韻母表[韻序], 韻母表[方音符號])
), _xlfn.XLOOKUP(F$3, 聲調符號表[調號], 聲調符號表[調符]))</f>
        <v>ㄧㄠㆷ</v>
      </c>
      <c r="G37" s="353" t="str">
        <f xml:space="preserve"> _xlfn.CONCAT( IF(OR(G$3=4, G$3=8),
_xlfn.XLOOKUP(($B37*2), 韻母表[序號], 韻母表[方音符號]),
_xlfn.XLOOKUP($B37, 韻母表[韻序], 韻母表[方音符號])
), _xlfn.XLOOKUP(G$3, 聲調符號表[調號], 聲調符號表[調符]))</f>
        <v>ㄧㄠˊ</v>
      </c>
      <c r="H37" s="353" t="str">
        <f xml:space="preserve"> _xlfn.CONCAT( IF(OR(H$3=4, H$3=8),
_xlfn.XLOOKUP(($B37*2), 韻母表[序號], 韻母表[方音符號]),
_xlfn.XLOOKUP($B37, 韻母表[韻序], 韻母表[方音符號])
), _xlfn.XLOOKUP(H$3, 聲調符號表[調號], 聲調符號表[調符]))</f>
        <v>ㄧㄠˋ</v>
      </c>
      <c r="I37" s="353" t="str">
        <f xml:space="preserve"> _xlfn.CONCAT( IF(OR(I$3=4, I$3=8),
_xlfn.XLOOKUP(($B37*2), 韻母表[序號], 韻母表[方音符號]),
_xlfn.XLOOKUP($B37, 韻母表[韻序], 韻母表[方音符號])
), _xlfn.XLOOKUP(I$3, 聲調符號表[調號], 聲調符號表[調符]))</f>
        <v>ㄧㄠ˫</v>
      </c>
      <c r="J37" s="353" t="str">
        <f xml:space="preserve"> _xlfn.CONCAT( IF(OR(J$3=4, J$3=8),
_xlfn.XLOOKUP(($B37*2), 韻母表[序號], 韻母表[方音符號]),
_xlfn.XLOOKUP($B37, 韻母表[韻序], 韻母表[方音符號])
), _xlfn.XLOOKUP(J$3, 聲調符號表[調號], 聲調符號表[調符]))</f>
        <v>ㄧㄠㆷ˙</v>
      </c>
    </row>
    <row r="38" spans="2:10">
      <c r="B38" s="491">
        <v>4.5999999999999996</v>
      </c>
      <c r="C38" s="349" t="str" cm="1">
        <f t="array" ref="C38" xml:space="preserve"> INDEX(字母八音反切!$C$4:$J$53, $B37, C$3)</f>
        <v>嬌</v>
      </c>
      <c r="D38" s="349" t="str" cm="1">
        <f t="array" ref="D38" xml:space="preserve"> INDEX(字母八音反切!$C$4:$J$53, $B37, D$3)</f>
        <v>皎</v>
      </c>
      <c r="E38" s="349" t="str" cm="1">
        <f t="array" ref="E38" xml:space="preserve"> INDEX(字母八音反切!$C$4:$J$53, $B37, E$3)</f>
        <v>呌</v>
      </c>
      <c r="F38" s="352" t="str" cm="1">
        <f t="array" ref="F38" xml:space="preserve"> INDEX(字母八音反切!$C$4:$J$53, $B37, F$3)</f>
        <v>勪</v>
      </c>
      <c r="G38" s="349" t="str" cm="1">
        <f t="array" ref="G38" xml:space="preserve"> INDEX(字母八音反切!$C$4:$J$53, $B37, G$3)</f>
        <v>橋</v>
      </c>
      <c r="H38" s="349" t="str" cm="1">
        <f t="array" ref="H38" xml:space="preserve"> INDEX(字母八音反切!$C$4:$J$53, $B37, H$3)</f>
        <v>皎</v>
      </c>
      <c r="I38" s="349" t="str" cm="1">
        <f t="array" ref="I38" xml:space="preserve"> INDEX(字母八音反切!$C$4:$J$53, $B37, I$3)</f>
        <v>轎</v>
      </c>
      <c r="J38" s="352" t="str" cm="1">
        <f t="array" ref="J38" xml:space="preserve"> INDEX(字母八音反切!$C$4:$J$53, $B37, J$3)</f>
        <v>噭</v>
      </c>
    </row>
    <row r="39" spans="2:10" ht="23.25">
      <c r="B39" s="492"/>
      <c r="C39" s="350" t="str">
        <f xml:space="preserve"> _xlfn.CONCAT( IF(OR(C$3=4, C$3=8),
_xlfn.XLOOKUP(($B37*2), 韻母表[序號], 韻母表[台羅拼音]),
_xlfn.XLOOKUP($B37, 韻母表[韻序], 韻母表[台羅拼音])
), C$3)</f>
        <v>iau1</v>
      </c>
      <c r="D39" s="350" t="str">
        <f xml:space="preserve"> _xlfn.CONCAT( IF(OR(D$3=4, D$3=8),
_xlfn.XLOOKUP(($B37*2), 韻母表[序號], 韻母表[台羅拼音]),
_xlfn.XLOOKUP($B37, 韻母表[韻序], 韻母表[台羅拼音])
), D$3)</f>
        <v>iau2</v>
      </c>
      <c r="E39" s="350" t="str">
        <f xml:space="preserve"> _xlfn.CONCAT( IF(OR(E$3=4, E$3=8),
_xlfn.XLOOKUP(($B37*2), 韻母表[序號], 韻母表[台羅拼音]),
_xlfn.XLOOKUP($B37, 韻母表[韻序], 韻母表[台羅拼音])
), E$3)</f>
        <v>iau3</v>
      </c>
      <c r="F39" s="350" t="str">
        <f xml:space="preserve"> _xlfn.CONCAT( IF(OR(F$3=4, F$3=8),
_xlfn.XLOOKUP(($B37*2), 韻母表[序號], 韻母表[台羅拼音]),
_xlfn.XLOOKUP($B37, 韻母表[韻序], 韻母表[台羅拼音])
), F$3)</f>
        <v>iauh4</v>
      </c>
      <c r="G39" s="350" t="str">
        <f xml:space="preserve"> _xlfn.CONCAT( IF(OR(G$3=4, G$3=8),
_xlfn.XLOOKUP(($B37*2), 韻母表[序號], 韻母表[台羅拼音]),
_xlfn.XLOOKUP($B37, 韻母表[韻序], 韻母表[台羅拼音])
), G$3)</f>
        <v>iau5</v>
      </c>
      <c r="H39" s="350" t="str">
        <f xml:space="preserve"> _xlfn.CONCAT( IF(OR(H$3=4, H$3=8),
_xlfn.XLOOKUP(($B37*2), 韻母表[序號], 韻母表[台羅拼音]),
_xlfn.XLOOKUP($B37, 韻母表[韻序], 韻母表[台羅拼音])
), H$3)</f>
        <v>iau6</v>
      </c>
      <c r="I39" s="350" t="str">
        <f xml:space="preserve"> _xlfn.CONCAT( IF(OR(I$3=4, I$3=8),
_xlfn.XLOOKUP(($B37*2), 韻母表[序號], 韻母表[台羅拼音]),
_xlfn.XLOOKUP($B37, 韻母表[韻序], 韻母表[台羅拼音])
), I$3)</f>
        <v>iau7</v>
      </c>
      <c r="J39" s="350" t="str">
        <f xml:space="preserve"> _xlfn.CONCAT( IF(OR(J$3=4, J$3=8),
_xlfn.XLOOKUP(($B37*2), 韻母表[序號], 韻母表[台羅拼音]),
_xlfn.XLOOKUP($B37, 韻母表[韻序], 韻母表[台羅拼音])
), J$3)</f>
        <v>iauh8</v>
      </c>
    </row>
    <row r="40" spans="2:10" ht="20.25">
      <c r="B40" s="490">
        <f t="shared" ref="B40" si="7">B37+1</f>
        <v>13</v>
      </c>
      <c r="C40" s="353" t="str">
        <f xml:space="preserve"> _xlfn.CONCAT( IF(OR(C$3=4, C$3=8),
_xlfn.XLOOKUP(($B40*2), 韻母表[序號], 韻母表[方音符號]),
_xlfn.XLOOKUP($B40, 韻母表[韻序], 韻母表[方音符號])
), _xlfn.XLOOKUP(C$3, 聲調符號表[調號], 聲調符號表[調符]))</f>
        <v>ㆤ</v>
      </c>
      <c r="D40" s="353" t="str">
        <f xml:space="preserve"> _xlfn.CONCAT( IF(OR(D$3=4, D$3=8),
_xlfn.XLOOKUP(($B40*2), 韻母表[序號], 韻母表[方音符號]),
_xlfn.XLOOKUP($B40, 韻母表[韻序], 韻母表[方音符號])
), _xlfn.XLOOKUP(D$3, 聲調符號表[調號], 聲調符號表[調符]))</f>
        <v>ㆤˋ</v>
      </c>
      <c r="E40" s="353" t="str">
        <f xml:space="preserve"> _xlfn.CONCAT( IF(OR(E$3=4, E$3=8),
_xlfn.XLOOKUP(($B40*2), 韻母表[序號], 韻母表[方音符號]),
_xlfn.XLOOKUP($B40, 韻母表[韻序], 韻母表[方音符號])
), _xlfn.XLOOKUP(E$3, 聲調符號表[調號], 聲調符號表[調符]))</f>
        <v>ㆤ˪</v>
      </c>
      <c r="F40" s="353" t="str">
        <f xml:space="preserve"> _xlfn.CONCAT( IF(OR(F$3=4, F$3=8),
_xlfn.XLOOKUP(($B40*2), 韻母表[序號], 韻母表[方音符號]),
_xlfn.XLOOKUP($B40, 韻母表[韻序], 韻母表[方音符號])
), _xlfn.XLOOKUP(F$3, 聲調符號表[調號], 聲調符號表[調符]))</f>
        <v>ㆤㆷ</v>
      </c>
      <c r="G40" s="353" t="str">
        <f xml:space="preserve"> _xlfn.CONCAT( IF(OR(G$3=4, G$3=8),
_xlfn.XLOOKUP(($B40*2), 韻母表[序號], 韻母表[方音符號]),
_xlfn.XLOOKUP($B40, 韻母表[韻序], 韻母表[方音符號])
), _xlfn.XLOOKUP(G$3, 聲調符號表[調號], 聲調符號表[調符]))</f>
        <v>ㆤˊ</v>
      </c>
      <c r="H40" s="353" t="str">
        <f xml:space="preserve"> _xlfn.CONCAT( IF(OR(H$3=4, H$3=8),
_xlfn.XLOOKUP(($B40*2), 韻母表[序號], 韻母表[方音符號]),
_xlfn.XLOOKUP($B40, 韻母表[韻序], 韻母表[方音符號])
), _xlfn.XLOOKUP(H$3, 聲調符號表[調號], 聲調符號表[調符]))</f>
        <v>ㆤˋ</v>
      </c>
      <c r="I40" s="353" t="str">
        <f xml:space="preserve"> _xlfn.CONCAT( IF(OR(I$3=4, I$3=8),
_xlfn.XLOOKUP(($B40*2), 韻母表[序號], 韻母表[方音符號]),
_xlfn.XLOOKUP($B40, 韻母表[韻序], 韻母表[方音符號])
), _xlfn.XLOOKUP(I$3, 聲調符號表[調號], 聲調符號表[調符]))</f>
        <v>ㆤ˫</v>
      </c>
      <c r="J40" s="353" t="str">
        <f xml:space="preserve"> _xlfn.CONCAT( IF(OR(J$3=4, J$3=8),
_xlfn.XLOOKUP(($B40*2), 韻母表[序號], 韻母表[方音符號]),
_xlfn.XLOOKUP($B40, 韻母表[韻序], 韻母表[方音符號])
), _xlfn.XLOOKUP(J$3, 聲調符號表[調號], 聲調符號表[調符]))</f>
        <v>ㆤㆷ˙</v>
      </c>
    </row>
    <row r="41" spans="2:10">
      <c r="B41" s="491">
        <v>4.5999999999999996</v>
      </c>
      <c r="C41" s="349" t="str" cm="1">
        <f t="array" ref="C41" xml:space="preserve"> INDEX(字母八音反切!$C$4:$J$53, $B40, C$3)</f>
        <v>稽</v>
      </c>
      <c r="D41" s="349" t="str" cm="1">
        <f t="array" ref="D41" xml:space="preserve"> INDEX(字母八音反切!$C$4:$J$53, $B40, D$3)</f>
        <v>改</v>
      </c>
      <c r="E41" s="349" t="str" cm="1">
        <f t="array" ref="E41" xml:space="preserve"> INDEX(字母八音反切!$C$4:$J$53, $B40, E$3)</f>
        <v>計</v>
      </c>
      <c r="F41" s="352" t="str" cm="1">
        <f t="array" ref="F41" xml:space="preserve"> INDEX(字母八音反切!$C$4:$J$53, $B40, F$3)</f>
        <v>莢</v>
      </c>
      <c r="G41" s="349" t="str" cm="1">
        <f t="array" ref="G41" xml:space="preserve"> INDEX(字母八音反切!$C$4:$J$53, $B40, G$3)</f>
        <v>鮭</v>
      </c>
      <c r="H41" s="349" t="str" cm="1">
        <f t="array" ref="H41" xml:space="preserve"> INDEX(字母八音反切!$C$4:$J$53, $B40, H$3)</f>
        <v>改</v>
      </c>
      <c r="I41" s="349" t="str" cm="1">
        <f t="array" ref="I41" xml:space="preserve"> INDEX(字母八音反切!$C$4:$J$53, $B40, I$3)</f>
        <v>易</v>
      </c>
      <c r="J41" s="352" t="str" cm="1">
        <f t="array" ref="J41" xml:space="preserve"> INDEX(字母八音反切!$C$4:$J$53, $B40, J$3)</f>
        <v>○</v>
      </c>
    </row>
    <row r="42" spans="2:10" ht="23.25">
      <c r="B42" s="492"/>
      <c r="C42" s="350" t="str">
        <f xml:space="preserve"> _xlfn.CONCAT( IF(OR(C$3=4, C$3=8),
_xlfn.XLOOKUP(($B40*2), 韻母表[序號], 韻母表[台羅拼音]),
_xlfn.XLOOKUP($B40, 韻母表[韻序], 韻母表[台羅拼音])
), C$3)</f>
        <v>e1</v>
      </c>
      <c r="D42" s="350" t="str">
        <f xml:space="preserve"> _xlfn.CONCAT( IF(OR(D$3=4, D$3=8),
_xlfn.XLOOKUP(($B40*2), 韻母表[序號], 韻母表[台羅拼音]),
_xlfn.XLOOKUP($B40, 韻母表[韻序], 韻母表[台羅拼音])
), D$3)</f>
        <v>e2</v>
      </c>
      <c r="E42" s="350" t="str">
        <f xml:space="preserve"> _xlfn.CONCAT( IF(OR(E$3=4, E$3=8),
_xlfn.XLOOKUP(($B40*2), 韻母表[序號], 韻母表[台羅拼音]),
_xlfn.XLOOKUP($B40, 韻母表[韻序], 韻母表[台羅拼音])
), E$3)</f>
        <v>e3</v>
      </c>
      <c r="F42" s="350" t="str">
        <f xml:space="preserve"> _xlfn.CONCAT( IF(OR(F$3=4, F$3=8),
_xlfn.XLOOKUP(($B40*2), 韻母表[序號], 韻母表[台羅拼音]),
_xlfn.XLOOKUP($B40, 韻母表[韻序], 韻母表[台羅拼音])
), F$3)</f>
        <v>eh4</v>
      </c>
      <c r="G42" s="350" t="str">
        <f xml:space="preserve"> _xlfn.CONCAT( IF(OR(G$3=4, G$3=8),
_xlfn.XLOOKUP(($B40*2), 韻母表[序號], 韻母表[台羅拼音]),
_xlfn.XLOOKUP($B40, 韻母表[韻序], 韻母表[台羅拼音])
), G$3)</f>
        <v>e5</v>
      </c>
      <c r="H42" s="350" t="str">
        <f xml:space="preserve"> _xlfn.CONCAT( IF(OR(H$3=4, H$3=8),
_xlfn.XLOOKUP(($B40*2), 韻母表[序號], 韻母表[台羅拼音]),
_xlfn.XLOOKUP($B40, 韻母表[韻序], 韻母表[台羅拼音])
), H$3)</f>
        <v>e6</v>
      </c>
      <c r="I42" s="350" t="str">
        <f xml:space="preserve"> _xlfn.CONCAT( IF(OR(I$3=4, I$3=8),
_xlfn.XLOOKUP(($B40*2), 韻母表[序號], 韻母表[台羅拼音]),
_xlfn.XLOOKUP($B40, 韻母表[韻序], 韻母表[台羅拼音])
), I$3)</f>
        <v>e7</v>
      </c>
      <c r="J42" s="350" t="str">
        <f xml:space="preserve"> _xlfn.CONCAT( IF(OR(J$3=4, J$3=8),
_xlfn.XLOOKUP(($B40*2), 韻母表[序號], 韻母表[台羅拼音]),
_xlfn.XLOOKUP($B40, 韻母表[韻序], 韻母表[台羅拼音])
), J$3)</f>
        <v>eh8</v>
      </c>
    </row>
    <row r="43" spans="2:10" ht="20.25">
      <c r="B43" s="490">
        <f t="shared" ref="B43" si="8">B40+1</f>
        <v>14</v>
      </c>
      <c r="C43" s="353" t="str">
        <f xml:space="preserve"> _xlfn.CONCAT( IF(OR(C$3=4, C$3=8),
_xlfn.XLOOKUP(($B43*2), 韻母表[序號], 韻母表[方音符號]),
_xlfn.XLOOKUP($B43, 韻母表[韻序], 韻母表[方音符號])
), _xlfn.XLOOKUP(C$3, 聲調符號表[調號], 聲調符號表[調符]))</f>
        <v>ㄧㆲ</v>
      </c>
      <c r="D43" s="353" t="str">
        <f xml:space="preserve"> _xlfn.CONCAT( IF(OR(D$3=4, D$3=8),
_xlfn.XLOOKUP(($B43*2), 韻母表[序號], 韻母表[方音符號]),
_xlfn.XLOOKUP($B43, 韻母表[韻序], 韻母表[方音符號])
), _xlfn.XLOOKUP(D$3, 聲調符號表[調號], 聲調符號表[調符]))</f>
        <v>ㄧㆲˋ</v>
      </c>
      <c r="E43" s="353" t="str">
        <f xml:space="preserve"> _xlfn.CONCAT( IF(OR(E$3=4, E$3=8),
_xlfn.XLOOKUP(($B43*2), 韻母表[序號], 韻母表[方音符號]),
_xlfn.XLOOKUP($B43, 韻母表[韻序], 韻母表[方音符號])
), _xlfn.XLOOKUP(E$3, 聲調符號表[調號], 聲調符號表[調符]))</f>
        <v>ㄧㆲ˪</v>
      </c>
      <c r="F43" s="353" t="str">
        <f xml:space="preserve"> _xlfn.CONCAT( IF(OR(F$3=4, F$3=8),
_xlfn.XLOOKUP(($B43*2), 韻母表[序號], 韻母表[方音符號]),
_xlfn.XLOOKUP($B43, 韻母表[韻序], 韻母表[方音符號])
), _xlfn.XLOOKUP(F$3, 聲調符號表[調號], 聲調符號表[調符]))</f>
        <v>ㄧㆦㆻ</v>
      </c>
      <c r="G43" s="353" t="str">
        <f xml:space="preserve"> _xlfn.CONCAT( IF(OR(G$3=4, G$3=8),
_xlfn.XLOOKUP(($B43*2), 韻母表[序號], 韻母表[方音符號]),
_xlfn.XLOOKUP($B43, 韻母表[韻序], 韻母表[方音符號])
), _xlfn.XLOOKUP(G$3, 聲調符號表[調號], 聲調符號表[調符]))</f>
        <v>ㄧㆲˊ</v>
      </c>
      <c r="H43" s="353" t="str">
        <f xml:space="preserve"> _xlfn.CONCAT( IF(OR(H$3=4, H$3=8),
_xlfn.XLOOKUP(($B43*2), 韻母表[序號], 韻母表[方音符號]),
_xlfn.XLOOKUP($B43, 韻母表[韻序], 韻母表[方音符號])
), _xlfn.XLOOKUP(H$3, 聲調符號表[調號], 聲調符號表[調符]))</f>
        <v>ㄧㆲˋ</v>
      </c>
      <c r="I43" s="353" t="str">
        <f xml:space="preserve"> _xlfn.CONCAT( IF(OR(I$3=4, I$3=8),
_xlfn.XLOOKUP(($B43*2), 韻母表[序號], 韻母表[方音符號]),
_xlfn.XLOOKUP($B43, 韻母表[韻序], 韻母表[方音符號])
), _xlfn.XLOOKUP(I$3, 聲調符號表[調號], 聲調符號表[調符]))</f>
        <v>ㄧㆲ˫</v>
      </c>
      <c r="J43" s="353" t="str">
        <f xml:space="preserve"> _xlfn.CONCAT( IF(OR(J$3=4, J$3=8),
_xlfn.XLOOKUP(($B43*2), 韻母表[序號], 韻母表[方音符號]),
_xlfn.XLOOKUP($B43, 韻母表[韻序], 韻母表[方音符號])
), _xlfn.XLOOKUP(J$3, 聲調符號表[調號], 聲調符號表[調符]))</f>
        <v>ㄧㆦㆻ˙</v>
      </c>
    </row>
    <row r="44" spans="2:10">
      <c r="B44" s="491">
        <v>4.5999999999999996</v>
      </c>
      <c r="C44" s="349" t="str" cm="1">
        <f t="array" ref="C44" xml:space="preserve"> INDEX(字母八音反切!$C$4:$J$53, $B43, C$3)</f>
        <v>恭</v>
      </c>
      <c r="D44" s="349" t="str" cm="1">
        <f t="array" ref="D44" xml:space="preserve"> INDEX(字母八音反切!$C$4:$J$53, $B43, D$3)</f>
        <v>拱</v>
      </c>
      <c r="E44" s="349" t="str" cm="1">
        <f t="array" ref="E44" xml:space="preserve"> INDEX(字母八音反切!$C$4:$J$53, $B43, E$3)</f>
        <v>供</v>
      </c>
      <c r="F44" s="352" t="str" cm="1">
        <f t="array" ref="F44" xml:space="preserve"> INDEX(字母八音反切!$C$4:$J$53, $B43, F$3)</f>
        <v>菊</v>
      </c>
      <c r="G44" s="349" t="str" cm="1">
        <f t="array" ref="G44" xml:space="preserve"> INDEX(字母八音反切!$C$4:$J$53, $B43, G$3)</f>
        <v>窮</v>
      </c>
      <c r="H44" s="349" t="str" cm="1">
        <f t="array" ref="H44" xml:space="preserve"> INDEX(字母八音反切!$C$4:$J$53, $B43, H$3)</f>
        <v>拱</v>
      </c>
      <c r="I44" s="349" t="str" cm="1">
        <f t="array" ref="I44" xml:space="preserve"> INDEX(字母八音反切!$C$4:$J$53, $B43, I$3)</f>
        <v>共</v>
      </c>
      <c r="J44" s="352" t="str" cm="1">
        <f t="array" ref="J44" xml:space="preserve"> INDEX(字母八音反切!$C$4:$J$53, $B43, J$3)</f>
        <v>局</v>
      </c>
    </row>
    <row r="45" spans="2:10" ht="23.25">
      <c r="B45" s="492"/>
      <c r="C45" s="350" t="str">
        <f xml:space="preserve"> _xlfn.CONCAT( IF(OR(C$3=4, C$3=8),
_xlfn.XLOOKUP(($B43*2), 韻母表[序號], 韻母表[台羅拼音]),
_xlfn.XLOOKUP($B43, 韻母表[韻序], 韻母表[台羅拼音])
), C$3)</f>
        <v>iong1</v>
      </c>
      <c r="D45" s="350" t="str">
        <f xml:space="preserve"> _xlfn.CONCAT( IF(OR(D$3=4, D$3=8),
_xlfn.XLOOKUP(($B43*2), 韻母表[序號], 韻母表[台羅拼音]),
_xlfn.XLOOKUP($B43, 韻母表[韻序], 韻母表[台羅拼音])
), D$3)</f>
        <v>iong2</v>
      </c>
      <c r="E45" s="350" t="str">
        <f xml:space="preserve"> _xlfn.CONCAT( IF(OR(E$3=4, E$3=8),
_xlfn.XLOOKUP(($B43*2), 韻母表[序號], 韻母表[台羅拼音]),
_xlfn.XLOOKUP($B43, 韻母表[韻序], 韻母表[台羅拼音])
), E$3)</f>
        <v>iong3</v>
      </c>
      <c r="F45" s="350" t="str">
        <f xml:space="preserve"> _xlfn.CONCAT( IF(OR(F$3=4, F$3=8),
_xlfn.XLOOKUP(($B43*2), 韻母表[序號], 韻母表[台羅拼音]),
_xlfn.XLOOKUP($B43, 韻母表[韻序], 韻母表[台羅拼音])
), F$3)</f>
        <v>iok4</v>
      </c>
      <c r="G45" s="350" t="str">
        <f xml:space="preserve"> _xlfn.CONCAT( IF(OR(G$3=4, G$3=8),
_xlfn.XLOOKUP(($B43*2), 韻母表[序號], 韻母表[台羅拼音]),
_xlfn.XLOOKUP($B43, 韻母表[韻序], 韻母表[台羅拼音])
), G$3)</f>
        <v>iong5</v>
      </c>
      <c r="H45" s="350" t="str">
        <f xml:space="preserve"> _xlfn.CONCAT( IF(OR(H$3=4, H$3=8),
_xlfn.XLOOKUP(($B43*2), 韻母表[序號], 韻母表[台羅拼音]),
_xlfn.XLOOKUP($B43, 韻母表[韻序], 韻母表[台羅拼音])
), H$3)</f>
        <v>iong6</v>
      </c>
      <c r="I45" s="350" t="str">
        <f xml:space="preserve"> _xlfn.CONCAT( IF(OR(I$3=4, I$3=8),
_xlfn.XLOOKUP(($B43*2), 韻母表[序號], 韻母表[台羅拼音]),
_xlfn.XLOOKUP($B43, 韻母表[韻序], 韻母表[台羅拼音])
), I$3)</f>
        <v>iong7</v>
      </c>
      <c r="J45" s="350" t="str">
        <f xml:space="preserve"> _xlfn.CONCAT( IF(OR(J$3=4, J$3=8),
_xlfn.XLOOKUP(($B43*2), 韻母表[序號], 韻母表[台羅拼音]),
_xlfn.XLOOKUP($B43, 韻母表[韻序], 韻母表[台羅拼音])
), J$3)</f>
        <v>iok8</v>
      </c>
    </row>
    <row r="46" spans="2:10" ht="20.25">
      <c r="B46" s="490">
        <f t="shared" ref="B46" si="9">B43+1</f>
        <v>15</v>
      </c>
      <c r="C46" s="353" t="str">
        <f xml:space="preserve"> _xlfn.CONCAT( IF(OR(C$3=4, C$3=8),
_xlfn.XLOOKUP(($B46*2), 韻母表[序號], 韻母表[方音符號]),
_xlfn.XLOOKUP($B46, 韻母表[韻序], 韻母表[方音符號])
), _xlfn.XLOOKUP(C$3, 聲調符號表[調號], 聲調符號表[調符]))</f>
        <v>ㄜ</v>
      </c>
      <c r="D46" s="353" t="str">
        <f xml:space="preserve"> _xlfn.CONCAT( IF(OR(D$3=4, D$3=8),
_xlfn.XLOOKUP(($B46*2), 韻母表[序號], 韻母表[方音符號]),
_xlfn.XLOOKUP($B46, 韻母表[韻序], 韻母表[方音符號])
), _xlfn.XLOOKUP(D$3, 聲調符號表[調號], 聲調符號表[調符]))</f>
        <v>ㄜˋ</v>
      </c>
      <c r="E46" s="353" t="str">
        <f xml:space="preserve"> _xlfn.CONCAT( IF(OR(E$3=4, E$3=8),
_xlfn.XLOOKUP(($B46*2), 韻母表[序號], 韻母表[方音符號]),
_xlfn.XLOOKUP($B46, 韻母表[韻序], 韻母表[方音符號])
), _xlfn.XLOOKUP(E$3, 聲調符號表[調號], 聲調符號表[調符]))</f>
        <v>ㄜ˪</v>
      </c>
      <c r="F46" s="353" t="str">
        <f xml:space="preserve"> _xlfn.CONCAT( IF(OR(F$3=4, F$3=8),
_xlfn.XLOOKUP(($B46*2), 韻母表[序號], 韻母表[方音符號]),
_xlfn.XLOOKUP($B46, 韻母表[韻序], 韻母表[方音符號])
), _xlfn.XLOOKUP(F$3, 聲調符號表[調號], 聲調符號表[調符]))</f>
        <v>ㄜㆷ</v>
      </c>
      <c r="G46" s="353" t="str">
        <f xml:space="preserve"> _xlfn.CONCAT( IF(OR(G$3=4, G$3=8),
_xlfn.XLOOKUP(($B46*2), 韻母表[序號], 韻母表[方音符號]),
_xlfn.XLOOKUP($B46, 韻母表[韻序], 韻母表[方音符號])
), _xlfn.XLOOKUP(G$3, 聲調符號表[調號], 聲調符號表[調符]))</f>
        <v>ㄜˊ</v>
      </c>
      <c r="H46" s="353" t="str">
        <f xml:space="preserve"> _xlfn.CONCAT( IF(OR(H$3=4, H$3=8),
_xlfn.XLOOKUP(($B46*2), 韻母表[序號], 韻母表[方音符號]),
_xlfn.XLOOKUP($B46, 韻母表[韻序], 韻母表[方音符號])
), _xlfn.XLOOKUP(H$3, 聲調符號表[調號], 聲調符號表[調符]))</f>
        <v>ㄜˋ</v>
      </c>
      <c r="I46" s="353" t="str">
        <f xml:space="preserve"> _xlfn.CONCAT( IF(OR(I$3=4, I$3=8),
_xlfn.XLOOKUP(($B46*2), 韻母表[序號], 韻母表[方音符號]),
_xlfn.XLOOKUP($B46, 韻母表[韻序], 韻母表[方音符號])
), _xlfn.XLOOKUP(I$3, 聲調符號表[調號], 聲調符號表[調符]))</f>
        <v>ㄜ˫</v>
      </c>
      <c r="J46" s="353" t="str">
        <f xml:space="preserve"> _xlfn.CONCAT( IF(OR(J$3=4, J$3=8),
_xlfn.XLOOKUP(($B46*2), 韻母表[序號], 韻母表[方音符號]),
_xlfn.XLOOKUP($B46, 韻母表[韻序], 韻母表[方音符號])
), _xlfn.XLOOKUP(J$3, 聲調符號表[調號], 聲調符號表[調符]))</f>
        <v>ㄜㆷ˙</v>
      </c>
    </row>
    <row r="47" spans="2:10">
      <c r="B47" s="491">
        <v>4.5999999999999996</v>
      </c>
      <c r="C47" s="349" t="str" cm="1">
        <f t="array" ref="C47" xml:space="preserve"> INDEX(字母八音反切!$C$4:$J$53, $B46, C$3)</f>
        <v>高</v>
      </c>
      <c r="D47" s="349" t="str" cm="1">
        <f t="array" ref="D47" xml:space="preserve"> INDEX(字母八音反切!$C$4:$J$53, $B46, D$3)</f>
        <v>果</v>
      </c>
      <c r="E47" s="349" t="str" cm="1">
        <f t="array" ref="E47" xml:space="preserve"> INDEX(字母八音反切!$C$4:$J$53, $B46, E$3)</f>
        <v>過</v>
      </c>
      <c r="F47" s="352" t="str" cm="1">
        <f t="array" ref="F47" xml:space="preserve"> INDEX(字母八音反切!$C$4:$J$53, $B46, F$3)</f>
        <v>閣</v>
      </c>
      <c r="G47" s="349" t="str" cm="1">
        <f t="array" ref="G47" xml:space="preserve"> INDEX(字母八音反切!$C$4:$J$53, $B46, G$3)</f>
        <v>翗</v>
      </c>
      <c r="H47" s="349" t="str" cm="1">
        <f t="array" ref="H47" xml:space="preserve"> INDEX(字母八音反切!$C$4:$J$53, $B46, H$3)</f>
        <v>果</v>
      </c>
      <c r="I47" s="349" t="str" cm="1">
        <f t="array" ref="I47" xml:space="preserve"> INDEX(字母八音反切!$C$4:$J$53, $B46, I$3)</f>
        <v>膏</v>
      </c>
      <c r="J47" s="352" t="str" cm="1">
        <f t="array" ref="J47" xml:space="preserve"> INDEX(字母八音反切!$C$4:$J$53, $B46, J$3)</f>
        <v>○</v>
      </c>
    </row>
    <row r="48" spans="2:10" ht="23.25">
      <c r="B48" s="492"/>
      <c r="C48" s="350" t="str">
        <f xml:space="preserve"> _xlfn.CONCAT( IF(OR(C$3=4, C$3=8),
_xlfn.XLOOKUP(($B46*2), 韻母表[序號], 韻母表[台羅拼音]),
_xlfn.XLOOKUP($B46, 韻母表[韻序], 韻母表[台羅拼音])
), C$3)</f>
        <v>o1</v>
      </c>
      <c r="D48" s="350" t="str">
        <f xml:space="preserve"> _xlfn.CONCAT( IF(OR(D$3=4, D$3=8),
_xlfn.XLOOKUP(($B46*2), 韻母表[序號], 韻母表[台羅拼音]),
_xlfn.XLOOKUP($B46, 韻母表[韻序], 韻母表[台羅拼音])
), D$3)</f>
        <v>o2</v>
      </c>
      <c r="E48" s="350" t="str">
        <f xml:space="preserve"> _xlfn.CONCAT( IF(OR(E$3=4, E$3=8),
_xlfn.XLOOKUP(($B46*2), 韻母表[序號], 韻母表[台羅拼音]),
_xlfn.XLOOKUP($B46, 韻母表[韻序], 韻母表[台羅拼音])
), E$3)</f>
        <v>o3</v>
      </c>
      <c r="F48" s="350" t="str">
        <f xml:space="preserve"> _xlfn.CONCAT( IF(OR(F$3=4, F$3=8),
_xlfn.XLOOKUP(($B46*2), 韻母表[序號], 韻母表[台羅拼音]),
_xlfn.XLOOKUP($B46, 韻母表[韻序], 韻母表[台羅拼音])
), F$3)</f>
        <v>oh4</v>
      </c>
      <c r="G48" s="350" t="str">
        <f xml:space="preserve"> _xlfn.CONCAT( IF(OR(G$3=4, G$3=8),
_xlfn.XLOOKUP(($B46*2), 韻母表[序號], 韻母表[台羅拼音]),
_xlfn.XLOOKUP($B46, 韻母表[韻序], 韻母表[台羅拼音])
), G$3)</f>
        <v>o5</v>
      </c>
      <c r="H48" s="350" t="str">
        <f xml:space="preserve"> _xlfn.CONCAT( IF(OR(H$3=4, H$3=8),
_xlfn.XLOOKUP(($B46*2), 韻母表[序號], 韻母表[台羅拼音]),
_xlfn.XLOOKUP($B46, 韻母表[韻序], 韻母表[台羅拼音])
), H$3)</f>
        <v>o6</v>
      </c>
      <c r="I48" s="350" t="str">
        <f xml:space="preserve"> _xlfn.CONCAT( IF(OR(I$3=4, I$3=8),
_xlfn.XLOOKUP(($B46*2), 韻母表[序號], 韻母表[台羅拼音]),
_xlfn.XLOOKUP($B46, 韻母表[韻序], 韻母表[台羅拼音])
), I$3)</f>
        <v>o7</v>
      </c>
      <c r="J48" s="350" t="str">
        <f xml:space="preserve"> _xlfn.CONCAT( IF(OR(J$3=4, J$3=8),
_xlfn.XLOOKUP(($B46*2), 韻母表[序號], 韻母表[台羅拼音]),
_xlfn.XLOOKUP($B46, 韻母表[韻序], 韻母表[台羅拼音])
), J$3)</f>
        <v>oh8</v>
      </c>
    </row>
    <row r="49" spans="2:10" ht="20.25">
      <c r="B49" s="490">
        <f t="shared" ref="B49" si="10">B46+1</f>
        <v>16</v>
      </c>
      <c r="C49" s="353" t="str">
        <f xml:space="preserve"> _xlfn.CONCAT( IF(OR(C$3=4, C$3=8),
_xlfn.XLOOKUP(($B49*2), 韻母表[序號], 韻母表[方音符號]),
_xlfn.XLOOKUP($B49, 韻母表[韻序], 韻母表[方音符號])
), _xlfn.XLOOKUP(C$3, 聲調符號表[調號], 聲調符號表[調符]))</f>
        <v>ㄞ</v>
      </c>
      <c r="D49" s="353" t="str">
        <f xml:space="preserve"> _xlfn.CONCAT( IF(OR(D$3=4, D$3=8),
_xlfn.XLOOKUP(($B49*2), 韻母表[序號], 韻母表[方音符號]),
_xlfn.XLOOKUP($B49, 韻母表[韻序], 韻母表[方音符號])
), _xlfn.XLOOKUP(D$3, 聲調符號表[調號], 聲調符號表[調符]))</f>
        <v>ㄞˋ</v>
      </c>
      <c r="E49" s="353" t="str">
        <f xml:space="preserve"> _xlfn.CONCAT( IF(OR(E$3=4, E$3=8),
_xlfn.XLOOKUP(($B49*2), 韻母表[序號], 韻母表[方音符號]),
_xlfn.XLOOKUP($B49, 韻母表[韻序], 韻母表[方音符號])
), _xlfn.XLOOKUP(E$3, 聲調符號表[調號], 聲調符號表[調符]))</f>
        <v>ㄞ˪</v>
      </c>
      <c r="F49" s="353" t="str">
        <f xml:space="preserve"> _xlfn.CONCAT( IF(OR(F$3=4, F$3=8),
_xlfn.XLOOKUP(($B49*2), 韻母表[序號], 韻母表[方音符號]),
_xlfn.XLOOKUP($B49, 韻母表[韻序], 韻母表[方音符號])
), _xlfn.XLOOKUP(F$3, 聲調符號表[調號], 聲調符號表[調符]))</f>
        <v>ㄞㆷ</v>
      </c>
      <c r="G49" s="353" t="str">
        <f xml:space="preserve"> _xlfn.CONCAT( IF(OR(G$3=4, G$3=8),
_xlfn.XLOOKUP(($B49*2), 韻母表[序號], 韻母表[方音符號]),
_xlfn.XLOOKUP($B49, 韻母表[韻序], 韻母表[方音符號])
), _xlfn.XLOOKUP(G$3, 聲調符號表[調號], 聲調符號表[調符]))</f>
        <v>ㄞˊ</v>
      </c>
      <c r="H49" s="353" t="str">
        <f xml:space="preserve"> _xlfn.CONCAT( IF(OR(H$3=4, H$3=8),
_xlfn.XLOOKUP(($B49*2), 韻母表[序號], 韻母表[方音符號]),
_xlfn.XLOOKUP($B49, 韻母表[韻序], 韻母表[方音符號])
), _xlfn.XLOOKUP(H$3, 聲調符號表[調號], 聲調符號表[調符]))</f>
        <v>ㄞˋ</v>
      </c>
      <c r="I49" s="353" t="str">
        <f xml:space="preserve"> _xlfn.CONCAT( IF(OR(I$3=4, I$3=8),
_xlfn.XLOOKUP(($B49*2), 韻母表[序號], 韻母表[方音符號]),
_xlfn.XLOOKUP($B49, 韻母表[韻序], 韻母表[方音符號])
), _xlfn.XLOOKUP(I$3, 聲調符號表[調號], 聲調符號表[調符]))</f>
        <v>ㄞ˫</v>
      </c>
      <c r="J49" s="353" t="str">
        <f xml:space="preserve"> _xlfn.CONCAT( IF(OR(J$3=4, J$3=8),
_xlfn.XLOOKUP(($B49*2), 韻母表[序號], 韻母表[方音符號]),
_xlfn.XLOOKUP($B49, 韻母表[韻序], 韻母表[方音符號])
), _xlfn.XLOOKUP(J$3, 聲調符號表[調號], 聲調符號表[調符]))</f>
        <v>ㄞㆷ˙</v>
      </c>
    </row>
    <row r="50" spans="2:10">
      <c r="B50" s="491">
        <v>4.5999999999999996</v>
      </c>
      <c r="C50" s="349" t="str" cm="1">
        <f t="array" ref="C50" xml:space="preserve"> INDEX(字母八音反切!$C$4:$J$53, $B49, C$3)</f>
        <v>皆</v>
      </c>
      <c r="D50" s="349" t="str" cm="1">
        <f t="array" ref="D50" xml:space="preserve"> INDEX(字母八音反切!$C$4:$J$53, $B49, D$3)</f>
        <v>改</v>
      </c>
      <c r="E50" s="349" t="str" cm="1">
        <f t="array" ref="E50" xml:space="preserve"> INDEX(字母八音反切!$C$4:$J$53, $B49, E$3)</f>
        <v>介</v>
      </c>
      <c r="F50" s="352" t="str" cm="1">
        <f t="array" ref="F50" xml:space="preserve"> INDEX(字母八音反切!$C$4:$J$53, $B49, F$3)</f>
        <v>○</v>
      </c>
      <c r="G50" s="349" t="str" cm="1">
        <f t="array" ref="G50" xml:space="preserve"> INDEX(字母八音反切!$C$4:$J$53, $B49, G$3)</f>
        <v>○</v>
      </c>
      <c r="H50" s="349" t="str" cm="1">
        <f t="array" ref="H50" xml:space="preserve"> INDEX(字母八音反切!$C$4:$J$53, $B49, H$3)</f>
        <v>改</v>
      </c>
      <c r="I50" s="349" t="str" cm="1">
        <f t="array" ref="I50" xml:space="preserve"> INDEX(字母八音反切!$C$4:$J$53, $B49, I$3)</f>
        <v>○</v>
      </c>
      <c r="J50" s="352" t="str" cm="1">
        <f t="array" ref="J50" xml:space="preserve"> INDEX(字母八音反切!$C$4:$J$53, $B49, J$3)</f>
        <v>○</v>
      </c>
    </row>
    <row r="51" spans="2:10" ht="23.25">
      <c r="B51" s="492"/>
      <c r="C51" s="350" t="str">
        <f xml:space="preserve"> _xlfn.CONCAT( IF(OR(C$3=4, C$3=8),
_xlfn.XLOOKUP(($B49*2), 韻母表[序號], 韻母表[台羅拼音]),
_xlfn.XLOOKUP($B49, 韻母表[韻序], 韻母表[台羅拼音])
), C$3)</f>
        <v>ai1</v>
      </c>
      <c r="D51" s="350" t="str">
        <f xml:space="preserve"> _xlfn.CONCAT( IF(OR(D$3=4, D$3=8),
_xlfn.XLOOKUP(($B49*2), 韻母表[序號], 韻母表[台羅拼音]),
_xlfn.XLOOKUP($B49, 韻母表[韻序], 韻母表[台羅拼音])
), D$3)</f>
        <v>ai2</v>
      </c>
      <c r="E51" s="350" t="str">
        <f xml:space="preserve"> _xlfn.CONCAT( IF(OR(E$3=4, E$3=8),
_xlfn.XLOOKUP(($B49*2), 韻母表[序號], 韻母表[台羅拼音]),
_xlfn.XLOOKUP($B49, 韻母表[韻序], 韻母表[台羅拼音])
), E$3)</f>
        <v>ai3</v>
      </c>
      <c r="F51" s="350" t="str">
        <f xml:space="preserve"> _xlfn.CONCAT( IF(OR(F$3=4, F$3=8),
_xlfn.XLOOKUP(($B49*2), 韻母表[序號], 韻母表[台羅拼音]),
_xlfn.XLOOKUP($B49, 韻母表[韻序], 韻母表[台羅拼音])
), F$3)</f>
        <v>aih4</v>
      </c>
      <c r="G51" s="350" t="str">
        <f xml:space="preserve"> _xlfn.CONCAT( IF(OR(G$3=4, G$3=8),
_xlfn.XLOOKUP(($B49*2), 韻母表[序號], 韻母表[台羅拼音]),
_xlfn.XLOOKUP($B49, 韻母表[韻序], 韻母表[台羅拼音])
), G$3)</f>
        <v>ai5</v>
      </c>
      <c r="H51" s="350" t="str">
        <f xml:space="preserve"> _xlfn.CONCAT( IF(OR(H$3=4, H$3=8),
_xlfn.XLOOKUP(($B49*2), 韻母表[序號], 韻母表[台羅拼音]),
_xlfn.XLOOKUP($B49, 韻母表[韻序], 韻母表[台羅拼音])
), H$3)</f>
        <v>ai6</v>
      </c>
      <c r="I51" s="350" t="str">
        <f xml:space="preserve"> _xlfn.CONCAT( IF(OR(I$3=4, I$3=8),
_xlfn.XLOOKUP(($B49*2), 韻母表[序號], 韻母表[台羅拼音]),
_xlfn.XLOOKUP($B49, 韻母表[韻序], 韻母表[台羅拼音])
), I$3)</f>
        <v>ai7</v>
      </c>
      <c r="J51" s="350" t="str">
        <f xml:space="preserve"> _xlfn.CONCAT( IF(OR(J$3=4, J$3=8),
_xlfn.XLOOKUP(($B49*2), 韻母表[序號], 韻母表[台羅拼音]),
_xlfn.XLOOKUP($B49, 韻母表[韻序], 韻母表[台羅拼音])
), J$3)</f>
        <v>aih8</v>
      </c>
    </row>
    <row r="52" spans="2:10" ht="20.25">
      <c r="B52" s="490">
        <f t="shared" ref="B52" si="11">B49+1</f>
        <v>17</v>
      </c>
      <c r="C52" s="353" t="str">
        <f xml:space="preserve"> _xlfn.CONCAT( IF(OR(C$3=4, C$3=8),
_xlfn.XLOOKUP(($B52*2), 韻母表[序號], 韻母表[方音符號]),
_xlfn.XLOOKUP($B52, 韻母表[韻序], 韻母表[方音符號])
), _xlfn.XLOOKUP(C$3, 聲調符號表[調號], 聲調符號表[調符]))</f>
        <v>ㄧㄣ</v>
      </c>
      <c r="D52" s="353" t="str">
        <f xml:space="preserve"> _xlfn.CONCAT( IF(OR(D$3=4, D$3=8),
_xlfn.XLOOKUP(($B52*2), 韻母表[序號], 韻母表[方音符號]),
_xlfn.XLOOKUP($B52, 韻母表[韻序], 韻母表[方音符號])
), _xlfn.XLOOKUP(D$3, 聲調符號表[調號], 聲調符號表[調符]))</f>
        <v>ㄧㄣˋ</v>
      </c>
      <c r="E52" s="353" t="str">
        <f xml:space="preserve"> _xlfn.CONCAT( IF(OR(E$3=4, E$3=8),
_xlfn.XLOOKUP(($B52*2), 韻母表[序號], 韻母表[方音符號]),
_xlfn.XLOOKUP($B52, 韻母表[韻序], 韻母表[方音符號])
), _xlfn.XLOOKUP(E$3, 聲調符號表[調號], 聲調符號表[調符]))</f>
        <v>ㄧㄣ˪</v>
      </c>
      <c r="F52" s="353" t="str">
        <f xml:space="preserve"> _xlfn.CONCAT( IF(OR(F$3=4, F$3=8),
_xlfn.XLOOKUP(($B52*2), 韻母表[序號], 韻母表[方音符號]),
_xlfn.XLOOKUP($B52, 韻母表[韻序], 韻母表[方音符號])
), _xlfn.XLOOKUP(F$3, 聲調符號表[調號], 聲調符號表[調符]))</f>
        <v>ㄧㆵ</v>
      </c>
      <c r="G52" s="353" t="str">
        <f xml:space="preserve"> _xlfn.CONCAT( IF(OR(G$3=4, G$3=8),
_xlfn.XLOOKUP(($B52*2), 韻母表[序號], 韻母表[方音符號]),
_xlfn.XLOOKUP($B52, 韻母表[韻序], 韻母表[方音符號])
), _xlfn.XLOOKUP(G$3, 聲調符號表[調號], 聲調符號表[調符]))</f>
        <v>ㄧㄣˊ</v>
      </c>
      <c r="H52" s="353" t="str">
        <f xml:space="preserve"> _xlfn.CONCAT( IF(OR(H$3=4, H$3=8),
_xlfn.XLOOKUP(($B52*2), 韻母表[序號], 韻母表[方音符號]),
_xlfn.XLOOKUP($B52, 韻母表[韻序], 韻母表[方音符號])
), _xlfn.XLOOKUP(H$3, 聲調符號表[調號], 聲調符號表[調符]))</f>
        <v>ㄧㄣˋ</v>
      </c>
      <c r="I52" s="353" t="str">
        <f xml:space="preserve"> _xlfn.CONCAT( IF(OR(I$3=4, I$3=8),
_xlfn.XLOOKUP(($B52*2), 韻母表[序號], 韻母表[方音符號]),
_xlfn.XLOOKUP($B52, 韻母表[韻序], 韻母表[方音符號])
), _xlfn.XLOOKUP(I$3, 聲調符號表[調號], 聲調符號表[調符]))</f>
        <v>ㄧㄣ˫</v>
      </c>
      <c r="J52" s="353" t="str">
        <f xml:space="preserve"> _xlfn.CONCAT( IF(OR(J$3=4, J$3=8),
_xlfn.XLOOKUP(($B52*2), 韻母表[序號], 韻母表[方音符號]),
_xlfn.XLOOKUP($B52, 韻母表[韻序], 韻母表[方音符號])
), _xlfn.XLOOKUP(J$3, 聲調符號表[調號], 聲調符號表[調符]))</f>
        <v>ㄧㆵ˙</v>
      </c>
    </row>
    <row r="53" spans="2:10">
      <c r="B53" s="491">
        <v>4.5999999999999996</v>
      </c>
      <c r="C53" s="349" t="str" cm="1">
        <f t="array" ref="C53" xml:space="preserve"> INDEX(字母八音反切!$C$4:$J$53, $B52, C$3)</f>
        <v>巾</v>
      </c>
      <c r="D53" s="349" t="str" cm="1">
        <f t="array" ref="D53" xml:space="preserve"> INDEX(字母八音反切!$C$4:$J$53, $B52, D$3)</f>
        <v>謹</v>
      </c>
      <c r="E53" s="349" t="str" cm="1">
        <f t="array" ref="E53" xml:space="preserve"> INDEX(字母八音反切!$C$4:$J$53, $B52, E$3)</f>
        <v>艮</v>
      </c>
      <c r="F53" s="352" t="str" cm="1">
        <f t="array" ref="F53" xml:space="preserve"> INDEX(字母八音反切!$C$4:$J$53, $B52, F$3)</f>
        <v>吉</v>
      </c>
      <c r="G53" s="349" t="str" cm="1">
        <f t="array" ref="G53" xml:space="preserve"> INDEX(字母八音反切!$C$4:$J$53, $B52, G$3)</f>
        <v>○</v>
      </c>
      <c r="H53" s="349" t="str" cm="1">
        <f t="array" ref="H53" xml:space="preserve"> INDEX(字母八音反切!$C$4:$J$53, $B52, H$3)</f>
        <v>謹</v>
      </c>
      <c r="I53" s="349" t="str" cm="1">
        <f t="array" ref="I53" xml:space="preserve"> INDEX(字母八音反切!$C$4:$J$53, $B52, I$3)</f>
        <v>近</v>
      </c>
      <c r="J53" s="352" t="str" cm="1">
        <f t="array" ref="J53" xml:space="preserve"> INDEX(字母八音反切!$C$4:$J$53, $B52, J$3)</f>
        <v>楗</v>
      </c>
    </row>
    <row r="54" spans="2:10" ht="23.25">
      <c r="B54" s="492"/>
      <c r="C54" s="350" t="str">
        <f xml:space="preserve"> _xlfn.CONCAT( IF(OR(C$3=4, C$3=8),
_xlfn.XLOOKUP(($B52*2), 韻母表[序號], 韻母表[台羅拼音]),
_xlfn.XLOOKUP($B52, 韻母表[韻序], 韻母表[台羅拼音])
), C$3)</f>
        <v>in1</v>
      </c>
      <c r="D54" s="350" t="str">
        <f xml:space="preserve"> _xlfn.CONCAT( IF(OR(D$3=4, D$3=8),
_xlfn.XLOOKUP(($B52*2), 韻母表[序號], 韻母表[台羅拼音]),
_xlfn.XLOOKUP($B52, 韻母表[韻序], 韻母表[台羅拼音])
), D$3)</f>
        <v>in2</v>
      </c>
      <c r="E54" s="350" t="str">
        <f xml:space="preserve"> _xlfn.CONCAT( IF(OR(E$3=4, E$3=8),
_xlfn.XLOOKUP(($B52*2), 韻母表[序號], 韻母表[台羅拼音]),
_xlfn.XLOOKUP($B52, 韻母表[韻序], 韻母表[台羅拼音])
), E$3)</f>
        <v>in3</v>
      </c>
      <c r="F54" s="350" t="str">
        <f xml:space="preserve"> _xlfn.CONCAT( IF(OR(F$3=4, F$3=8),
_xlfn.XLOOKUP(($B52*2), 韻母表[序號], 韻母表[台羅拼音]),
_xlfn.XLOOKUP($B52, 韻母表[韻序], 韻母表[台羅拼音])
), F$3)</f>
        <v>it4</v>
      </c>
      <c r="G54" s="350" t="str">
        <f xml:space="preserve"> _xlfn.CONCAT( IF(OR(G$3=4, G$3=8),
_xlfn.XLOOKUP(($B52*2), 韻母表[序號], 韻母表[台羅拼音]),
_xlfn.XLOOKUP($B52, 韻母表[韻序], 韻母表[台羅拼音])
), G$3)</f>
        <v>in5</v>
      </c>
      <c r="H54" s="350" t="str">
        <f xml:space="preserve"> _xlfn.CONCAT( IF(OR(H$3=4, H$3=8),
_xlfn.XLOOKUP(($B52*2), 韻母表[序號], 韻母表[台羅拼音]),
_xlfn.XLOOKUP($B52, 韻母表[韻序], 韻母表[台羅拼音])
), H$3)</f>
        <v>in6</v>
      </c>
      <c r="I54" s="350" t="str">
        <f xml:space="preserve"> _xlfn.CONCAT( IF(OR(I$3=4, I$3=8),
_xlfn.XLOOKUP(($B52*2), 韻母表[序號], 韻母表[台羅拼音]),
_xlfn.XLOOKUP($B52, 韻母表[韻序], 韻母表[台羅拼音])
), I$3)</f>
        <v>in7</v>
      </c>
      <c r="J54" s="350" t="str">
        <f xml:space="preserve"> _xlfn.CONCAT( IF(OR(J$3=4, J$3=8),
_xlfn.XLOOKUP(($B52*2), 韻母表[序號], 韻母表[台羅拼音]),
_xlfn.XLOOKUP($B52, 韻母表[韻序], 韻母表[台羅拼音])
), J$3)</f>
        <v>it8</v>
      </c>
    </row>
    <row r="55" spans="2:10" ht="20.25">
      <c r="B55" s="490">
        <f t="shared" ref="B55" si="12">B52+1</f>
        <v>18</v>
      </c>
      <c r="C55" s="353" t="str">
        <f xml:space="preserve"> _xlfn.CONCAT( IF(OR(C$3=4, C$3=8),
_xlfn.XLOOKUP(($B55*2), 韻母表[序號], 韻母表[方音符號]),
_xlfn.XLOOKUP($B55, 韻母表[韻序], 韻母表[方音符號])
), _xlfn.XLOOKUP(C$3, 聲調符號表[調號], 聲調符號表[調符]))</f>
        <v>ㄧㄤ</v>
      </c>
      <c r="D55" s="353" t="str">
        <f xml:space="preserve"> _xlfn.CONCAT( IF(OR(D$3=4, D$3=8),
_xlfn.XLOOKUP(($B55*2), 韻母表[序號], 韻母表[方音符號]),
_xlfn.XLOOKUP($B55, 韻母表[韻序], 韻母表[方音符號])
), _xlfn.XLOOKUP(D$3, 聲調符號表[調號], 聲調符號表[調符]))</f>
        <v>ㄧㄤˋ</v>
      </c>
      <c r="E55" s="353" t="str">
        <f xml:space="preserve"> _xlfn.CONCAT( IF(OR(E$3=4, E$3=8),
_xlfn.XLOOKUP(($B55*2), 韻母表[序號], 韻母表[方音符號]),
_xlfn.XLOOKUP($B55, 韻母表[韻序], 韻母表[方音符號])
), _xlfn.XLOOKUP(E$3, 聲調符號表[調號], 聲調符號表[調符]))</f>
        <v>ㄧㄤ˪</v>
      </c>
      <c r="F55" s="353" t="str">
        <f xml:space="preserve"> _xlfn.CONCAT( IF(OR(F$3=4, F$3=8),
_xlfn.XLOOKUP(($B55*2), 韻母表[序號], 韻母表[方音符號]),
_xlfn.XLOOKUP($B55, 韻母表[韻序], 韻母表[方音符號])
), _xlfn.XLOOKUP(F$3, 聲調符號表[調號], 聲調符號表[調符]))</f>
        <v>ㄧㄚㆻ</v>
      </c>
      <c r="G55" s="353" t="str">
        <f xml:space="preserve"> _xlfn.CONCAT( IF(OR(G$3=4, G$3=8),
_xlfn.XLOOKUP(($B55*2), 韻母表[序號], 韻母表[方音符號]),
_xlfn.XLOOKUP($B55, 韻母表[韻序], 韻母表[方音符號])
), _xlfn.XLOOKUP(G$3, 聲調符號表[調號], 聲調符號表[調符]))</f>
        <v>ㄧㄤˊ</v>
      </c>
      <c r="H55" s="353" t="str">
        <f xml:space="preserve"> _xlfn.CONCAT( IF(OR(H$3=4, H$3=8),
_xlfn.XLOOKUP(($B55*2), 韻母表[序號], 韻母表[方音符號]),
_xlfn.XLOOKUP($B55, 韻母表[韻序], 韻母表[方音符號])
), _xlfn.XLOOKUP(H$3, 聲調符號表[調號], 聲調符號表[調符]))</f>
        <v>ㄧㄤˋ</v>
      </c>
      <c r="I55" s="353" t="str">
        <f xml:space="preserve"> _xlfn.CONCAT( IF(OR(I$3=4, I$3=8),
_xlfn.XLOOKUP(($B55*2), 韻母表[序號], 韻母表[方音符號]),
_xlfn.XLOOKUP($B55, 韻母表[韻序], 韻母表[方音符號])
), _xlfn.XLOOKUP(I$3, 聲調符號表[調號], 聲調符號表[調符]))</f>
        <v>ㄧㄤ˫</v>
      </c>
      <c r="J55" s="353" t="str">
        <f xml:space="preserve"> _xlfn.CONCAT( IF(OR(J$3=4, J$3=8),
_xlfn.XLOOKUP(($B55*2), 韻母表[序號], 韻母表[方音符號]),
_xlfn.XLOOKUP($B55, 韻母表[韻序], 韻母表[方音符號])
), _xlfn.XLOOKUP(J$3, 聲調符號表[調號], 聲調符號表[調符]))</f>
        <v>ㄧㄚㆻ˙</v>
      </c>
    </row>
    <row r="56" spans="2:10">
      <c r="B56" s="491">
        <v>4.5999999999999996</v>
      </c>
      <c r="C56" s="349" t="str" cm="1">
        <f t="array" ref="C56" xml:space="preserve"> INDEX(字母八音反切!$C$4:$J$53, $B55, C$3)</f>
        <v>姜</v>
      </c>
      <c r="D56" s="349" t="str" cm="1">
        <f t="array" ref="D56" xml:space="preserve"> INDEX(字母八音反切!$C$4:$J$53, $B55, D$3)</f>
        <v>襁</v>
      </c>
      <c r="E56" s="349" t="str" cm="1">
        <f t="array" ref="E56" xml:space="preserve"> INDEX(字母八音反切!$C$4:$J$53, $B55, E$3)</f>
        <v>○</v>
      </c>
      <c r="F56" s="352" t="str" cm="1">
        <f t="array" ref="F56" xml:space="preserve"> INDEX(字母八音反切!$C$4:$J$53, $B55, F$3)</f>
        <v>腳</v>
      </c>
      <c r="G56" s="349" t="str" cm="1">
        <f t="array" ref="G56" xml:space="preserve"> INDEX(字母八音反切!$C$4:$J$53, $B55, G$3)</f>
        <v>强</v>
      </c>
      <c r="H56" s="349" t="str" cm="1">
        <f t="array" ref="H56" xml:space="preserve"> INDEX(字母八音反切!$C$4:$J$53, $B55, H$3)</f>
        <v>襁</v>
      </c>
      <c r="I56" s="349" t="str" cm="1">
        <f t="array" ref="I56" xml:space="preserve"> INDEX(字母八音反切!$C$4:$J$53, $B55, I$3)</f>
        <v>倞</v>
      </c>
      <c r="J56" s="352" t="str" cm="1">
        <f t="array" ref="J56" xml:space="preserve"> INDEX(字母八音反切!$C$4:$J$53, $B55, J$3)</f>
        <v>矍</v>
      </c>
    </row>
    <row r="57" spans="2:10" ht="23.25">
      <c r="B57" s="492"/>
      <c r="C57" s="350" t="str">
        <f xml:space="preserve"> _xlfn.CONCAT( IF(OR(C$3=4, C$3=8),
_xlfn.XLOOKUP(($B55*2), 韻母表[序號], 韻母表[台羅拼音]),
_xlfn.XLOOKUP($B55, 韻母表[韻序], 韻母表[台羅拼音])
), C$3)</f>
        <v>iang1</v>
      </c>
      <c r="D57" s="350" t="str">
        <f xml:space="preserve"> _xlfn.CONCAT( IF(OR(D$3=4, D$3=8),
_xlfn.XLOOKUP(($B55*2), 韻母表[序號], 韻母表[台羅拼音]),
_xlfn.XLOOKUP($B55, 韻母表[韻序], 韻母表[台羅拼音])
), D$3)</f>
        <v>iang2</v>
      </c>
      <c r="E57" s="350" t="str">
        <f xml:space="preserve"> _xlfn.CONCAT( IF(OR(E$3=4, E$3=8),
_xlfn.XLOOKUP(($B55*2), 韻母表[序號], 韻母表[台羅拼音]),
_xlfn.XLOOKUP($B55, 韻母表[韻序], 韻母表[台羅拼音])
), E$3)</f>
        <v>iang3</v>
      </c>
      <c r="F57" s="350" t="str">
        <f xml:space="preserve"> _xlfn.CONCAT( IF(OR(F$3=4, F$3=8),
_xlfn.XLOOKUP(($B55*2), 韻母表[序號], 韻母表[台羅拼音]),
_xlfn.XLOOKUP($B55, 韻母表[韻序], 韻母表[台羅拼音])
), F$3)</f>
        <v>iak4</v>
      </c>
      <c r="G57" s="350" t="str">
        <f xml:space="preserve"> _xlfn.CONCAT( IF(OR(G$3=4, G$3=8),
_xlfn.XLOOKUP(($B55*2), 韻母表[序號], 韻母表[台羅拼音]),
_xlfn.XLOOKUP($B55, 韻母表[韻序], 韻母表[台羅拼音])
), G$3)</f>
        <v>iang5</v>
      </c>
      <c r="H57" s="350" t="str">
        <f xml:space="preserve"> _xlfn.CONCAT( IF(OR(H$3=4, H$3=8),
_xlfn.XLOOKUP(($B55*2), 韻母表[序號], 韻母表[台羅拼音]),
_xlfn.XLOOKUP($B55, 韻母表[韻序], 韻母表[台羅拼音])
), H$3)</f>
        <v>iang6</v>
      </c>
      <c r="I57" s="350" t="str">
        <f xml:space="preserve"> _xlfn.CONCAT( IF(OR(I$3=4, I$3=8),
_xlfn.XLOOKUP(($B55*2), 韻母表[序號], 韻母表[台羅拼音]),
_xlfn.XLOOKUP($B55, 韻母表[韻序], 韻母表[台羅拼音])
), I$3)</f>
        <v>iang7</v>
      </c>
      <c r="J57" s="350" t="str">
        <f xml:space="preserve"> _xlfn.CONCAT( IF(OR(J$3=4, J$3=8),
_xlfn.XLOOKUP(($B55*2), 韻母表[序號], 韻母表[台羅拼音]),
_xlfn.XLOOKUP($B55, 韻母表[韻序], 韻母表[台羅拼音])
), J$3)</f>
        <v>iak8</v>
      </c>
    </row>
    <row r="58" spans="2:10" ht="20.25">
      <c r="B58" s="490">
        <f t="shared" ref="B58" si="13">B55+1</f>
        <v>19</v>
      </c>
      <c r="C58" s="353" t="str">
        <f xml:space="preserve"> _xlfn.CONCAT( IF(OR(C$3=4, C$3=8),
_xlfn.XLOOKUP(($B58*2), 韻母表[序號], 韻母表[方音符號]),
_xlfn.XLOOKUP($B58, 韻母表[韻序], 韻母表[方音符號])
), _xlfn.XLOOKUP(C$3, 聲調符號表[調號], 聲調符號表[調符]))</f>
        <v>ㆰ</v>
      </c>
      <c r="D58" s="353" t="str">
        <f xml:space="preserve"> _xlfn.CONCAT( IF(OR(D$3=4, D$3=8),
_xlfn.XLOOKUP(($B58*2), 韻母表[序號], 韻母表[方音符號]),
_xlfn.XLOOKUP($B58, 韻母表[韻序], 韻母表[方音符號])
), _xlfn.XLOOKUP(D$3, 聲調符號表[調號], 聲調符號表[調符]))</f>
        <v>ㆰˋ</v>
      </c>
      <c r="E58" s="353" t="str">
        <f xml:space="preserve"> _xlfn.CONCAT( IF(OR(E$3=4, E$3=8),
_xlfn.XLOOKUP(($B58*2), 韻母表[序號], 韻母表[方音符號]),
_xlfn.XLOOKUP($B58, 韻母表[韻序], 韻母表[方音符號])
), _xlfn.XLOOKUP(E$3, 聲調符號表[調號], 聲調符號表[調符]))</f>
        <v>ㆰ˪</v>
      </c>
      <c r="F58" s="353" t="str">
        <f xml:space="preserve"> _xlfn.CONCAT( IF(OR(F$3=4, F$3=8),
_xlfn.XLOOKUP(($B58*2), 韻母表[序號], 韻母表[方音符號]),
_xlfn.XLOOKUP($B58, 韻母表[韻序], 韻母表[方音符號])
), _xlfn.XLOOKUP(F$3, 聲調符號表[調號], 聲調符號表[調符]))</f>
        <v>ㄚㆴ</v>
      </c>
      <c r="G58" s="353" t="str">
        <f xml:space="preserve"> _xlfn.CONCAT( IF(OR(G$3=4, G$3=8),
_xlfn.XLOOKUP(($B58*2), 韻母表[序號], 韻母表[方音符號]),
_xlfn.XLOOKUP($B58, 韻母表[韻序], 韻母表[方音符號])
), _xlfn.XLOOKUP(G$3, 聲調符號表[調號], 聲調符號表[調符]))</f>
        <v>ㆰˊ</v>
      </c>
      <c r="H58" s="353" t="str">
        <f xml:space="preserve"> _xlfn.CONCAT( IF(OR(H$3=4, H$3=8),
_xlfn.XLOOKUP(($B58*2), 韻母表[序號], 韻母表[方音符號]),
_xlfn.XLOOKUP($B58, 韻母表[韻序], 韻母表[方音符號])
), _xlfn.XLOOKUP(H$3, 聲調符號表[調號], 聲調符號表[調符]))</f>
        <v>ㆰˋ</v>
      </c>
      <c r="I58" s="353" t="str">
        <f xml:space="preserve"> _xlfn.CONCAT( IF(OR(I$3=4, I$3=8),
_xlfn.XLOOKUP(($B58*2), 韻母表[序號], 韻母表[方音符號]),
_xlfn.XLOOKUP($B58, 韻母表[韻序], 韻母表[方音符號])
), _xlfn.XLOOKUP(I$3, 聲調符號表[調號], 聲調符號表[調符]))</f>
        <v>ㆰ˫</v>
      </c>
      <c r="J58" s="353" t="str">
        <f xml:space="preserve"> _xlfn.CONCAT( IF(OR(J$3=4, J$3=8),
_xlfn.XLOOKUP(($B58*2), 韻母表[序號], 韻母表[方音符號]),
_xlfn.XLOOKUP($B58, 韻母表[韻序], 韻母表[方音符號])
), _xlfn.XLOOKUP(J$3, 聲調符號表[調號], 聲調符號表[調符]))</f>
        <v>ㄚㆴ˙</v>
      </c>
    </row>
    <row r="59" spans="2:10">
      <c r="B59" s="491">
        <v>4.5999999999999996</v>
      </c>
      <c r="C59" s="349" t="str" cm="1">
        <f t="array" ref="C59" xml:space="preserve"> INDEX(字母八音反切!$C$4:$J$53, $B58, C$3)</f>
        <v>甘</v>
      </c>
      <c r="D59" s="349" t="str" cm="1">
        <f t="array" ref="D59" xml:space="preserve"> INDEX(字母八音反切!$C$4:$J$53, $B58, D$3)</f>
        <v>敢</v>
      </c>
      <c r="E59" s="349" t="str" cm="1">
        <f t="array" ref="E59" xml:space="preserve"> INDEX(字母八音反切!$C$4:$J$53, $B58, E$3)</f>
        <v>鑑</v>
      </c>
      <c r="F59" s="352" t="str" cm="1">
        <f t="array" ref="F59" xml:space="preserve"> INDEX(字母八音反切!$C$4:$J$53, $B58, F$3)</f>
        <v>鴿</v>
      </c>
      <c r="G59" s="349" t="str" cm="1">
        <f t="array" ref="G59" xml:space="preserve"> INDEX(字母八音反切!$C$4:$J$53, $B58, G$3)</f>
        <v>銜</v>
      </c>
      <c r="H59" s="349" t="str" cm="1">
        <f t="array" ref="H59" xml:space="preserve"> INDEX(字母八音反切!$C$4:$J$53, $B58, H$3)</f>
        <v>敢</v>
      </c>
      <c r="I59" s="349" t="str" cm="1">
        <f t="array" ref="I59" xml:space="preserve"> INDEX(字母八音反切!$C$4:$J$53, $B58, I$3)</f>
        <v>𩼳</v>
      </c>
      <c r="J59" s="352" t="str" cm="1">
        <f t="array" ref="J59" xml:space="preserve"> INDEX(字母八音反切!$C$4:$J$53, $B58, J$3)</f>
        <v>○</v>
      </c>
    </row>
    <row r="60" spans="2:10" ht="23.25">
      <c r="B60" s="492"/>
      <c r="C60" s="350" t="str">
        <f xml:space="preserve"> _xlfn.CONCAT( IF(OR(C$3=4, C$3=8),
_xlfn.XLOOKUP(($B58*2), 韻母表[序號], 韻母表[台羅拼音]),
_xlfn.XLOOKUP($B58, 韻母表[韻序], 韻母表[台羅拼音])
), C$3)</f>
        <v>am1</v>
      </c>
      <c r="D60" s="350" t="str">
        <f xml:space="preserve"> _xlfn.CONCAT( IF(OR(D$3=4, D$3=8),
_xlfn.XLOOKUP(($B58*2), 韻母表[序號], 韻母表[台羅拼音]),
_xlfn.XLOOKUP($B58, 韻母表[韻序], 韻母表[台羅拼音])
), D$3)</f>
        <v>am2</v>
      </c>
      <c r="E60" s="350" t="str">
        <f xml:space="preserve"> _xlfn.CONCAT( IF(OR(E$3=4, E$3=8),
_xlfn.XLOOKUP(($B58*2), 韻母表[序號], 韻母表[台羅拼音]),
_xlfn.XLOOKUP($B58, 韻母表[韻序], 韻母表[台羅拼音])
), E$3)</f>
        <v>am3</v>
      </c>
      <c r="F60" s="350" t="str">
        <f xml:space="preserve"> _xlfn.CONCAT( IF(OR(F$3=4, F$3=8),
_xlfn.XLOOKUP(($B58*2), 韻母表[序號], 韻母表[台羅拼音]),
_xlfn.XLOOKUP($B58, 韻母表[韻序], 韻母表[台羅拼音])
), F$3)</f>
        <v>ap4</v>
      </c>
      <c r="G60" s="350" t="str">
        <f xml:space="preserve"> _xlfn.CONCAT( IF(OR(G$3=4, G$3=8),
_xlfn.XLOOKUP(($B58*2), 韻母表[序號], 韻母表[台羅拼音]),
_xlfn.XLOOKUP($B58, 韻母表[韻序], 韻母表[台羅拼音])
), G$3)</f>
        <v>am5</v>
      </c>
      <c r="H60" s="350" t="str">
        <f xml:space="preserve"> _xlfn.CONCAT( IF(OR(H$3=4, H$3=8),
_xlfn.XLOOKUP(($B58*2), 韻母表[序號], 韻母表[台羅拼音]),
_xlfn.XLOOKUP($B58, 韻母表[韻序], 韻母表[台羅拼音])
), H$3)</f>
        <v>am6</v>
      </c>
      <c r="I60" s="350" t="str">
        <f xml:space="preserve"> _xlfn.CONCAT( IF(OR(I$3=4, I$3=8),
_xlfn.XLOOKUP(($B58*2), 韻母表[序號], 韻母表[台羅拼音]),
_xlfn.XLOOKUP($B58, 韻母表[韻序], 韻母表[台羅拼音])
), I$3)</f>
        <v>am7</v>
      </c>
      <c r="J60" s="350" t="str">
        <f xml:space="preserve"> _xlfn.CONCAT( IF(OR(J$3=4, J$3=8),
_xlfn.XLOOKUP(($B58*2), 韻母表[序號], 韻母表[台羅拼音]),
_xlfn.XLOOKUP($B58, 韻母表[韻序], 韻母表[台羅拼音])
), J$3)</f>
        <v>ap8</v>
      </c>
    </row>
    <row r="61" spans="2:10" ht="20.25">
      <c r="B61" s="490">
        <f t="shared" ref="B61" si="14">B58+1</f>
        <v>20</v>
      </c>
      <c r="C61" s="353" t="str">
        <f xml:space="preserve"> _xlfn.CONCAT( IF(OR(C$3=4, C$3=8),
_xlfn.XLOOKUP(($B61*2), 韻母表[序號], 韻母表[方音符號]),
_xlfn.XLOOKUP($B61, 韻母表[韻序], 韻母表[方音符號])
), _xlfn.XLOOKUP(C$3, 聲調符號表[調號], 聲調符號表[調符]))</f>
        <v>ㄨㄚ</v>
      </c>
      <c r="D61" s="353" t="str">
        <f xml:space="preserve"> _xlfn.CONCAT( IF(OR(D$3=4, D$3=8),
_xlfn.XLOOKUP(($B61*2), 韻母表[序號], 韻母表[方音符號]),
_xlfn.XLOOKUP($B61, 韻母表[韻序], 韻母表[方音符號])
), _xlfn.XLOOKUP(D$3, 聲調符號表[調號], 聲調符號表[調符]))</f>
        <v>ㄨㄚˋ</v>
      </c>
      <c r="E61" s="353" t="str">
        <f xml:space="preserve"> _xlfn.CONCAT( IF(OR(E$3=4, E$3=8),
_xlfn.XLOOKUP(($B61*2), 韻母表[序號], 韻母表[方音符號]),
_xlfn.XLOOKUP($B61, 韻母表[韻序], 韻母表[方音符號])
), _xlfn.XLOOKUP(E$3, 聲調符號表[調號], 聲調符號表[調符]))</f>
        <v>ㄨㄚ˪</v>
      </c>
      <c r="F61" s="353" t="str">
        <f xml:space="preserve"> _xlfn.CONCAT( IF(OR(F$3=4, F$3=8),
_xlfn.XLOOKUP(($B61*2), 韻母表[序號], 韻母表[方音符號]),
_xlfn.XLOOKUP($B61, 韻母表[韻序], 韻母表[方音符號])
), _xlfn.XLOOKUP(F$3, 聲調符號表[調號], 聲調符號表[調符]))</f>
        <v>ㄨㄚㆷ</v>
      </c>
      <c r="G61" s="353" t="str">
        <f xml:space="preserve"> _xlfn.CONCAT( IF(OR(G$3=4, G$3=8),
_xlfn.XLOOKUP(($B61*2), 韻母表[序號], 韻母表[方音符號]),
_xlfn.XLOOKUP($B61, 韻母表[韻序], 韻母表[方音符號])
), _xlfn.XLOOKUP(G$3, 聲調符號表[調號], 聲調符號表[調符]))</f>
        <v>ㄨㄚˊ</v>
      </c>
      <c r="H61" s="353" t="str">
        <f xml:space="preserve"> _xlfn.CONCAT( IF(OR(H$3=4, H$3=8),
_xlfn.XLOOKUP(($B61*2), 韻母表[序號], 韻母表[方音符號]),
_xlfn.XLOOKUP($B61, 韻母表[韻序], 韻母表[方音符號])
), _xlfn.XLOOKUP(H$3, 聲調符號表[調號], 聲調符號表[調符]))</f>
        <v>ㄨㄚˋ</v>
      </c>
      <c r="I61" s="353" t="str">
        <f xml:space="preserve"> _xlfn.CONCAT( IF(OR(I$3=4, I$3=8),
_xlfn.XLOOKUP(($B61*2), 韻母表[序號], 韻母表[方音符號]),
_xlfn.XLOOKUP($B61, 韻母表[韻序], 韻母表[方音符號])
), _xlfn.XLOOKUP(I$3, 聲調符號表[調號], 聲調符號表[調符]))</f>
        <v>ㄨㄚ˫</v>
      </c>
      <c r="J61" s="353" t="str">
        <f xml:space="preserve"> _xlfn.CONCAT( IF(OR(J$3=4, J$3=8),
_xlfn.XLOOKUP(($B61*2), 韻母表[序號], 韻母表[方音符號]),
_xlfn.XLOOKUP($B61, 韻母表[韻序], 韻母表[方音符號])
), _xlfn.XLOOKUP(J$3, 聲調符號表[調號], 聲調符號表[調符]))</f>
        <v>ㄨㄚㆷ˙</v>
      </c>
    </row>
    <row r="62" spans="2:10">
      <c r="B62" s="491">
        <v>4.5999999999999996</v>
      </c>
      <c r="C62" s="349" t="str" cm="1">
        <f t="array" ref="C62" xml:space="preserve"> INDEX(字母八音反切!$C$4:$J$53, $B61, C$3)</f>
        <v>瓜</v>
      </c>
      <c r="D62" s="349" t="str" cm="1">
        <f t="array" ref="D62" xml:space="preserve"> INDEX(字母八音反切!$C$4:$J$53, $B61, D$3)</f>
        <v>𠙼</v>
      </c>
      <c r="E62" s="349" t="str" cm="1">
        <f t="array" ref="E62" xml:space="preserve"> INDEX(字母八音反切!$C$4:$J$53, $B61, E$3)</f>
        <v>卦</v>
      </c>
      <c r="F62" s="352" t="str" cm="1">
        <f t="array" ref="F62" xml:space="preserve"> INDEX(字母八音反切!$C$4:$J$53, $B61, F$3)</f>
        <v>嘓</v>
      </c>
      <c r="G62" s="349" t="str" cm="1">
        <f t="array" ref="G62" xml:space="preserve"> INDEX(字母八音反切!$C$4:$J$53, $B61, G$3)</f>
        <v>○</v>
      </c>
      <c r="H62" s="349" t="str" cm="1">
        <f t="array" ref="H62" xml:space="preserve"> INDEX(字母八音反切!$C$4:$J$53, $B61, H$3)</f>
        <v>𠙼</v>
      </c>
      <c r="I62" s="349" t="str" cm="1">
        <f t="array" ref="I62" xml:space="preserve"> INDEX(字母八音反切!$C$4:$J$53, $B61, I$3)</f>
        <v>○</v>
      </c>
      <c r="J62" s="352" t="str" cm="1">
        <f t="array" ref="J62" xml:space="preserve"> INDEX(字母八音反切!$C$4:$J$53, $B61, J$3)</f>
        <v>○</v>
      </c>
    </row>
    <row r="63" spans="2:10" ht="23.25">
      <c r="B63" s="492"/>
      <c r="C63" s="350" t="str">
        <f xml:space="preserve"> _xlfn.CONCAT( IF(OR(C$3=4, C$3=8),
_xlfn.XLOOKUP(($B61*2), 韻母表[序號], 韻母表[台羅拼音]),
_xlfn.XLOOKUP($B61, 韻母表[韻序], 韻母表[台羅拼音])
), C$3)</f>
        <v>ua1</v>
      </c>
      <c r="D63" s="350" t="str">
        <f xml:space="preserve"> _xlfn.CONCAT( IF(OR(D$3=4, D$3=8),
_xlfn.XLOOKUP(($B61*2), 韻母表[序號], 韻母表[台羅拼音]),
_xlfn.XLOOKUP($B61, 韻母表[韻序], 韻母表[台羅拼音])
), D$3)</f>
        <v>ua2</v>
      </c>
      <c r="E63" s="350" t="str">
        <f xml:space="preserve"> _xlfn.CONCAT( IF(OR(E$3=4, E$3=8),
_xlfn.XLOOKUP(($B61*2), 韻母表[序號], 韻母表[台羅拼音]),
_xlfn.XLOOKUP($B61, 韻母表[韻序], 韻母表[台羅拼音])
), E$3)</f>
        <v>ua3</v>
      </c>
      <c r="F63" s="350" t="str">
        <f xml:space="preserve"> _xlfn.CONCAT( IF(OR(F$3=4, F$3=8),
_xlfn.XLOOKUP(($B61*2), 韻母表[序號], 韻母表[台羅拼音]),
_xlfn.XLOOKUP($B61, 韻母表[韻序], 韻母表[台羅拼音])
), F$3)</f>
        <v>uah4</v>
      </c>
      <c r="G63" s="350" t="str">
        <f xml:space="preserve"> _xlfn.CONCAT( IF(OR(G$3=4, G$3=8),
_xlfn.XLOOKUP(($B61*2), 韻母表[序號], 韻母表[台羅拼音]),
_xlfn.XLOOKUP($B61, 韻母表[韻序], 韻母表[台羅拼音])
), G$3)</f>
        <v>ua5</v>
      </c>
      <c r="H63" s="350" t="str">
        <f xml:space="preserve"> _xlfn.CONCAT( IF(OR(H$3=4, H$3=8),
_xlfn.XLOOKUP(($B61*2), 韻母表[序號], 韻母表[台羅拼音]),
_xlfn.XLOOKUP($B61, 韻母表[韻序], 韻母表[台羅拼音])
), H$3)</f>
        <v>ua6</v>
      </c>
      <c r="I63" s="350" t="str">
        <f xml:space="preserve"> _xlfn.CONCAT( IF(OR(I$3=4, I$3=8),
_xlfn.XLOOKUP(($B61*2), 韻母表[序號], 韻母表[台羅拼音]),
_xlfn.XLOOKUP($B61, 韻母表[韻序], 韻母表[台羅拼音])
), I$3)</f>
        <v>ua7</v>
      </c>
      <c r="J63" s="350" t="str">
        <f xml:space="preserve"> _xlfn.CONCAT( IF(OR(J$3=4, J$3=8),
_xlfn.XLOOKUP(($B61*2), 韻母表[序號], 韻母表[台羅拼音]),
_xlfn.XLOOKUP($B61, 韻母表[韻序], 韻母表[台羅拼音])
), J$3)</f>
        <v>uah8</v>
      </c>
    </row>
    <row r="64" spans="2:10" ht="20.25">
      <c r="B64" s="490">
        <f t="shared" ref="B64" si="15">B61+1</f>
        <v>21</v>
      </c>
      <c r="C64" s="353" t="str">
        <f xml:space="preserve"> _xlfn.CONCAT( IF(OR(C$3=4, C$3=8),
_xlfn.XLOOKUP(($B64*2), 韻母表[序號], 韻母表[方音符號]),
_xlfn.XLOOKUP($B64, 韻母表[韻序], 韻母表[方音符號])
), _xlfn.XLOOKUP(C$3, 聲調符號表[調號], 聲調符號表[調符]))</f>
        <v>ㄤ</v>
      </c>
      <c r="D64" s="353" t="str">
        <f xml:space="preserve"> _xlfn.CONCAT( IF(OR(D$3=4, D$3=8),
_xlfn.XLOOKUP(($B64*2), 韻母表[序號], 韻母表[方音符號]),
_xlfn.XLOOKUP($B64, 韻母表[韻序], 韻母表[方音符號])
), _xlfn.XLOOKUP(D$3, 聲調符號表[調號], 聲調符號表[調符]))</f>
        <v>ㄤˋ</v>
      </c>
      <c r="E64" s="353" t="str">
        <f xml:space="preserve"> _xlfn.CONCAT( IF(OR(E$3=4, E$3=8),
_xlfn.XLOOKUP(($B64*2), 韻母表[序號], 韻母表[方音符號]),
_xlfn.XLOOKUP($B64, 韻母表[韻序], 韻母表[方音符號])
), _xlfn.XLOOKUP(E$3, 聲調符號表[調號], 聲調符號表[調符]))</f>
        <v>ㄤ˪</v>
      </c>
      <c r="F64" s="353" t="str">
        <f xml:space="preserve"> _xlfn.CONCAT( IF(OR(F$3=4, F$3=8),
_xlfn.XLOOKUP(($B64*2), 韻母表[序號], 韻母表[方音符號]),
_xlfn.XLOOKUP($B64, 韻母表[韻序], 韻母表[方音符號])
), _xlfn.XLOOKUP(F$3, 聲調符號表[調號], 聲調符號表[調符]))</f>
        <v>ㄚㆻ</v>
      </c>
      <c r="G64" s="353" t="str">
        <f xml:space="preserve"> _xlfn.CONCAT( IF(OR(G$3=4, G$3=8),
_xlfn.XLOOKUP(($B64*2), 韻母表[序號], 韻母表[方音符號]),
_xlfn.XLOOKUP($B64, 韻母表[韻序], 韻母表[方音符號])
), _xlfn.XLOOKUP(G$3, 聲調符號表[調號], 聲調符號表[調符]))</f>
        <v>ㄤˊ</v>
      </c>
      <c r="H64" s="353" t="str">
        <f xml:space="preserve"> _xlfn.CONCAT( IF(OR(H$3=4, H$3=8),
_xlfn.XLOOKUP(($B64*2), 韻母表[序號], 韻母表[方音符號]),
_xlfn.XLOOKUP($B64, 韻母表[韻序], 韻母表[方音符號])
), _xlfn.XLOOKUP(H$3, 聲調符號表[調號], 聲調符號表[調符]))</f>
        <v>ㄤˋ</v>
      </c>
      <c r="I64" s="353" t="str">
        <f xml:space="preserve"> _xlfn.CONCAT( IF(OR(I$3=4, I$3=8),
_xlfn.XLOOKUP(($B64*2), 韻母表[序號], 韻母表[方音符號]),
_xlfn.XLOOKUP($B64, 韻母表[韻序], 韻母表[方音符號])
), _xlfn.XLOOKUP(I$3, 聲調符號表[調號], 聲調符號表[調符]))</f>
        <v>ㄤ˫</v>
      </c>
      <c r="J64" s="353" t="str">
        <f xml:space="preserve"> _xlfn.CONCAT( IF(OR(J$3=4, J$3=8),
_xlfn.XLOOKUP(($B64*2), 韻母表[序號], 韻母表[方音符號]),
_xlfn.XLOOKUP($B64, 韻母表[韻序], 韻母表[方音符號])
), _xlfn.XLOOKUP(J$3, 聲調符號表[調號], 聲調符號表[調符]))</f>
        <v>ㄚㆻ˙</v>
      </c>
    </row>
    <row r="65" spans="2:10">
      <c r="B65" s="491">
        <v>4.5999999999999996</v>
      </c>
      <c r="C65" s="349" t="str" cm="1">
        <f t="array" ref="C65" xml:space="preserve"> INDEX(字母八音反切!$C$4:$J$53, $B64, C$3)</f>
        <v>江</v>
      </c>
      <c r="D65" s="349" t="str" cm="1">
        <f t="array" ref="D65" xml:space="preserve"> INDEX(字母八音反切!$C$4:$J$53, $B64, D$3)</f>
        <v>港</v>
      </c>
      <c r="E65" s="349" t="str" cm="1">
        <f t="array" ref="E65" xml:space="preserve"> INDEX(字母八音反切!$C$4:$J$53, $B64, E$3)</f>
        <v>降</v>
      </c>
      <c r="F65" s="352" t="str" cm="1">
        <f t="array" ref="F65" xml:space="preserve"> INDEX(字母八音反切!$C$4:$J$53, $B64, F$3)</f>
        <v>角</v>
      </c>
      <c r="G65" s="349" t="str" cm="1">
        <f t="array" ref="G65" xml:space="preserve"> INDEX(字母八音反切!$C$4:$J$53, $B64, G$3)</f>
        <v>○</v>
      </c>
      <c r="H65" s="349" t="str" cm="1">
        <f t="array" ref="H65" xml:space="preserve"> INDEX(字母八音反切!$C$4:$J$53, $B64, H$3)</f>
        <v>港</v>
      </c>
      <c r="I65" s="349" t="str" cm="1">
        <f t="array" ref="I65" xml:space="preserve"> INDEX(字母八音反切!$C$4:$J$53, $B64, I$3)</f>
        <v>共</v>
      </c>
      <c r="J65" s="352" t="str" cm="1">
        <f t="array" ref="J65" xml:space="preserve"> INDEX(字母八音反切!$C$4:$J$53, $B64, J$3)</f>
        <v>磔</v>
      </c>
    </row>
    <row r="66" spans="2:10" ht="23.25">
      <c r="B66" s="492"/>
      <c r="C66" s="350" t="str">
        <f xml:space="preserve"> _xlfn.CONCAT( IF(OR(C$3=4, C$3=8),
_xlfn.XLOOKUP(($B64*2), 韻母表[序號], 韻母表[台羅拼音]),
_xlfn.XLOOKUP($B64, 韻母表[韻序], 韻母表[台羅拼音])
), C$3)</f>
        <v>ang1</v>
      </c>
      <c r="D66" s="350" t="str">
        <f xml:space="preserve"> _xlfn.CONCAT( IF(OR(D$3=4, D$3=8),
_xlfn.XLOOKUP(($B64*2), 韻母表[序號], 韻母表[台羅拼音]),
_xlfn.XLOOKUP($B64, 韻母表[韻序], 韻母表[台羅拼音])
), D$3)</f>
        <v>ang2</v>
      </c>
      <c r="E66" s="350" t="str">
        <f xml:space="preserve"> _xlfn.CONCAT( IF(OR(E$3=4, E$3=8),
_xlfn.XLOOKUP(($B64*2), 韻母表[序號], 韻母表[台羅拼音]),
_xlfn.XLOOKUP($B64, 韻母表[韻序], 韻母表[台羅拼音])
), E$3)</f>
        <v>ang3</v>
      </c>
      <c r="F66" s="350" t="str">
        <f xml:space="preserve"> _xlfn.CONCAT( IF(OR(F$3=4, F$3=8),
_xlfn.XLOOKUP(($B64*2), 韻母表[序號], 韻母表[台羅拼音]),
_xlfn.XLOOKUP($B64, 韻母表[韻序], 韻母表[台羅拼音])
), F$3)</f>
        <v>ak4</v>
      </c>
      <c r="G66" s="350" t="str">
        <f xml:space="preserve"> _xlfn.CONCAT( IF(OR(G$3=4, G$3=8),
_xlfn.XLOOKUP(($B64*2), 韻母表[序號], 韻母表[台羅拼音]),
_xlfn.XLOOKUP($B64, 韻母表[韻序], 韻母表[台羅拼音])
), G$3)</f>
        <v>ang5</v>
      </c>
      <c r="H66" s="350" t="str">
        <f xml:space="preserve"> _xlfn.CONCAT( IF(OR(H$3=4, H$3=8),
_xlfn.XLOOKUP(($B64*2), 韻母表[序號], 韻母表[台羅拼音]),
_xlfn.XLOOKUP($B64, 韻母表[韻序], 韻母表[台羅拼音])
), H$3)</f>
        <v>ang6</v>
      </c>
      <c r="I66" s="350" t="str">
        <f xml:space="preserve"> _xlfn.CONCAT( IF(OR(I$3=4, I$3=8),
_xlfn.XLOOKUP(($B64*2), 韻母表[序號], 韻母表[台羅拼音]),
_xlfn.XLOOKUP($B64, 韻母表[韻序], 韻母表[台羅拼音])
), I$3)</f>
        <v>ang7</v>
      </c>
      <c r="J66" s="350" t="str">
        <f xml:space="preserve"> _xlfn.CONCAT( IF(OR(J$3=4, J$3=8),
_xlfn.XLOOKUP(($B64*2), 韻母表[序號], 韻母表[台羅拼音]),
_xlfn.XLOOKUP($B64, 韻母表[韻序], 韻母表[台羅拼音])
), J$3)</f>
        <v>ak8</v>
      </c>
    </row>
    <row r="67" spans="2:10" ht="20.25">
      <c r="B67" s="490">
        <f t="shared" ref="B67" si="16">B64+1</f>
        <v>22</v>
      </c>
      <c r="C67" s="353" t="str">
        <f xml:space="preserve"> _xlfn.CONCAT( IF(OR(C$3=4, C$3=8),
_xlfn.XLOOKUP(($B67*2), 韻母表[序號], 韻母表[方音符號]),
_xlfn.XLOOKUP($B67, 韻母表[韻序], 韻母表[方音符號])
), _xlfn.XLOOKUP(C$3, 聲調符號表[調號], 聲調符號表[調符]))</f>
        <v>ㄧㆰ</v>
      </c>
      <c r="D67" s="353" t="str">
        <f xml:space="preserve"> _xlfn.CONCAT( IF(OR(D$3=4, D$3=8),
_xlfn.XLOOKUP(($B67*2), 韻母表[序號], 韻母表[方音符號]),
_xlfn.XLOOKUP($B67, 韻母表[韻序], 韻母表[方音符號])
), _xlfn.XLOOKUP(D$3, 聲調符號表[調號], 聲調符號表[調符]))</f>
        <v>ㄧㆰˋ</v>
      </c>
      <c r="E67" s="353" t="str">
        <f xml:space="preserve"> _xlfn.CONCAT( IF(OR(E$3=4, E$3=8),
_xlfn.XLOOKUP(($B67*2), 韻母表[序號], 韻母表[方音符號]),
_xlfn.XLOOKUP($B67, 韻母表[韻序], 韻母表[方音符號])
), _xlfn.XLOOKUP(E$3, 聲調符號表[調號], 聲調符號表[調符]))</f>
        <v>ㄧㆰ˪</v>
      </c>
      <c r="F67" s="353" t="str">
        <f xml:space="preserve"> _xlfn.CONCAT( IF(OR(F$3=4, F$3=8),
_xlfn.XLOOKUP(($B67*2), 韻母表[序號], 韻母表[方音符號]),
_xlfn.XLOOKUP($B67, 韻母表[韻序], 韻母表[方音符號])
), _xlfn.XLOOKUP(F$3, 聲調符號表[調號], 聲調符號表[調符]))</f>
        <v>ㄧㄚㆴ</v>
      </c>
      <c r="G67" s="353" t="str">
        <f xml:space="preserve"> _xlfn.CONCAT( IF(OR(G$3=4, G$3=8),
_xlfn.XLOOKUP(($B67*2), 韻母表[序號], 韻母表[方音符號]),
_xlfn.XLOOKUP($B67, 韻母表[韻序], 韻母表[方音符號])
), _xlfn.XLOOKUP(G$3, 聲調符號表[調號], 聲調符號表[調符]))</f>
        <v>ㄧㆰˊ</v>
      </c>
      <c r="H67" s="353" t="str">
        <f xml:space="preserve"> _xlfn.CONCAT( IF(OR(H$3=4, H$3=8),
_xlfn.XLOOKUP(($B67*2), 韻母表[序號], 韻母表[方音符號]),
_xlfn.XLOOKUP($B67, 韻母表[韻序], 韻母表[方音符號])
), _xlfn.XLOOKUP(H$3, 聲調符號表[調號], 聲調符號表[調符]))</f>
        <v>ㄧㆰˋ</v>
      </c>
      <c r="I67" s="353" t="str">
        <f xml:space="preserve"> _xlfn.CONCAT( IF(OR(I$3=4, I$3=8),
_xlfn.XLOOKUP(($B67*2), 韻母表[序號], 韻母表[方音符號]),
_xlfn.XLOOKUP($B67, 韻母表[韻序], 韻母表[方音符號])
), _xlfn.XLOOKUP(I$3, 聲調符號表[調號], 聲調符號表[調符]))</f>
        <v>ㄧㆰ˫</v>
      </c>
      <c r="J67" s="353" t="str">
        <f xml:space="preserve"> _xlfn.CONCAT( IF(OR(J$3=4, J$3=8),
_xlfn.XLOOKUP(($B67*2), 韻母表[序號], 韻母表[方音符號]),
_xlfn.XLOOKUP($B67, 韻母表[韻序], 韻母表[方音符號])
), _xlfn.XLOOKUP(J$3, 聲調符號表[調號], 聲調符號表[調符]))</f>
        <v>ㄧㄚㆴ˙</v>
      </c>
    </row>
    <row r="68" spans="2:10">
      <c r="B68" s="491">
        <v>4.5999999999999996</v>
      </c>
      <c r="C68" s="349" t="str" cm="1">
        <f t="array" ref="C68" xml:space="preserve"> INDEX(字母八音反切!$C$4:$J$53, $B67, C$3)</f>
        <v>兼</v>
      </c>
      <c r="D68" s="349" t="str" cm="1">
        <f t="array" ref="D68" xml:space="preserve"> INDEX(字母八音反切!$C$4:$J$53, $B67, D$3)</f>
        <v>檢</v>
      </c>
      <c r="E68" s="349" t="str" cm="1">
        <f t="array" ref="E68" xml:space="preserve"> INDEX(字母八音反切!$C$4:$J$53, $B67, E$3)</f>
        <v>劍</v>
      </c>
      <c r="F68" s="352" t="str" cm="1">
        <f t="array" ref="F68" xml:space="preserve"> INDEX(字母八音反切!$C$4:$J$53, $B67, F$3)</f>
        <v>夾</v>
      </c>
      <c r="G68" s="349" t="str" cm="1">
        <f t="array" ref="G68" xml:space="preserve"> INDEX(字母八音反切!$C$4:$J$53, $B67, G$3)</f>
        <v>鹹</v>
      </c>
      <c r="H68" s="349" t="str" cm="1">
        <f t="array" ref="H68" xml:space="preserve"> INDEX(字母八音反切!$C$4:$J$53, $B67, H$3)</f>
        <v>檢</v>
      </c>
      <c r="I68" s="349" t="str" cm="1">
        <f t="array" ref="I68" xml:space="preserve"> INDEX(字母八音反切!$C$4:$J$53, $B67, I$3)</f>
        <v>鐱</v>
      </c>
      <c r="J68" s="352" t="str" cm="1">
        <f t="array" ref="J68" xml:space="preserve"> INDEX(字母八音反切!$C$4:$J$53, $B67, J$3)</f>
        <v>○</v>
      </c>
    </row>
    <row r="69" spans="2:10" ht="23.25">
      <c r="B69" s="492"/>
      <c r="C69" s="350" t="str">
        <f xml:space="preserve"> _xlfn.CONCAT( IF(OR(C$3=4, C$3=8),
_xlfn.XLOOKUP(($B67*2), 韻母表[序號], 韻母表[台羅拼音]),
_xlfn.XLOOKUP($B67, 韻母表[韻序], 韻母表[台羅拼音])
), C$3)</f>
        <v>iam1</v>
      </c>
      <c r="D69" s="350" t="str">
        <f xml:space="preserve"> _xlfn.CONCAT( IF(OR(D$3=4, D$3=8),
_xlfn.XLOOKUP(($B67*2), 韻母表[序號], 韻母表[台羅拼音]),
_xlfn.XLOOKUP($B67, 韻母表[韻序], 韻母表[台羅拼音])
), D$3)</f>
        <v>iam2</v>
      </c>
      <c r="E69" s="350" t="str">
        <f xml:space="preserve"> _xlfn.CONCAT( IF(OR(E$3=4, E$3=8),
_xlfn.XLOOKUP(($B67*2), 韻母表[序號], 韻母表[台羅拼音]),
_xlfn.XLOOKUP($B67, 韻母表[韻序], 韻母表[台羅拼音])
), E$3)</f>
        <v>iam3</v>
      </c>
      <c r="F69" s="350" t="str">
        <f xml:space="preserve"> _xlfn.CONCAT( IF(OR(F$3=4, F$3=8),
_xlfn.XLOOKUP(($B67*2), 韻母表[序號], 韻母表[台羅拼音]),
_xlfn.XLOOKUP($B67, 韻母表[韻序], 韻母表[台羅拼音])
), F$3)</f>
        <v>iap4</v>
      </c>
      <c r="G69" s="350" t="str">
        <f xml:space="preserve"> _xlfn.CONCAT( IF(OR(G$3=4, G$3=8),
_xlfn.XLOOKUP(($B67*2), 韻母表[序號], 韻母表[台羅拼音]),
_xlfn.XLOOKUP($B67, 韻母表[韻序], 韻母表[台羅拼音])
), G$3)</f>
        <v>iam5</v>
      </c>
      <c r="H69" s="350" t="str">
        <f xml:space="preserve"> _xlfn.CONCAT( IF(OR(H$3=4, H$3=8),
_xlfn.XLOOKUP(($B67*2), 韻母表[序號], 韻母表[台羅拼音]),
_xlfn.XLOOKUP($B67, 韻母表[韻序], 韻母表[台羅拼音])
), H$3)</f>
        <v>iam6</v>
      </c>
      <c r="I69" s="350" t="str">
        <f xml:space="preserve"> _xlfn.CONCAT( IF(OR(I$3=4, I$3=8),
_xlfn.XLOOKUP(($B67*2), 韻母表[序號], 韻母表[台羅拼音]),
_xlfn.XLOOKUP($B67, 韻母表[韻序], 韻母表[台羅拼音])
), I$3)</f>
        <v>iam7</v>
      </c>
      <c r="J69" s="350" t="str">
        <f xml:space="preserve"> _xlfn.CONCAT( IF(OR(J$3=4, J$3=8),
_xlfn.XLOOKUP(($B67*2), 韻母表[序號], 韻母表[台羅拼音]),
_xlfn.XLOOKUP($B67, 韻母表[韻序], 韻母表[台羅拼音])
), J$3)</f>
        <v>iap8</v>
      </c>
    </row>
    <row r="70" spans="2:10" ht="20.25">
      <c r="B70" s="490">
        <f t="shared" ref="B70" si="17">B67+1</f>
        <v>23</v>
      </c>
      <c r="C70" s="353" t="str">
        <f xml:space="preserve"> _xlfn.CONCAT( IF(OR(C$3=4, C$3=8),
_xlfn.XLOOKUP(($B70*2), 韻母表[序號], 韻母表[方音符號]),
_xlfn.XLOOKUP($B70, 韻母表[韻序], 韻母表[方音符號])
), _xlfn.XLOOKUP(C$3, 聲調符號表[調號], 聲調符號表[調符]))</f>
        <v>ㄠ</v>
      </c>
      <c r="D70" s="353" t="str">
        <f xml:space="preserve"> _xlfn.CONCAT( IF(OR(D$3=4, D$3=8),
_xlfn.XLOOKUP(($B70*2), 韻母表[序號], 韻母表[方音符號]),
_xlfn.XLOOKUP($B70, 韻母表[韻序], 韻母表[方音符號])
), _xlfn.XLOOKUP(D$3, 聲調符號表[調號], 聲調符號表[調符]))</f>
        <v>ㄠˋ</v>
      </c>
      <c r="E70" s="353" t="str">
        <f xml:space="preserve"> _xlfn.CONCAT( IF(OR(E$3=4, E$3=8),
_xlfn.XLOOKUP(($B70*2), 韻母表[序號], 韻母表[方音符號]),
_xlfn.XLOOKUP($B70, 韻母表[韻序], 韻母表[方音符號])
), _xlfn.XLOOKUP(E$3, 聲調符號表[調號], 聲調符號表[調符]))</f>
        <v>ㄠ˪</v>
      </c>
      <c r="F70" s="353" t="str">
        <f xml:space="preserve"> _xlfn.CONCAT( IF(OR(F$3=4, F$3=8),
_xlfn.XLOOKUP(($B70*2), 韻母表[序號], 韻母表[方音符號]),
_xlfn.XLOOKUP($B70, 韻母表[韻序], 韻母表[方音符號])
), _xlfn.XLOOKUP(F$3, 聲調符號表[調號], 聲調符號表[調符]))</f>
        <v>ㄠㆷ</v>
      </c>
      <c r="G70" s="353" t="str">
        <f xml:space="preserve"> _xlfn.CONCAT( IF(OR(G$3=4, G$3=8),
_xlfn.XLOOKUP(($B70*2), 韻母表[序號], 韻母表[方音符號]),
_xlfn.XLOOKUP($B70, 韻母表[韻序], 韻母表[方音符號])
), _xlfn.XLOOKUP(G$3, 聲調符號表[調號], 聲調符號表[調符]))</f>
        <v>ㄠˊ</v>
      </c>
      <c r="H70" s="353" t="str">
        <f xml:space="preserve"> _xlfn.CONCAT( IF(OR(H$3=4, H$3=8),
_xlfn.XLOOKUP(($B70*2), 韻母表[序號], 韻母表[方音符號]),
_xlfn.XLOOKUP($B70, 韻母表[韻序], 韻母表[方音符號])
), _xlfn.XLOOKUP(H$3, 聲調符號表[調號], 聲調符號表[調符]))</f>
        <v>ㄠˋ</v>
      </c>
      <c r="I70" s="353" t="str">
        <f xml:space="preserve"> _xlfn.CONCAT( IF(OR(I$3=4, I$3=8),
_xlfn.XLOOKUP(($B70*2), 韻母表[序號], 韻母表[方音符號]),
_xlfn.XLOOKUP($B70, 韻母表[韻序], 韻母表[方音符號])
), _xlfn.XLOOKUP(I$3, 聲調符號表[調號], 聲調符號表[調符]))</f>
        <v>ㄠ˫</v>
      </c>
      <c r="J70" s="353" t="str">
        <f xml:space="preserve"> _xlfn.CONCAT( IF(OR(J$3=4, J$3=8),
_xlfn.XLOOKUP(($B70*2), 韻母表[序號], 韻母表[方音符號]),
_xlfn.XLOOKUP($B70, 韻母表[韻序], 韻母表[方音符號])
), _xlfn.XLOOKUP(J$3, 聲調符號表[調號], 聲調符號表[調符]))</f>
        <v>ㄠㆷ˙</v>
      </c>
    </row>
    <row r="71" spans="2:10">
      <c r="B71" s="491">
        <v>4.5999999999999996</v>
      </c>
      <c r="C71" s="349" t="str" cm="1">
        <f t="array" ref="C71" xml:space="preserve"> INDEX(字母八音反切!$C$4:$J$53, $B70, C$3)</f>
        <v>交</v>
      </c>
      <c r="D71" s="349" t="str" cm="1">
        <f t="array" ref="D71" xml:space="preserve"> INDEX(字母八音反切!$C$4:$J$53, $B70, D$3)</f>
        <v>狡</v>
      </c>
      <c r="E71" s="349" t="str" cm="1">
        <f t="array" ref="E71" xml:space="preserve"> INDEX(字母八音反切!$C$4:$J$53, $B70, E$3)</f>
        <v>教</v>
      </c>
      <c r="F71" s="352" t="str" cm="1">
        <f t="array" ref="F71" xml:space="preserve"> INDEX(字母八音反切!$C$4:$J$53, $B70, F$3)</f>
        <v>𩛩</v>
      </c>
      <c r="G71" s="349" t="str" cm="1">
        <f t="array" ref="G71" xml:space="preserve"> INDEX(字母八音反切!$C$4:$J$53, $B70, G$3)</f>
        <v>侯</v>
      </c>
      <c r="H71" s="349" t="str" cm="1">
        <f t="array" ref="H71" xml:space="preserve"> INDEX(字母八音反切!$C$4:$J$53, $B70, H$3)</f>
        <v>狡</v>
      </c>
      <c r="I71" s="349" t="str" cm="1">
        <f t="array" ref="I71" xml:space="preserve"> INDEX(字母八音反切!$C$4:$J$53, $B70, I$3)</f>
        <v>厚</v>
      </c>
      <c r="J71" s="352" t="str" cm="1">
        <f t="array" ref="J71" xml:space="preserve"> INDEX(字母八音反切!$C$4:$J$53, $B70, J$3)</f>
        <v>○</v>
      </c>
    </row>
    <row r="72" spans="2:10" ht="23.25">
      <c r="B72" s="492"/>
      <c r="C72" s="350" t="str">
        <f xml:space="preserve"> _xlfn.CONCAT( IF(OR(C$3=4, C$3=8),
_xlfn.XLOOKUP(($B70*2), 韻母表[序號], 韻母表[台羅拼音]),
_xlfn.XLOOKUP($B70, 韻母表[韻序], 韻母表[台羅拼音])
), C$3)</f>
        <v>au1</v>
      </c>
      <c r="D72" s="350" t="str">
        <f xml:space="preserve"> _xlfn.CONCAT( IF(OR(D$3=4, D$3=8),
_xlfn.XLOOKUP(($B70*2), 韻母表[序號], 韻母表[台羅拼音]),
_xlfn.XLOOKUP($B70, 韻母表[韻序], 韻母表[台羅拼音])
), D$3)</f>
        <v>au2</v>
      </c>
      <c r="E72" s="350" t="str">
        <f xml:space="preserve"> _xlfn.CONCAT( IF(OR(E$3=4, E$3=8),
_xlfn.XLOOKUP(($B70*2), 韻母表[序號], 韻母表[台羅拼音]),
_xlfn.XLOOKUP($B70, 韻母表[韻序], 韻母表[台羅拼音])
), E$3)</f>
        <v>au3</v>
      </c>
      <c r="F72" s="350" t="str">
        <f xml:space="preserve"> _xlfn.CONCAT( IF(OR(F$3=4, F$3=8),
_xlfn.XLOOKUP(($B70*2), 韻母表[序號], 韻母表[台羅拼音]),
_xlfn.XLOOKUP($B70, 韻母表[韻序], 韻母表[台羅拼音])
), F$3)</f>
        <v>auh4</v>
      </c>
      <c r="G72" s="350" t="str">
        <f xml:space="preserve"> _xlfn.CONCAT( IF(OR(G$3=4, G$3=8),
_xlfn.XLOOKUP(($B70*2), 韻母表[序號], 韻母表[台羅拼音]),
_xlfn.XLOOKUP($B70, 韻母表[韻序], 韻母表[台羅拼音])
), G$3)</f>
        <v>au5</v>
      </c>
      <c r="H72" s="350" t="str">
        <f xml:space="preserve"> _xlfn.CONCAT( IF(OR(H$3=4, H$3=8),
_xlfn.XLOOKUP(($B70*2), 韻母表[序號], 韻母表[台羅拼音]),
_xlfn.XLOOKUP($B70, 韻母表[韻序], 韻母表[台羅拼音])
), H$3)</f>
        <v>au6</v>
      </c>
      <c r="I72" s="350" t="str">
        <f xml:space="preserve"> _xlfn.CONCAT( IF(OR(I$3=4, I$3=8),
_xlfn.XLOOKUP(($B70*2), 韻母表[序號], 韻母表[台羅拼音]),
_xlfn.XLOOKUP($B70, 韻母表[韻序], 韻母表[台羅拼音])
), I$3)</f>
        <v>au7</v>
      </c>
      <c r="J72" s="350" t="str">
        <f xml:space="preserve"> _xlfn.CONCAT( IF(OR(J$3=4, J$3=8),
_xlfn.XLOOKUP(($B70*2), 韻母表[序號], 韻母表[台羅拼音]),
_xlfn.XLOOKUP($B70, 韻母表[韻序], 韻母表[台羅拼音])
), J$3)</f>
        <v>auh8</v>
      </c>
    </row>
    <row r="73" spans="2:10" ht="20.25">
      <c r="B73" s="490">
        <f t="shared" ref="B73" si="18">B70+1</f>
        <v>24</v>
      </c>
      <c r="C73" s="353" t="str">
        <f xml:space="preserve"> _xlfn.CONCAT( IF(OR(C$3=4, C$3=8),
_xlfn.XLOOKUP(($B73*2), 韻母表[序號], 韻母表[方音符號]),
_xlfn.XLOOKUP($B73, 韻母表[韻序], 韻母表[方音符號])
), _xlfn.XLOOKUP(C$3, 聲調符號表[調號], 聲調符號表[調符]))</f>
        <v>ㄧㄚ</v>
      </c>
      <c r="D73" s="353" t="str">
        <f xml:space="preserve"> _xlfn.CONCAT( IF(OR(D$3=4, D$3=8),
_xlfn.XLOOKUP(($B73*2), 韻母表[序號], 韻母表[方音符號]),
_xlfn.XLOOKUP($B73, 韻母表[韻序], 韻母表[方音符號])
), _xlfn.XLOOKUP(D$3, 聲調符號表[調號], 聲調符號表[調符]))</f>
        <v>ㄧㄚˋ</v>
      </c>
      <c r="E73" s="353" t="str">
        <f xml:space="preserve"> _xlfn.CONCAT( IF(OR(E$3=4, E$3=8),
_xlfn.XLOOKUP(($B73*2), 韻母表[序號], 韻母表[方音符號]),
_xlfn.XLOOKUP($B73, 韻母表[韻序], 韻母表[方音符號])
), _xlfn.XLOOKUP(E$3, 聲調符號表[調號], 聲調符號表[調符]))</f>
        <v>ㄧㄚ˪</v>
      </c>
      <c r="F73" s="353" t="str">
        <f xml:space="preserve"> _xlfn.CONCAT( IF(OR(F$3=4, F$3=8),
_xlfn.XLOOKUP(($B73*2), 韻母表[序號], 韻母表[方音符號]),
_xlfn.XLOOKUP($B73, 韻母表[韻序], 韻母表[方音符號])
), _xlfn.XLOOKUP(F$3, 聲調符號表[調號], 聲調符號表[調符]))</f>
        <v>ㄧㄚㆷ</v>
      </c>
      <c r="G73" s="353" t="str">
        <f xml:space="preserve"> _xlfn.CONCAT( IF(OR(G$3=4, G$3=8),
_xlfn.XLOOKUP(($B73*2), 韻母表[序號], 韻母表[方音符號]),
_xlfn.XLOOKUP($B73, 韻母表[韻序], 韻母表[方音符號])
), _xlfn.XLOOKUP(G$3, 聲調符號表[調號], 聲調符號表[調符]))</f>
        <v>ㄧㄚˊ</v>
      </c>
      <c r="H73" s="353" t="str">
        <f xml:space="preserve"> _xlfn.CONCAT( IF(OR(H$3=4, H$3=8),
_xlfn.XLOOKUP(($B73*2), 韻母表[序號], 韻母表[方音符號]),
_xlfn.XLOOKUP($B73, 韻母表[韻序], 韻母表[方音符號])
), _xlfn.XLOOKUP(H$3, 聲調符號表[調號], 聲調符號表[調符]))</f>
        <v>ㄧㄚˋ</v>
      </c>
      <c r="I73" s="353" t="str">
        <f xml:space="preserve"> _xlfn.CONCAT( IF(OR(I$3=4, I$3=8),
_xlfn.XLOOKUP(($B73*2), 韻母表[序號], 韻母表[方音符號]),
_xlfn.XLOOKUP($B73, 韻母表[韻序], 韻母表[方音符號])
), _xlfn.XLOOKUP(I$3, 聲調符號表[調號], 聲調符號表[調符]))</f>
        <v>ㄧㄚ˫</v>
      </c>
      <c r="J73" s="353" t="str">
        <f xml:space="preserve"> _xlfn.CONCAT( IF(OR(J$3=4, J$3=8),
_xlfn.XLOOKUP(($B73*2), 韻母表[序號], 韻母表[方音符號]),
_xlfn.XLOOKUP($B73, 韻母表[韻序], 韻母表[方音符號])
), _xlfn.XLOOKUP(J$3, 聲調符號表[調號], 聲調符號表[調符]))</f>
        <v>ㄧㄚㆷ˙</v>
      </c>
    </row>
    <row r="74" spans="2:10">
      <c r="B74" s="491">
        <v>4.5999999999999996</v>
      </c>
      <c r="C74" s="349" t="str" cm="1">
        <f t="array" ref="C74" xml:space="preserve"> INDEX(字母八音反切!$C$4:$J$53, $B73, C$3)</f>
        <v>迦</v>
      </c>
      <c r="D74" s="349" t="str" cm="1">
        <f t="array" ref="D74" xml:space="preserve"> INDEX(字母八音反切!$C$4:$J$53, $B73, D$3)</f>
        <v>○</v>
      </c>
      <c r="E74" s="349" t="str" cm="1">
        <f t="array" ref="E74" xml:space="preserve"> INDEX(字母八音反切!$C$4:$J$53, $B73, E$3)</f>
        <v>寄</v>
      </c>
      <c r="F74" s="352" t="str" cm="1">
        <f t="array" ref="F74" xml:space="preserve"> INDEX(字母八音反切!$C$4:$J$53, $B73, F$3)</f>
        <v>○</v>
      </c>
      <c r="G74" s="349" t="str" cm="1">
        <f t="array" ref="G74" xml:space="preserve"> INDEX(字母八音反切!$C$4:$J$53, $B73, G$3)</f>
        <v>伽</v>
      </c>
      <c r="H74" s="349" t="str" cm="1">
        <f t="array" ref="H74" xml:space="preserve"> INDEX(字母八音反切!$C$4:$J$53, $B73, H$3)</f>
        <v>○</v>
      </c>
      <c r="I74" s="349" t="str" cm="1">
        <f t="array" ref="I74" xml:space="preserve"> INDEX(字母八音反切!$C$4:$J$53, $B73, I$3)</f>
        <v>崎</v>
      </c>
      <c r="J74" s="352" t="str" cm="1">
        <f t="array" ref="J74" xml:space="preserve"> INDEX(字母八音反切!$C$4:$J$53, $B73, J$3)</f>
        <v>屐</v>
      </c>
    </row>
    <row r="75" spans="2:10" ht="23.25">
      <c r="B75" s="492"/>
      <c r="C75" s="350" t="str">
        <f xml:space="preserve"> _xlfn.CONCAT( IF(OR(C$3=4, C$3=8),
_xlfn.XLOOKUP(($B73*2), 韻母表[序號], 韻母表[台羅拼音]),
_xlfn.XLOOKUP($B73, 韻母表[韻序], 韻母表[台羅拼音])
), C$3)</f>
        <v>ia1</v>
      </c>
      <c r="D75" s="350" t="str">
        <f xml:space="preserve"> _xlfn.CONCAT( IF(OR(D$3=4, D$3=8),
_xlfn.XLOOKUP(($B73*2), 韻母表[序號], 韻母表[台羅拼音]),
_xlfn.XLOOKUP($B73, 韻母表[韻序], 韻母表[台羅拼音])
), D$3)</f>
        <v>ia2</v>
      </c>
      <c r="E75" s="350" t="str">
        <f xml:space="preserve"> _xlfn.CONCAT( IF(OR(E$3=4, E$3=8),
_xlfn.XLOOKUP(($B73*2), 韻母表[序號], 韻母表[台羅拼音]),
_xlfn.XLOOKUP($B73, 韻母表[韻序], 韻母表[台羅拼音])
), E$3)</f>
        <v>ia3</v>
      </c>
      <c r="F75" s="350" t="str">
        <f xml:space="preserve"> _xlfn.CONCAT( IF(OR(F$3=4, F$3=8),
_xlfn.XLOOKUP(($B73*2), 韻母表[序號], 韻母表[台羅拼音]),
_xlfn.XLOOKUP($B73, 韻母表[韻序], 韻母表[台羅拼音])
), F$3)</f>
        <v>iah4</v>
      </c>
      <c r="G75" s="350" t="str">
        <f xml:space="preserve"> _xlfn.CONCAT( IF(OR(G$3=4, G$3=8),
_xlfn.XLOOKUP(($B73*2), 韻母表[序號], 韻母表[台羅拼音]),
_xlfn.XLOOKUP($B73, 韻母表[韻序], 韻母表[台羅拼音])
), G$3)</f>
        <v>ia5</v>
      </c>
      <c r="H75" s="350" t="str">
        <f xml:space="preserve"> _xlfn.CONCAT( IF(OR(H$3=4, H$3=8),
_xlfn.XLOOKUP(($B73*2), 韻母表[序號], 韻母表[台羅拼音]),
_xlfn.XLOOKUP($B73, 韻母表[韻序], 韻母表[台羅拼音])
), H$3)</f>
        <v>ia6</v>
      </c>
      <c r="I75" s="350" t="str">
        <f xml:space="preserve"> _xlfn.CONCAT( IF(OR(I$3=4, I$3=8),
_xlfn.XLOOKUP(($B73*2), 韻母表[序號], 韻母表[台羅拼音]),
_xlfn.XLOOKUP($B73, 韻母表[韻序], 韻母表[台羅拼音])
), I$3)</f>
        <v>ia7</v>
      </c>
      <c r="J75" s="350" t="str">
        <f xml:space="preserve"> _xlfn.CONCAT( IF(OR(J$3=4, J$3=8),
_xlfn.XLOOKUP(($B73*2), 韻母表[序號], 韻母表[台羅拼音]),
_xlfn.XLOOKUP($B73, 韻母表[韻序], 韻母表[台羅拼音])
), J$3)</f>
        <v>iah8</v>
      </c>
    </row>
    <row r="76" spans="2:10" ht="20.25">
      <c r="B76" s="490">
        <f t="shared" ref="B76" si="19">B73+1</f>
        <v>25</v>
      </c>
      <c r="C76" s="353" t="str">
        <f xml:space="preserve"> _xlfn.CONCAT( IF(OR(C$3=4, C$3=8),
_xlfn.XLOOKUP(($B76*2), 韻母表[序號], 韻母表[方音符號]),
_xlfn.XLOOKUP($B76, 韻母表[韻序], 韻母表[方音符號])
), _xlfn.XLOOKUP(C$3, 聲調符號表[調號], 聲調符號表[調符]))</f>
        <v>ㄨㆤ</v>
      </c>
      <c r="D76" s="353" t="str">
        <f xml:space="preserve"> _xlfn.CONCAT( IF(OR(D$3=4, D$3=8),
_xlfn.XLOOKUP(($B76*2), 韻母表[序號], 韻母表[方音符號]),
_xlfn.XLOOKUP($B76, 韻母表[韻序], 韻母表[方音符號])
), _xlfn.XLOOKUP(D$3, 聲調符號表[調號], 聲調符號表[調符]))</f>
        <v>ㄨㆤˋ</v>
      </c>
      <c r="E76" s="353" t="str">
        <f xml:space="preserve"> _xlfn.CONCAT( IF(OR(E$3=4, E$3=8),
_xlfn.XLOOKUP(($B76*2), 韻母表[序號], 韻母表[方音符號]),
_xlfn.XLOOKUP($B76, 韻母表[韻序], 韻母表[方音符號])
), _xlfn.XLOOKUP(E$3, 聲調符號表[調號], 聲調符號表[調符]))</f>
        <v>ㄨㆤ˪</v>
      </c>
      <c r="F76" s="353" t="str">
        <f xml:space="preserve"> _xlfn.CONCAT( IF(OR(F$3=4, F$3=8),
_xlfn.XLOOKUP(($B76*2), 韻母表[序號], 韻母表[方音符號]),
_xlfn.XLOOKUP($B76, 韻母表[韻序], 韻母表[方音符號])
), _xlfn.XLOOKUP(F$3, 聲調符號表[調號], 聲調符號表[調符]))</f>
        <v>ㄨㆤㆷ</v>
      </c>
      <c r="G76" s="353" t="str">
        <f xml:space="preserve"> _xlfn.CONCAT( IF(OR(G$3=4, G$3=8),
_xlfn.XLOOKUP(($B76*2), 韻母表[序號], 韻母表[方音符號]),
_xlfn.XLOOKUP($B76, 韻母表[韻序], 韻母表[方音符號])
), _xlfn.XLOOKUP(G$3, 聲調符號表[調號], 聲調符號表[調符]))</f>
        <v>ㄨㆤˊ</v>
      </c>
      <c r="H76" s="353" t="str">
        <f xml:space="preserve"> _xlfn.CONCAT( IF(OR(H$3=4, H$3=8),
_xlfn.XLOOKUP(($B76*2), 韻母表[序號], 韻母表[方音符號]),
_xlfn.XLOOKUP($B76, 韻母表[韻序], 韻母表[方音符號])
), _xlfn.XLOOKUP(H$3, 聲調符號表[調號], 聲調符號表[調符]))</f>
        <v>ㄨㆤˋ</v>
      </c>
      <c r="I76" s="353" t="str">
        <f xml:space="preserve"> _xlfn.CONCAT( IF(OR(I$3=4, I$3=8),
_xlfn.XLOOKUP(($B76*2), 韻母表[序號], 韻母表[方音符號]),
_xlfn.XLOOKUP($B76, 韻母表[韻序], 韻母表[方音符號])
), _xlfn.XLOOKUP(I$3, 聲調符號表[調號], 聲調符號表[調符]))</f>
        <v>ㄨㆤ˫</v>
      </c>
      <c r="J76" s="353" t="str">
        <f xml:space="preserve"> _xlfn.CONCAT( IF(OR(J$3=4, J$3=8),
_xlfn.XLOOKUP(($B76*2), 韻母表[序號], 韻母表[方音符號]),
_xlfn.XLOOKUP($B76, 韻母表[韻序], 韻母表[方音符號])
), _xlfn.XLOOKUP(J$3, 聲調符號表[調號], 聲調符號表[調符]))</f>
        <v>ㄨㆤㆷ˙</v>
      </c>
    </row>
    <row r="77" spans="2:10">
      <c r="B77" s="491">
        <v>4.5999999999999996</v>
      </c>
      <c r="C77" s="349" t="str" cm="1">
        <f t="array" ref="C77" xml:space="preserve"> INDEX(字母八音反切!$C$4:$J$53, $B76, C$3)</f>
        <v>檜</v>
      </c>
      <c r="D77" s="349" t="str" cm="1">
        <f t="array" ref="D77" xml:space="preserve"> INDEX(字母八音反切!$C$4:$J$53, $B76, D$3)</f>
        <v>粿</v>
      </c>
      <c r="E77" s="349" t="str" cm="1">
        <f t="array" ref="E77" xml:space="preserve"> INDEX(字母八音反切!$C$4:$J$53, $B76, E$3)</f>
        <v>檜</v>
      </c>
      <c r="F77" s="352" t="str" cm="1">
        <f t="array" ref="F77" xml:space="preserve"> INDEX(字母八音反切!$C$4:$J$53, $B76, F$3)</f>
        <v>郭</v>
      </c>
      <c r="G77" s="349" t="str" cm="1">
        <f t="array" ref="G77" xml:space="preserve"> INDEX(字母八音反切!$C$4:$J$53, $B76, G$3)</f>
        <v>葵</v>
      </c>
      <c r="H77" s="349" t="str" cm="1">
        <f t="array" ref="H77" xml:space="preserve"> INDEX(字母八音反切!$C$4:$J$53, $B76, H$3)</f>
        <v>粿</v>
      </c>
      <c r="I77" s="349" t="str" cm="1">
        <f t="array" ref="I77" xml:space="preserve"> INDEX(字母八音反切!$C$4:$J$53, $B76, I$3)</f>
        <v>趶</v>
      </c>
      <c r="J77" s="352" t="str" cm="1">
        <f t="array" ref="J77" xml:space="preserve"> INDEX(字母八音反切!$C$4:$J$53, $B76, J$3)</f>
        <v>䭝</v>
      </c>
    </row>
    <row r="78" spans="2:10" ht="23.25">
      <c r="B78" s="492"/>
      <c r="C78" s="350" t="str">
        <f xml:space="preserve"> _xlfn.CONCAT( IF(OR(C$3=4, C$3=8),
_xlfn.XLOOKUP(($B76*2), 韻母表[序號], 韻母表[台羅拼音]),
_xlfn.XLOOKUP($B76, 韻母表[韻序], 韻母表[台羅拼音])
), C$3)</f>
        <v>ue1</v>
      </c>
      <c r="D78" s="350" t="str">
        <f xml:space="preserve"> _xlfn.CONCAT( IF(OR(D$3=4, D$3=8),
_xlfn.XLOOKUP(($B76*2), 韻母表[序號], 韻母表[台羅拼音]),
_xlfn.XLOOKUP($B76, 韻母表[韻序], 韻母表[台羅拼音])
), D$3)</f>
        <v>ue2</v>
      </c>
      <c r="E78" s="350" t="str">
        <f xml:space="preserve"> _xlfn.CONCAT( IF(OR(E$3=4, E$3=8),
_xlfn.XLOOKUP(($B76*2), 韻母表[序號], 韻母表[台羅拼音]),
_xlfn.XLOOKUP($B76, 韻母表[韻序], 韻母表[台羅拼音])
), E$3)</f>
        <v>ue3</v>
      </c>
      <c r="F78" s="350" t="str">
        <f xml:space="preserve"> _xlfn.CONCAT( IF(OR(F$3=4, F$3=8),
_xlfn.XLOOKUP(($B76*2), 韻母表[序號], 韻母表[台羅拼音]),
_xlfn.XLOOKUP($B76, 韻母表[韻序], 韻母表[台羅拼音])
), F$3)</f>
        <v>ueh4</v>
      </c>
      <c r="G78" s="350" t="str">
        <f xml:space="preserve"> _xlfn.CONCAT( IF(OR(G$3=4, G$3=8),
_xlfn.XLOOKUP(($B76*2), 韻母表[序號], 韻母表[台羅拼音]),
_xlfn.XLOOKUP($B76, 韻母表[韻序], 韻母表[台羅拼音])
), G$3)</f>
        <v>ue5</v>
      </c>
      <c r="H78" s="350" t="str">
        <f xml:space="preserve"> _xlfn.CONCAT( IF(OR(H$3=4, H$3=8),
_xlfn.XLOOKUP(($B76*2), 韻母表[序號], 韻母表[台羅拼音]),
_xlfn.XLOOKUP($B76, 韻母表[韻序], 韻母表[台羅拼音])
), H$3)</f>
        <v>ue6</v>
      </c>
      <c r="I78" s="350" t="str">
        <f xml:space="preserve"> _xlfn.CONCAT( IF(OR(I$3=4, I$3=8),
_xlfn.XLOOKUP(($B76*2), 韻母表[序號], 韻母表[台羅拼音]),
_xlfn.XLOOKUP($B76, 韻母表[韻序], 韻母表[台羅拼音])
), I$3)</f>
        <v>ue7</v>
      </c>
      <c r="J78" s="350" t="str">
        <f xml:space="preserve"> _xlfn.CONCAT( IF(OR(J$3=4, J$3=8),
_xlfn.XLOOKUP(($B76*2), 韻母表[序號], 韻母表[台羅拼音]),
_xlfn.XLOOKUP($B76, 韻母表[韻序], 韻母表[台羅拼音])
), J$3)</f>
        <v>ueh8</v>
      </c>
    </row>
    <row r="79" spans="2:10" ht="20.25">
      <c r="B79" s="490">
        <f t="shared" ref="B79" si="20">B76+1</f>
        <v>26</v>
      </c>
      <c r="C79" s="353" t="str">
        <f xml:space="preserve"> _xlfn.CONCAT( IF(OR(C$3=4, C$3=8),
_xlfn.XLOOKUP(($B79*2), 韻母表[序號], 韻母表[方音符號]),
_xlfn.XLOOKUP($B79, 韻母表[韻序], 韻母表[方音符號])
), _xlfn.XLOOKUP(C$3, 聲調符號表[調號], 聲調符號表[調符]))</f>
        <v>ㆩ</v>
      </c>
      <c r="D79" s="353" t="str">
        <f xml:space="preserve"> _xlfn.CONCAT( IF(OR(D$3=4, D$3=8),
_xlfn.XLOOKUP(($B79*2), 韻母表[序號], 韻母表[方音符號]),
_xlfn.XLOOKUP($B79, 韻母表[韻序], 韻母表[方音符號])
), _xlfn.XLOOKUP(D$3, 聲調符號表[調號], 聲調符號表[調符]))</f>
        <v>ㆩˋ</v>
      </c>
      <c r="E79" s="353" t="str">
        <f xml:space="preserve"> _xlfn.CONCAT( IF(OR(E$3=4, E$3=8),
_xlfn.XLOOKUP(($B79*2), 韻母表[序號], 韻母表[方音符號]),
_xlfn.XLOOKUP($B79, 韻母表[韻序], 韻母表[方音符號])
), _xlfn.XLOOKUP(E$3, 聲調符號表[調號], 聲調符號表[調符]))</f>
        <v>ㆩ˪</v>
      </c>
      <c r="F79" s="353" t="str">
        <f xml:space="preserve"> _xlfn.CONCAT( IF(OR(F$3=4, F$3=8),
_xlfn.XLOOKUP(($B79*2), 韻母表[序號], 韻母表[方音符號]),
_xlfn.XLOOKUP($B79, 韻母表[韻序], 韻母表[方音符號])
), _xlfn.XLOOKUP(F$3, 聲調符號表[調號], 聲調符號表[調符]))</f>
        <v>ㆩㆷ</v>
      </c>
      <c r="G79" s="353" t="str">
        <f xml:space="preserve"> _xlfn.CONCAT( IF(OR(G$3=4, G$3=8),
_xlfn.XLOOKUP(($B79*2), 韻母表[序號], 韻母表[方音符號]),
_xlfn.XLOOKUP($B79, 韻母表[韻序], 韻母表[方音符號])
), _xlfn.XLOOKUP(G$3, 聲調符號表[調號], 聲調符號表[調符]))</f>
        <v>ㆩˊ</v>
      </c>
      <c r="H79" s="353" t="str">
        <f xml:space="preserve"> _xlfn.CONCAT( IF(OR(H$3=4, H$3=8),
_xlfn.XLOOKUP(($B79*2), 韻母表[序號], 韻母表[方音符號]),
_xlfn.XLOOKUP($B79, 韻母表[韻序], 韻母表[方音符號])
), _xlfn.XLOOKUP(H$3, 聲調符號表[調號], 聲調符號表[調符]))</f>
        <v>ㆩˋ</v>
      </c>
      <c r="I79" s="353" t="str">
        <f xml:space="preserve"> _xlfn.CONCAT( IF(OR(I$3=4, I$3=8),
_xlfn.XLOOKUP(($B79*2), 韻母表[序號], 韻母表[方音符號]),
_xlfn.XLOOKUP($B79, 韻母表[韻序], 韻母表[方音符號])
), _xlfn.XLOOKUP(I$3, 聲調符號表[調號], 聲調符號表[調符]))</f>
        <v>ㆩ˫</v>
      </c>
      <c r="J79" s="353" t="str">
        <f xml:space="preserve"> _xlfn.CONCAT( IF(OR(J$3=4, J$3=8),
_xlfn.XLOOKUP(($B79*2), 韻母表[序號], 韻母表[方音符號]),
_xlfn.XLOOKUP($B79, 韻母表[韻序], 韻母表[方音符號])
), _xlfn.XLOOKUP(J$3, 聲調符號表[調號], 聲調符號表[調符]))</f>
        <v>ㆩㆷ˙</v>
      </c>
    </row>
    <row r="80" spans="2:10">
      <c r="B80" s="491">
        <v>4.5999999999999996</v>
      </c>
      <c r="C80" s="349" t="str" cm="1">
        <f t="array" ref="C80" xml:space="preserve"> INDEX(字母八音反切!$C$4:$J$53, $B79, C$3)</f>
        <v>監</v>
      </c>
      <c r="D80" s="349" t="str" cm="1">
        <f t="array" ref="D80" xml:space="preserve"> INDEX(字母八音反切!$C$4:$J$53, $B79, D$3)</f>
        <v>敢</v>
      </c>
      <c r="E80" s="349" t="str" cm="1">
        <f t="array" ref="E80" xml:space="preserve"> INDEX(字母八音反切!$C$4:$J$53, $B79, E$3)</f>
        <v>酵</v>
      </c>
      <c r="F80" s="352" t="str" cm="1">
        <f t="array" ref="F80" xml:space="preserve"> INDEX(字母八音反切!$C$4:$J$53, $B79, F$3)</f>
        <v>○</v>
      </c>
      <c r="G80" s="349" t="str" cm="1">
        <f t="array" ref="G80" xml:space="preserve"> INDEX(字母八音反切!$C$4:$J$53, $B79, G$3)</f>
        <v>㩜</v>
      </c>
      <c r="H80" s="349" t="str" cm="1">
        <f t="array" ref="H80" xml:space="preserve"> INDEX(字母八音反切!$C$4:$J$53, $B79, H$3)</f>
        <v>敢</v>
      </c>
      <c r="I80" s="349" t="str" cm="1">
        <f t="array" ref="I80" xml:space="preserve"> INDEX(字母八音反切!$C$4:$J$53, $B79, I$3)</f>
        <v>○</v>
      </c>
      <c r="J80" s="352" t="str" cm="1">
        <f t="array" ref="J80" xml:space="preserve"> INDEX(字母八音反切!$C$4:$J$53, $B79, J$3)</f>
        <v>○</v>
      </c>
    </row>
    <row r="81" spans="2:10" ht="23.25">
      <c r="B81" s="492"/>
      <c r="C81" s="350" t="str">
        <f xml:space="preserve"> _xlfn.CONCAT( IF(OR(C$3=4, C$3=8),
_xlfn.XLOOKUP(($B79*2), 韻母表[序號], 韻母表[台羅拼音]),
_xlfn.XLOOKUP($B79, 韻母表[韻序], 韻母表[台羅拼音])
), C$3)</f>
        <v>ann1</v>
      </c>
      <c r="D81" s="350" t="str">
        <f xml:space="preserve"> _xlfn.CONCAT( IF(OR(D$3=4, D$3=8),
_xlfn.XLOOKUP(($B79*2), 韻母表[序號], 韻母表[台羅拼音]),
_xlfn.XLOOKUP($B79, 韻母表[韻序], 韻母表[台羅拼音])
), D$3)</f>
        <v>ann2</v>
      </c>
      <c r="E81" s="350" t="str">
        <f xml:space="preserve"> _xlfn.CONCAT( IF(OR(E$3=4, E$3=8),
_xlfn.XLOOKUP(($B79*2), 韻母表[序號], 韻母表[台羅拼音]),
_xlfn.XLOOKUP($B79, 韻母表[韻序], 韻母表[台羅拼音])
), E$3)</f>
        <v>ann3</v>
      </c>
      <c r="F81" s="350" t="str">
        <f xml:space="preserve"> _xlfn.CONCAT( IF(OR(F$3=4, F$3=8),
_xlfn.XLOOKUP(($B79*2), 韻母表[序號], 韻母表[台羅拼音]),
_xlfn.XLOOKUP($B79, 韻母表[韻序], 韻母表[台羅拼音])
), F$3)</f>
        <v>annh4</v>
      </c>
      <c r="G81" s="350" t="str">
        <f xml:space="preserve"> _xlfn.CONCAT( IF(OR(G$3=4, G$3=8),
_xlfn.XLOOKUP(($B79*2), 韻母表[序號], 韻母表[台羅拼音]),
_xlfn.XLOOKUP($B79, 韻母表[韻序], 韻母表[台羅拼音])
), G$3)</f>
        <v>ann5</v>
      </c>
      <c r="H81" s="350" t="str">
        <f xml:space="preserve"> _xlfn.CONCAT( IF(OR(H$3=4, H$3=8),
_xlfn.XLOOKUP(($B79*2), 韻母表[序號], 韻母表[台羅拼音]),
_xlfn.XLOOKUP($B79, 韻母表[韻序], 韻母表[台羅拼音])
), H$3)</f>
        <v>ann6</v>
      </c>
      <c r="I81" s="350" t="str">
        <f xml:space="preserve"> _xlfn.CONCAT( IF(OR(I$3=4, I$3=8),
_xlfn.XLOOKUP(($B79*2), 韻母表[序號], 韻母表[台羅拼音]),
_xlfn.XLOOKUP($B79, 韻母表[韻序], 韻母表[台羅拼音])
), I$3)</f>
        <v>ann7</v>
      </c>
      <c r="J81" s="350" t="str">
        <f xml:space="preserve"> _xlfn.CONCAT( IF(OR(J$3=4, J$3=8),
_xlfn.XLOOKUP(($B79*2), 韻母表[序號], 韻母表[台羅拼音]),
_xlfn.XLOOKUP($B79, 韻母表[韻序], 韻母表[台羅拼音])
), J$3)</f>
        <v>annh8</v>
      </c>
    </row>
    <row r="82" spans="2:10" ht="20.25">
      <c r="B82" s="490">
        <f t="shared" ref="B82" si="21">B79+1</f>
        <v>27</v>
      </c>
      <c r="C82" s="353" t="str">
        <f xml:space="preserve"> _xlfn.CONCAT( IF(OR(C$3=4, C$3=8),
_xlfn.XLOOKUP(($B82*2), 韻母表[序號], 韻母表[方音符號]),
_xlfn.XLOOKUP($B82, 韻母表[韻序], 韻母表[方音符號])
), _xlfn.XLOOKUP(C$3, 聲調符號表[調號], 聲調符號表[調符]))</f>
        <v>ㄨ</v>
      </c>
      <c r="D82" s="353" t="str">
        <f xml:space="preserve"> _xlfn.CONCAT( IF(OR(D$3=4, D$3=8),
_xlfn.XLOOKUP(($B82*2), 韻母表[序號], 韻母表[方音符號]),
_xlfn.XLOOKUP($B82, 韻母表[韻序], 韻母表[方音符號])
), _xlfn.XLOOKUP(D$3, 聲調符號表[調號], 聲調符號表[調符]))</f>
        <v>ㄨˋ</v>
      </c>
      <c r="E82" s="353" t="str">
        <f xml:space="preserve"> _xlfn.CONCAT( IF(OR(E$3=4, E$3=8),
_xlfn.XLOOKUP(($B82*2), 韻母表[序號], 韻母表[方音符號]),
_xlfn.XLOOKUP($B82, 韻母表[韻序], 韻母表[方音符號])
), _xlfn.XLOOKUP(E$3, 聲調符號表[調號], 聲調符號表[調符]))</f>
        <v>ㄨ˪</v>
      </c>
      <c r="F82" s="353" t="str">
        <f xml:space="preserve"> _xlfn.CONCAT( IF(OR(F$3=4, F$3=8),
_xlfn.XLOOKUP(($B82*2), 韻母表[序號], 韻母表[方音符號]),
_xlfn.XLOOKUP($B82, 韻母表[韻序], 韻母表[方音符號])
), _xlfn.XLOOKUP(F$3, 聲調符號表[調號], 聲調符號表[調符]))</f>
        <v>ㄨㆷ</v>
      </c>
      <c r="G82" s="353" t="str">
        <f xml:space="preserve"> _xlfn.CONCAT( IF(OR(G$3=4, G$3=8),
_xlfn.XLOOKUP(($B82*2), 韻母表[序號], 韻母表[方音符號]),
_xlfn.XLOOKUP($B82, 韻母表[韻序], 韻母表[方音符號])
), _xlfn.XLOOKUP(G$3, 聲調符號表[調號], 聲調符號表[調符]))</f>
        <v>ㄨˊ</v>
      </c>
      <c r="H82" s="353" t="str">
        <f xml:space="preserve"> _xlfn.CONCAT( IF(OR(H$3=4, H$3=8),
_xlfn.XLOOKUP(($B82*2), 韻母表[序號], 韻母表[方音符號]),
_xlfn.XLOOKUP($B82, 韻母表[韻序], 韻母表[方音符號])
), _xlfn.XLOOKUP(H$3, 聲調符號表[調號], 聲調符號表[調符]))</f>
        <v>ㄨˋ</v>
      </c>
      <c r="I82" s="353" t="str">
        <f xml:space="preserve"> _xlfn.CONCAT( IF(OR(I$3=4, I$3=8),
_xlfn.XLOOKUP(($B82*2), 韻母表[序號], 韻母表[方音符號]),
_xlfn.XLOOKUP($B82, 韻母表[韻序], 韻母表[方音符號])
), _xlfn.XLOOKUP(I$3, 聲調符號表[調號], 聲調符號表[調符]))</f>
        <v>ㄨ˫</v>
      </c>
      <c r="J82" s="353" t="str">
        <f xml:space="preserve"> _xlfn.CONCAT( IF(OR(J$3=4, J$3=8),
_xlfn.XLOOKUP(($B82*2), 韻母表[序號], 韻母表[方音符號]),
_xlfn.XLOOKUP($B82, 韻母表[韻序], 韻母表[方音符號])
), _xlfn.XLOOKUP(J$3, 聲調符號表[調號], 聲調符號表[調符]))</f>
        <v>ㄨㆷ˙</v>
      </c>
    </row>
    <row r="83" spans="2:10">
      <c r="B83" s="491">
        <v>4.5999999999999996</v>
      </c>
      <c r="C83" s="349" t="str" cm="1">
        <f t="array" ref="C83" xml:space="preserve"> INDEX(字母八音反切!$C$4:$J$53, $B82, C$3)</f>
        <v>艍</v>
      </c>
      <c r="D83" s="349" t="str" cm="1">
        <f t="array" ref="D83" xml:space="preserve"> INDEX(字母八音反切!$C$4:$J$53, $B82, D$3)</f>
        <v>韮</v>
      </c>
      <c r="E83" s="349" t="str" cm="1">
        <f t="array" ref="E83" xml:space="preserve"> INDEX(字母八音反切!$C$4:$J$53, $B82, E$3)</f>
        <v>句</v>
      </c>
      <c r="F83" s="352" t="str" cm="1">
        <f t="array" ref="F83" xml:space="preserve"> INDEX(字母八音反切!$C$4:$J$53, $B82, F$3)</f>
        <v>𣢯</v>
      </c>
      <c r="G83" s="349" t="str" cm="1">
        <f t="array" ref="G83" xml:space="preserve"> INDEX(字母八音反切!$C$4:$J$53, $B82, G$3)</f>
        <v>𨬡</v>
      </c>
      <c r="H83" s="349" t="str" cm="1">
        <f t="array" ref="H83" xml:space="preserve"> INDEX(字母八音反切!$C$4:$J$53, $B82, H$3)</f>
        <v>韮</v>
      </c>
      <c r="I83" s="349" t="str" cm="1">
        <f t="array" ref="I83" xml:space="preserve"> INDEX(字母八音反切!$C$4:$J$53, $B82, I$3)</f>
        <v>舅</v>
      </c>
      <c r="J83" s="352" t="str" cm="1">
        <f t="array" ref="J83" xml:space="preserve"> INDEX(字母八音反切!$C$4:$J$53, $B82, J$3)</f>
        <v>○</v>
      </c>
    </row>
    <row r="84" spans="2:10" ht="23.25">
      <c r="B84" s="492"/>
      <c r="C84" s="350" t="str">
        <f xml:space="preserve"> _xlfn.CONCAT( IF(OR(C$3=4, C$3=8),
_xlfn.XLOOKUP(($B82*2), 韻母表[序號], 韻母表[台羅拼音]),
_xlfn.XLOOKUP($B82, 韻母表[韻序], 韻母表[台羅拼音])
), C$3)</f>
        <v>u1</v>
      </c>
      <c r="D84" s="350" t="str">
        <f xml:space="preserve"> _xlfn.CONCAT( IF(OR(D$3=4, D$3=8),
_xlfn.XLOOKUP(($B82*2), 韻母表[序號], 韻母表[台羅拼音]),
_xlfn.XLOOKUP($B82, 韻母表[韻序], 韻母表[台羅拼音])
), D$3)</f>
        <v>u2</v>
      </c>
      <c r="E84" s="350" t="str">
        <f xml:space="preserve"> _xlfn.CONCAT( IF(OR(E$3=4, E$3=8),
_xlfn.XLOOKUP(($B82*2), 韻母表[序號], 韻母表[台羅拼音]),
_xlfn.XLOOKUP($B82, 韻母表[韻序], 韻母表[台羅拼音])
), E$3)</f>
        <v>u3</v>
      </c>
      <c r="F84" s="350" t="str">
        <f xml:space="preserve"> _xlfn.CONCAT( IF(OR(F$3=4, F$3=8),
_xlfn.XLOOKUP(($B82*2), 韻母表[序號], 韻母表[台羅拼音]),
_xlfn.XLOOKUP($B82, 韻母表[韻序], 韻母表[台羅拼音])
), F$3)</f>
        <v>uh4</v>
      </c>
      <c r="G84" s="350" t="str">
        <f xml:space="preserve"> _xlfn.CONCAT( IF(OR(G$3=4, G$3=8),
_xlfn.XLOOKUP(($B82*2), 韻母表[序號], 韻母表[台羅拼音]),
_xlfn.XLOOKUP($B82, 韻母表[韻序], 韻母表[台羅拼音])
), G$3)</f>
        <v>u5</v>
      </c>
      <c r="H84" s="350" t="str">
        <f xml:space="preserve"> _xlfn.CONCAT( IF(OR(H$3=4, H$3=8),
_xlfn.XLOOKUP(($B82*2), 韻母表[序號], 韻母表[台羅拼音]),
_xlfn.XLOOKUP($B82, 韻母表[韻序], 韻母表[台羅拼音])
), H$3)</f>
        <v>u6</v>
      </c>
      <c r="I84" s="350" t="str">
        <f xml:space="preserve"> _xlfn.CONCAT( IF(OR(I$3=4, I$3=8),
_xlfn.XLOOKUP(($B82*2), 韻母表[序號], 韻母表[台羅拼音]),
_xlfn.XLOOKUP($B82, 韻母表[韻序], 韻母表[台羅拼音])
), I$3)</f>
        <v>u7</v>
      </c>
      <c r="J84" s="350" t="str">
        <f xml:space="preserve"> _xlfn.CONCAT( IF(OR(J$3=4, J$3=8),
_xlfn.XLOOKUP(($B82*2), 韻母表[序號], 韻母表[台羅拼音]),
_xlfn.XLOOKUP($B82, 韻母表[韻序], 韻母表[台羅拼音])
), J$3)</f>
        <v>uh8</v>
      </c>
    </row>
    <row r="85" spans="2:10" ht="20.25">
      <c r="B85" s="490">
        <f t="shared" ref="B85" si="22">B82+1</f>
        <v>28</v>
      </c>
      <c r="C85" s="353" t="str">
        <f xml:space="preserve"> _xlfn.CONCAT( IF(OR(C$3=4, C$3=8),
_xlfn.XLOOKUP(($B85*2), 韻母表[序號], 韻母表[方音符號]),
_xlfn.XLOOKUP($B85, 韻母表[韻序], 韻母表[方音符號])
), _xlfn.XLOOKUP(C$3, 聲調符號表[調號], 聲調符號表[調符]))</f>
        <v>ㄚ</v>
      </c>
      <c r="D85" s="353" t="str">
        <f xml:space="preserve"> _xlfn.CONCAT( IF(OR(D$3=4, D$3=8),
_xlfn.XLOOKUP(($B85*2), 韻母表[序號], 韻母表[方音符號]),
_xlfn.XLOOKUP($B85, 韻母表[韻序], 韻母表[方音符號])
), _xlfn.XLOOKUP(D$3, 聲調符號表[調號], 聲調符號表[調符]))</f>
        <v>ㄚˋ</v>
      </c>
      <c r="E85" s="353" t="str">
        <f xml:space="preserve"> _xlfn.CONCAT( IF(OR(E$3=4, E$3=8),
_xlfn.XLOOKUP(($B85*2), 韻母表[序號], 韻母表[方音符號]),
_xlfn.XLOOKUP($B85, 韻母表[韻序], 韻母表[方音符號])
), _xlfn.XLOOKUP(E$3, 聲調符號表[調號], 聲調符號表[調符]))</f>
        <v>ㄚ˪</v>
      </c>
      <c r="F85" s="353" t="str">
        <f xml:space="preserve"> _xlfn.CONCAT( IF(OR(F$3=4, F$3=8),
_xlfn.XLOOKUP(($B85*2), 韻母表[序號], 韻母表[方音符號]),
_xlfn.XLOOKUP($B85, 韻母表[韻序], 韻母表[方音符號])
), _xlfn.XLOOKUP(F$3, 聲調符號表[調號], 聲調符號表[調符]))</f>
        <v>ㄚㆷ</v>
      </c>
      <c r="G85" s="353" t="str">
        <f xml:space="preserve"> _xlfn.CONCAT( IF(OR(G$3=4, G$3=8),
_xlfn.XLOOKUP(($B85*2), 韻母表[序號], 韻母表[方音符號]),
_xlfn.XLOOKUP($B85, 韻母表[韻序], 韻母表[方音符號])
), _xlfn.XLOOKUP(G$3, 聲調符號表[調號], 聲調符號表[調符]))</f>
        <v>ㄚˊ</v>
      </c>
      <c r="H85" s="353" t="str">
        <f xml:space="preserve"> _xlfn.CONCAT( IF(OR(H$3=4, H$3=8),
_xlfn.XLOOKUP(($B85*2), 韻母表[序號], 韻母表[方音符號]),
_xlfn.XLOOKUP($B85, 韻母表[韻序], 韻母表[方音符號])
), _xlfn.XLOOKUP(H$3, 聲調符號表[調號], 聲調符號表[調符]))</f>
        <v>ㄚˋ</v>
      </c>
      <c r="I85" s="353" t="str">
        <f xml:space="preserve"> _xlfn.CONCAT( IF(OR(I$3=4, I$3=8),
_xlfn.XLOOKUP(($B85*2), 韻母表[序號], 韻母表[方音符號]),
_xlfn.XLOOKUP($B85, 韻母表[韻序], 韻母表[方音符號])
), _xlfn.XLOOKUP(I$3, 聲調符號表[調號], 聲調符號表[調符]))</f>
        <v>ㄚ˫</v>
      </c>
      <c r="J85" s="353" t="str">
        <f xml:space="preserve"> _xlfn.CONCAT( IF(OR(J$3=4, J$3=8),
_xlfn.XLOOKUP(($B85*2), 韻母表[序號], 韻母表[方音符號]),
_xlfn.XLOOKUP($B85, 韻母表[韻序], 韻母表[方音符號])
), _xlfn.XLOOKUP(J$3, 聲調符號表[調號], 聲調符號表[調符]))</f>
        <v>ㄚㆷ˙</v>
      </c>
    </row>
    <row r="86" spans="2:10">
      <c r="B86" s="491">
        <v>4.5999999999999996</v>
      </c>
      <c r="C86" s="349" t="str" cm="1">
        <f t="array" ref="C86" xml:space="preserve"> INDEX(字母八音反切!$C$4:$J$53, $B85, C$3)</f>
        <v>膠</v>
      </c>
      <c r="D86" s="349" t="str" cm="1">
        <f t="array" ref="D86" xml:space="preserve"> INDEX(字母八音反切!$C$4:$J$53, $B85, D$3)</f>
        <v>絞</v>
      </c>
      <c r="E86" s="349" t="str" cm="1">
        <f t="array" ref="E86" xml:space="preserve"> INDEX(字母八音反切!$C$4:$J$53, $B85, E$3)</f>
        <v>教</v>
      </c>
      <c r="F86" s="352" t="str" cm="1">
        <f t="array" ref="F86" xml:space="preserve"> INDEX(字母八音反切!$C$4:$J$53, $B85, F$3)</f>
        <v>甲</v>
      </c>
      <c r="G86" s="349" t="str" cm="1">
        <f t="array" ref="G86" xml:space="preserve"> INDEX(字母八音反切!$C$4:$J$53, $B85, G$3)</f>
        <v>○</v>
      </c>
      <c r="H86" s="349" t="str" cm="1">
        <f t="array" ref="H86" xml:space="preserve"> INDEX(字母八音反切!$C$4:$J$53, $B85, H$3)</f>
        <v>絞</v>
      </c>
      <c r="I86" s="349" t="str" cm="1">
        <f t="array" ref="I86" xml:space="preserve"> INDEX(字母八音反切!$C$4:$J$53, $B85, I$3)</f>
        <v>齩</v>
      </c>
      <c r="J86" s="352" t="str" cm="1">
        <f t="array" ref="J86" xml:space="preserve"> INDEX(字母八音反切!$C$4:$J$53, $B85, J$3)</f>
        <v>○</v>
      </c>
    </row>
    <row r="87" spans="2:10" ht="23.25">
      <c r="B87" s="492"/>
      <c r="C87" s="350" t="str">
        <f xml:space="preserve"> _xlfn.CONCAT( IF(OR(C$3=4, C$3=8),
_xlfn.XLOOKUP(($B85*2), 韻母表[序號], 韻母表[台羅拼音]),
_xlfn.XLOOKUP($B85, 韻母表[韻序], 韻母表[台羅拼音])
), C$3)</f>
        <v>a1</v>
      </c>
      <c r="D87" s="350" t="str">
        <f xml:space="preserve"> _xlfn.CONCAT( IF(OR(D$3=4, D$3=8),
_xlfn.XLOOKUP(($B85*2), 韻母表[序號], 韻母表[台羅拼音]),
_xlfn.XLOOKUP($B85, 韻母表[韻序], 韻母表[台羅拼音])
), D$3)</f>
        <v>a2</v>
      </c>
      <c r="E87" s="350" t="str">
        <f xml:space="preserve"> _xlfn.CONCAT( IF(OR(E$3=4, E$3=8),
_xlfn.XLOOKUP(($B85*2), 韻母表[序號], 韻母表[台羅拼音]),
_xlfn.XLOOKUP($B85, 韻母表[韻序], 韻母表[台羅拼音])
), E$3)</f>
        <v>a3</v>
      </c>
      <c r="F87" s="350" t="str">
        <f xml:space="preserve"> _xlfn.CONCAT( IF(OR(F$3=4, F$3=8),
_xlfn.XLOOKUP(($B85*2), 韻母表[序號], 韻母表[台羅拼音]),
_xlfn.XLOOKUP($B85, 韻母表[韻序], 韻母表[台羅拼音])
), F$3)</f>
        <v>ah4</v>
      </c>
      <c r="G87" s="350" t="str">
        <f xml:space="preserve"> _xlfn.CONCAT( IF(OR(G$3=4, G$3=8),
_xlfn.XLOOKUP(($B85*2), 韻母表[序號], 韻母表[台羅拼音]),
_xlfn.XLOOKUP($B85, 韻母表[韻序], 韻母表[台羅拼音])
), G$3)</f>
        <v>a5</v>
      </c>
      <c r="H87" s="350" t="str">
        <f xml:space="preserve"> _xlfn.CONCAT( IF(OR(H$3=4, H$3=8),
_xlfn.XLOOKUP(($B85*2), 韻母表[序號], 韻母表[台羅拼音]),
_xlfn.XLOOKUP($B85, 韻母表[韻序], 韻母表[台羅拼音])
), H$3)</f>
        <v>a6</v>
      </c>
      <c r="I87" s="350" t="str">
        <f xml:space="preserve"> _xlfn.CONCAT( IF(OR(I$3=4, I$3=8),
_xlfn.XLOOKUP(($B85*2), 韻母表[序號], 韻母表[台羅拼音]),
_xlfn.XLOOKUP($B85, 韻母表[韻序], 韻母表[台羅拼音])
), I$3)</f>
        <v>a7</v>
      </c>
      <c r="J87" s="350" t="str">
        <f xml:space="preserve"> _xlfn.CONCAT( IF(OR(J$3=4, J$3=8),
_xlfn.XLOOKUP(($B85*2), 韻母表[序號], 韻母表[台羅拼音]),
_xlfn.XLOOKUP($B85, 韻母表[韻序], 韻母表[台羅拼音])
), J$3)</f>
        <v>ah8</v>
      </c>
    </row>
    <row r="88" spans="2:10" ht="20.25">
      <c r="B88" s="490">
        <f t="shared" ref="B88" si="23">B85+1</f>
        <v>29</v>
      </c>
      <c r="C88" s="353" t="str">
        <f xml:space="preserve"> _xlfn.CONCAT( IF(OR(C$3=4, C$3=8),
_xlfn.XLOOKUP(($B88*2), 韻母表[序號], 韻母表[方音符號]),
_xlfn.XLOOKUP($B88, 韻母表[韻序], 韻母表[方音符號])
), _xlfn.XLOOKUP(C$3, 聲調符號表[調號], 聲調符號表[調符]))</f>
        <v>ㄧ</v>
      </c>
      <c r="D88" s="353" t="str">
        <f xml:space="preserve"> _xlfn.CONCAT( IF(OR(D$3=4, D$3=8),
_xlfn.XLOOKUP(($B88*2), 韻母表[序號], 韻母表[方音符號]),
_xlfn.XLOOKUP($B88, 韻母表[韻序], 韻母表[方音符號])
), _xlfn.XLOOKUP(D$3, 聲調符號表[調號], 聲調符號表[調符]))</f>
        <v>ㄧˋ</v>
      </c>
      <c r="E88" s="353" t="str">
        <f xml:space="preserve"> _xlfn.CONCAT( IF(OR(E$3=4, E$3=8),
_xlfn.XLOOKUP(($B88*2), 韻母表[序號], 韻母表[方音符號]),
_xlfn.XLOOKUP($B88, 韻母表[韻序], 韻母表[方音符號])
), _xlfn.XLOOKUP(E$3, 聲調符號表[調號], 聲調符號表[調符]))</f>
        <v>ㄧ˪</v>
      </c>
      <c r="F88" s="353" t="str">
        <f xml:space="preserve"> _xlfn.CONCAT( IF(OR(F$3=4, F$3=8),
_xlfn.XLOOKUP(($B88*2), 韻母表[序號], 韻母表[方音符號]),
_xlfn.XLOOKUP($B88, 韻母表[韻序], 韻母表[方音符號])
), _xlfn.XLOOKUP(F$3, 聲調符號表[調號], 聲調符號表[調符]))</f>
        <v>ㄧㆷ</v>
      </c>
      <c r="G88" s="353" t="str">
        <f xml:space="preserve"> _xlfn.CONCAT( IF(OR(G$3=4, G$3=8),
_xlfn.XLOOKUP(($B88*2), 韻母表[序號], 韻母表[方音符號]),
_xlfn.XLOOKUP($B88, 韻母表[韻序], 韻母表[方音符號])
), _xlfn.XLOOKUP(G$3, 聲調符號表[調號], 聲調符號表[調符]))</f>
        <v>ㄧˊ</v>
      </c>
      <c r="H88" s="353" t="str">
        <f xml:space="preserve"> _xlfn.CONCAT( IF(OR(H$3=4, H$3=8),
_xlfn.XLOOKUP(($B88*2), 韻母表[序號], 韻母表[方音符號]),
_xlfn.XLOOKUP($B88, 韻母表[韻序], 韻母表[方音符號])
), _xlfn.XLOOKUP(H$3, 聲調符號表[調號], 聲調符號表[調符]))</f>
        <v>ㄧˋ</v>
      </c>
      <c r="I88" s="353" t="str">
        <f xml:space="preserve"> _xlfn.CONCAT( IF(OR(I$3=4, I$3=8),
_xlfn.XLOOKUP(($B88*2), 韻母表[序號], 韻母表[方音符號]),
_xlfn.XLOOKUP($B88, 韻母表[韻序], 韻母表[方音符號])
), _xlfn.XLOOKUP(I$3, 聲調符號表[調號], 聲調符號表[調符]))</f>
        <v>ㄧ˫</v>
      </c>
      <c r="J88" s="353" t="str">
        <f xml:space="preserve"> _xlfn.CONCAT( IF(OR(J$3=4, J$3=8),
_xlfn.XLOOKUP(($B88*2), 韻母表[序號], 韻母表[方音符號]),
_xlfn.XLOOKUP($B88, 韻母表[韻序], 韻母表[方音符號])
), _xlfn.XLOOKUP(J$3, 聲調符號表[調號], 聲調符號表[調符]))</f>
        <v>ㄧㆷ˙</v>
      </c>
    </row>
    <row r="89" spans="2:10">
      <c r="B89" s="491">
        <v>4.5999999999999996</v>
      </c>
      <c r="C89" s="349" t="str" cm="1">
        <f t="array" ref="C89" xml:space="preserve"> INDEX(字母八音反切!$C$4:$J$53, $B88, C$3)</f>
        <v>居</v>
      </c>
      <c r="D89" s="349" t="str" cm="1">
        <f t="array" ref="D89" xml:space="preserve"> INDEX(字母八音反切!$C$4:$J$53, $B88, D$3)</f>
        <v>己</v>
      </c>
      <c r="E89" s="349" t="str" cm="1">
        <f t="array" ref="E89" xml:space="preserve"> INDEX(字母八音反切!$C$4:$J$53, $B88, E$3)</f>
        <v>旣</v>
      </c>
      <c r="F89" s="352" t="str" cm="1">
        <f t="array" ref="F89" xml:space="preserve"> INDEX(字母八音反切!$C$4:$J$53, $B88, F$3)</f>
        <v>築</v>
      </c>
      <c r="G89" s="349" t="str" cm="1">
        <f t="array" ref="G89" xml:space="preserve"> INDEX(字母八音反切!$C$4:$J$53, $B88, G$3)</f>
        <v>期</v>
      </c>
      <c r="H89" s="349" t="str" cm="1">
        <f t="array" ref="H89" xml:space="preserve"> INDEX(字母八音反切!$C$4:$J$53, $B88, H$3)</f>
        <v>已</v>
      </c>
      <c r="I89" s="349" t="str" cm="1">
        <f t="array" ref="I89" xml:space="preserve"> INDEX(字母八音反切!$C$4:$J$53, $B88, I$3)</f>
        <v>具</v>
      </c>
      <c r="J89" s="352" t="str" cm="1">
        <f t="array" ref="J89" xml:space="preserve"> INDEX(字母八音反切!$C$4:$J$53, $B88, J$3)</f>
        <v>○</v>
      </c>
    </row>
    <row r="90" spans="2:10" ht="23.25">
      <c r="B90" s="492"/>
      <c r="C90" s="350" t="str">
        <f xml:space="preserve"> _xlfn.CONCAT( IF(OR(C$3=4, C$3=8),
_xlfn.XLOOKUP(($B88*2), 韻母表[序號], 韻母表[台羅拼音]),
_xlfn.XLOOKUP($B88, 韻母表[韻序], 韻母表[台羅拼音])
), C$3)</f>
        <v>i1</v>
      </c>
      <c r="D90" s="350" t="str">
        <f xml:space="preserve"> _xlfn.CONCAT( IF(OR(D$3=4, D$3=8),
_xlfn.XLOOKUP(($B88*2), 韻母表[序號], 韻母表[台羅拼音]),
_xlfn.XLOOKUP($B88, 韻母表[韻序], 韻母表[台羅拼音])
), D$3)</f>
        <v>i2</v>
      </c>
      <c r="E90" s="350" t="str">
        <f xml:space="preserve"> _xlfn.CONCAT( IF(OR(E$3=4, E$3=8),
_xlfn.XLOOKUP(($B88*2), 韻母表[序號], 韻母表[台羅拼音]),
_xlfn.XLOOKUP($B88, 韻母表[韻序], 韻母表[台羅拼音])
), E$3)</f>
        <v>i3</v>
      </c>
      <c r="F90" s="350" t="str">
        <f xml:space="preserve"> _xlfn.CONCAT( IF(OR(F$3=4, F$3=8),
_xlfn.XLOOKUP(($B88*2), 韻母表[序號], 韻母表[台羅拼音]),
_xlfn.XLOOKUP($B88, 韻母表[韻序], 韻母表[台羅拼音])
), F$3)</f>
        <v>ih4</v>
      </c>
      <c r="G90" s="350" t="str">
        <f xml:space="preserve"> _xlfn.CONCAT( IF(OR(G$3=4, G$3=8),
_xlfn.XLOOKUP(($B88*2), 韻母表[序號], 韻母表[台羅拼音]),
_xlfn.XLOOKUP($B88, 韻母表[韻序], 韻母表[台羅拼音])
), G$3)</f>
        <v>i5</v>
      </c>
      <c r="H90" s="350" t="str">
        <f xml:space="preserve"> _xlfn.CONCAT( IF(OR(H$3=4, H$3=8),
_xlfn.XLOOKUP(($B88*2), 韻母表[序號], 韻母表[台羅拼音]),
_xlfn.XLOOKUP($B88, 韻母表[韻序], 韻母表[台羅拼音])
), H$3)</f>
        <v>i6</v>
      </c>
      <c r="I90" s="350" t="str">
        <f xml:space="preserve"> _xlfn.CONCAT( IF(OR(I$3=4, I$3=8),
_xlfn.XLOOKUP(($B88*2), 韻母表[序號], 韻母表[台羅拼音]),
_xlfn.XLOOKUP($B88, 韻母表[韻序], 韻母表[台羅拼音])
), I$3)</f>
        <v>i7</v>
      </c>
      <c r="J90" s="350" t="str">
        <f xml:space="preserve"> _xlfn.CONCAT( IF(OR(J$3=4, J$3=8),
_xlfn.XLOOKUP(($B88*2), 韻母表[序號], 韻母表[台羅拼音]),
_xlfn.XLOOKUP($B88, 韻母表[韻序], 韻母表[台羅拼音])
), J$3)</f>
        <v>ih8</v>
      </c>
    </row>
    <row r="91" spans="2:10" ht="20.25">
      <c r="B91" s="490">
        <f t="shared" ref="B91" si="24">B88+1</f>
        <v>30</v>
      </c>
      <c r="C91" s="353" t="str">
        <f xml:space="preserve"> _xlfn.CONCAT( IF(OR(C$3=4, C$3=8),
_xlfn.XLOOKUP(($B91*2), 韻母表[序號], 韻母表[方音符號]),
_xlfn.XLOOKUP($B91, 韻母表[韻序], 韻母表[方音符號])
), _xlfn.XLOOKUP(C$3, 聲調符號表[調號], 聲調符號表[調符]))</f>
        <v>ㄧㄨ</v>
      </c>
      <c r="D91" s="353" t="str">
        <f xml:space="preserve"> _xlfn.CONCAT( IF(OR(D$3=4, D$3=8),
_xlfn.XLOOKUP(($B91*2), 韻母表[序號], 韻母表[方音符號]),
_xlfn.XLOOKUP($B91, 韻母表[韻序], 韻母表[方音符號])
), _xlfn.XLOOKUP(D$3, 聲調符號表[調號], 聲調符號表[調符]))</f>
        <v>ㄧㄨˋ</v>
      </c>
      <c r="E91" s="353" t="str">
        <f xml:space="preserve"> _xlfn.CONCAT( IF(OR(E$3=4, E$3=8),
_xlfn.XLOOKUP(($B91*2), 韻母表[序號], 韻母表[方音符號]),
_xlfn.XLOOKUP($B91, 韻母表[韻序], 韻母表[方音符號])
), _xlfn.XLOOKUP(E$3, 聲調符號表[調號], 聲調符號表[調符]))</f>
        <v>ㄧㄨ˪</v>
      </c>
      <c r="F91" s="353" t="str">
        <f xml:space="preserve"> _xlfn.CONCAT( IF(OR(F$3=4, F$3=8),
_xlfn.XLOOKUP(($B91*2), 韻母表[序號], 韻母表[方音符號]),
_xlfn.XLOOKUP($B91, 韻母表[韻序], 韻母表[方音符號])
), _xlfn.XLOOKUP(F$3, 聲調符號表[調號], 聲調符號表[調符]))</f>
        <v>ㄧㄨㆷ</v>
      </c>
      <c r="G91" s="353" t="str">
        <f xml:space="preserve"> _xlfn.CONCAT( IF(OR(G$3=4, G$3=8),
_xlfn.XLOOKUP(($B91*2), 韻母表[序號], 韻母表[方音符號]),
_xlfn.XLOOKUP($B91, 韻母表[韻序], 韻母表[方音符號])
), _xlfn.XLOOKUP(G$3, 聲調符號表[調號], 聲調符號表[調符]))</f>
        <v>ㄧㄨˊ</v>
      </c>
      <c r="H91" s="353" t="str">
        <f xml:space="preserve"> _xlfn.CONCAT( IF(OR(H$3=4, H$3=8),
_xlfn.XLOOKUP(($B91*2), 韻母表[序號], 韻母表[方音符號]),
_xlfn.XLOOKUP($B91, 韻母表[韻序], 韻母表[方音符號])
), _xlfn.XLOOKUP(H$3, 聲調符號表[調號], 聲調符號表[調符]))</f>
        <v>ㄧㄨˋ</v>
      </c>
      <c r="I91" s="353" t="str">
        <f xml:space="preserve"> _xlfn.CONCAT( IF(OR(I$3=4, I$3=8),
_xlfn.XLOOKUP(($B91*2), 韻母表[序號], 韻母表[方音符號]),
_xlfn.XLOOKUP($B91, 韻母表[韻序], 韻母表[方音符號])
), _xlfn.XLOOKUP(I$3, 聲調符號表[調號], 聲調符號表[調符]))</f>
        <v>ㄧㄨ˫</v>
      </c>
      <c r="J91" s="353" t="str">
        <f xml:space="preserve"> _xlfn.CONCAT( IF(OR(J$3=4, J$3=8),
_xlfn.XLOOKUP(($B91*2), 韻母表[序號], 韻母表[方音符號]),
_xlfn.XLOOKUP($B91, 韻母表[韻序], 韻母表[方音符號])
), _xlfn.XLOOKUP(J$3, 聲調符號表[調號], 聲調符號表[調符]))</f>
        <v>ㄧㄨㆷ˙</v>
      </c>
    </row>
    <row r="92" spans="2:10">
      <c r="B92" s="491">
        <v>4.5999999999999996</v>
      </c>
      <c r="C92" s="349" t="str" cm="1">
        <f t="array" ref="C92" xml:space="preserve"> INDEX(字母八音反切!$C$4:$J$53, $B91, C$3)</f>
        <v>丩</v>
      </c>
      <c r="D92" s="349" t="str" cm="1">
        <f t="array" ref="D92" xml:space="preserve"> INDEX(字母八音反切!$C$4:$J$53, $B91, D$3)</f>
        <v>久</v>
      </c>
      <c r="E92" s="349" t="str" cm="1">
        <f t="array" ref="E92" xml:space="preserve"> INDEX(字母八音反切!$C$4:$J$53, $B91, E$3)</f>
        <v>救</v>
      </c>
      <c r="F92" s="352" t="str" cm="1">
        <f t="array" ref="F92" xml:space="preserve"> INDEX(字母八音反切!$C$4:$J$53, $B91, F$3)</f>
        <v>○</v>
      </c>
      <c r="G92" s="349" t="str" cm="1">
        <f t="array" ref="G92" xml:space="preserve"> INDEX(字母八音反切!$C$4:$J$53, $B91, G$3)</f>
        <v>求</v>
      </c>
      <c r="H92" s="349" t="str" cm="1">
        <f t="array" ref="H92" xml:space="preserve"> INDEX(字母八音反切!$C$4:$J$53, $B91, H$3)</f>
        <v>久</v>
      </c>
      <c r="I92" s="349" t="str" cm="1">
        <f t="array" ref="I92" xml:space="preserve"> INDEX(字母八音反切!$C$4:$J$53, $B91, I$3)</f>
        <v>舊</v>
      </c>
      <c r="J92" s="352" t="str" cm="1">
        <f t="array" ref="J92" xml:space="preserve"> INDEX(字母八音反切!$C$4:$J$53, $B91, J$3)</f>
        <v>○</v>
      </c>
    </row>
    <row r="93" spans="2:10" ht="23.25">
      <c r="B93" s="492"/>
      <c r="C93" s="350" t="str">
        <f xml:space="preserve"> _xlfn.CONCAT( IF(OR(C$3=4, C$3=8),
_xlfn.XLOOKUP(($B91*2), 韻母表[序號], 韻母表[台羅拼音]),
_xlfn.XLOOKUP($B91, 韻母表[韻序], 韻母表[台羅拼音])
), C$3)</f>
        <v>iu1</v>
      </c>
      <c r="D93" s="350" t="str">
        <f xml:space="preserve"> _xlfn.CONCAT( IF(OR(D$3=4, D$3=8),
_xlfn.XLOOKUP(($B91*2), 韻母表[序號], 韻母表[台羅拼音]),
_xlfn.XLOOKUP($B91, 韻母表[韻序], 韻母表[台羅拼音])
), D$3)</f>
        <v>iu2</v>
      </c>
      <c r="E93" s="350" t="str">
        <f xml:space="preserve"> _xlfn.CONCAT( IF(OR(E$3=4, E$3=8),
_xlfn.XLOOKUP(($B91*2), 韻母表[序號], 韻母表[台羅拼音]),
_xlfn.XLOOKUP($B91, 韻母表[韻序], 韻母表[台羅拼音])
), E$3)</f>
        <v>iu3</v>
      </c>
      <c r="F93" s="350" t="str">
        <f xml:space="preserve"> _xlfn.CONCAT( IF(OR(F$3=4, F$3=8),
_xlfn.XLOOKUP(($B91*2), 韻母表[序號], 韻母表[台羅拼音]),
_xlfn.XLOOKUP($B91, 韻母表[韻序], 韻母表[台羅拼音])
), F$3)</f>
        <v>iuh4</v>
      </c>
      <c r="G93" s="350" t="str">
        <f xml:space="preserve"> _xlfn.CONCAT( IF(OR(G$3=4, G$3=8),
_xlfn.XLOOKUP(($B91*2), 韻母表[序號], 韻母表[台羅拼音]),
_xlfn.XLOOKUP($B91, 韻母表[韻序], 韻母表[台羅拼音])
), G$3)</f>
        <v>iu5</v>
      </c>
      <c r="H93" s="350" t="str">
        <f xml:space="preserve"> _xlfn.CONCAT( IF(OR(H$3=4, H$3=8),
_xlfn.XLOOKUP(($B91*2), 韻母表[序號], 韻母表[台羅拼音]),
_xlfn.XLOOKUP($B91, 韻母表[韻序], 韻母表[台羅拼音])
), H$3)</f>
        <v>iu6</v>
      </c>
      <c r="I93" s="350" t="str">
        <f xml:space="preserve"> _xlfn.CONCAT( IF(OR(I$3=4, I$3=8),
_xlfn.XLOOKUP(($B91*2), 韻母表[序號], 韻母表[台羅拼音]),
_xlfn.XLOOKUP($B91, 韻母表[韻序], 韻母表[台羅拼音])
), I$3)</f>
        <v>iu7</v>
      </c>
      <c r="J93" s="350" t="str">
        <f xml:space="preserve"> _xlfn.CONCAT( IF(OR(J$3=4, J$3=8),
_xlfn.XLOOKUP(($B91*2), 韻母表[序號], 韻母表[台羅拼音]),
_xlfn.XLOOKUP($B91, 韻母表[韻序], 韻母表[台羅拼音])
), J$3)</f>
        <v>iuh8</v>
      </c>
    </row>
    <row r="94" spans="2:10" ht="20.25">
      <c r="B94" s="490">
        <f t="shared" ref="B94" si="25">B91+1</f>
        <v>31</v>
      </c>
      <c r="C94" s="353" t="str">
        <f xml:space="preserve"> _xlfn.CONCAT( IF(OR(C$3=4, C$3=8),
_xlfn.XLOOKUP(($B94*2), 韻母表[序號], 韻母表[方音符號]),
_xlfn.XLOOKUP($B94, 韻母表[韻序], 韻母表[方音符號])
), _xlfn.XLOOKUP(C$3, 聲調符號表[調號], 聲調符號表[調符]))</f>
        <v>ㆥ</v>
      </c>
      <c r="D94" s="353" t="str">
        <f xml:space="preserve"> _xlfn.CONCAT( IF(OR(D$3=4, D$3=8),
_xlfn.XLOOKUP(($B94*2), 韻母表[序號], 韻母表[方音符號]),
_xlfn.XLOOKUP($B94, 韻母表[韻序], 韻母表[方音符號])
), _xlfn.XLOOKUP(D$3, 聲調符號表[調號], 聲調符號表[調符]))</f>
        <v>ㆥˋ</v>
      </c>
      <c r="E94" s="353" t="str">
        <f xml:space="preserve"> _xlfn.CONCAT( IF(OR(E$3=4, E$3=8),
_xlfn.XLOOKUP(($B94*2), 韻母表[序號], 韻母表[方音符號]),
_xlfn.XLOOKUP($B94, 韻母表[韻序], 韻母表[方音符號])
), _xlfn.XLOOKUP(E$3, 聲調符號表[調號], 聲調符號表[調符]))</f>
        <v>ㆥ˪</v>
      </c>
      <c r="F94" s="353" t="str">
        <f xml:space="preserve"> _xlfn.CONCAT( IF(OR(F$3=4, F$3=8),
_xlfn.XLOOKUP(($B94*2), 韻母表[序號], 韻母表[方音符號]),
_xlfn.XLOOKUP($B94, 韻母表[韻序], 韻母表[方音符號])
), _xlfn.XLOOKUP(F$3, 聲調符號表[調號], 聲調符號表[調符]))</f>
        <v>ㆥㆷ</v>
      </c>
      <c r="G94" s="353" t="str">
        <f xml:space="preserve"> _xlfn.CONCAT( IF(OR(G$3=4, G$3=8),
_xlfn.XLOOKUP(($B94*2), 韻母表[序號], 韻母表[方音符號]),
_xlfn.XLOOKUP($B94, 韻母表[韻序], 韻母表[方音符號])
), _xlfn.XLOOKUP(G$3, 聲調符號表[調號], 聲調符號表[調符]))</f>
        <v>ㆥˊ</v>
      </c>
      <c r="H94" s="353" t="str">
        <f xml:space="preserve"> _xlfn.CONCAT( IF(OR(H$3=4, H$3=8),
_xlfn.XLOOKUP(($B94*2), 韻母表[序號], 韻母表[方音符號]),
_xlfn.XLOOKUP($B94, 韻母表[韻序], 韻母表[方音符號])
), _xlfn.XLOOKUP(H$3, 聲調符號表[調號], 聲調符號表[調符]))</f>
        <v>ㆥˋ</v>
      </c>
      <c r="I94" s="353" t="str">
        <f xml:space="preserve"> _xlfn.CONCAT( IF(OR(I$3=4, I$3=8),
_xlfn.XLOOKUP(($B94*2), 韻母表[序號], 韻母表[方音符號]),
_xlfn.XLOOKUP($B94, 韻母表[韻序], 韻母表[方音符號])
), _xlfn.XLOOKUP(I$3, 聲調符號表[調號], 聲調符號表[調符]))</f>
        <v>ㆥ˫</v>
      </c>
      <c r="J94" s="353" t="str">
        <f xml:space="preserve"> _xlfn.CONCAT( IF(OR(J$3=4, J$3=8),
_xlfn.XLOOKUP(($B94*2), 韻母表[序號], 韻母表[方音符號]),
_xlfn.XLOOKUP($B94, 韻母表[韻序], 韻母表[方音符號])
), _xlfn.XLOOKUP(J$3, 聲調符號表[調號], 聲調符號表[調符]))</f>
        <v>ㆥㆷ˙</v>
      </c>
    </row>
    <row r="95" spans="2:10">
      <c r="B95" s="491">
        <v>4.5999999999999996</v>
      </c>
      <c r="C95" s="349" t="str" cm="1">
        <f t="array" ref="C95" xml:space="preserve"> INDEX(字母八音反切!$C$4:$J$53, $B94, C$3)</f>
        <v>更</v>
      </c>
      <c r="D95" s="349" t="str" cm="1">
        <f t="array" ref="D95" xml:space="preserve"> INDEX(字母八音反切!$C$4:$J$53, $B94, D$3)</f>
        <v>耞</v>
      </c>
      <c r="E95" s="349" t="str" cm="1">
        <f t="array" ref="E95" xml:space="preserve"> INDEX(字母八音反切!$C$4:$J$53, $B94, E$3)</f>
        <v>徑</v>
      </c>
      <c r="F95" s="352" t="str" cm="1">
        <f t="array" ref="F95" xml:space="preserve"> INDEX(字母八音反切!$C$4:$J$53, $B94, F$3)</f>
        <v>○</v>
      </c>
      <c r="G95" s="349" t="str" cm="1">
        <f t="array" ref="G95" xml:space="preserve"> INDEX(字母八音反切!$C$4:$J$53, $B94, G$3)</f>
        <v>○</v>
      </c>
      <c r="H95" s="349" t="str" cm="1">
        <f t="array" ref="H95" xml:space="preserve"> INDEX(字母八音反切!$C$4:$J$53, $B94, H$3)</f>
        <v>耞</v>
      </c>
      <c r="I95" s="349" t="str" cm="1">
        <f t="array" ref="I95" xml:space="preserve"> INDEX(字母八音反切!$C$4:$J$53, $B94, I$3)</f>
        <v>○</v>
      </c>
      <c r="J95" s="352" t="str" cm="1">
        <f t="array" ref="J95" xml:space="preserve"> INDEX(字母八音反切!$C$4:$J$53, $B94, J$3)</f>
        <v>○</v>
      </c>
    </row>
    <row r="96" spans="2:10" ht="23.25">
      <c r="B96" s="492"/>
      <c r="C96" s="350" t="str">
        <f xml:space="preserve"> _xlfn.CONCAT( IF(OR(C$3=4, C$3=8),
_xlfn.XLOOKUP(($B94*2), 韻母表[序號], 韻母表[台羅拼音]),
_xlfn.XLOOKUP($B94, 韻母表[韻序], 韻母表[台羅拼音])
), C$3)</f>
        <v>enn1</v>
      </c>
      <c r="D96" s="350" t="str">
        <f xml:space="preserve"> _xlfn.CONCAT( IF(OR(D$3=4, D$3=8),
_xlfn.XLOOKUP(($B94*2), 韻母表[序號], 韻母表[台羅拼音]),
_xlfn.XLOOKUP($B94, 韻母表[韻序], 韻母表[台羅拼音])
), D$3)</f>
        <v>enn2</v>
      </c>
      <c r="E96" s="350" t="str">
        <f xml:space="preserve"> _xlfn.CONCAT( IF(OR(E$3=4, E$3=8),
_xlfn.XLOOKUP(($B94*2), 韻母表[序號], 韻母表[台羅拼音]),
_xlfn.XLOOKUP($B94, 韻母表[韻序], 韻母表[台羅拼音])
), E$3)</f>
        <v>enn3</v>
      </c>
      <c r="F96" s="350" t="str">
        <f xml:space="preserve"> _xlfn.CONCAT( IF(OR(F$3=4, F$3=8),
_xlfn.XLOOKUP(($B94*2), 韻母表[序號], 韻母表[台羅拼音]),
_xlfn.XLOOKUP($B94, 韻母表[韻序], 韻母表[台羅拼音])
), F$3)</f>
        <v>ennh4</v>
      </c>
      <c r="G96" s="350" t="str">
        <f xml:space="preserve"> _xlfn.CONCAT( IF(OR(G$3=4, G$3=8),
_xlfn.XLOOKUP(($B94*2), 韻母表[序號], 韻母表[台羅拼音]),
_xlfn.XLOOKUP($B94, 韻母表[韻序], 韻母表[台羅拼音])
), G$3)</f>
        <v>enn5</v>
      </c>
      <c r="H96" s="350" t="str">
        <f xml:space="preserve"> _xlfn.CONCAT( IF(OR(H$3=4, H$3=8),
_xlfn.XLOOKUP(($B94*2), 韻母表[序號], 韻母表[台羅拼音]),
_xlfn.XLOOKUP($B94, 韻母表[韻序], 韻母表[台羅拼音])
), H$3)</f>
        <v>enn6</v>
      </c>
      <c r="I96" s="350" t="str">
        <f xml:space="preserve"> _xlfn.CONCAT( IF(OR(I$3=4, I$3=8),
_xlfn.XLOOKUP(($B94*2), 韻母表[序號], 韻母表[台羅拼音]),
_xlfn.XLOOKUP($B94, 韻母表[韻序], 韻母表[台羅拼音])
), I$3)</f>
        <v>enn7</v>
      </c>
      <c r="J96" s="350" t="str">
        <f xml:space="preserve"> _xlfn.CONCAT( IF(OR(J$3=4, J$3=8),
_xlfn.XLOOKUP(($B94*2), 韻母表[序號], 韻母表[台羅拼音]),
_xlfn.XLOOKUP($B94, 韻母表[韻序], 韻母表[台羅拼音])
), J$3)</f>
        <v>ennh8</v>
      </c>
    </row>
    <row r="97" spans="2:10" ht="20.25">
      <c r="B97" s="490">
        <f t="shared" ref="B97" si="26">B94+1</f>
        <v>32</v>
      </c>
      <c r="C97" s="353" t="str">
        <f xml:space="preserve"> _xlfn.CONCAT( IF(OR(C$3=4, C$3=8),
_xlfn.XLOOKUP(($B97*2), 韻母表[序號], 韻母表[方音符號]),
_xlfn.XLOOKUP($B97, 韻母表[韻序], 韻母表[方音符號])
), _xlfn.XLOOKUP(C$3, 聲調符號表[調號], 聲調符號表[調符]))</f>
        <v>ㄨㆪ</v>
      </c>
      <c r="D97" s="353" t="str">
        <f xml:space="preserve"> _xlfn.CONCAT( IF(OR(D$3=4, D$3=8),
_xlfn.XLOOKUP(($B97*2), 韻母表[序號], 韻母表[方音符號]),
_xlfn.XLOOKUP($B97, 韻母表[韻序], 韻母表[方音符號])
), _xlfn.XLOOKUP(D$3, 聲調符號表[調號], 聲調符號表[調符]))</f>
        <v>ㄨㆪˋ</v>
      </c>
      <c r="E97" s="353" t="str">
        <f xml:space="preserve"> _xlfn.CONCAT( IF(OR(E$3=4, E$3=8),
_xlfn.XLOOKUP(($B97*2), 韻母表[序號], 韻母表[方音符號]),
_xlfn.XLOOKUP($B97, 韻母表[韻序], 韻母表[方音符號])
), _xlfn.XLOOKUP(E$3, 聲調符號表[調號], 聲調符號表[調符]))</f>
        <v>ㄨㆪ˪</v>
      </c>
      <c r="F97" s="353" t="str">
        <f xml:space="preserve"> _xlfn.CONCAT( IF(OR(F$3=4, F$3=8),
_xlfn.XLOOKUP(($B97*2), 韻母表[序號], 韻母表[方音符號]),
_xlfn.XLOOKUP($B97, 韻母表[韻序], 韻母表[方音符號])
), _xlfn.XLOOKUP(F$3, 聲調符號表[調號], 聲調符號表[調符]))</f>
        <v>ㄨㆪㆷ</v>
      </c>
      <c r="G97" s="353" t="str">
        <f xml:space="preserve"> _xlfn.CONCAT( IF(OR(G$3=4, G$3=8),
_xlfn.XLOOKUP(($B97*2), 韻母表[序號], 韻母表[方音符號]),
_xlfn.XLOOKUP($B97, 韻母表[韻序], 韻母表[方音符號])
), _xlfn.XLOOKUP(G$3, 聲調符號表[調號], 聲調符號表[調符]))</f>
        <v>ㄨㆪˊ</v>
      </c>
      <c r="H97" s="353" t="str">
        <f xml:space="preserve"> _xlfn.CONCAT( IF(OR(H$3=4, H$3=8),
_xlfn.XLOOKUP(($B97*2), 韻母表[序號], 韻母表[方音符號]),
_xlfn.XLOOKUP($B97, 韻母表[韻序], 韻母表[方音符號])
), _xlfn.XLOOKUP(H$3, 聲調符號表[調號], 聲調符號表[調符]))</f>
        <v>ㄨㆪˋ</v>
      </c>
      <c r="I97" s="353" t="str">
        <f xml:space="preserve"> _xlfn.CONCAT( IF(OR(I$3=4, I$3=8),
_xlfn.XLOOKUP(($B97*2), 韻母表[序號], 韻母表[方音符號]),
_xlfn.XLOOKUP($B97, 韻母表[韻序], 韻母表[方音符號])
), _xlfn.XLOOKUP(I$3, 聲調符號表[調號], 聲調符號表[調符]))</f>
        <v>ㄨㆪ˫</v>
      </c>
      <c r="J97" s="353" t="str">
        <f xml:space="preserve"> _xlfn.CONCAT( IF(OR(J$3=4, J$3=8),
_xlfn.XLOOKUP(($B97*2), 韻母表[序號], 韻母表[方音符號]),
_xlfn.XLOOKUP($B97, 韻母表[韻序], 韻母表[方音符號])
), _xlfn.XLOOKUP(J$3, 聲調符號表[調號], 聲調符號表[調符]))</f>
        <v>ㄨㆪㆷ˙</v>
      </c>
    </row>
    <row r="98" spans="2:10">
      <c r="B98" s="491">
        <v>4.5999999999999996</v>
      </c>
      <c r="C98" s="349" t="str" cm="1">
        <f t="array" ref="C98" xml:space="preserve"> INDEX(字母八音反切!$C$4:$J$53, $B97, C$3)</f>
        <v>褌</v>
      </c>
      <c r="D98" s="349" t="str" cm="1">
        <f t="array" ref="D98" xml:space="preserve"> INDEX(字母八音反切!$C$4:$J$53, $B97, D$3)</f>
        <v>捲</v>
      </c>
      <c r="E98" s="349" t="str" cm="1">
        <f t="array" ref="E98" xml:space="preserve"> INDEX(字母八音反切!$C$4:$J$53, $B97, E$3)</f>
        <v>卷</v>
      </c>
      <c r="F98" s="352" t="str" cm="1">
        <f t="array" ref="F98" xml:space="preserve"> INDEX(字母八音反切!$C$4:$J$53, $B97, F$3)</f>
        <v>○</v>
      </c>
      <c r="G98" s="349" t="str" cm="1">
        <f t="array" ref="G98" xml:space="preserve"> INDEX(字母八音反切!$C$4:$J$53, $B97, G$3)</f>
        <v>○</v>
      </c>
      <c r="H98" s="349" t="str" cm="1">
        <f t="array" ref="H98" xml:space="preserve"> INDEX(字母八音反切!$C$4:$J$53, $B97, H$3)</f>
        <v>捲</v>
      </c>
      <c r="I98" s="349" t="str" cm="1">
        <f t="array" ref="I98" xml:space="preserve"> INDEX(字母八音反切!$C$4:$J$53, $B97, I$3)</f>
        <v>○</v>
      </c>
      <c r="J98" s="352" t="str" cm="1">
        <f t="array" ref="J98" xml:space="preserve"> INDEX(字母八音反切!$C$4:$J$53, $B97, J$3)</f>
        <v>○</v>
      </c>
    </row>
    <row r="99" spans="2:10" ht="23.25">
      <c r="B99" s="492"/>
      <c r="C99" s="350" t="str">
        <f xml:space="preserve"> _xlfn.CONCAT( IF(OR(C$3=4, C$3=8),
_xlfn.XLOOKUP(($B97*2), 韻母表[序號], 韻母表[台羅拼音]),
_xlfn.XLOOKUP($B97, 韻母表[韻序], 韻母表[台羅拼音])
), C$3)</f>
        <v>uinn1</v>
      </c>
      <c r="D99" s="350" t="str">
        <f xml:space="preserve"> _xlfn.CONCAT( IF(OR(D$3=4, D$3=8),
_xlfn.XLOOKUP(($B97*2), 韻母表[序號], 韻母表[台羅拼音]),
_xlfn.XLOOKUP($B97, 韻母表[韻序], 韻母表[台羅拼音])
), D$3)</f>
        <v>uinn2</v>
      </c>
      <c r="E99" s="350" t="str">
        <f xml:space="preserve"> _xlfn.CONCAT( IF(OR(E$3=4, E$3=8),
_xlfn.XLOOKUP(($B97*2), 韻母表[序號], 韻母表[台羅拼音]),
_xlfn.XLOOKUP($B97, 韻母表[韻序], 韻母表[台羅拼音])
), E$3)</f>
        <v>uinn3</v>
      </c>
      <c r="F99" s="350" t="str">
        <f xml:space="preserve"> _xlfn.CONCAT( IF(OR(F$3=4, F$3=8),
_xlfn.XLOOKUP(($B97*2), 韻母表[序號], 韻母表[台羅拼音]),
_xlfn.XLOOKUP($B97, 韻母表[韻序], 韻母表[台羅拼音])
), F$3)</f>
        <v>uinnh4</v>
      </c>
      <c r="G99" s="350" t="str">
        <f xml:space="preserve"> _xlfn.CONCAT( IF(OR(G$3=4, G$3=8),
_xlfn.XLOOKUP(($B97*2), 韻母表[序號], 韻母表[台羅拼音]),
_xlfn.XLOOKUP($B97, 韻母表[韻序], 韻母表[台羅拼音])
), G$3)</f>
        <v>uinn5</v>
      </c>
      <c r="H99" s="350" t="str">
        <f xml:space="preserve"> _xlfn.CONCAT( IF(OR(H$3=4, H$3=8),
_xlfn.XLOOKUP(($B97*2), 韻母表[序號], 韻母表[台羅拼音]),
_xlfn.XLOOKUP($B97, 韻母表[韻序], 韻母表[台羅拼音])
), H$3)</f>
        <v>uinn6</v>
      </c>
      <c r="I99" s="350" t="str">
        <f xml:space="preserve"> _xlfn.CONCAT( IF(OR(I$3=4, I$3=8),
_xlfn.XLOOKUP(($B97*2), 韻母表[序號], 韻母表[台羅拼音]),
_xlfn.XLOOKUP($B97, 韻母表[韻序], 韻母表[台羅拼音])
), I$3)</f>
        <v>uinn7</v>
      </c>
      <c r="J99" s="350" t="str">
        <f xml:space="preserve"> _xlfn.CONCAT( IF(OR(J$3=4, J$3=8),
_xlfn.XLOOKUP(($B97*2), 韻母表[序號], 韻母表[台羅拼音]),
_xlfn.XLOOKUP($B97, 韻母表[韻序], 韻母表[台羅拼音])
), J$3)</f>
        <v>uinnh8</v>
      </c>
    </row>
    <row r="100" spans="2:10" ht="20.25">
      <c r="B100" s="490">
        <f t="shared" ref="B100" si="27">B97+1</f>
        <v>33</v>
      </c>
      <c r="C100" s="353" t="str">
        <f xml:space="preserve"> _xlfn.CONCAT( IF(OR(C$3=4, C$3=8),
_xlfn.XLOOKUP(($B100*2), 韻母表[序號], 韻母表[方音符號]),
_xlfn.XLOOKUP($B100, 韻母表[韻序], 韻母表[方音符號])
), _xlfn.XLOOKUP(C$3, 聲調符號表[調號], 聲調符號表[調符]))</f>
        <v>ㄧㄜ</v>
      </c>
      <c r="D100" s="353" t="str">
        <f xml:space="preserve"> _xlfn.CONCAT( IF(OR(D$3=4, D$3=8),
_xlfn.XLOOKUP(($B100*2), 韻母表[序號], 韻母表[方音符號]),
_xlfn.XLOOKUP($B100, 韻母表[韻序], 韻母表[方音符號])
), _xlfn.XLOOKUP(D$3, 聲調符號表[調號], 聲調符號表[調符]))</f>
        <v>ㄧㄜˋ</v>
      </c>
      <c r="E100" s="353" t="str">
        <f xml:space="preserve"> _xlfn.CONCAT( IF(OR(E$3=4, E$3=8),
_xlfn.XLOOKUP(($B100*2), 韻母表[序號], 韻母表[方音符號]),
_xlfn.XLOOKUP($B100, 韻母表[韻序], 韻母表[方音符號])
), _xlfn.XLOOKUP(E$3, 聲調符號表[調號], 聲調符號表[調符]))</f>
        <v>ㄧㄜ˪</v>
      </c>
      <c r="F100" s="353" t="str">
        <f xml:space="preserve"> _xlfn.CONCAT( IF(OR(F$3=4, F$3=8),
_xlfn.XLOOKUP(($B100*2), 韻母表[序號], 韻母表[方音符號]),
_xlfn.XLOOKUP($B100, 韻母表[韻序], 韻母表[方音符號])
), _xlfn.XLOOKUP(F$3, 聲調符號表[調號], 聲調符號表[調符]))</f>
        <v>ㄧㄜㆷ</v>
      </c>
      <c r="G100" s="353" t="str">
        <f xml:space="preserve"> _xlfn.CONCAT( IF(OR(G$3=4, G$3=8),
_xlfn.XLOOKUP(($B100*2), 韻母表[序號], 韻母表[方音符號]),
_xlfn.XLOOKUP($B100, 韻母表[韻序], 韻母表[方音符號])
), _xlfn.XLOOKUP(G$3, 聲調符號表[調號], 聲調符號表[調符]))</f>
        <v>ㄧㄜˊ</v>
      </c>
      <c r="H100" s="353" t="str">
        <f xml:space="preserve"> _xlfn.CONCAT( IF(OR(H$3=4, H$3=8),
_xlfn.XLOOKUP(($B100*2), 韻母表[序號], 韻母表[方音符號]),
_xlfn.XLOOKUP($B100, 韻母表[韻序], 韻母表[方音符號])
), _xlfn.XLOOKUP(H$3, 聲調符號表[調號], 聲調符號表[調符]))</f>
        <v>ㄧㄜˋ</v>
      </c>
      <c r="I100" s="353" t="str">
        <f xml:space="preserve"> _xlfn.CONCAT( IF(OR(I$3=4, I$3=8),
_xlfn.XLOOKUP(($B100*2), 韻母表[序號], 韻母表[方音符號]),
_xlfn.XLOOKUP($B100, 韻母表[韻序], 韻母表[方音符號])
), _xlfn.XLOOKUP(I$3, 聲調符號表[調號], 聲調符號表[調符]))</f>
        <v>ㄧㄜ˫</v>
      </c>
      <c r="J100" s="353" t="str">
        <f xml:space="preserve"> _xlfn.CONCAT( IF(OR(J$3=4, J$3=8),
_xlfn.XLOOKUP(($B100*2), 韻母表[序號], 韻母表[方音符號]),
_xlfn.XLOOKUP($B100, 韻母表[韻序], 韻母表[方音符號])
), _xlfn.XLOOKUP(J$3, 聲調符號表[調號], 聲調符號表[調符]))</f>
        <v>ㄧㄜㆷ˙</v>
      </c>
    </row>
    <row r="101" spans="2:10">
      <c r="B101" s="491">
        <v>4.5999999999999996</v>
      </c>
      <c r="C101" s="349" t="str" cm="1">
        <f t="array" ref="C101" xml:space="preserve"> INDEX(字母八音反切!$C$4:$J$53, $B100, C$3)</f>
        <v>茄</v>
      </c>
      <c r="D101" s="349" t="str" cm="1">
        <f t="array" ref="D101" xml:space="preserve"> INDEX(字母八音反切!$C$4:$J$53, $B100, D$3)</f>
        <v>○</v>
      </c>
      <c r="E101" s="349" t="str" cm="1">
        <f t="array" ref="E101" xml:space="preserve"> INDEX(字母八音反切!$C$4:$J$53, $B100, E$3)</f>
        <v>呌</v>
      </c>
      <c r="F101" s="352" t="str" cm="1">
        <f t="array" ref="F101" xml:space="preserve"> INDEX(字母八音反切!$C$4:$J$53, $B100, F$3)</f>
        <v>腳</v>
      </c>
      <c r="G101" s="349" t="str" cm="1">
        <f t="array" ref="G101" xml:space="preserve"> INDEX(字母八音反切!$C$4:$J$53, $B100, G$3)</f>
        <v>茄</v>
      </c>
      <c r="H101" s="349" t="str" cm="1">
        <f t="array" ref="H101" xml:space="preserve"> INDEX(字母八音反切!$C$4:$J$53, $B100, H$3)</f>
        <v>○</v>
      </c>
      <c r="I101" s="349" t="str" cm="1">
        <f t="array" ref="I101" xml:space="preserve"> INDEX(字母八音反切!$C$4:$J$53, $B100, I$3)</f>
        <v>轎</v>
      </c>
      <c r="J101" s="352" t="str" cm="1">
        <f t="array" ref="J101" xml:space="preserve"> INDEX(字母八音反切!$C$4:$J$53, $B100, J$3)</f>
        <v>○</v>
      </c>
    </row>
    <row r="102" spans="2:10" ht="23.25">
      <c r="B102" s="492"/>
      <c r="C102" s="350" t="str">
        <f xml:space="preserve"> _xlfn.CONCAT( IF(OR(C$3=4, C$3=8),
_xlfn.XLOOKUP(($B100*2), 韻母表[序號], 韻母表[台羅拼音]),
_xlfn.XLOOKUP($B100, 韻母表[韻序], 韻母表[台羅拼音])
), C$3)</f>
        <v>io1</v>
      </c>
      <c r="D102" s="350" t="str">
        <f xml:space="preserve"> _xlfn.CONCAT( IF(OR(D$3=4, D$3=8),
_xlfn.XLOOKUP(($B100*2), 韻母表[序號], 韻母表[台羅拼音]),
_xlfn.XLOOKUP($B100, 韻母表[韻序], 韻母表[台羅拼音])
), D$3)</f>
        <v>io2</v>
      </c>
      <c r="E102" s="350" t="str">
        <f xml:space="preserve"> _xlfn.CONCAT( IF(OR(E$3=4, E$3=8),
_xlfn.XLOOKUP(($B100*2), 韻母表[序號], 韻母表[台羅拼音]),
_xlfn.XLOOKUP($B100, 韻母表[韻序], 韻母表[台羅拼音])
), E$3)</f>
        <v>io3</v>
      </c>
      <c r="F102" s="350" t="str">
        <f xml:space="preserve"> _xlfn.CONCAT( IF(OR(F$3=4, F$3=8),
_xlfn.XLOOKUP(($B100*2), 韻母表[序號], 韻母表[台羅拼音]),
_xlfn.XLOOKUP($B100, 韻母表[韻序], 韻母表[台羅拼音])
), F$3)</f>
        <v>ioh4</v>
      </c>
      <c r="G102" s="350" t="str">
        <f xml:space="preserve"> _xlfn.CONCAT( IF(OR(G$3=4, G$3=8),
_xlfn.XLOOKUP(($B100*2), 韻母表[序號], 韻母表[台羅拼音]),
_xlfn.XLOOKUP($B100, 韻母表[韻序], 韻母表[台羅拼音])
), G$3)</f>
        <v>io5</v>
      </c>
      <c r="H102" s="350" t="str">
        <f xml:space="preserve"> _xlfn.CONCAT( IF(OR(H$3=4, H$3=8),
_xlfn.XLOOKUP(($B100*2), 韻母表[序號], 韻母表[台羅拼音]),
_xlfn.XLOOKUP($B100, 韻母表[韻序], 韻母表[台羅拼音])
), H$3)</f>
        <v>io6</v>
      </c>
      <c r="I102" s="350" t="str">
        <f xml:space="preserve"> _xlfn.CONCAT( IF(OR(I$3=4, I$3=8),
_xlfn.XLOOKUP(($B100*2), 韻母表[序號], 韻母表[台羅拼音]),
_xlfn.XLOOKUP($B100, 韻母表[韻序], 韻母表[台羅拼音])
), I$3)</f>
        <v>io7</v>
      </c>
      <c r="J102" s="350" t="str">
        <f xml:space="preserve"> _xlfn.CONCAT( IF(OR(J$3=4, J$3=8),
_xlfn.XLOOKUP(($B100*2), 韻母表[序號], 韻母表[台羅拼音]),
_xlfn.XLOOKUP($B100, 韻母表[韻序], 韻母表[台羅拼音])
), J$3)</f>
        <v>ioh8</v>
      </c>
    </row>
    <row r="103" spans="2:10" ht="20.25">
      <c r="B103" s="490">
        <f t="shared" ref="B103" si="28">B100+1</f>
        <v>34</v>
      </c>
      <c r="C103" s="353" t="str">
        <f xml:space="preserve"> _xlfn.CONCAT( IF(OR(C$3=4, C$3=8),
_xlfn.XLOOKUP(($B103*2), 韻母表[序號], 韻母表[方音符號]),
_xlfn.XLOOKUP($B103, 韻母表[韻序], 韻母表[方音符號])
), _xlfn.XLOOKUP(C$3, 聲調符號表[調號], 聲調符號表[調符]))</f>
        <v>ㆪ</v>
      </c>
      <c r="D103" s="353" t="str">
        <f xml:space="preserve"> _xlfn.CONCAT( IF(OR(D$3=4, D$3=8),
_xlfn.XLOOKUP(($B103*2), 韻母表[序號], 韻母表[方音符號]),
_xlfn.XLOOKUP($B103, 韻母表[韻序], 韻母表[方音符號])
), _xlfn.XLOOKUP(D$3, 聲調符號表[調號], 聲調符號表[調符]))</f>
        <v>ㆪˋ</v>
      </c>
      <c r="E103" s="353" t="str">
        <f xml:space="preserve"> _xlfn.CONCAT( IF(OR(E$3=4, E$3=8),
_xlfn.XLOOKUP(($B103*2), 韻母表[序號], 韻母表[方音符號]),
_xlfn.XLOOKUP($B103, 韻母表[韻序], 韻母表[方音符號])
), _xlfn.XLOOKUP(E$3, 聲調符號表[調號], 聲調符號表[調符]))</f>
        <v>ㆪ˪</v>
      </c>
      <c r="F103" s="353" t="str">
        <f xml:space="preserve"> _xlfn.CONCAT( IF(OR(F$3=4, F$3=8),
_xlfn.XLOOKUP(($B103*2), 韻母表[序號], 韻母表[方音符號]),
_xlfn.XLOOKUP($B103, 韻母表[韻序], 韻母表[方音符號])
), _xlfn.XLOOKUP(F$3, 聲調符號表[調號], 聲調符號表[調符]))</f>
        <v>ㆪㆷ</v>
      </c>
      <c r="G103" s="353" t="str">
        <f xml:space="preserve"> _xlfn.CONCAT( IF(OR(G$3=4, G$3=8),
_xlfn.XLOOKUP(($B103*2), 韻母表[序號], 韻母表[方音符號]),
_xlfn.XLOOKUP($B103, 韻母表[韻序], 韻母表[方音符號])
), _xlfn.XLOOKUP(G$3, 聲調符號表[調號], 聲調符號表[調符]))</f>
        <v>ㆪˊ</v>
      </c>
      <c r="H103" s="353" t="str">
        <f xml:space="preserve"> _xlfn.CONCAT( IF(OR(H$3=4, H$3=8),
_xlfn.XLOOKUP(($B103*2), 韻母表[序號], 韻母表[方音符號]),
_xlfn.XLOOKUP($B103, 韻母表[韻序], 韻母表[方音符號])
), _xlfn.XLOOKUP(H$3, 聲調符號表[調號], 聲調符號表[調符]))</f>
        <v>ㆪˋ</v>
      </c>
      <c r="I103" s="353" t="str">
        <f xml:space="preserve"> _xlfn.CONCAT( IF(OR(I$3=4, I$3=8),
_xlfn.XLOOKUP(($B103*2), 韻母表[序號], 韻母表[方音符號]),
_xlfn.XLOOKUP($B103, 韻母表[韻序], 韻母表[方音符號])
), _xlfn.XLOOKUP(I$3, 聲調符號表[調號], 聲調符號表[調符]))</f>
        <v>ㆪ˫</v>
      </c>
      <c r="J103" s="353" t="str">
        <f xml:space="preserve"> _xlfn.CONCAT( IF(OR(J$3=4, J$3=8),
_xlfn.XLOOKUP(($B103*2), 韻母表[序號], 韻母表[方音符號]),
_xlfn.XLOOKUP($B103, 韻母表[韻序], 韻母表[方音符號])
), _xlfn.XLOOKUP(J$3, 聲調符號表[調號], 聲調符號表[調符]))</f>
        <v>ㆪㆷ˙</v>
      </c>
    </row>
    <row r="104" spans="2:10">
      <c r="B104" s="491">
        <v>4.5999999999999996</v>
      </c>
      <c r="C104" s="349" t="str" cm="1">
        <f t="array" ref="C104" xml:space="preserve"> INDEX(字母八音反切!$C$4:$J$53, $B103, C$3)</f>
        <v>梔</v>
      </c>
      <c r="D104" s="349" t="str" cm="1">
        <f t="array" ref="D104" xml:space="preserve"> INDEX(字母八音反切!$C$4:$J$53, $B103, D$3)</f>
        <v>○</v>
      </c>
      <c r="E104" s="349" t="str" cm="1">
        <f t="array" ref="E104" xml:space="preserve"> INDEX(字母八音反切!$C$4:$J$53, $B103, E$3)</f>
        <v>見</v>
      </c>
      <c r="F104" s="352" t="str" cm="1">
        <f t="array" ref="F104" xml:space="preserve"> INDEX(字母八音反切!$C$4:$J$53, $B103, F$3)</f>
        <v>○</v>
      </c>
      <c r="G104" s="349" t="str" cm="1">
        <f t="array" ref="G104" xml:space="preserve"> INDEX(字母八音反切!$C$4:$J$53, $B103, G$3)</f>
        <v>墘</v>
      </c>
      <c r="H104" s="349" t="str" cm="1">
        <f t="array" ref="H104" xml:space="preserve"> INDEX(字母八音反切!$C$4:$J$53, $B103, H$3)</f>
        <v>○</v>
      </c>
      <c r="I104" s="349" t="str" cm="1">
        <f t="array" ref="I104" xml:space="preserve"> INDEX(字母八音反切!$C$4:$J$53, $B103, I$3)</f>
        <v>○</v>
      </c>
      <c r="J104" s="352" t="str" cm="1">
        <f t="array" ref="J104" xml:space="preserve"> INDEX(字母八音反切!$C$4:$J$53, $B103, J$3)</f>
        <v>○</v>
      </c>
    </row>
    <row r="105" spans="2:10" ht="23.25">
      <c r="B105" s="492"/>
      <c r="C105" s="350" t="str">
        <f xml:space="preserve"> _xlfn.CONCAT( IF(OR(C$3=4, C$3=8),
_xlfn.XLOOKUP(($B103*2), 韻母表[序號], 韻母表[台羅拼音]),
_xlfn.XLOOKUP($B103, 韻母表[韻序], 韻母表[台羅拼音])
), C$3)</f>
        <v>inn1</v>
      </c>
      <c r="D105" s="350" t="str">
        <f xml:space="preserve"> _xlfn.CONCAT( IF(OR(D$3=4, D$3=8),
_xlfn.XLOOKUP(($B103*2), 韻母表[序號], 韻母表[台羅拼音]),
_xlfn.XLOOKUP($B103, 韻母表[韻序], 韻母表[台羅拼音])
), D$3)</f>
        <v>inn2</v>
      </c>
      <c r="E105" s="350" t="str">
        <f xml:space="preserve"> _xlfn.CONCAT( IF(OR(E$3=4, E$3=8),
_xlfn.XLOOKUP(($B103*2), 韻母表[序號], 韻母表[台羅拼音]),
_xlfn.XLOOKUP($B103, 韻母表[韻序], 韻母表[台羅拼音])
), E$3)</f>
        <v>inn3</v>
      </c>
      <c r="F105" s="350" t="str">
        <f xml:space="preserve"> _xlfn.CONCAT( IF(OR(F$3=4, F$3=8),
_xlfn.XLOOKUP(($B103*2), 韻母表[序號], 韻母表[台羅拼音]),
_xlfn.XLOOKUP($B103, 韻母表[韻序], 韻母表[台羅拼音])
), F$3)</f>
        <v>innh4</v>
      </c>
      <c r="G105" s="350" t="str">
        <f xml:space="preserve"> _xlfn.CONCAT( IF(OR(G$3=4, G$3=8),
_xlfn.XLOOKUP(($B103*2), 韻母表[序號], 韻母表[台羅拼音]),
_xlfn.XLOOKUP($B103, 韻母表[韻序], 韻母表[台羅拼音])
), G$3)</f>
        <v>inn5</v>
      </c>
      <c r="H105" s="350" t="str">
        <f xml:space="preserve"> _xlfn.CONCAT( IF(OR(H$3=4, H$3=8),
_xlfn.XLOOKUP(($B103*2), 韻母表[序號], 韻母表[台羅拼音]),
_xlfn.XLOOKUP($B103, 韻母表[韻序], 韻母表[台羅拼音])
), H$3)</f>
        <v>inn6</v>
      </c>
      <c r="I105" s="350" t="str">
        <f xml:space="preserve"> _xlfn.CONCAT( IF(OR(I$3=4, I$3=8),
_xlfn.XLOOKUP(($B103*2), 韻母表[序號], 韻母表[台羅拼音]),
_xlfn.XLOOKUP($B103, 韻母表[韻序], 韻母表[台羅拼音])
), I$3)</f>
        <v>inn7</v>
      </c>
      <c r="J105" s="350" t="str">
        <f xml:space="preserve"> _xlfn.CONCAT( IF(OR(J$3=4, J$3=8),
_xlfn.XLOOKUP(($B103*2), 韻母表[序號], 韻母表[台羅拼音]),
_xlfn.XLOOKUP($B103, 韻母表[韻序], 韻母表[台羅拼音])
), J$3)</f>
        <v>innh8</v>
      </c>
    </row>
    <row r="106" spans="2:10" ht="20.25">
      <c r="B106" s="490">
        <f t="shared" ref="B106" si="29">B103+1</f>
        <v>35</v>
      </c>
      <c r="C106" s="353" t="str">
        <f xml:space="preserve"> _xlfn.CONCAT( IF(OR(C$3=4, C$3=8),
_xlfn.XLOOKUP(($B106*2), 韻母表[序號], 韻母表[方音符號]),
_xlfn.XLOOKUP($B106, 韻母表[韻序], 韻母表[方音符號])
), _xlfn.XLOOKUP(C$3, 聲調符號表[調號], 聲調符號表[調符]))</f>
        <v>ㄧㆧ</v>
      </c>
      <c r="D106" s="353" t="str">
        <f xml:space="preserve"> _xlfn.CONCAT( IF(OR(D$3=4, D$3=8),
_xlfn.XLOOKUP(($B106*2), 韻母表[序號], 韻母表[方音符號]),
_xlfn.XLOOKUP($B106, 韻母表[韻序], 韻母表[方音符號])
), _xlfn.XLOOKUP(D$3, 聲調符號表[調號], 聲調符號表[調符]))</f>
        <v>ㄧㆧˋ</v>
      </c>
      <c r="E106" s="353" t="str">
        <f xml:space="preserve"> _xlfn.CONCAT( IF(OR(E$3=4, E$3=8),
_xlfn.XLOOKUP(($B106*2), 韻母表[序號], 韻母表[方音符號]),
_xlfn.XLOOKUP($B106, 韻母表[韻序], 韻母表[方音符號])
), _xlfn.XLOOKUP(E$3, 聲調符號表[調號], 聲調符號表[調符]))</f>
        <v>ㄧㆧ˪</v>
      </c>
      <c r="F106" s="353" t="str">
        <f xml:space="preserve"> _xlfn.CONCAT( IF(OR(F$3=4, F$3=8),
_xlfn.XLOOKUP(($B106*2), 韻母表[序號], 韻母表[方音符號]),
_xlfn.XLOOKUP($B106, 韻母表[韻序], 韻母表[方音符號])
), _xlfn.XLOOKUP(F$3, 聲調符號表[調號], 聲調符號表[調符]))</f>
        <v>ㄧㆧㆷ</v>
      </c>
      <c r="G106" s="353" t="str">
        <f xml:space="preserve"> _xlfn.CONCAT( IF(OR(G$3=4, G$3=8),
_xlfn.XLOOKUP(($B106*2), 韻母表[序號], 韻母表[方音符號]),
_xlfn.XLOOKUP($B106, 韻母表[韻序], 韻母表[方音符號])
), _xlfn.XLOOKUP(G$3, 聲調符號表[調號], 聲調符號表[調符]))</f>
        <v>ㄧㆧˊ</v>
      </c>
      <c r="H106" s="353" t="str">
        <f xml:space="preserve"> _xlfn.CONCAT( IF(OR(H$3=4, H$3=8),
_xlfn.XLOOKUP(($B106*2), 韻母表[序號], 韻母表[方音符號]),
_xlfn.XLOOKUP($B106, 韻母表[韻序], 韻母表[方音符號])
), _xlfn.XLOOKUP(H$3, 聲調符號表[調號], 聲調符號表[調符]))</f>
        <v>ㄧㆧˋ</v>
      </c>
      <c r="I106" s="353" t="str">
        <f xml:space="preserve"> _xlfn.CONCAT( IF(OR(I$3=4, I$3=8),
_xlfn.XLOOKUP(($B106*2), 韻母表[序號], 韻母表[方音符號]),
_xlfn.XLOOKUP($B106, 韻母表[韻序], 韻母表[方音符號])
), _xlfn.XLOOKUP(I$3, 聲調符號表[調號], 聲調符號表[調符]))</f>
        <v>ㄧㆧ˫</v>
      </c>
      <c r="J106" s="353" t="str">
        <f xml:space="preserve"> _xlfn.CONCAT( IF(OR(J$3=4, J$3=8),
_xlfn.XLOOKUP(($B106*2), 韻母表[序號], 韻母表[方音符號]),
_xlfn.XLOOKUP($B106, 韻母表[韻序], 韻母表[方音符號])
), _xlfn.XLOOKUP(J$3, 聲調符號表[調號], 聲調符號表[調符]))</f>
        <v>ㄧㆧㆷ˙</v>
      </c>
    </row>
    <row r="107" spans="2:10">
      <c r="B107" s="491">
        <v>4.5999999999999996</v>
      </c>
      <c r="C107" s="349" t="str" cm="1">
        <f t="array" ref="C107" xml:space="preserve"> INDEX(字母八音反切!$C$4:$J$53, $B106, C$3)</f>
        <v>薑</v>
      </c>
      <c r="D107" s="349" t="str" cm="1">
        <f t="array" ref="D107" xml:space="preserve"> INDEX(字母八音反切!$C$4:$J$53, $B106, D$3)</f>
        <v>○</v>
      </c>
      <c r="E107" s="349" t="str" cm="1">
        <f t="array" ref="E107" xml:space="preserve"> INDEX(字母八音反切!$C$4:$J$53, $B106, E$3)</f>
        <v>○</v>
      </c>
      <c r="F107" s="352" t="str" cm="1">
        <f t="array" ref="F107" xml:space="preserve"> INDEX(字母八音反切!$C$4:$J$53, $B106, F$3)</f>
        <v>○</v>
      </c>
      <c r="G107" s="349" t="str" cm="1">
        <f t="array" ref="G107" xml:space="preserve"> INDEX(字母八音反切!$C$4:$J$53, $B106, G$3)</f>
        <v>強</v>
      </c>
      <c r="H107" s="349" t="str" cm="1">
        <f t="array" ref="H107" xml:space="preserve"> INDEX(字母八音反切!$C$4:$J$53, $B106, H$3)</f>
        <v>○</v>
      </c>
      <c r="I107" s="349" t="str" cm="1">
        <f t="array" ref="I107" xml:space="preserve"> INDEX(字母八音反切!$C$4:$J$53, $B106, I$3)</f>
        <v>謽</v>
      </c>
      <c r="J107" s="352" t="str" cm="1">
        <f t="array" ref="J107" xml:space="preserve"> INDEX(字母八音反切!$C$4:$J$53, $B106, J$3)</f>
        <v>○</v>
      </c>
    </row>
    <row r="108" spans="2:10" ht="23.25">
      <c r="B108" s="492"/>
      <c r="C108" s="350" t="str">
        <f xml:space="preserve"> _xlfn.CONCAT( IF(OR(C$3=4, C$3=8),
_xlfn.XLOOKUP(($B106*2), 韻母表[序號], 韻母表[台羅拼音]),
_xlfn.XLOOKUP($B106, 韻母表[韻序], 韻母表[台羅拼音])
), C$3)</f>
        <v>ionn1</v>
      </c>
      <c r="D108" s="350" t="str">
        <f xml:space="preserve"> _xlfn.CONCAT( IF(OR(D$3=4, D$3=8),
_xlfn.XLOOKUP(($B106*2), 韻母表[序號], 韻母表[台羅拼音]),
_xlfn.XLOOKUP($B106, 韻母表[韻序], 韻母表[台羅拼音])
), D$3)</f>
        <v>ionn2</v>
      </c>
      <c r="E108" s="350" t="str">
        <f xml:space="preserve"> _xlfn.CONCAT( IF(OR(E$3=4, E$3=8),
_xlfn.XLOOKUP(($B106*2), 韻母表[序號], 韻母表[台羅拼音]),
_xlfn.XLOOKUP($B106, 韻母表[韻序], 韻母表[台羅拼音])
), E$3)</f>
        <v>ionn3</v>
      </c>
      <c r="F108" s="350" t="str">
        <f xml:space="preserve"> _xlfn.CONCAT( IF(OR(F$3=4, F$3=8),
_xlfn.XLOOKUP(($B106*2), 韻母表[序號], 韻母表[台羅拼音]),
_xlfn.XLOOKUP($B106, 韻母表[韻序], 韻母表[台羅拼音])
), F$3)</f>
        <v>ionnh4</v>
      </c>
      <c r="G108" s="350" t="str">
        <f xml:space="preserve"> _xlfn.CONCAT( IF(OR(G$3=4, G$3=8),
_xlfn.XLOOKUP(($B106*2), 韻母表[序號], 韻母表[台羅拼音]),
_xlfn.XLOOKUP($B106, 韻母表[韻序], 韻母表[台羅拼音])
), G$3)</f>
        <v>ionn5</v>
      </c>
      <c r="H108" s="350" t="str">
        <f xml:space="preserve"> _xlfn.CONCAT( IF(OR(H$3=4, H$3=8),
_xlfn.XLOOKUP(($B106*2), 韻母表[序號], 韻母表[台羅拼音]),
_xlfn.XLOOKUP($B106, 韻母表[韻序], 韻母表[台羅拼音])
), H$3)</f>
        <v>ionn6</v>
      </c>
      <c r="I108" s="350" t="str">
        <f xml:space="preserve"> _xlfn.CONCAT( IF(OR(I$3=4, I$3=8),
_xlfn.XLOOKUP(($B106*2), 韻母表[序號], 韻母表[台羅拼音]),
_xlfn.XLOOKUP($B106, 韻母表[韻序], 韻母表[台羅拼音])
), I$3)</f>
        <v>ionn7</v>
      </c>
      <c r="J108" s="350" t="str">
        <f xml:space="preserve"> _xlfn.CONCAT( IF(OR(J$3=4, J$3=8),
_xlfn.XLOOKUP(($B106*2), 韻母表[序號], 韻母表[台羅拼音]),
_xlfn.XLOOKUP($B106, 韻母表[韻序], 韻母表[台羅拼音])
), J$3)</f>
        <v>ionnh8</v>
      </c>
    </row>
    <row r="109" spans="2:10" ht="20.25">
      <c r="B109" s="490">
        <f t="shared" ref="B109" si="30">B106+1</f>
        <v>36</v>
      </c>
      <c r="C109" s="353" t="str">
        <f xml:space="preserve"> _xlfn.CONCAT( IF(OR(C$3=4, C$3=8),
_xlfn.XLOOKUP(($B109*2), 韻母表[序號], 韻母表[方音符號]),
_xlfn.XLOOKUP($B109, 韻母表[韻序], 韻母表[方音符號])
), _xlfn.XLOOKUP(C$3, 聲調符號表[調號], 聲調符號表[調符]))</f>
        <v>ㄧㆩ</v>
      </c>
      <c r="D109" s="353" t="str">
        <f xml:space="preserve"> _xlfn.CONCAT( IF(OR(D$3=4, D$3=8),
_xlfn.XLOOKUP(($B109*2), 韻母表[序號], 韻母表[方音符號]),
_xlfn.XLOOKUP($B109, 韻母表[韻序], 韻母表[方音符號])
), _xlfn.XLOOKUP(D$3, 聲調符號表[調號], 聲調符號表[調符]))</f>
        <v>ㄧㆩˋ</v>
      </c>
      <c r="E109" s="353" t="str">
        <f xml:space="preserve"> _xlfn.CONCAT( IF(OR(E$3=4, E$3=8),
_xlfn.XLOOKUP(($B109*2), 韻母表[序號], 韻母表[方音符號]),
_xlfn.XLOOKUP($B109, 韻母表[韻序], 韻母表[方音符號])
), _xlfn.XLOOKUP(E$3, 聲調符號表[調號], 聲調符號表[調符]))</f>
        <v>ㄧㆩ˪</v>
      </c>
      <c r="F109" s="353" t="str">
        <f xml:space="preserve"> _xlfn.CONCAT( IF(OR(F$3=4, F$3=8),
_xlfn.XLOOKUP(($B109*2), 韻母表[序號], 韻母表[方音符號]),
_xlfn.XLOOKUP($B109, 韻母表[韻序], 韻母表[方音符號])
), _xlfn.XLOOKUP(F$3, 聲調符號表[調號], 聲調符號表[調符]))</f>
        <v>ㄧㆩㆷ</v>
      </c>
      <c r="G109" s="353" t="str">
        <f xml:space="preserve"> _xlfn.CONCAT( IF(OR(G$3=4, G$3=8),
_xlfn.XLOOKUP(($B109*2), 韻母表[序號], 韻母表[方音符號]),
_xlfn.XLOOKUP($B109, 韻母表[韻序], 韻母表[方音符號])
), _xlfn.XLOOKUP(G$3, 聲調符號表[調號], 聲調符號表[調符]))</f>
        <v>ㄧㆩˊ</v>
      </c>
      <c r="H109" s="353" t="str">
        <f xml:space="preserve"> _xlfn.CONCAT( IF(OR(H$3=4, H$3=8),
_xlfn.XLOOKUP(($B109*2), 韻母表[序號], 韻母表[方音符號]),
_xlfn.XLOOKUP($B109, 韻母表[韻序], 韻母表[方音符號])
), _xlfn.XLOOKUP(H$3, 聲調符號表[調號], 聲調符號表[調符]))</f>
        <v>ㄧㆩˋ</v>
      </c>
      <c r="I109" s="353" t="str">
        <f xml:space="preserve"> _xlfn.CONCAT( IF(OR(I$3=4, I$3=8),
_xlfn.XLOOKUP(($B109*2), 韻母表[序號], 韻母表[方音符號]),
_xlfn.XLOOKUP($B109, 韻母表[韻序], 韻母表[方音符號])
), _xlfn.XLOOKUP(I$3, 聲調符號表[調號], 聲調符號表[調符]))</f>
        <v>ㄧㆩ˫</v>
      </c>
      <c r="J109" s="353" t="str">
        <f xml:space="preserve"> _xlfn.CONCAT( IF(OR(J$3=4, J$3=8),
_xlfn.XLOOKUP(($B109*2), 韻母表[序號], 韻母表[方音符號]),
_xlfn.XLOOKUP($B109, 韻母表[韻序], 韻母表[方音符號])
), _xlfn.XLOOKUP(J$3, 聲調符號表[調號], 聲調符號表[調符]))</f>
        <v>ㄧㆩㆷ˙</v>
      </c>
    </row>
    <row r="110" spans="2:10">
      <c r="B110" s="491">
        <v>4.5999999999999996</v>
      </c>
      <c r="C110" s="349" t="str" cm="1">
        <f t="array" ref="C110" xml:space="preserve"> INDEX(字母八音反切!$C$4:$J$53, $B109, C$3)</f>
        <v>驚</v>
      </c>
      <c r="D110" s="349" t="str" cm="1">
        <f t="array" ref="D110" xml:space="preserve"> INDEX(字母八音反切!$C$4:$J$53, $B109, D$3)</f>
        <v>囝</v>
      </c>
      <c r="E110" s="349" t="str" cm="1">
        <f t="array" ref="E110" xml:space="preserve"> INDEX(字母八音反切!$C$4:$J$53, $B109, E$3)</f>
        <v>鏡</v>
      </c>
      <c r="F110" s="352" t="str" cm="1">
        <f t="array" ref="F110" xml:space="preserve"> INDEX(字母八音反切!$C$4:$J$53, $B109, F$3)</f>
        <v>○</v>
      </c>
      <c r="G110" s="349" t="str" cm="1">
        <f t="array" ref="G110" xml:space="preserve"> INDEX(字母八音反切!$C$4:$J$53, $B109, G$3)</f>
        <v>行</v>
      </c>
      <c r="H110" s="349" t="str" cm="1">
        <f t="array" ref="H110" xml:space="preserve"> INDEX(字母八音反切!$C$4:$J$53, $B109, H$3)</f>
        <v>囝</v>
      </c>
      <c r="I110" s="349" t="str" cm="1">
        <f t="array" ref="I110" xml:space="preserve"> INDEX(字母八音反切!$C$4:$J$53, $B109, I$3)</f>
        <v>件</v>
      </c>
      <c r="J110" s="352" t="str" cm="1">
        <f t="array" ref="J110" xml:space="preserve"> INDEX(字母八音反切!$C$4:$J$53, $B109, J$3)</f>
        <v>○</v>
      </c>
    </row>
    <row r="111" spans="2:10" ht="23.25">
      <c r="B111" s="492"/>
      <c r="C111" s="350" t="str">
        <f xml:space="preserve"> _xlfn.CONCAT( IF(OR(C$3=4, C$3=8),
_xlfn.XLOOKUP(($B109*2), 韻母表[序號], 韻母表[台羅拼音]),
_xlfn.XLOOKUP($B109, 韻母表[韻序], 韻母表[台羅拼音])
), C$3)</f>
        <v>iann1</v>
      </c>
      <c r="D111" s="350" t="str">
        <f xml:space="preserve"> _xlfn.CONCAT( IF(OR(D$3=4, D$3=8),
_xlfn.XLOOKUP(($B109*2), 韻母表[序號], 韻母表[台羅拼音]),
_xlfn.XLOOKUP($B109, 韻母表[韻序], 韻母表[台羅拼音])
), D$3)</f>
        <v>iann2</v>
      </c>
      <c r="E111" s="350" t="str">
        <f xml:space="preserve"> _xlfn.CONCAT( IF(OR(E$3=4, E$3=8),
_xlfn.XLOOKUP(($B109*2), 韻母表[序號], 韻母表[台羅拼音]),
_xlfn.XLOOKUP($B109, 韻母表[韻序], 韻母表[台羅拼音])
), E$3)</f>
        <v>iann3</v>
      </c>
      <c r="F111" s="350" t="str">
        <f xml:space="preserve"> _xlfn.CONCAT( IF(OR(F$3=4, F$3=8),
_xlfn.XLOOKUP(($B109*2), 韻母表[序號], 韻母表[台羅拼音]),
_xlfn.XLOOKUP($B109, 韻母表[韻序], 韻母表[台羅拼音])
), F$3)</f>
        <v>iannh4</v>
      </c>
      <c r="G111" s="350" t="str">
        <f xml:space="preserve"> _xlfn.CONCAT( IF(OR(G$3=4, G$3=8),
_xlfn.XLOOKUP(($B109*2), 韻母表[序號], 韻母表[台羅拼音]),
_xlfn.XLOOKUP($B109, 韻母表[韻序], 韻母表[台羅拼音])
), G$3)</f>
        <v>iann5</v>
      </c>
      <c r="H111" s="350" t="str">
        <f xml:space="preserve"> _xlfn.CONCAT( IF(OR(H$3=4, H$3=8),
_xlfn.XLOOKUP(($B109*2), 韻母表[序號], 韻母表[台羅拼音]),
_xlfn.XLOOKUP($B109, 韻母表[韻序], 韻母表[台羅拼音])
), H$3)</f>
        <v>iann6</v>
      </c>
      <c r="I111" s="350" t="str">
        <f xml:space="preserve"> _xlfn.CONCAT( IF(OR(I$3=4, I$3=8),
_xlfn.XLOOKUP(($B109*2), 韻母表[序號], 韻母表[台羅拼音]),
_xlfn.XLOOKUP($B109, 韻母表[韻序], 韻母表[台羅拼音])
), I$3)</f>
        <v>iann7</v>
      </c>
      <c r="J111" s="350" t="str">
        <f xml:space="preserve"> _xlfn.CONCAT( IF(OR(J$3=4, J$3=8),
_xlfn.XLOOKUP(($B109*2), 韻母表[序號], 韻母表[台羅拼音]),
_xlfn.XLOOKUP($B109, 韻母表[韻序], 韻母表[台羅拼音])
), J$3)</f>
        <v>iannh8</v>
      </c>
    </row>
    <row r="112" spans="2:10" ht="20.25">
      <c r="B112" s="490">
        <f t="shared" ref="B112" si="31">B109+1</f>
        <v>37</v>
      </c>
      <c r="C112" s="353" t="str">
        <f xml:space="preserve"> _xlfn.CONCAT( IF(OR(C$3=4, C$3=8),
_xlfn.XLOOKUP(($B112*2), 韻母表[序號], 韻母表[方音符號]),
_xlfn.XLOOKUP($B112, 韻母表[韻序], 韻母表[方音符號])
), _xlfn.XLOOKUP(C$3, 聲調符號表[調號], 聲調符號表[調符]))</f>
        <v>ㄨㆩ</v>
      </c>
      <c r="D112" s="353" t="str">
        <f xml:space="preserve"> _xlfn.CONCAT( IF(OR(D$3=4, D$3=8),
_xlfn.XLOOKUP(($B112*2), 韻母表[序號], 韻母表[方音符號]),
_xlfn.XLOOKUP($B112, 韻母表[韻序], 韻母表[方音符號])
), _xlfn.XLOOKUP(D$3, 聲調符號表[調號], 聲調符號表[調符]))</f>
        <v>ㄨㆩˋ</v>
      </c>
      <c r="E112" s="353" t="str">
        <f xml:space="preserve"> _xlfn.CONCAT( IF(OR(E$3=4, E$3=8),
_xlfn.XLOOKUP(($B112*2), 韻母表[序號], 韻母表[方音符號]),
_xlfn.XLOOKUP($B112, 韻母表[韻序], 韻母表[方音符號])
), _xlfn.XLOOKUP(E$3, 聲調符號表[調號], 聲調符號表[調符]))</f>
        <v>ㄨㆩ˪</v>
      </c>
      <c r="F112" s="353" t="str">
        <f xml:space="preserve"> _xlfn.CONCAT( IF(OR(F$3=4, F$3=8),
_xlfn.XLOOKUP(($B112*2), 韻母表[序號], 韻母表[方音符號]),
_xlfn.XLOOKUP($B112, 韻母表[韻序], 韻母表[方音符號])
), _xlfn.XLOOKUP(F$3, 聲調符號表[調號], 聲調符號表[調符]))</f>
        <v>ㄨㆩㆷ</v>
      </c>
      <c r="G112" s="353" t="str">
        <f xml:space="preserve"> _xlfn.CONCAT( IF(OR(G$3=4, G$3=8),
_xlfn.XLOOKUP(($B112*2), 韻母表[序號], 韻母表[方音符號]),
_xlfn.XLOOKUP($B112, 韻母表[韻序], 韻母表[方音符號])
), _xlfn.XLOOKUP(G$3, 聲調符號表[調號], 聲調符號表[調符]))</f>
        <v>ㄨㆩˊ</v>
      </c>
      <c r="H112" s="353" t="str">
        <f xml:space="preserve"> _xlfn.CONCAT( IF(OR(H$3=4, H$3=8),
_xlfn.XLOOKUP(($B112*2), 韻母表[序號], 韻母表[方音符號]),
_xlfn.XLOOKUP($B112, 韻母表[韻序], 韻母表[方音符號])
), _xlfn.XLOOKUP(H$3, 聲調符號表[調號], 聲調符號表[調符]))</f>
        <v>ㄨㆩˋ</v>
      </c>
      <c r="I112" s="353" t="str">
        <f xml:space="preserve"> _xlfn.CONCAT( IF(OR(I$3=4, I$3=8),
_xlfn.XLOOKUP(($B112*2), 韻母表[序號], 韻母表[方音符號]),
_xlfn.XLOOKUP($B112, 韻母表[韻序], 韻母表[方音符號])
), _xlfn.XLOOKUP(I$3, 聲調符號表[調號], 聲調符號表[調符]))</f>
        <v>ㄨㆩ˫</v>
      </c>
      <c r="J112" s="353" t="str">
        <f xml:space="preserve"> _xlfn.CONCAT( IF(OR(J$3=4, J$3=8),
_xlfn.XLOOKUP(($B112*2), 韻母表[序號], 韻母表[方音符號]),
_xlfn.XLOOKUP($B112, 韻母表[韻序], 韻母表[方音符號])
), _xlfn.XLOOKUP(J$3, 聲調符號表[調號], 聲調符號表[調符]))</f>
        <v>ㄨㆩㆷ˙</v>
      </c>
    </row>
    <row r="113" spans="2:10">
      <c r="B113" s="491">
        <v>4.5999999999999996</v>
      </c>
      <c r="C113" s="349" t="str" cm="1">
        <f t="array" ref="C113" xml:space="preserve"> INDEX(字母八音反切!$C$4:$J$53, $B112, C$3)</f>
        <v>官</v>
      </c>
      <c r="D113" s="349" t="str" cm="1">
        <f t="array" ref="D113" xml:space="preserve"> INDEX(字母八音反切!$C$4:$J$53, $B112, D$3)</f>
        <v>寡</v>
      </c>
      <c r="E113" s="349" t="str" cm="1">
        <f t="array" ref="E113" xml:space="preserve"> INDEX(字母八音反切!$C$4:$J$53, $B112, E$3)</f>
        <v>觀</v>
      </c>
      <c r="F113" s="352" t="str" cm="1">
        <f t="array" ref="F113" xml:space="preserve"> INDEX(字母八音反切!$C$4:$J$53, $B112, F$3)</f>
        <v>○</v>
      </c>
      <c r="G113" s="349" t="str" cm="1">
        <f t="array" ref="G113" xml:space="preserve"> INDEX(字母八音反切!$C$4:$J$53, $B112, G$3)</f>
        <v>寒</v>
      </c>
      <c r="H113" s="349" t="str" cm="1">
        <f t="array" ref="H113" xml:space="preserve"> INDEX(字母八音反切!$C$4:$J$53, $B112, H$3)</f>
        <v>寡</v>
      </c>
      <c r="I113" s="349" t="str" cm="1">
        <f t="array" ref="I113" xml:space="preserve"> INDEX(字母八音反切!$C$4:$J$53, $B112, I$3)</f>
        <v>汗</v>
      </c>
      <c r="J113" s="352" t="str" cm="1">
        <f t="array" ref="J113" xml:space="preserve"> INDEX(字母八音反切!$C$4:$J$53, $B112, J$3)</f>
        <v>○</v>
      </c>
    </row>
    <row r="114" spans="2:10" ht="23.25">
      <c r="B114" s="492"/>
      <c r="C114" s="350" t="str">
        <f xml:space="preserve"> _xlfn.CONCAT( IF(OR(C$3=4, C$3=8),
_xlfn.XLOOKUP(($B112*2), 韻母表[序號], 韻母表[台羅拼音]),
_xlfn.XLOOKUP($B112, 韻母表[韻序], 韻母表[台羅拼音])
), C$3)</f>
        <v>uann1</v>
      </c>
      <c r="D114" s="350" t="str">
        <f xml:space="preserve"> _xlfn.CONCAT( IF(OR(D$3=4, D$3=8),
_xlfn.XLOOKUP(($B112*2), 韻母表[序號], 韻母表[台羅拼音]),
_xlfn.XLOOKUP($B112, 韻母表[韻序], 韻母表[台羅拼音])
), D$3)</f>
        <v>uann2</v>
      </c>
      <c r="E114" s="350" t="str">
        <f xml:space="preserve"> _xlfn.CONCAT( IF(OR(E$3=4, E$3=8),
_xlfn.XLOOKUP(($B112*2), 韻母表[序號], 韻母表[台羅拼音]),
_xlfn.XLOOKUP($B112, 韻母表[韻序], 韻母表[台羅拼音])
), E$3)</f>
        <v>uann3</v>
      </c>
      <c r="F114" s="350" t="str">
        <f xml:space="preserve"> _xlfn.CONCAT( IF(OR(F$3=4, F$3=8),
_xlfn.XLOOKUP(($B112*2), 韻母表[序號], 韻母表[台羅拼音]),
_xlfn.XLOOKUP($B112, 韻母表[韻序], 韻母表[台羅拼音])
), F$3)</f>
        <v>uannh4</v>
      </c>
      <c r="G114" s="350" t="str">
        <f xml:space="preserve"> _xlfn.CONCAT( IF(OR(G$3=4, G$3=8),
_xlfn.XLOOKUP(($B112*2), 韻母表[序號], 韻母表[台羅拼音]),
_xlfn.XLOOKUP($B112, 韻母表[韻序], 韻母表[台羅拼音])
), G$3)</f>
        <v>uann5</v>
      </c>
      <c r="H114" s="350" t="str">
        <f xml:space="preserve"> _xlfn.CONCAT( IF(OR(H$3=4, H$3=8),
_xlfn.XLOOKUP(($B112*2), 韻母表[序號], 韻母表[台羅拼音]),
_xlfn.XLOOKUP($B112, 韻母表[韻序], 韻母表[台羅拼音])
), H$3)</f>
        <v>uann6</v>
      </c>
      <c r="I114" s="350" t="str">
        <f xml:space="preserve"> _xlfn.CONCAT( IF(OR(I$3=4, I$3=8),
_xlfn.XLOOKUP(($B112*2), 韻母表[序號], 韻母表[台羅拼音]),
_xlfn.XLOOKUP($B112, 韻母表[韻序], 韻母表[台羅拼音])
), I$3)</f>
        <v>uann7</v>
      </c>
      <c r="J114" s="350" t="str">
        <f xml:space="preserve"> _xlfn.CONCAT( IF(OR(J$3=4, J$3=8),
_xlfn.XLOOKUP(($B112*2), 韻母表[序號], 韻母表[台羅拼音]),
_xlfn.XLOOKUP($B112, 韻母表[韻序], 韻母表[台羅拼音])
), J$3)</f>
        <v>uannh8</v>
      </c>
    </row>
    <row r="115" spans="2:10" ht="20.25">
      <c r="B115" s="490">
        <f t="shared" ref="B115" si="32">B112+1</f>
        <v>38</v>
      </c>
      <c r="C115" s="353" t="str">
        <f xml:space="preserve"> _xlfn.CONCAT( IF(OR(C$3=4, C$3=8),
_xlfn.XLOOKUP(($B115*2), 韻母表[序號], 韻母表[方音符號]),
_xlfn.XLOOKUP($B115, 韻母表[韻序], 韻母表[方音符號])
), _xlfn.XLOOKUP(C$3, 聲調符號表[調號], 聲調符號表[調符]))</f>
        <v>ㆭ</v>
      </c>
      <c r="D115" s="353" t="str">
        <f xml:space="preserve"> _xlfn.CONCAT( IF(OR(D$3=4, D$3=8),
_xlfn.XLOOKUP(($B115*2), 韻母表[序號], 韻母表[方音符號]),
_xlfn.XLOOKUP($B115, 韻母表[韻序], 韻母表[方音符號])
), _xlfn.XLOOKUP(D$3, 聲調符號表[調號], 聲調符號表[調符]))</f>
        <v>ㆭˋ</v>
      </c>
      <c r="E115" s="353" t="str">
        <f xml:space="preserve"> _xlfn.CONCAT( IF(OR(E$3=4, E$3=8),
_xlfn.XLOOKUP(($B115*2), 韻母表[序號], 韻母表[方音符號]),
_xlfn.XLOOKUP($B115, 韻母表[韻序], 韻母表[方音符號])
), _xlfn.XLOOKUP(E$3, 聲調符號表[調號], 聲調符號表[調符]))</f>
        <v>ㆭ˪</v>
      </c>
      <c r="F115" s="353" t="str">
        <f xml:space="preserve"> _xlfn.CONCAT( IF(OR(F$3=4, F$3=8),
_xlfn.XLOOKUP(($B115*2), 韻母表[序號], 韻母表[方音符號]),
_xlfn.XLOOKUP($B115, 韻母表[韻序], 韻母表[方音符號])
), _xlfn.XLOOKUP(F$3, 聲調符號表[調號], 聲調符號表[調符]))</f>
        <v>ㆭㆷ</v>
      </c>
      <c r="G115" s="353" t="str">
        <f xml:space="preserve"> _xlfn.CONCAT( IF(OR(G$3=4, G$3=8),
_xlfn.XLOOKUP(($B115*2), 韻母表[序號], 韻母表[方音符號]),
_xlfn.XLOOKUP($B115, 韻母表[韻序], 韻母表[方音符號])
), _xlfn.XLOOKUP(G$3, 聲調符號表[調號], 聲調符號表[調符]))</f>
        <v>ㆭˊ</v>
      </c>
      <c r="H115" s="353" t="str">
        <f xml:space="preserve"> _xlfn.CONCAT( IF(OR(H$3=4, H$3=8),
_xlfn.XLOOKUP(($B115*2), 韻母表[序號], 韻母表[方音符號]),
_xlfn.XLOOKUP($B115, 韻母表[韻序], 韻母表[方音符號])
), _xlfn.XLOOKUP(H$3, 聲調符號表[調號], 聲調符號表[調符]))</f>
        <v>ㆭˋ</v>
      </c>
      <c r="I115" s="353" t="str">
        <f xml:space="preserve"> _xlfn.CONCAT( IF(OR(I$3=4, I$3=8),
_xlfn.XLOOKUP(($B115*2), 韻母表[序號], 韻母表[方音符號]),
_xlfn.XLOOKUP($B115, 韻母表[韻序], 韻母表[方音符號])
), _xlfn.XLOOKUP(I$3, 聲調符號表[調號], 聲調符號表[調符]))</f>
        <v>ㆭ˫</v>
      </c>
      <c r="J115" s="353" t="str">
        <f xml:space="preserve"> _xlfn.CONCAT( IF(OR(J$3=4, J$3=8),
_xlfn.XLOOKUP(($B115*2), 韻母表[序號], 韻母表[方音符號]),
_xlfn.XLOOKUP($B115, 韻母表[韻序], 韻母表[方音符號])
), _xlfn.XLOOKUP(J$3, 聲調符號表[調號], 聲調符號表[調符]))</f>
        <v>ㆭㆷ˙</v>
      </c>
    </row>
    <row r="116" spans="2:10">
      <c r="B116" s="491">
        <v>4.5999999999999996</v>
      </c>
      <c r="C116" s="349" t="str" cm="1">
        <f t="array" ref="C116" xml:space="preserve"> INDEX(字母八音反切!$C$4:$J$53, $B115, C$3)</f>
        <v>鋼</v>
      </c>
      <c r="D116" s="349" t="str" cm="1">
        <f t="array" ref="D116" xml:space="preserve"> INDEX(字母八音反切!$C$4:$J$53, $B115, D$3)</f>
        <v>○</v>
      </c>
      <c r="E116" s="349" t="str" cm="1">
        <f t="array" ref="E116" xml:space="preserve"> INDEX(字母八音反切!$C$4:$J$53, $B115, E$3)</f>
        <v>槓</v>
      </c>
      <c r="F116" s="352" t="str" cm="1">
        <f t="array" ref="F116" xml:space="preserve"> INDEX(字母八音反切!$C$4:$J$53, $B115, F$3)</f>
        <v>○</v>
      </c>
      <c r="G116" s="349" t="str" cm="1">
        <f t="array" ref="G116" xml:space="preserve"> INDEX(字母八音反切!$C$4:$J$53, $B115, G$3)</f>
        <v>○</v>
      </c>
      <c r="H116" s="349" t="str" cm="1">
        <f t="array" ref="H116" xml:space="preserve"> INDEX(字母八音反切!$C$4:$J$53, $B115, H$3)</f>
        <v>○</v>
      </c>
      <c r="I116" s="349" t="str" cm="1">
        <f t="array" ref="I116" xml:space="preserve"> INDEX(字母八音反切!$C$4:$J$53, $B115, I$3)</f>
        <v>○</v>
      </c>
      <c r="J116" s="352" t="str" cm="1">
        <f t="array" ref="J116" xml:space="preserve"> INDEX(字母八音反切!$C$4:$J$53, $B115, J$3)</f>
        <v>○</v>
      </c>
    </row>
    <row r="117" spans="2:10" ht="23.25">
      <c r="B117" s="492"/>
      <c r="C117" s="350" t="str">
        <f xml:space="preserve"> _xlfn.CONCAT( IF(OR(C$3=4, C$3=8),
_xlfn.XLOOKUP(($B115*2), 韻母表[序號], 韻母表[台羅拼音]),
_xlfn.XLOOKUP($B115, 韻母表[韻序], 韻母表[台羅拼音])
), C$3)</f>
        <v>ng1</v>
      </c>
      <c r="D117" s="350" t="str">
        <f xml:space="preserve"> _xlfn.CONCAT( IF(OR(D$3=4, D$3=8),
_xlfn.XLOOKUP(($B115*2), 韻母表[序號], 韻母表[台羅拼音]),
_xlfn.XLOOKUP($B115, 韻母表[韻序], 韻母表[台羅拼音])
), D$3)</f>
        <v>ng2</v>
      </c>
      <c r="E117" s="350" t="str">
        <f xml:space="preserve"> _xlfn.CONCAT( IF(OR(E$3=4, E$3=8),
_xlfn.XLOOKUP(($B115*2), 韻母表[序號], 韻母表[台羅拼音]),
_xlfn.XLOOKUP($B115, 韻母表[韻序], 韻母表[台羅拼音])
), E$3)</f>
        <v>ng3</v>
      </c>
      <c r="F117" s="350" t="str">
        <f xml:space="preserve"> _xlfn.CONCAT( IF(OR(F$3=4, F$3=8),
_xlfn.XLOOKUP(($B115*2), 韻母表[序號], 韻母表[台羅拼音]),
_xlfn.XLOOKUP($B115, 韻母表[韻序], 韻母表[台羅拼音])
), F$3)</f>
        <v>ngh4</v>
      </c>
      <c r="G117" s="350" t="str">
        <f xml:space="preserve"> _xlfn.CONCAT( IF(OR(G$3=4, G$3=8),
_xlfn.XLOOKUP(($B115*2), 韻母表[序號], 韻母表[台羅拼音]),
_xlfn.XLOOKUP($B115, 韻母表[韻序], 韻母表[台羅拼音])
), G$3)</f>
        <v>ng5</v>
      </c>
      <c r="H117" s="350" t="str">
        <f xml:space="preserve"> _xlfn.CONCAT( IF(OR(H$3=4, H$3=8),
_xlfn.XLOOKUP(($B115*2), 韻母表[序號], 韻母表[台羅拼音]),
_xlfn.XLOOKUP($B115, 韻母表[韻序], 韻母表[台羅拼音])
), H$3)</f>
        <v>ng6</v>
      </c>
      <c r="I117" s="350" t="str">
        <f xml:space="preserve"> _xlfn.CONCAT( IF(OR(I$3=4, I$3=8),
_xlfn.XLOOKUP(($B115*2), 韻母表[序號], 韻母表[台羅拼音]),
_xlfn.XLOOKUP($B115, 韻母表[韻序], 韻母表[台羅拼音])
), I$3)</f>
        <v>ng7</v>
      </c>
      <c r="J117" s="350" t="str">
        <f xml:space="preserve"> _xlfn.CONCAT( IF(OR(J$3=4, J$3=8),
_xlfn.XLOOKUP(($B115*2), 韻母表[序號], 韻母表[台羅拼音]),
_xlfn.XLOOKUP($B115, 韻母表[韻序], 韻母表[台羅拼音])
), J$3)</f>
        <v>ngh8</v>
      </c>
    </row>
    <row r="118" spans="2:10" ht="20.25">
      <c r="B118" s="490">
        <f t="shared" ref="B118" si="33">B115+1</f>
        <v>39</v>
      </c>
      <c r="C118" s="353" t="str">
        <f xml:space="preserve"> _xlfn.CONCAT( IF(OR(C$3=4, C$3=8),
_xlfn.XLOOKUP(($B118*2), 韻母表[序號], 韻母表[方音符號]),
_xlfn.XLOOKUP($B118, 韻母表[韻序], 韻母表[方音符號])
), _xlfn.XLOOKUP(C$3, 聲調符號表[調號], 聲調符號表[調符]))</f>
        <v>ㆤ</v>
      </c>
      <c r="D118" s="353" t="str">
        <f xml:space="preserve"> _xlfn.CONCAT( IF(OR(D$3=4, D$3=8),
_xlfn.XLOOKUP(($B118*2), 韻母表[序號], 韻母表[方音符號]),
_xlfn.XLOOKUP($B118, 韻母表[韻序], 韻母表[方音符號])
), _xlfn.XLOOKUP(D$3, 聲調符號表[調號], 聲調符號表[調符]))</f>
        <v>ㆤˋ</v>
      </c>
      <c r="E118" s="353" t="str">
        <f xml:space="preserve"> _xlfn.CONCAT( IF(OR(E$3=4, E$3=8),
_xlfn.XLOOKUP(($B118*2), 韻母表[序號], 韻母表[方音符號]),
_xlfn.XLOOKUP($B118, 韻母表[韻序], 韻母表[方音符號])
), _xlfn.XLOOKUP(E$3, 聲調符號表[調號], 聲調符號表[調符]))</f>
        <v>ㆤ˪</v>
      </c>
      <c r="F118" s="353" t="str">
        <f xml:space="preserve"> _xlfn.CONCAT( IF(OR(F$3=4, F$3=8),
_xlfn.XLOOKUP(($B118*2), 韻母表[序號], 韻母表[方音符號]),
_xlfn.XLOOKUP($B118, 韻母表[韻序], 韻母表[方音符號])
), _xlfn.XLOOKUP(F$3, 聲調符號表[調號], 聲調符號表[調符]))</f>
        <v>ㆤㆷ</v>
      </c>
      <c r="G118" s="353" t="str">
        <f xml:space="preserve"> _xlfn.CONCAT( IF(OR(G$3=4, G$3=8),
_xlfn.XLOOKUP(($B118*2), 韻母表[序號], 韻母表[方音符號]),
_xlfn.XLOOKUP($B118, 韻母表[韻序], 韻母表[方音符號])
), _xlfn.XLOOKUP(G$3, 聲調符號表[調號], 聲調符號表[調符]))</f>
        <v>ㆤˊ</v>
      </c>
      <c r="H118" s="353" t="str">
        <f xml:space="preserve"> _xlfn.CONCAT( IF(OR(H$3=4, H$3=8),
_xlfn.XLOOKUP(($B118*2), 韻母表[序號], 韻母表[方音符號]),
_xlfn.XLOOKUP($B118, 韻母表[韻序], 韻母表[方音符號])
), _xlfn.XLOOKUP(H$3, 聲調符號表[調號], 聲調符號表[調符]))</f>
        <v>ㆤˋ</v>
      </c>
      <c r="I118" s="353" t="str">
        <f xml:space="preserve"> _xlfn.CONCAT( IF(OR(I$3=4, I$3=8),
_xlfn.XLOOKUP(($B118*2), 韻母表[序號], 韻母表[方音符號]),
_xlfn.XLOOKUP($B118, 韻母表[韻序], 韻母表[方音符號])
), _xlfn.XLOOKUP(I$3, 聲調符號表[調號], 聲調符號表[調符]))</f>
        <v>ㆤ˫</v>
      </c>
      <c r="J118" s="353" t="str">
        <f xml:space="preserve"> _xlfn.CONCAT( IF(OR(J$3=4, J$3=8),
_xlfn.XLOOKUP(($B118*2), 韻母表[序號], 韻母表[方音符號]),
_xlfn.XLOOKUP($B118, 韻母表[韻序], 韻母表[方音符號])
), _xlfn.XLOOKUP(J$3, 聲調符號表[調號], 聲調符號表[調符]))</f>
        <v>ㆤㆷ˙</v>
      </c>
    </row>
    <row r="119" spans="2:10">
      <c r="B119" s="491">
        <v>4.5999999999999996</v>
      </c>
      <c r="C119" s="349" t="str" cm="1">
        <f t="array" ref="C119" xml:space="preserve"> INDEX(字母八音反切!$C$4:$J$53, $B118, C$3)</f>
        <v>伽</v>
      </c>
      <c r="D119" s="349" t="str" cm="1">
        <f t="array" ref="D119" xml:space="preserve"> INDEX(字母八音反切!$C$4:$J$53, $B118, D$3)</f>
        <v>○</v>
      </c>
      <c r="E119" s="349" t="str" cm="1">
        <f t="array" ref="E119" xml:space="preserve"> INDEX(字母八音反切!$C$4:$J$53, $B118, E$3)</f>
        <v>○</v>
      </c>
      <c r="F119" s="352" t="str" cm="1">
        <f t="array" ref="F119" xml:space="preserve"> INDEX(字母八音反切!$C$4:$J$53, $B118, F$3)</f>
        <v>莢</v>
      </c>
      <c r="G119" s="349" t="str" cm="1">
        <f t="array" ref="G119" xml:space="preserve"> INDEX(字母八音反切!$C$4:$J$53, $B118, G$3)</f>
        <v>瘸</v>
      </c>
      <c r="H119" s="349" t="str" cm="1">
        <f t="array" ref="H119" xml:space="preserve"> INDEX(字母八音反切!$C$4:$J$53, $B118, H$3)</f>
        <v>○</v>
      </c>
      <c r="I119" s="349" t="str" cm="1">
        <f t="array" ref="I119" xml:space="preserve"> INDEX(字母八音反切!$C$4:$J$53, $B118, I$3)</f>
        <v>○</v>
      </c>
      <c r="J119" s="352" t="str" cm="1">
        <f t="array" ref="J119" xml:space="preserve"> INDEX(字母八音反切!$C$4:$J$53, $B118, J$3)</f>
        <v>○</v>
      </c>
    </row>
    <row r="120" spans="2:10" ht="23.25">
      <c r="B120" s="492"/>
      <c r="C120" s="350" t="str">
        <f xml:space="preserve"> _xlfn.CONCAT( IF(OR(C$3=4, C$3=8),
_xlfn.XLOOKUP(($B118*2), 韻母表[序號], 韻母表[台羅拼音]),
_xlfn.XLOOKUP($B118, 韻母表[韻序], 韻母表[台羅拼音])
), C$3)</f>
        <v>e1</v>
      </c>
      <c r="D120" s="350" t="str">
        <f xml:space="preserve"> _xlfn.CONCAT( IF(OR(D$3=4, D$3=8),
_xlfn.XLOOKUP(($B118*2), 韻母表[序號], 韻母表[台羅拼音]),
_xlfn.XLOOKUP($B118, 韻母表[韻序], 韻母表[台羅拼音])
), D$3)</f>
        <v>e2</v>
      </c>
      <c r="E120" s="350" t="str">
        <f xml:space="preserve"> _xlfn.CONCAT( IF(OR(E$3=4, E$3=8),
_xlfn.XLOOKUP(($B118*2), 韻母表[序號], 韻母表[台羅拼音]),
_xlfn.XLOOKUP($B118, 韻母表[韻序], 韻母表[台羅拼音])
), E$3)</f>
        <v>e3</v>
      </c>
      <c r="F120" s="350" t="str">
        <f xml:space="preserve"> _xlfn.CONCAT( IF(OR(F$3=4, F$3=8),
_xlfn.XLOOKUP(($B118*2), 韻母表[序號], 韻母表[台羅拼音]),
_xlfn.XLOOKUP($B118, 韻母表[韻序], 韻母表[台羅拼音])
), F$3)</f>
        <v>eh4</v>
      </c>
      <c r="G120" s="350" t="str">
        <f xml:space="preserve"> _xlfn.CONCAT( IF(OR(G$3=4, G$3=8),
_xlfn.XLOOKUP(($B118*2), 韻母表[序號], 韻母表[台羅拼音]),
_xlfn.XLOOKUP($B118, 韻母表[韻序], 韻母表[台羅拼音])
), G$3)</f>
        <v>e5</v>
      </c>
      <c r="H120" s="350" t="str">
        <f xml:space="preserve"> _xlfn.CONCAT( IF(OR(H$3=4, H$3=8),
_xlfn.XLOOKUP(($B118*2), 韻母表[序號], 韻母表[台羅拼音]),
_xlfn.XLOOKUP($B118, 韻母表[韻序], 韻母表[台羅拼音])
), H$3)</f>
        <v>e6</v>
      </c>
      <c r="I120" s="350" t="str">
        <f xml:space="preserve"> _xlfn.CONCAT( IF(OR(I$3=4, I$3=8),
_xlfn.XLOOKUP(($B118*2), 韻母表[序號], 韻母表[台羅拼音]),
_xlfn.XLOOKUP($B118, 韻母表[韻序], 韻母表[台羅拼音])
), I$3)</f>
        <v>e7</v>
      </c>
      <c r="J120" s="350" t="str">
        <f xml:space="preserve"> _xlfn.CONCAT( IF(OR(J$3=4, J$3=8),
_xlfn.XLOOKUP(($B118*2), 韻母表[序號], 韻母表[台羅拼音]),
_xlfn.XLOOKUP($B118, 韻母表[韻序], 韻母表[台羅拼音])
), J$3)</f>
        <v>eh8</v>
      </c>
    </row>
    <row r="121" spans="2:10" ht="20.25">
      <c r="B121" s="490">
        <f t="shared" ref="B121" si="34">B118+1</f>
        <v>40</v>
      </c>
      <c r="C121" s="353" t="str">
        <f xml:space="preserve"> _xlfn.CONCAT( IF(OR(C$3=4, C$3=8),
_xlfn.XLOOKUP(($B121*2), 韻母表[序號], 韻母表[方音符號]),
_xlfn.XLOOKUP($B121, 韻母表[韻序], 韻母表[方音符號])
), _xlfn.XLOOKUP(C$3, 聲調符號表[調號], 聲調符號表[調符]))</f>
        <v>ㆮ</v>
      </c>
      <c r="D121" s="353" t="str">
        <f xml:space="preserve"> _xlfn.CONCAT( IF(OR(D$3=4, D$3=8),
_xlfn.XLOOKUP(($B121*2), 韻母表[序號], 韻母表[方音符號]),
_xlfn.XLOOKUP($B121, 韻母表[韻序], 韻母表[方音符號])
), _xlfn.XLOOKUP(D$3, 聲調符號表[調號], 聲調符號表[調符]))</f>
        <v>ㆮˋ</v>
      </c>
      <c r="E121" s="353" t="str">
        <f xml:space="preserve"> _xlfn.CONCAT( IF(OR(E$3=4, E$3=8),
_xlfn.XLOOKUP(($B121*2), 韻母表[序號], 韻母表[方音符號]),
_xlfn.XLOOKUP($B121, 韻母表[韻序], 韻母表[方音符號])
), _xlfn.XLOOKUP(E$3, 聲調符號表[調號], 聲調符號表[調符]))</f>
        <v>ㆮ˪</v>
      </c>
      <c r="F121" s="353" t="str">
        <f xml:space="preserve"> _xlfn.CONCAT( IF(OR(F$3=4, F$3=8),
_xlfn.XLOOKUP(($B121*2), 韻母表[序號], 韻母表[方音符號]),
_xlfn.XLOOKUP($B121, 韻母表[韻序], 韻母表[方音符號])
), _xlfn.XLOOKUP(F$3, 聲調符號表[調號], 聲調符號表[調符]))</f>
        <v>ㆮㆷ</v>
      </c>
      <c r="G121" s="353" t="str">
        <f xml:space="preserve"> _xlfn.CONCAT( IF(OR(G$3=4, G$3=8),
_xlfn.XLOOKUP(($B121*2), 韻母表[序號], 韻母表[方音符號]),
_xlfn.XLOOKUP($B121, 韻母表[韻序], 韻母表[方音符號])
), _xlfn.XLOOKUP(G$3, 聲調符號表[調號], 聲調符號表[調符]))</f>
        <v>ㆮˊ</v>
      </c>
      <c r="H121" s="353" t="str">
        <f xml:space="preserve"> _xlfn.CONCAT( IF(OR(H$3=4, H$3=8),
_xlfn.XLOOKUP(($B121*2), 韻母表[序號], 韻母表[方音符號]),
_xlfn.XLOOKUP($B121, 韻母表[韻序], 韻母表[方音符號])
), _xlfn.XLOOKUP(H$3, 聲調符號表[調號], 聲調符號表[調符]))</f>
        <v>ㆮˋ</v>
      </c>
      <c r="I121" s="353" t="str">
        <f xml:space="preserve"> _xlfn.CONCAT( IF(OR(I$3=4, I$3=8),
_xlfn.XLOOKUP(($B121*2), 韻母表[序號], 韻母表[方音符號]),
_xlfn.XLOOKUP($B121, 韻母表[韻序], 韻母表[方音符號])
), _xlfn.XLOOKUP(I$3, 聲調符號表[調號], 聲調符號表[調符]))</f>
        <v>ㆮ˫</v>
      </c>
      <c r="J121" s="353" t="str">
        <f xml:space="preserve"> _xlfn.CONCAT( IF(OR(J$3=4, J$3=8),
_xlfn.XLOOKUP(($B121*2), 韻母表[序號], 韻母表[方音符號]),
_xlfn.XLOOKUP($B121, 韻母表[韻序], 韻母表[方音符號])
), _xlfn.XLOOKUP(J$3, 聲調符號表[調號], 聲調符號表[調符]))</f>
        <v>ㆮㆷ˙</v>
      </c>
    </row>
    <row r="122" spans="2:10">
      <c r="B122" s="491">
        <v>4.5999999999999996</v>
      </c>
      <c r="C122" s="349" t="str" cm="1">
        <f t="array" ref="C122" xml:space="preserve"> INDEX(字母八音反切!$C$4:$J$53, $B121, C$3)</f>
        <v>閒</v>
      </c>
      <c r="D122" s="349" t="str" cm="1">
        <f t="array" ref="D122" xml:space="preserve"> INDEX(字母八音反切!$C$4:$J$53, $B121, D$3)</f>
        <v>𩈫</v>
      </c>
      <c r="E122" s="349" t="str" cm="1">
        <f t="array" ref="E122" xml:space="preserve"> INDEX(字母八音反切!$C$4:$J$53, $B121, E$3)</f>
        <v>○</v>
      </c>
      <c r="F122" s="352" t="str" cm="1">
        <f t="array" ref="F122" xml:space="preserve"> INDEX(字母八音反切!$C$4:$J$53, $B121, F$3)</f>
        <v>○</v>
      </c>
      <c r="G122" s="349" t="str" cm="1">
        <f t="array" ref="G122" xml:space="preserve"> INDEX(字母八音反切!$C$4:$J$53, $B121, G$3)</f>
        <v>○</v>
      </c>
      <c r="H122" s="349" t="str" cm="1">
        <f t="array" ref="H122" xml:space="preserve"> INDEX(字母八音反切!$C$4:$J$53, $B121, H$3)</f>
        <v>𩈫</v>
      </c>
      <c r="I122" s="349" t="str" cm="1">
        <f t="array" ref="I122" xml:space="preserve"> INDEX(字母八音反切!$C$4:$J$53, $B121, I$3)</f>
        <v>○</v>
      </c>
      <c r="J122" s="352" t="str" cm="1">
        <f t="array" ref="J122" xml:space="preserve"> INDEX(字母八音反切!$C$4:$J$53, $B121, J$3)</f>
        <v>○</v>
      </c>
    </row>
    <row r="123" spans="2:10" ht="23.25">
      <c r="B123" s="492"/>
      <c r="C123" s="350" t="str">
        <f xml:space="preserve"> _xlfn.CONCAT( IF(OR(C$3=4, C$3=8),
_xlfn.XLOOKUP(($B121*2), 韻母表[序號], 韻母表[台羅拼音]),
_xlfn.XLOOKUP($B121, 韻母表[韻序], 韻母表[台羅拼音])
), C$3)</f>
        <v>ainn1</v>
      </c>
      <c r="D123" s="350" t="str">
        <f xml:space="preserve"> _xlfn.CONCAT( IF(OR(D$3=4, D$3=8),
_xlfn.XLOOKUP(($B121*2), 韻母表[序號], 韻母表[台羅拼音]),
_xlfn.XLOOKUP($B121, 韻母表[韻序], 韻母表[台羅拼音])
), D$3)</f>
        <v>ainn2</v>
      </c>
      <c r="E123" s="350" t="str">
        <f xml:space="preserve"> _xlfn.CONCAT( IF(OR(E$3=4, E$3=8),
_xlfn.XLOOKUP(($B121*2), 韻母表[序號], 韻母表[台羅拼音]),
_xlfn.XLOOKUP($B121, 韻母表[韻序], 韻母表[台羅拼音])
), E$3)</f>
        <v>ainn3</v>
      </c>
      <c r="F123" s="350" t="str">
        <f xml:space="preserve"> _xlfn.CONCAT( IF(OR(F$3=4, F$3=8),
_xlfn.XLOOKUP(($B121*2), 韻母表[序號], 韻母表[台羅拼音]),
_xlfn.XLOOKUP($B121, 韻母表[韻序], 韻母表[台羅拼音])
), F$3)</f>
        <v>ainnh4</v>
      </c>
      <c r="G123" s="350" t="str">
        <f xml:space="preserve"> _xlfn.CONCAT( IF(OR(G$3=4, G$3=8),
_xlfn.XLOOKUP(($B121*2), 韻母表[序號], 韻母表[台羅拼音]),
_xlfn.XLOOKUP($B121, 韻母表[韻序], 韻母表[台羅拼音])
), G$3)</f>
        <v>ainn5</v>
      </c>
      <c r="H123" s="350" t="str">
        <f xml:space="preserve"> _xlfn.CONCAT( IF(OR(H$3=4, H$3=8),
_xlfn.XLOOKUP(($B121*2), 韻母表[序號], 韻母表[台羅拼音]),
_xlfn.XLOOKUP($B121, 韻母表[韻序], 韻母表[台羅拼音])
), H$3)</f>
        <v>ainn6</v>
      </c>
      <c r="I123" s="350" t="str">
        <f xml:space="preserve"> _xlfn.CONCAT( IF(OR(I$3=4, I$3=8),
_xlfn.XLOOKUP(($B121*2), 韻母表[序號], 韻母表[台羅拼音]),
_xlfn.XLOOKUP($B121, 韻母表[韻序], 韻母表[台羅拼音])
), I$3)</f>
        <v>ainn7</v>
      </c>
      <c r="J123" s="350" t="str">
        <f xml:space="preserve"> _xlfn.CONCAT( IF(OR(J$3=4, J$3=8),
_xlfn.XLOOKUP(($B121*2), 韻母表[序號], 韻母表[台羅拼音]),
_xlfn.XLOOKUP($B121, 韻母表[韻序], 韻母表[台羅拼音])
), J$3)</f>
        <v>ainnh8</v>
      </c>
    </row>
    <row r="124" spans="2:10" ht="20.25">
      <c r="B124" s="490">
        <f t="shared" ref="B124" si="35">B121+1</f>
        <v>41</v>
      </c>
      <c r="C124" s="353" t="str">
        <f xml:space="preserve"> _xlfn.CONCAT( IF(OR(C$3=4, C$3=8),
_xlfn.XLOOKUP(($B124*2), 韻母表[序號], 韻母表[方音符號]),
_xlfn.XLOOKUP($B124, 韻母表[韻序], 韻母表[方音符號])
), _xlfn.XLOOKUP(C$3, 聲調符號表[調號], 聲調符號表[調符]))</f>
        <v>ㆧ</v>
      </c>
      <c r="D124" s="353" t="str">
        <f xml:space="preserve"> _xlfn.CONCAT( IF(OR(D$3=4, D$3=8),
_xlfn.XLOOKUP(($B124*2), 韻母表[序號], 韻母表[方音符號]),
_xlfn.XLOOKUP($B124, 韻母表[韻序], 韻母表[方音符號])
), _xlfn.XLOOKUP(D$3, 聲調符號表[調號], 聲調符號表[調符]))</f>
        <v>ㆧˋ</v>
      </c>
      <c r="E124" s="353" t="str">
        <f xml:space="preserve"> _xlfn.CONCAT( IF(OR(E$3=4, E$3=8),
_xlfn.XLOOKUP(($B124*2), 韻母表[序號], 韻母表[方音符號]),
_xlfn.XLOOKUP($B124, 韻母表[韻序], 韻母表[方音符號])
), _xlfn.XLOOKUP(E$3, 聲調符號表[調號], 聲調符號表[調符]))</f>
        <v>ㆧ˪</v>
      </c>
      <c r="F124" s="353" t="str">
        <f xml:space="preserve"> _xlfn.CONCAT( IF(OR(F$3=4, F$3=8),
_xlfn.XLOOKUP(($B124*2), 韻母表[序號], 韻母表[方音符號]),
_xlfn.XLOOKUP($B124, 韻母表[韻序], 韻母表[方音符號])
), _xlfn.XLOOKUP(F$3, 聲調符號表[調號], 聲調符號表[調符]))</f>
        <v>ㆧㆷ</v>
      </c>
      <c r="G124" s="353" t="str">
        <f xml:space="preserve"> _xlfn.CONCAT( IF(OR(G$3=4, G$3=8),
_xlfn.XLOOKUP(($B124*2), 韻母表[序號], 韻母表[方音符號]),
_xlfn.XLOOKUP($B124, 韻母表[韻序], 韻母表[方音符號])
), _xlfn.XLOOKUP(G$3, 聲調符號表[調號], 聲調符號表[調符]))</f>
        <v>ㆧˊ</v>
      </c>
      <c r="H124" s="353" t="str">
        <f xml:space="preserve"> _xlfn.CONCAT( IF(OR(H$3=4, H$3=8),
_xlfn.XLOOKUP(($B124*2), 韻母表[序號], 韻母表[方音符號]),
_xlfn.XLOOKUP($B124, 韻母表[韻序], 韻母表[方音符號])
), _xlfn.XLOOKUP(H$3, 聲調符號表[調號], 聲調符號表[調符]))</f>
        <v>ㆧˋ</v>
      </c>
      <c r="I124" s="353" t="str">
        <f xml:space="preserve"> _xlfn.CONCAT( IF(OR(I$3=4, I$3=8),
_xlfn.XLOOKUP(($B124*2), 韻母表[序號], 韻母表[方音符號]),
_xlfn.XLOOKUP($B124, 韻母表[韻序], 韻母表[方音符號])
), _xlfn.XLOOKUP(I$3, 聲調符號表[調號], 聲調符號表[調符]))</f>
        <v>ㆧ˫</v>
      </c>
      <c r="J124" s="353" t="str">
        <f xml:space="preserve"> _xlfn.CONCAT( IF(OR(J$3=4, J$3=8),
_xlfn.XLOOKUP(($B124*2), 韻母表[序號], 韻母表[方音符號]),
_xlfn.XLOOKUP($B124, 韻母表[韻序], 韻母表[方音符號])
), _xlfn.XLOOKUP(J$3, 聲調符號表[調號], 聲調符號表[調符]))</f>
        <v>ㆧㆷ˙</v>
      </c>
    </row>
    <row r="125" spans="2:10">
      <c r="B125" s="491">
        <v>4.5999999999999996</v>
      </c>
      <c r="C125" s="349" t="str" cm="1">
        <f t="array" ref="C125" xml:space="preserve"> INDEX(字母八音反切!$C$4:$J$53, $B124, C$3)</f>
        <v>姑</v>
      </c>
      <c r="D125" s="349" t="str" cm="1">
        <f t="array" ref="D125" xml:space="preserve"> INDEX(字母八音反切!$C$4:$J$53, $B124, D$3)</f>
        <v>○</v>
      </c>
      <c r="E125" s="349" t="str" cm="1">
        <f t="array" ref="E125" xml:space="preserve"> INDEX(字母八音反切!$C$4:$J$53, $B124, E$3)</f>
        <v>○</v>
      </c>
      <c r="F125" s="352" t="str" cm="1">
        <f t="array" ref="F125" xml:space="preserve"> INDEX(字母八音反切!$C$4:$J$53, $B124, F$3)</f>
        <v>○</v>
      </c>
      <c r="G125" s="349" t="str" cm="1">
        <f t="array" ref="G125" xml:space="preserve"> INDEX(字母八音反切!$C$4:$J$53, $B124, G$3)</f>
        <v>○</v>
      </c>
      <c r="H125" s="349" t="str" cm="1">
        <f t="array" ref="H125" xml:space="preserve"> INDEX(字母八音反切!$C$4:$J$53, $B124, H$3)</f>
        <v>○</v>
      </c>
      <c r="I125" s="349" t="str" cm="1">
        <f t="array" ref="I125" xml:space="preserve"> INDEX(字母八音反切!$C$4:$J$53, $B124, I$3)</f>
        <v>○</v>
      </c>
      <c r="J125" s="352" t="str" cm="1">
        <f t="array" ref="J125" xml:space="preserve"> INDEX(字母八音反切!$C$4:$J$53, $B124, J$3)</f>
        <v>○</v>
      </c>
    </row>
    <row r="126" spans="2:10" ht="23.25">
      <c r="B126" s="492"/>
      <c r="C126" s="350" t="str">
        <f xml:space="preserve"> _xlfn.CONCAT( IF(OR(C$3=4, C$3=8),
_xlfn.XLOOKUP(($B124*2), 韻母表[序號], 韻母表[台羅拼音]),
_xlfn.XLOOKUP($B124, 韻母表[韻序], 韻母表[台羅拼音])
), C$3)</f>
        <v>onn1</v>
      </c>
      <c r="D126" s="350" t="str">
        <f xml:space="preserve"> _xlfn.CONCAT( IF(OR(D$3=4, D$3=8),
_xlfn.XLOOKUP(($B124*2), 韻母表[序號], 韻母表[台羅拼音]),
_xlfn.XLOOKUP($B124, 韻母表[韻序], 韻母表[台羅拼音])
), D$3)</f>
        <v>onn2</v>
      </c>
      <c r="E126" s="350" t="str">
        <f xml:space="preserve"> _xlfn.CONCAT( IF(OR(E$3=4, E$3=8),
_xlfn.XLOOKUP(($B124*2), 韻母表[序號], 韻母表[台羅拼音]),
_xlfn.XLOOKUP($B124, 韻母表[韻序], 韻母表[台羅拼音])
), E$3)</f>
        <v>onn3</v>
      </c>
      <c r="F126" s="350" t="str">
        <f xml:space="preserve"> _xlfn.CONCAT( IF(OR(F$3=4, F$3=8),
_xlfn.XLOOKUP(($B124*2), 韻母表[序號], 韻母表[台羅拼音]),
_xlfn.XLOOKUP($B124, 韻母表[韻序], 韻母表[台羅拼音])
), F$3)</f>
        <v>onnh4</v>
      </c>
      <c r="G126" s="350" t="str">
        <f xml:space="preserve"> _xlfn.CONCAT( IF(OR(G$3=4, G$3=8),
_xlfn.XLOOKUP(($B124*2), 韻母表[序號], 韻母表[台羅拼音]),
_xlfn.XLOOKUP($B124, 韻母表[韻序], 韻母表[台羅拼音])
), G$3)</f>
        <v>onn5</v>
      </c>
      <c r="H126" s="350" t="str">
        <f xml:space="preserve"> _xlfn.CONCAT( IF(OR(H$3=4, H$3=8),
_xlfn.XLOOKUP(($B124*2), 韻母表[序號], 韻母表[台羅拼音]),
_xlfn.XLOOKUP($B124, 韻母表[韻序], 韻母表[台羅拼音])
), H$3)</f>
        <v>onn6</v>
      </c>
      <c r="I126" s="350" t="str">
        <f xml:space="preserve"> _xlfn.CONCAT( IF(OR(I$3=4, I$3=8),
_xlfn.XLOOKUP(($B124*2), 韻母表[序號], 韻母表[台羅拼音]),
_xlfn.XLOOKUP($B124, 韻母表[韻序], 韻母表[台羅拼音])
), I$3)</f>
        <v>onn7</v>
      </c>
      <c r="J126" s="350" t="str">
        <f xml:space="preserve"> _xlfn.CONCAT( IF(OR(J$3=4, J$3=8),
_xlfn.XLOOKUP(($B124*2), 韻母表[序號], 韻母表[台羅拼音]),
_xlfn.XLOOKUP($B124, 韻母表[韻序], 韻母表[台羅拼音])
), J$3)</f>
        <v>onnh8</v>
      </c>
    </row>
    <row r="127" spans="2:10" ht="20.25">
      <c r="B127" s="490">
        <f t="shared" ref="B127" si="36">B124+1</f>
        <v>42</v>
      </c>
      <c r="C127" s="353" t="str">
        <f xml:space="preserve"> _xlfn.CONCAT( IF(OR(C$3=4, C$3=8),
_xlfn.XLOOKUP(($B127*2), 韻母表[序號], 韻母表[方音符號]),
_xlfn.XLOOKUP($B127, 韻母表[韻序], 韻母表[方音符號])
), _xlfn.XLOOKUP(C$3, 聲調符號表[調號], 聲調符號表[調符]))</f>
        <v>ㆬ</v>
      </c>
      <c r="D127" s="353" t="str">
        <f xml:space="preserve"> _xlfn.CONCAT( IF(OR(D$3=4, D$3=8),
_xlfn.XLOOKUP(($B127*2), 韻母表[序號], 韻母表[方音符號]),
_xlfn.XLOOKUP($B127, 韻母表[韻序], 韻母表[方音符號])
), _xlfn.XLOOKUP(D$3, 聲調符號表[調號], 聲調符號表[調符]))</f>
        <v>ㆬˋ</v>
      </c>
      <c r="E127" s="353" t="str">
        <f xml:space="preserve"> _xlfn.CONCAT( IF(OR(E$3=4, E$3=8),
_xlfn.XLOOKUP(($B127*2), 韻母表[序號], 韻母表[方音符號]),
_xlfn.XLOOKUP($B127, 韻母表[韻序], 韻母表[方音符號])
), _xlfn.XLOOKUP(E$3, 聲調符號表[調號], 聲調符號表[調符]))</f>
        <v>ㆬ˪</v>
      </c>
      <c r="F127" s="353" t="str">
        <f xml:space="preserve"> _xlfn.CONCAT( IF(OR(F$3=4, F$3=8),
_xlfn.XLOOKUP(($B127*2), 韻母表[序號], 韻母表[方音符號]),
_xlfn.XLOOKUP($B127, 韻母表[韻序], 韻母表[方音符號])
), _xlfn.XLOOKUP(F$3, 聲調符號表[調號], 聲調符號表[調符]))</f>
        <v>ㆬㆷ</v>
      </c>
      <c r="G127" s="353" t="str">
        <f xml:space="preserve"> _xlfn.CONCAT( IF(OR(G$3=4, G$3=8),
_xlfn.XLOOKUP(($B127*2), 韻母表[序號], 韻母表[方音符號]),
_xlfn.XLOOKUP($B127, 韻母表[韻序], 韻母表[方音符號])
), _xlfn.XLOOKUP(G$3, 聲調符號表[調號], 聲調符號表[調符]))</f>
        <v>ㆬˊ</v>
      </c>
      <c r="H127" s="353" t="str">
        <f xml:space="preserve"> _xlfn.CONCAT( IF(OR(H$3=4, H$3=8),
_xlfn.XLOOKUP(($B127*2), 韻母表[序號], 韻母表[方音符號]),
_xlfn.XLOOKUP($B127, 韻母表[韻序], 韻母表[方音符號])
), _xlfn.XLOOKUP(H$3, 聲調符號表[調號], 聲調符號表[調符]))</f>
        <v>ㆬˋ</v>
      </c>
      <c r="I127" s="353" t="str">
        <f xml:space="preserve"> _xlfn.CONCAT( IF(OR(I$3=4, I$3=8),
_xlfn.XLOOKUP(($B127*2), 韻母表[序號], 韻母表[方音符號]),
_xlfn.XLOOKUP($B127, 韻母表[韻序], 韻母表[方音符號])
), _xlfn.XLOOKUP(I$3, 聲調符號表[調號], 聲調符號表[調符]))</f>
        <v>ㆬ˫</v>
      </c>
      <c r="J127" s="353" t="str">
        <f xml:space="preserve"> _xlfn.CONCAT( IF(OR(J$3=4, J$3=8),
_xlfn.XLOOKUP(($B127*2), 韻母表[序號], 韻母表[方音符號]),
_xlfn.XLOOKUP($B127, 韻母表[韻序], 韻母表[方音符號])
), _xlfn.XLOOKUP(J$3, 聲調符號表[調號], 聲調符號表[調符]))</f>
        <v>ㆬㆷ˙</v>
      </c>
    </row>
    <row r="128" spans="2:10">
      <c r="B128" s="491">
        <v>4.5999999999999996</v>
      </c>
      <c r="C128" s="349" t="str" cm="1">
        <f t="array" ref="C128" xml:space="preserve"> INDEX(字母八音反切!$C$4:$J$53, $B127, C$3)</f>
        <v>姆</v>
      </c>
      <c r="D128" s="349" t="str" cm="1">
        <f t="array" ref="D128" xml:space="preserve"> INDEX(字母八音反切!$C$4:$J$53, $B127, D$3)</f>
        <v>○</v>
      </c>
      <c r="E128" s="349" t="str" cm="1">
        <f t="array" ref="E128" xml:space="preserve"> INDEX(字母八音反切!$C$4:$J$53, $B127, E$3)</f>
        <v>○</v>
      </c>
      <c r="F128" s="352" t="str" cm="1">
        <f t="array" ref="F128" xml:space="preserve"> INDEX(字母八音反切!$C$4:$J$53, $B127, F$3)</f>
        <v>○</v>
      </c>
      <c r="G128" s="349" t="str" cm="1">
        <f t="array" ref="G128" xml:space="preserve"> INDEX(字母八音反切!$C$4:$J$53, $B127, G$3)</f>
        <v>○</v>
      </c>
      <c r="H128" s="349" t="str" cm="1">
        <f t="array" ref="H128" xml:space="preserve"> INDEX(字母八音反切!$C$4:$J$53, $B127, H$3)</f>
        <v>○</v>
      </c>
      <c r="I128" s="349" t="str" cm="1">
        <f t="array" ref="I128" xml:space="preserve"> INDEX(字母八音反切!$C$4:$J$53, $B127, I$3)</f>
        <v>○</v>
      </c>
      <c r="J128" s="352" t="str" cm="1">
        <f t="array" ref="J128" xml:space="preserve"> INDEX(字母八音反切!$C$4:$J$53, $B127, J$3)</f>
        <v>○</v>
      </c>
    </row>
    <row r="129" spans="2:10" ht="23.25">
      <c r="B129" s="492"/>
      <c r="C129" s="350" t="str">
        <f xml:space="preserve"> _xlfn.CONCAT( IF(OR(C$3=4, C$3=8),
_xlfn.XLOOKUP(($B127*2), 韻母表[序號], 韻母表[台羅拼音]),
_xlfn.XLOOKUP($B127, 韻母表[韻序], 韻母表[台羅拼音])
), C$3)</f>
        <v>m1</v>
      </c>
      <c r="D129" s="350" t="str">
        <f xml:space="preserve"> _xlfn.CONCAT( IF(OR(D$3=4, D$3=8),
_xlfn.XLOOKUP(($B127*2), 韻母表[序號], 韻母表[台羅拼音]),
_xlfn.XLOOKUP($B127, 韻母表[韻序], 韻母表[台羅拼音])
), D$3)</f>
        <v>m2</v>
      </c>
      <c r="E129" s="350" t="str">
        <f xml:space="preserve"> _xlfn.CONCAT( IF(OR(E$3=4, E$3=8),
_xlfn.XLOOKUP(($B127*2), 韻母表[序號], 韻母表[台羅拼音]),
_xlfn.XLOOKUP($B127, 韻母表[韻序], 韻母表[台羅拼音])
), E$3)</f>
        <v>m3</v>
      </c>
      <c r="F129" s="350" t="str">
        <f xml:space="preserve"> _xlfn.CONCAT( IF(OR(F$3=4, F$3=8),
_xlfn.XLOOKUP(($B127*2), 韻母表[序號], 韻母表[台羅拼音]),
_xlfn.XLOOKUP($B127, 韻母表[韻序], 韻母表[台羅拼音])
), F$3)</f>
        <v>mh4</v>
      </c>
      <c r="G129" s="350" t="str">
        <f xml:space="preserve"> _xlfn.CONCAT( IF(OR(G$3=4, G$3=8),
_xlfn.XLOOKUP(($B127*2), 韻母表[序號], 韻母表[台羅拼音]),
_xlfn.XLOOKUP($B127, 韻母表[韻序], 韻母表[台羅拼音])
), G$3)</f>
        <v>m5</v>
      </c>
      <c r="H129" s="350" t="str">
        <f xml:space="preserve"> _xlfn.CONCAT( IF(OR(H$3=4, H$3=8),
_xlfn.XLOOKUP(($B127*2), 韻母表[序號], 韻母表[台羅拼音]),
_xlfn.XLOOKUP($B127, 韻母表[韻序], 韻母表[台羅拼音])
), H$3)</f>
        <v>m6</v>
      </c>
      <c r="I129" s="350" t="str">
        <f xml:space="preserve"> _xlfn.CONCAT( IF(OR(I$3=4, I$3=8),
_xlfn.XLOOKUP(($B127*2), 韻母表[序號], 韻母表[台羅拼音]),
_xlfn.XLOOKUP($B127, 韻母表[韻序], 韻母表[台羅拼音])
), I$3)</f>
        <v>m7</v>
      </c>
      <c r="J129" s="350" t="str">
        <f xml:space="preserve"> _xlfn.CONCAT( IF(OR(J$3=4, J$3=8),
_xlfn.XLOOKUP(($B127*2), 韻母表[序號], 韻母表[台羅拼音]),
_xlfn.XLOOKUP($B127, 韻母表[韻序], 韻母表[台羅拼音])
), J$3)</f>
        <v>mh8</v>
      </c>
    </row>
    <row r="130" spans="2:10" ht="20.25">
      <c r="B130" s="490">
        <f t="shared" ref="B130" si="37">B127+1</f>
        <v>43</v>
      </c>
      <c r="C130" s="353" t="str">
        <f xml:space="preserve"> _xlfn.CONCAT( IF(OR(C$3=4, C$3=8),
_xlfn.XLOOKUP(($B130*2), 韻母表[序號], 韻母表[方音符號]),
_xlfn.XLOOKUP($B130, 韻母表[韻序], 韻母表[方音符號])
), _xlfn.XLOOKUP(C$3, 聲調符號表[調號], 聲調符號表[調符]))</f>
        <v>ㄨㄤ</v>
      </c>
      <c r="D130" s="353" t="str">
        <f xml:space="preserve"> _xlfn.CONCAT( IF(OR(D$3=4, D$3=8),
_xlfn.XLOOKUP(($B130*2), 韻母表[序號], 韻母表[方音符號]),
_xlfn.XLOOKUP($B130, 韻母表[韻序], 韻母表[方音符號])
), _xlfn.XLOOKUP(D$3, 聲調符號表[調號], 聲調符號表[調符]))</f>
        <v>ㄨㄤˋ</v>
      </c>
      <c r="E130" s="353" t="str">
        <f xml:space="preserve"> _xlfn.CONCAT( IF(OR(E$3=4, E$3=8),
_xlfn.XLOOKUP(($B130*2), 韻母表[序號], 韻母表[方音符號]),
_xlfn.XLOOKUP($B130, 韻母表[韻序], 韻母表[方音符號])
), _xlfn.XLOOKUP(E$3, 聲調符號表[調號], 聲調符號表[調符]))</f>
        <v>ㄨㄤ˪</v>
      </c>
      <c r="F130" s="353" t="str">
        <f xml:space="preserve"> _xlfn.CONCAT( IF(OR(F$3=4, F$3=8),
_xlfn.XLOOKUP(($B130*2), 韻母表[序號], 韻母表[方音符號]),
_xlfn.XLOOKUP($B130, 韻母表[韻序], 韻母表[方音符號])
), _xlfn.XLOOKUP(F$3, 聲調符號表[調號], 聲調符號表[調符]))</f>
        <v>ㄨㄤㆷ</v>
      </c>
      <c r="G130" s="353" t="str">
        <f xml:space="preserve"> _xlfn.CONCAT( IF(OR(G$3=4, G$3=8),
_xlfn.XLOOKUP(($B130*2), 韻母表[序號], 韻母表[方音符號]),
_xlfn.XLOOKUP($B130, 韻母表[韻序], 韻母表[方音符號])
), _xlfn.XLOOKUP(G$3, 聲調符號表[調號], 聲調符號表[調符]))</f>
        <v>ㄨㄤˊ</v>
      </c>
      <c r="H130" s="353" t="str">
        <f xml:space="preserve"> _xlfn.CONCAT( IF(OR(H$3=4, H$3=8),
_xlfn.XLOOKUP(($B130*2), 韻母表[序號], 韻母表[方音符號]),
_xlfn.XLOOKUP($B130, 韻母表[韻序], 韻母表[方音符號])
), _xlfn.XLOOKUP(H$3, 聲調符號表[調號], 聲調符號表[調符]))</f>
        <v>ㄨㄤˋ</v>
      </c>
      <c r="I130" s="353" t="str">
        <f xml:space="preserve"> _xlfn.CONCAT( IF(OR(I$3=4, I$3=8),
_xlfn.XLOOKUP(($B130*2), 韻母表[序號], 韻母表[方音符號]),
_xlfn.XLOOKUP($B130, 韻母表[韻序], 韻母表[方音符號])
), _xlfn.XLOOKUP(I$3, 聲調符號表[調號], 聲調符號表[調符]))</f>
        <v>ㄨㄤ˫</v>
      </c>
      <c r="J130" s="353" t="str">
        <f xml:space="preserve"> _xlfn.CONCAT( IF(OR(J$3=4, J$3=8),
_xlfn.XLOOKUP(($B130*2), 韻母表[序號], 韻母表[方音符號]),
_xlfn.XLOOKUP($B130, 韻母表[韻序], 韻母表[方音符號])
), _xlfn.XLOOKUP(J$3, 聲調符號表[調號], 聲調符號表[調符]))</f>
        <v>ㄨㄤㆷ˙</v>
      </c>
    </row>
    <row r="131" spans="2:10">
      <c r="B131" s="491">
        <v>4.5999999999999996</v>
      </c>
      <c r="C131" s="349" t="str" cm="1">
        <f t="array" ref="C131" xml:space="preserve"> INDEX(字母八音反切!$C$4:$J$53, $B130, C$3)</f>
        <v>光</v>
      </c>
      <c r="D131" s="349" t="str" cm="1">
        <f t="array" ref="D131" xml:space="preserve"> INDEX(字母八音反切!$C$4:$J$53, $B130, D$3)</f>
        <v>○</v>
      </c>
      <c r="E131" s="349" t="str" cm="1">
        <f t="array" ref="E131" xml:space="preserve"> INDEX(字母八音反切!$C$4:$J$53, $B130, E$3)</f>
        <v>○</v>
      </c>
      <c r="F131" s="352" t="str" cm="1">
        <f t="array" ref="F131" xml:space="preserve"> INDEX(字母八音反切!$C$4:$J$53, $B130, F$3)</f>
        <v>○</v>
      </c>
      <c r="G131" s="349" t="str" cm="1">
        <f t="array" ref="G131" xml:space="preserve"> INDEX(字母八音反切!$C$4:$J$53, $B130, G$3)</f>
        <v>○</v>
      </c>
      <c r="H131" s="349" t="str" cm="1">
        <f t="array" ref="H131" xml:space="preserve"> INDEX(字母八音反切!$C$4:$J$53, $B130, H$3)</f>
        <v>○</v>
      </c>
      <c r="I131" s="349" t="str" cm="1">
        <f t="array" ref="I131" xml:space="preserve"> INDEX(字母八音反切!$C$4:$J$53, $B130, I$3)</f>
        <v>○</v>
      </c>
      <c r="J131" s="352" t="str" cm="1">
        <f t="array" ref="J131" xml:space="preserve"> INDEX(字母八音反切!$C$4:$J$53, $B130, J$3)</f>
        <v>吷</v>
      </c>
    </row>
    <row r="132" spans="2:10" ht="23.25">
      <c r="B132" s="492"/>
      <c r="C132" s="350" t="str">
        <f xml:space="preserve"> _xlfn.CONCAT( IF(OR(C$3=4, C$3=8),
_xlfn.XLOOKUP(($B130*2), 韻母表[序號], 韻母表[台羅拼音]),
_xlfn.XLOOKUP($B130, 韻母表[韻序], 韻母表[台羅拼音])
), C$3)</f>
        <v>uang1</v>
      </c>
      <c r="D132" s="350" t="str">
        <f xml:space="preserve"> _xlfn.CONCAT( IF(OR(D$3=4, D$3=8),
_xlfn.XLOOKUP(($B130*2), 韻母表[序號], 韻母表[台羅拼音]),
_xlfn.XLOOKUP($B130, 韻母表[韻序], 韻母表[台羅拼音])
), D$3)</f>
        <v>uang2</v>
      </c>
      <c r="E132" s="350" t="str">
        <f xml:space="preserve"> _xlfn.CONCAT( IF(OR(E$3=4, E$3=8),
_xlfn.XLOOKUP(($B130*2), 韻母表[序號], 韻母表[台羅拼音]),
_xlfn.XLOOKUP($B130, 韻母表[韻序], 韻母表[台羅拼音])
), E$3)</f>
        <v>uang3</v>
      </c>
      <c r="F132" s="350" t="str">
        <f xml:space="preserve"> _xlfn.CONCAT( IF(OR(F$3=4, F$3=8),
_xlfn.XLOOKUP(($B130*2), 韻母表[序號], 韻母表[台羅拼音]),
_xlfn.XLOOKUP($B130, 韻母表[韻序], 韻母表[台羅拼音])
), F$3)</f>
        <v>uangh4</v>
      </c>
      <c r="G132" s="350" t="str">
        <f xml:space="preserve"> _xlfn.CONCAT( IF(OR(G$3=4, G$3=8),
_xlfn.XLOOKUP(($B130*2), 韻母表[序號], 韻母表[台羅拼音]),
_xlfn.XLOOKUP($B130, 韻母表[韻序], 韻母表[台羅拼音])
), G$3)</f>
        <v>uang5</v>
      </c>
      <c r="H132" s="350" t="str">
        <f xml:space="preserve"> _xlfn.CONCAT( IF(OR(H$3=4, H$3=8),
_xlfn.XLOOKUP(($B130*2), 韻母表[序號], 韻母表[台羅拼音]),
_xlfn.XLOOKUP($B130, 韻母表[韻序], 韻母表[台羅拼音])
), H$3)</f>
        <v>uang6</v>
      </c>
      <c r="I132" s="350" t="str">
        <f xml:space="preserve"> _xlfn.CONCAT( IF(OR(I$3=4, I$3=8),
_xlfn.XLOOKUP(($B130*2), 韻母表[序號], 韻母表[台羅拼音]),
_xlfn.XLOOKUP($B130, 韻母表[韻序], 韻母表[台羅拼音])
), I$3)</f>
        <v>uang7</v>
      </c>
      <c r="J132" s="350" t="str">
        <f xml:space="preserve"> _xlfn.CONCAT( IF(OR(J$3=4, J$3=8),
_xlfn.XLOOKUP(($B130*2), 韻母表[序號], 韻母表[台羅拼音]),
_xlfn.XLOOKUP($B130, 韻母表[韻序], 韻母表[台羅拼音])
), J$3)</f>
        <v>uangh8</v>
      </c>
    </row>
    <row r="133" spans="2:10" ht="20.25">
      <c r="B133" s="490">
        <f t="shared" ref="B133" si="38">B130+1</f>
        <v>44</v>
      </c>
      <c r="C133" s="353" t="str">
        <f xml:space="preserve"> _xlfn.CONCAT( IF(OR(C$3=4, C$3=8),
_xlfn.XLOOKUP(($B133*2), 韻母表[序號], 韻母表[方音符號]),
_xlfn.XLOOKUP($B133, 韻母表[韻序], 韻母表[方音符號])
), _xlfn.XLOOKUP(C$3, 聲調符號表[調號], 聲調符號表[調符]))</f>
        <v>ㄨㆮ</v>
      </c>
      <c r="D133" s="353" t="str">
        <f xml:space="preserve"> _xlfn.CONCAT( IF(OR(D$3=4, D$3=8),
_xlfn.XLOOKUP(($B133*2), 韻母表[序號], 韻母表[方音符號]),
_xlfn.XLOOKUP($B133, 韻母表[韻序], 韻母表[方音符號])
), _xlfn.XLOOKUP(D$3, 聲調符號表[調號], 聲調符號表[調符]))</f>
        <v>ㄨㆮˋ</v>
      </c>
      <c r="E133" s="353" t="str">
        <f xml:space="preserve"> _xlfn.CONCAT( IF(OR(E$3=4, E$3=8),
_xlfn.XLOOKUP(($B133*2), 韻母表[序號], 韻母表[方音符號]),
_xlfn.XLOOKUP($B133, 韻母表[韻序], 韻母表[方音符號])
), _xlfn.XLOOKUP(E$3, 聲調符號表[調號], 聲調符號表[調符]))</f>
        <v>ㄨㆮ˪</v>
      </c>
      <c r="F133" s="353" t="str">
        <f xml:space="preserve"> _xlfn.CONCAT( IF(OR(F$3=4, F$3=8),
_xlfn.XLOOKUP(($B133*2), 韻母表[序號], 韻母表[方音符號]),
_xlfn.XLOOKUP($B133, 韻母表[韻序], 韻母表[方音符號])
), _xlfn.XLOOKUP(F$3, 聲調符號表[調號], 聲調符號表[調符]))</f>
        <v>ㄨㆮㆷ</v>
      </c>
      <c r="G133" s="353" t="str">
        <f xml:space="preserve"> _xlfn.CONCAT( IF(OR(G$3=4, G$3=8),
_xlfn.XLOOKUP(($B133*2), 韻母表[序號], 韻母表[方音符號]),
_xlfn.XLOOKUP($B133, 韻母表[韻序], 韻母表[方音符號])
), _xlfn.XLOOKUP(G$3, 聲調符號表[調號], 聲調符號表[調符]))</f>
        <v>ㄨㆮˊ</v>
      </c>
      <c r="H133" s="353" t="str">
        <f xml:space="preserve"> _xlfn.CONCAT( IF(OR(H$3=4, H$3=8),
_xlfn.XLOOKUP(($B133*2), 韻母表[序號], 韻母表[方音符號]),
_xlfn.XLOOKUP($B133, 韻母表[韻序], 韻母表[方音符號])
), _xlfn.XLOOKUP(H$3, 聲調符號表[調號], 聲調符號表[調符]))</f>
        <v>ㄨㆮˋ</v>
      </c>
      <c r="I133" s="353" t="str">
        <f xml:space="preserve"> _xlfn.CONCAT( IF(OR(I$3=4, I$3=8),
_xlfn.XLOOKUP(($B133*2), 韻母表[序號], 韻母表[方音符號]),
_xlfn.XLOOKUP($B133, 韻母表[韻序], 韻母表[方音符號])
), _xlfn.XLOOKUP(I$3, 聲調符號表[調號], 聲調符號表[調符]))</f>
        <v>ㄨㆮ˫</v>
      </c>
      <c r="J133" s="353" t="str">
        <f xml:space="preserve"> _xlfn.CONCAT( IF(OR(J$3=4, J$3=8),
_xlfn.XLOOKUP(($B133*2), 韻母表[序號], 韻母表[方音符號]),
_xlfn.XLOOKUP($B133, 韻母表[韻序], 韻母表[方音符號])
), _xlfn.XLOOKUP(J$3, 聲調符號表[調號], 聲調符號表[調符]))</f>
        <v>ㄨㆮㆷ˙</v>
      </c>
    </row>
    <row r="134" spans="2:10">
      <c r="B134" s="491">
        <v>4.5999999999999996</v>
      </c>
      <c r="C134" s="349" t="str" cm="1">
        <f t="array" ref="C134" xml:space="preserve"> INDEX(字母八音反切!$C$4:$J$53, $B133, C$3)</f>
        <v>閂</v>
      </c>
      <c r="D134" s="349" t="str" cm="1">
        <f t="array" ref="D134" xml:space="preserve"> INDEX(字母八音反切!$C$4:$J$53, $B133, D$3)</f>
        <v>○</v>
      </c>
      <c r="E134" s="349" t="str" cm="1">
        <f t="array" ref="E134" xml:space="preserve"> INDEX(字母八音反切!$C$4:$J$53, $B133, E$3)</f>
        <v>○</v>
      </c>
      <c r="F134" s="352" t="str" cm="1">
        <f t="array" ref="F134" xml:space="preserve"> INDEX(字母八音反切!$C$4:$J$53, $B133, F$3)</f>
        <v>○</v>
      </c>
      <c r="G134" s="349" t="str" cm="1">
        <f t="array" ref="G134" xml:space="preserve"> INDEX(字母八音反切!$C$4:$J$53, $B133, G$3)</f>
        <v>○</v>
      </c>
      <c r="H134" s="349" t="str" cm="1">
        <f t="array" ref="H134" xml:space="preserve"> INDEX(字母八音反切!$C$4:$J$53, $B133, H$3)</f>
        <v>○</v>
      </c>
      <c r="I134" s="349" t="str" cm="1">
        <f t="array" ref="I134" xml:space="preserve"> INDEX(字母八音反切!$C$4:$J$53, $B133, I$3)</f>
        <v>○</v>
      </c>
      <c r="J134" s="352" t="str" cm="1">
        <f t="array" ref="J134" xml:space="preserve"> INDEX(字母八音反切!$C$4:$J$53, $B133, J$3)</f>
        <v>○</v>
      </c>
    </row>
    <row r="135" spans="2:10" ht="23.25">
      <c r="B135" s="492"/>
      <c r="C135" s="350" t="str">
        <f xml:space="preserve"> _xlfn.CONCAT( IF(OR(C$3=4, C$3=8),
_xlfn.XLOOKUP(($B133*2), 韻母表[序號], 韻母表[台羅拼音]),
_xlfn.XLOOKUP($B133, 韻母表[韻序], 韻母表[台羅拼音])
), C$3)</f>
        <v>uainn1</v>
      </c>
      <c r="D135" s="350" t="str">
        <f xml:space="preserve"> _xlfn.CONCAT( IF(OR(D$3=4, D$3=8),
_xlfn.XLOOKUP(($B133*2), 韻母表[序號], 韻母表[台羅拼音]),
_xlfn.XLOOKUP($B133, 韻母表[韻序], 韻母表[台羅拼音])
), D$3)</f>
        <v>uainn2</v>
      </c>
      <c r="E135" s="350" t="str">
        <f xml:space="preserve"> _xlfn.CONCAT( IF(OR(E$3=4, E$3=8),
_xlfn.XLOOKUP(($B133*2), 韻母表[序號], 韻母表[台羅拼音]),
_xlfn.XLOOKUP($B133, 韻母表[韻序], 韻母表[台羅拼音])
), E$3)</f>
        <v>uainn3</v>
      </c>
      <c r="F135" s="350" t="str">
        <f xml:space="preserve"> _xlfn.CONCAT( IF(OR(F$3=4, F$3=8),
_xlfn.XLOOKUP(($B133*2), 韻母表[序號], 韻母表[台羅拼音]),
_xlfn.XLOOKUP($B133, 韻母表[韻序], 韻母表[台羅拼音])
), F$3)</f>
        <v>uainnh4</v>
      </c>
      <c r="G135" s="350" t="str">
        <f xml:space="preserve"> _xlfn.CONCAT( IF(OR(G$3=4, G$3=8),
_xlfn.XLOOKUP(($B133*2), 韻母表[序號], 韻母表[台羅拼音]),
_xlfn.XLOOKUP($B133, 韻母表[韻序], 韻母表[台羅拼音])
), G$3)</f>
        <v>uainn5</v>
      </c>
      <c r="H135" s="350" t="str">
        <f xml:space="preserve"> _xlfn.CONCAT( IF(OR(H$3=4, H$3=8),
_xlfn.XLOOKUP(($B133*2), 韻母表[序號], 韻母表[台羅拼音]),
_xlfn.XLOOKUP($B133, 韻母表[韻序], 韻母表[台羅拼音])
), H$3)</f>
        <v>uainn6</v>
      </c>
      <c r="I135" s="350" t="str">
        <f xml:space="preserve"> _xlfn.CONCAT( IF(OR(I$3=4, I$3=8),
_xlfn.XLOOKUP(($B133*2), 韻母表[序號], 韻母表[台羅拼音]),
_xlfn.XLOOKUP($B133, 韻母表[韻序], 韻母表[台羅拼音])
), I$3)</f>
        <v>uainn7</v>
      </c>
      <c r="J135" s="350" t="str">
        <f xml:space="preserve"> _xlfn.CONCAT( IF(OR(J$3=4, J$3=8),
_xlfn.XLOOKUP(($B133*2), 韻母表[序號], 韻母表[台羅拼音]),
_xlfn.XLOOKUP($B133, 韻母表[韻序], 韻母表[台羅拼音])
), J$3)</f>
        <v>uainnh8</v>
      </c>
    </row>
    <row r="136" spans="2:10" ht="20.25">
      <c r="B136" s="490">
        <f t="shared" ref="B136" si="39">B133+1</f>
        <v>45</v>
      </c>
      <c r="C136" s="353" t="str">
        <f xml:space="preserve"> _xlfn.CONCAT( IF(OR(C$3=4, C$3=8),
_xlfn.XLOOKUP(($B136*2), 韻母表[序號], 韻母表[方音符號]),
_xlfn.XLOOKUP($B136, 韻母表[韻序], 韻母表[方音符號])
), _xlfn.XLOOKUP(C$3, 聲調符號表[調號], 聲調符號表[調符]))</f>
        <v>ㄨㆥ</v>
      </c>
      <c r="D136" s="353" t="str">
        <f xml:space="preserve"> _xlfn.CONCAT( IF(OR(D$3=4, D$3=8),
_xlfn.XLOOKUP(($B136*2), 韻母表[序號], 韻母表[方音符號]),
_xlfn.XLOOKUP($B136, 韻母表[韻序], 韻母表[方音符號])
), _xlfn.XLOOKUP(D$3, 聲調符號表[調號], 聲調符號表[調符]))</f>
        <v>ㄨㆥˋ</v>
      </c>
      <c r="E136" s="353" t="str">
        <f xml:space="preserve"> _xlfn.CONCAT( IF(OR(E$3=4, E$3=8),
_xlfn.XLOOKUP(($B136*2), 韻母表[序號], 韻母表[方音符號]),
_xlfn.XLOOKUP($B136, 韻母表[韻序], 韻母表[方音符號])
), _xlfn.XLOOKUP(E$3, 聲調符號表[調號], 聲調符號表[調符]))</f>
        <v>ㄨㆥ˪</v>
      </c>
      <c r="F136" s="353" t="str">
        <f xml:space="preserve"> _xlfn.CONCAT( IF(OR(F$3=4, F$3=8),
_xlfn.XLOOKUP(($B136*2), 韻母表[序號], 韻母表[方音符號]),
_xlfn.XLOOKUP($B136, 韻母表[韻序], 韻母表[方音符號])
), _xlfn.XLOOKUP(F$3, 聲調符號表[調號], 聲調符號表[調符]))</f>
        <v>ㄨㆥㆷ</v>
      </c>
      <c r="G136" s="353" t="str">
        <f xml:space="preserve"> _xlfn.CONCAT( IF(OR(G$3=4, G$3=8),
_xlfn.XLOOKUP(($B136*2), 韻母表[序號], 韻母表[方音符號]),
_xlfn.XLOOKUP($B136, 韻母表[韻序], 韻母表[方音符號])
), _xlfn.XLOOKUP(G$3, 聲調符號表[調號], 聲調符號表[調符]))</f>
        <v>ㄨㆥˊ</v>
      </c>
      <c r="H136" s="353" t="str">
        <f xml:space="preserve"> _xlfn.CONCAT( IF(OR(H$3=4, H$3=8),
_xlfn.XLOOKUP(($B136*2), 韻母表[序號], 韻母表[方音符號]),
_xlfn.XLOOKUP($B136, 韻母表[韻序], 韻母表[方音符號])
), _xlfn.XLOOKUP(H$3, 聲調符號表[調號], 聲調符號表[調符]))</f>
        <v>ㄨㆥˋ</v>
      </c>
      <c r="I136" s="353" t="str">
        <f xml:space="preserve"> _xlfn.CONCAT( IF(OR(I$3=4, I$3=8),
_xlfn.XLOOKUP(($B136*2), 韻母表[序號], 韻母表[方音符號]),
_xlfn.XLOOKUP($B136, 韻母表[韻序], 韻母表[方音符號])
), _xlfn.XLOOKUP(I$3, 聲調符號表[調號], 聲調符號表[調符]))</f>
        <v>ㄨㆥ˫</v>
      </c>
      <c r="J136" s="353" t="str">
        <f xml:space="preserve"> _xlfn.CONCAT( IF(OR(J$3=4, J$3=8),
_xlfn.XLOOKUP(($B136*2), 韻母表[序號], 韻母表[方音符號]),
_xlfn.XLOOKUP($B136, 韻母表[韻序], 韻母表[方音符號])
), _xlfn.XLOOKUP(J$3, 聲調符號表[調號], 聲調符號表[調符]))</f>
        <v>ㄨㆥㆷ˙</v>
      </c>
    </row>
    <row r="137" spans="2:10">
      <c r="B137" s="491">
        <v>4.5999999999999996</v>
      </c>
      <c r="C137" s="349" t="str" cm="1">
        <f t="array" ref="C137" xml:space="preserve"> INDEX(字母八音反切!$C$4:$J$53, $B136, C$3)</f>
        <v>糜</v>
      </c>
      <c r="D137" s="349" t="str" cm="1">
        <f t="array" ref="D137" xml:space="preserve"> INDEX(字母八音反切!$C$4:$J$53, $B136, D$3)</f>
        <v>○</v>
      </c>
      <c r="E137" s="349" t="str" cm="1">
        <f t="array" ref="E137" xml:space="preserve"> INDEX(字母八音反切!$C$4:$J$53, $B136, E$3)</f>
        <v>○</v>
      </c>
      <c r="F137" s="352" t="str" cm="1">
        <f t="array" ref="F137" xml:space="preserve"> INDEX(字母八音反切!$C$4:$J$53, $B136, F$3)</f>
        <v>○</v>
      </c>
      <c r="G137" s="349" t="str" cm="1">
        <f t="array" ref="G137" xml:space="preserve"> INDEX(字母八音反切!$C$4:$J$53, $B136, G$3)</f>
        <v>○</v>
      </c>
      <c r="H137" s="349" t="str" cm="1">
        <f t="array" ref="H137" xml:space="preserve"> INDEX(字母八音反切!$C$4:$J$53, $B136, H$3)</f>
        <v>○</v>
      </c>
      <c r="I137" s="349" t="str" cm="1">
        <f t="array" ref="I137" xml:space="preserve"> INDEX(字母八音反切!$C$4:$J$53, $B136, I$3)</f>
        <v>○</v>
      </c>
      <c r="J137" s="352" t="str" cm="1">
        <f t="array" ref="J137" xml:space="preserve"> INDEX(字母八音反切!$C$4:$J$53, $B136, J$3)</f>
        <v>○</v>
      </c>
    </row>
    <row r="138" spans="2:10" ht="23.25">
      <c r="B138" s="492"/>
      <c r="C138" s="350" t="str">
        <f xml:space="preserve"> _xlfn.CONCAT( IF(OR(C$3=4, C$3=8),
_xlfn.XLOOKUP(($B136*2), 韻母表[序號], 韻母表[台羅拼音]),
_xlfn.XLOOKUP($B136, 韻母表[韻序], 韻母表[台羅拼音])
), C$3)</f>
        <v>ue1</v>
      </c>
      <c r="D138" s="350" t="str">
        <f xml:space="preserve"> _xlfn.CONCAT( IF(OR(D$3=4, D$3=8),
_xlfn.XLOOKUP(($B136*2), 韻母表[序號], 韻母表[台羅拼音]),
_xlfn.XLOOKUP($B136, 韻母表[韻序], 韻母表[台羅拼音])
), D$3)</f>
        <v>ue2</v>
      </c>
      <c r="E138" s="350" t="str">
        <f xml:space="preserve"> _xlfn.CONCAT( IF(OR(E$3=4, E$3=8),
_xlfn.XLOOKUP(($B136*2), 韻母表[序號], 韻母表[台羅拼音]),
_xlfn.XLOOKUP($B136, 韻母表[韻序], 韻母表[台羅拼音])
), E$3)</f>
        <v>ue3</v>
      </c>
      <c r="F138" s="350" t="str">
        <f xml:space="preserve"> _xlfn.CONCAT( IF(OR(F$3=4, F$3=8),
_xlfn.XLOOKUP(($B136*2), 韻母表[序號], 韻母表[台羅拼音]),
_xlfn.XLOOKUP($B136, 韻母表[韻序], 韻母表[台羅拼音])
), F$3)</f>
        <v>ueh4</v>
      </c>
      <c r="G138" s="350" t="str">
        <f xml:space="preserve"> _xlfn.CONCAT( IF(OR(G$3=4, G$3=8),
_xlfn.XLOOKUP(($B136*2), 韻母表[序號], 韻母表[台羅拼音]),
_xlfn.XLOOKUP($B136, 韻母表[韻序], 韻母表[台羅拼音])
), G$3)</f>
        <v>ue5</v>
      </c>
      <c r="H138" s="350" t="str">
        <f xml:space="preserve"> _xlfn.CONCAT( IF(OR(H$3=4, H$3=8),
_xlfn.XLOOKUP(($B136*2), 韻母表[序號], 韻母表[台羅拼音]),
_xlfn.XLOOKUP($B136, 韻母表[韻序], 韻母表[台羅拼音])
), H$3)</f>
        <v>ue6</v>
      </c>
      <c r="I138" s="350" t="str">
        <f xml:space="preserve"> _xlfn.CONCAT( IF(OR(I$3=4, I$3=8),
_xlfn.XLOOKUP(($B136*2), 韻母表[序號], 韻母表[台羅拼音]),
_xlfn.XLOOKUP($B136, 韻母表[韻序], 韻母表[台羅拼音])
), I$3)</f>
        <v>ue7</v>
      </c>
      <c r="J138" s="350" t="str">
        <f xml:space="preserve"> _xlfn.CONCAT( IF(OR(J$3=4, J$3=8),
_xlfn.XLOOKUP(($B136*2), 韻母表[序號], 韻母表[台羅拼音]),
_xlfn.XLOOKUP($B136, 韻母表[韻序], 韻母表[台羅拼音])
), J$3)</f>
        <v>ueh8</v>
      </c>
    </row>
    <row r="139" spans="2:10" ht="20.25">
      <c r="B139" s="490">
        <f t="shared" ref="B139" si="40">B136+1</f>
        <v>46</v>
      </c>
      <c r="C139" s="353" t="str">
        <f xml:space="preserve"> _xlfn.CONCAT( IF(OR(C$3=4, C$3=8),
_xlfn.XLOOKUP(($B139*2), 韻母表[序號], 韻母表[方音符號]),
_xlfn.XLOOKUP($B139, 韻母表[韻序], 韻母表[方音符號])
), _xlfn.XLOOKUP(C$3, 聲調符號表[調號], 聲調符號表[調符]))</f>
        <v>ㄧㆯ</v>
      </c>
      <c r="D139" s="353" t="str">
        <f xml:space="preserve"> _xlfn.CONCAT( IF(OR(D$3=4, D$3=8),
_xlfn.XLOOKUP(($B139*2), 韻母表[序號], 韻母表[方音符號]),
_xlfn.XLOOKUP($B139, 韻母表[韻序], 韻母表[方音符號])
), _xlfn.XLOOKUP(D$3, 聲調符號表[調號], 聲調符號表[調符]))</f>
        <v>ㄧㆯˋ</v>
      </c>
      <c r="E139" s="353" t="str">
        <f xml:space="preserve"> _xlfn.CONCAT( IF(OR(E$3=4, E$3=8),
_xlfn.XLOOKUP(($B139*2), 韻母表[序號], 韻母表[方音符號]),
_xlfn.XLOOKUP($B139, 韻母表[韻序], 韻母表[方音符號])
), _xlfn.XLOOKUP(E$3, 聲調符號表[調號], 聲調符號表[調符]))</f>
        <v>ㄧㆯ˪</v>
      </c>
      <c r="F139" s="353" t="str">
        <f xml:space="preserve"> _xlfn.CONCAT( IF(OR(F$3=4, F$3=8),
_xlfn.XLOOKUP(($B139*2), 韻母表[序號], 韻母表[方音符號]),
_xlfn.XLOOKUP($B139, 韻母表[韻序], 韻母表[方音符號])
), _xlfn.XLOOKUP(F$3, 聲調符號表[調號], 聲調符號表[調符]))</f>
        <v>ㄧㆯㆷ</v>
      </c>
      <c r="G139" s="353" t="str">
        <f xml:space="preserve"> _xlfn.CONCAT( IF(OR(G$3=4, G$3=8),
_xlfn.XLOOKUP(($B139*2), 韻母表[序號], 韻母表[方音符號]),
_xlfn.XLOOKUP($B139, 韻母表[韻序], 韻母表[方音符號])
), _xlfn.XLOOKUP(G$3, 聲調符號表[調號], 聲調符號表[調符]))</f>
        <v>ㄧㆯˊ</v>
      </c>
      <c r="H139" s="353" t="str">
        <f xml:space="preserve"> _xlfn.CONCAT( IF(OR(H$3=4, H$3=8),
_xlfn.XLOOKUP(($B139*2), 韻母表[序號], 韻母表[方音符號]),
_xlfn.XLOOKUP($B139, 韻母表[韻序], 韻母表[方音符號])
), _xlfn.XLOOKUP(H$3, 聲調符號表[調號], 聲調符號表[調符]))</f>
        <v>ㄧㆯˋ</v>
      </c>
      <c r="I139" s="353" t="str">
        <f xml:space="preserve"> _xlfn.CONCAT( IF(OR(I$3=4, I$3=8),
_xlfn.XLOOKUP(($B139*2), 韻母表[序號], 韻母表[方音符號]),
_xlfn.XLOOKUP($B139, 韻母表[韻序], 韻母表[方音符號])
), _xlfn.XLOOKUP(I$3, 聲調符號表[調號], 聲調符號表[調符]))</f>
        <v>ㄧㆯ˫</v>
      </c>
      <c r="J139" s="353" t="str">
        <f xml:space="preserve"> _xlfn.CONCAT( IF(OR(J$3=4, J$3=8),
_xlfn.XLOOKUP(($B139*2), 韻母表[序號], 韻母表[方音符號]),
_xlfn.XLOOKUP($B139, 韻母表[韻序], 韻母表[方音符號])
), _xlfn.XLOOKUP(J$3, 聲調符號表[調號], 聲調符號表[調符]))</f>
        <v>ㄧㆯㆷ˙</v>
      </c>
    </row>
    <row r="140" spans="2:10">
      <c r="B140" s="491">
        <v>4.5999999999999996</v>
      </c>
      <c r="C140" s="349" t="str" cm="1">
        <f t="array" ref="C140" xml:space="preserve"> INDEX(字母八音反切!$C$4:$J$53, $B139, C$3)</f>
        <v>嘄</v>
      </c>
      <c r="D140" s="349" t="str" cm="1">
        <f t="array" ref="D140" xml:space="preserve"> INDEX(字母八音反切!$C$4:$J$53, $B139, D$3)</f>
        <v>○</v>
      </c>
      <c r="E140" s="349" t="str" cm="1">
        <f t="array" ref="E140" xml:space="preserve"> INDEX(字母八音反切!$C$4:$J$53, $B139, E$3)</f>
        <v>○</v>
      </c>
      <c r="F140" s="352" t="str" cm="1">
        <f t="array" ref="F140" xml:space="preserve"> INDEX(字母八音反切!$C$4:$J$53, $B139, F$3)</f>
        <v>○</v>
      </c>
      <c r="G140" s="349" t="str" cm="1">
        <f t="array" ref="G140" xml:space="preserve"> INDEX(字母八音反切!$C$4:$J$53, $B139, G$3)</f>
        <v>○</v>
      </c>
      <c r="H140" s="349" t="str" cm="1">
        <f t="array" ref="H140" xml:space="preserve"> INDEX(字母八音反切!$C$4:$J$53, $B139, H$3)</f>
        <v>○</v>
      </c>
      <c r="I140" s="349" t="str" cm="1">
        <f t="array" ref="I140" xml:space="preserve"> INDEX(字母八音反切!$C$4:$J$53, $B139, I$3)</f>
        <v>○</v>
      </c>
      <c r="J140" s="352" t="str" cm="1">
        <f t="array" ref="J140" xml:space="preserve"> INDEX(字母八音反切!$C$4:$J$53, $B139, J$3)</f>
        <v>○</v>
      </c>
    </row>
    <row r="141" spans="2:10" ht="23.25">
      <c r="B141" s="492"/>
      <c r="C141" s="350" t="str">
        <f xml:space="preserve"> _xlfn.CONCAT( IF(OR(C$3=4, C$3=8),
_xlfn.XLOOKUP(($B139*2), 韻母表[序號], 韻母表[台羅拼音]),
_xlfn.XLOOKUP($B139, 韻母表[韻序], 韻母表[台羅拼音])
), C$3)</f>
        <v>iaunn1</v>
      </c>
      <c r="D141" s="350" t="str">
        <f xml:space="preserve"> _xlfn.CONCAT( IF(OR(D$3=4, D$3=8),
_xlfn.XLOOKUP(($B139*2), 韻母表[序號], 韻母表[台羅拼音]),
_xlfn.XLOOKUP($B139, 韻母表[韻序], 韻母表[台羅拼音])
), D$3)</f>
        <v>iaunn2</v>
      </c>
      <c r="E141" s="350" t="str">
        <f xml:space="preserve"> _xlfn.CONCAT( IF(OR(E$3=4, E$3=8),
_xlfn.XLOOKUP(($B139*2), 韻母表[序號], 韻母表[台羅拼音]),
_xlfn.XLOOKUP($B139, 韻母表[韻序], 韻母表[台羅拼音])
), E$3)</f>
        <v>iaunn3</v>
      </c>
      <c r="F141" s="350" t="str">
        <f xml:space="preserve"> _xlfn.CONCAT( IF(OR(F$3=4, F$3=8),
_xlfn.XLOOKUP(($B139*2), 韻母表[序號], 韻母表[台羅拼音]),
_xlfn.XLOOKUP($B139, 韻母表[韻序], 韻母表[台羅拼音])
), F$3)</f>
        <v>iaunnh4</v>
      </c>
      <c r="G141" s="350" t="str">
        <f xml:space="preserve"> _xlfn.CONCAT( IF(OR(G$3=4, G$3=8),
_xlfn.XLOOKUP(($B139*2), 韻母表[序號], 韻母表[台羅拼音]),
_xlfn.XLOOKUP($B139, 韻母表[韻序], 韻母表[台羅拼音])
), G$3)</f>
        <v>iaunn5</v>
      </c>
      <c r="H141" s="350" t="str">
        <f xml:space="preserve"> _xlfn.CONCAT( IF(OR(H$3=4, H$3=8),
_xlfn.XLOOKUP(($B139*2), 韻母表[序號], 韻母表[台羅拼音]),
_xlfn.XLOOKUP($B139, 韻母表[韻序], 韻母表[台羅拼音])
), H$3)</f>
        <v>iaunn6</v>
      </c>
      <c r="I141" s="350" t="str">
        <f xml:space="preserve"> _xlfn.CONCAT( IF(OR(I$3=4, I$3=8),
_xlfn.XLOOKUP(($B139*2), 韻母表[序號], 韻母表[台羅拼音]),
_xlfn.XLOOKUP($B139, 韻母表[韻序], 韻母表[台羅拼音])
), I$3)</f>
        <v>iaunn7</v>
      </c>
      <c r="J141" s="350" t="str">
        <f xml:space="preserve"> _xlfn.CONCAT( IF(OR(J$3=4, J$3=8),
_xlfn.XLOOKUP(($B139*2), 韻母表[序號], 韻母表[台羅拼音]),
_xlfn.XLOOKUP($B139, 韻母表[韻序], 韻母表[台羅拼音])
), J$3)</f>
        <v>iaunnh8</v>
      </c>
    </row>
    <row r="142" spans="2:10" ht="20.25">
      <c r="B142" s="490">
        <f t="shared" ref="B142" si="41">B139+1</f>
        <v>47</v>
      </c>
      <c r="C142" s="353" t="str">
        <f xml:space="preserve"> _xlfn.CONCAT( IF(OR(C$3=4, C$3=8),
_xlfn.XLOOKUP(($B142*2), 韻母表[序號], 韻母表[方音符號]),
_xlfn.XLOOKUP($B142, 韻母表[韻序], 韻母表[方音符號])
), _xlfn.XLOOKUP(C$3, 聲調符號表[調號], 聲調符號表[調符]))</f>
        <v>ㆱ</v>
      </c>
      <c r="D142" s="353" t="str">
        <f xml:space="preserve"> _xlfn.CONCAT( IF(OR(D$3=4, D$3=8),
_xlfn.XLOOKUP(($B142*2), 韻母表[序號], 韻母表[方音符號]),
_xlfn.XLOOKUP($B142, 韻母表[韻序], 韻母表[方音符號])
), _xlfn.XLOOKUP(D$3, 聲調符號表[調號], 聲調符號表[調符]))</f>
        <v>ㆱˋ</v>
      </c>
      <c r="E142" s="353" t="str">
        <f xml:space="preserve"> _xlfn.CONCAT( IF(OR(E$3=4, E$3=8),
_xlfn.XLOOKUP(($B142*2), 韻母表[序號], 韻母表[方音符號]),
_xlfn.XLOOKUP($B142, 韻母表[韻序], 韻母表[方音符號])
), _xlfn.XLOOKUP(E$3, 聲調符號表[調號], 聲調符號表[調符]))</f>
        <v>ㆱ˪</v>
      </c>
      <c r="F142" s="353" t="str">
        <f xml:space="preserve"> _xlfn.CONCAT( IF(OR(F$3=4, F$3=8),
_xlfn.XLOOKUP(($B142*2), 韻母表[序號], 韻母表[方音符號]),
_xlfn.XLOOKUP($B142, 韻母表[韻序], 韻母表[方音符號])
), _xlfn.XLOOKUP(F$3, 聲調符號表[調號], 聲調符號表[調符]))</f>
        <v>ㆦㆴ</v>
      </c>
      <c r="G142" s="353" t="str">
        <f xml:space="preserve"> _xlfn.CONCAT( IF(OR(G$3=4, G$3=8),
_xlfn.XLOOKUP(($B142*2), 韻母表[序號], 韻母表[方音符號]),
_xlfn.XLOOKUP($B142, 韻母表[韻序], 韻母表[方音符號])
), _xlfn.XLOOKUP(G$3, 聲調符號表[調號], 聲調符號表[調符]))</f>
        <v>ㆱˊ</v>
      </c>
      <c r="H142" s="353" t="str">
        <f xml:space="preserve"> _xlfn.CONCAT( IF(OR(H$3=4, H$3=8),
_xlfn.XLOOKUP(($B142*2), 韻母表[序號], 韻母表[方音符號]),
_xlfn.XLOOKUP($B142, 韻母表[韻序], 韻母表[方音符號])
), _xlfn.XLOOKUP(H$3, 聲調符號表[調號], 聲調符號表[調符]))</f>
        <v>ㆱˋ</v>
      </c>
      <c r="I142" s="353" t="str">
        <f xml:space="preserve"> _xlfn.CONCAT( IF(OR(I$3=4, I$3=8),
_xlfn.XLOOKUP(($B142*2), 韻母表[序號], 韻母表[方音符號]),
_xlfn.XLOOKUP($B142, 韻母表[韻序], 韻母表[方音符號])
), _xlfn.XLOOKUP(I$3, 聲調符號表[調號], 聲調符號表[調符]))</f>
        <v>ㆱ˫</v>
      </c>
      <c r="J142" s="353" t="str">
        <f xml:space="preserve"> _xlfn.CONCAT( IF(OR(J$3=4, J$3=8),
_xlfn.XLOOKUP(($B142*2), 韻母表[序號], 韻母表[方音符號]),
_xlfn.XLOOKUP($B142, 韻母表[韻序], 韻母表[方音符號])
), _xlfn.XLOOKUP(J$3, 聲調符號表[調號], 聲調符號表[調符]))</f>
        <v>ㆦㆴ˙</v>
      </c>
    </row>
    <row r="143" spans="2:10">
      <c r="B143" s="491">
        <v>4.5999999999999996</v>
      </c>
      <c r="C143" s="349" t="str" cm="1">
        <f t="array" ref="C143" xml:space="preserve"> INDEX(字母八音反切!$C$4:$J$53, $B142, C$3)</f>
        <v>箴</v>
      </c>
      <c r="D143" s="349" t="str" cm="1">
        <f t="array" ref="D143" xml:space="preserve"> INDEX(字母八音反切!$C$4:$J$53, $B142, D$3)</f>
        <v>○</v>
      </c>
      <c r="E143" s="349" t="str" cm="1">
        <f t="array" ref="E143" xml:space="preserve"> INDEX(字母八音反切!$C$4:$J$53, $B142, E$3)</f>
        <v>譖</v>
      </c>
      <c r="F143" s="352" t="str" cm="1">
        <f t="array" ref="F143" xml:space="preserve"> INDEX(字母八音反切!$C$4:$J$53, $B142, F$3)</f>
        <v>○</v>
      </c>
      <c r="G143" s="349" t="str" cm="1">
        <f t="array" ref="G143" xml:space="preserve"> INDEX(字母八音反切!$C$4:$J$53, $B142, G$3)</f>
        <v>○</v>
      </c>
      <c r="H143" s="349" t="str" cm="1">
        <f t="array" ref="H143" xml:space="preserve"> INDEX(字母八音反切!$C$4:$J$53, $B142, H$3)</f>
        <v>○</v>
      </c>
      <c r="I143" s="349" t="str" cm="1">
        <f t="array" ref="I143" xml:space="preserve"> INDEX(字母八音反切!$C$4:$J$53, $B142, I$3)</f>
        <v>○</v>
      </c>
      <c r="J143" s="352" t="str" cm="1">
        <f t="array" ref="J143" xml:space="preserve"> INDEX(字母八音反切!$C$4:$J$53, $B142, J$3)</f>
        <v>○</v>
      </c>
    </row>
    <row r="144" spans="2:10" ht="23.25">
      <c r="B144" s="492"/>
      <c r="C144" s="350" t="str">
        <f xml:space="preserve"> _xlfn.CONCAT( IF(OR(C$3=4, C$3=8),
_xlfn.XLOOKUP(($B142*2), 韻母表[序號], 韻母表[台羅拼音]),
_xlfn.XLOOKUP($B142, 韻母表[韻序], 韻母表[台羅拼音])
), C$3)</f>
        <v>om1</v>
      </c>
      <c r="D144" s="350" t="str">
        <f xml:space="preserve"> _xlfn.CONCAT( IF(OR(D$3=4, D$3=8),
_xlfn.XLOOKUP(($B142*2), 韻母表[序號], 韻母表[台羅拼音]),
_xlfn.XLOOKUP($B142, 韻母表[韻序], 韻母表[台羅拼音])
), D$3)</f>
        <v>om2</v>
      </c>
      <c r="E144" s="350" t="str">
        <f xml:space="preserve"> _xlfn.CONCAT( IF(OR(E$3=4, E$3=8),
_xlfn.XLOOKUP(($B142*2), 韻母表[序號], 韻母表[台羅拼音]),
_xlfn.XLOOKUP($B142, 韻母表[韻序], 韻母表[台羅拼音])
), E$3)</f>
        <v>om3</v>
      </c>
      <c r="F144" s="350" t="str">
        <f xml:space="preserve"> _xlfn.CONCAT( IF(OR(F$3=4, F$3=8),
_xlfn.XLOOKUP(($B142*2), 韻母表[序號], 韻母表[台羅拼音]),
_xlfn.XLOOKUP($B142, 韻母表[韻序], 韻母表[台羅拼音])
), F$3)</f>
        <v>op4</v>
      </c>
      <c r="G144" s="350" t="str">
        <f xml:space="preserve"> _xlfn.CONCAT( IF(OR(G$3=4, G$3=8),
_xlfn.XLOOKUP(($B142*2), 韻母表[序號], 韻母表[台羅拼音]),
_xlfn.XLOOKUP($B142, 韻母表[韻序], 韻母表[台羅拼音])
), G$3)</f>
        <v>om5</v>
      </c>
      <c r="H144" s="350" t="str">
        <f xml:space="preserve"> _xlfn.CONCAT( IF(OR(H$3=4, H$3=8),
_xlfn.XLOOKUP(($B142*2), 韻母表[序號], 韻母表[台羅拼音]),
_xlfn.XLOOKUP($B142, 韻母表[韻序], 韻母表[台羅拼音])
), H$3)</f>
        <v>om6</v>
      </c>
      <c r="I144" s="350" t="str">
        <f xml:space="preserve"> _xlfn.CONCAT( IF(OR(I$3=4, I$3=8),
_xlfn.XLOOKUP(($B142*2), 韻母表[序號], 韻母表[台羅拼音]),
_xlfn.XLOOKUP($B142, 韻母表[韻序], 韻母表[台羅拼音])
), I$3)</f>
        <v>om7</v>
      </c>
      <c r="J144" s="350" t="str">
        <f xml:space="preserve"> _xlfn.CONCAT( IF(OR(J$3=4, J$3=8),
_xlfn.XLOOKUP(($B142*2), 韻母表[序號], 韻母表[台羅拼音]),
_xlfn.XLOOKUP($B142, 韻母表[韻序], 韻母表[台羅拼音])
), J$3)</f>
        <v>op8</v>
      </c>
    </row>
    <row r="145" spans="2:10" ht="20.25">
      <c r="B145" s="490">
        <f t="shared" ref="B145" si="42">B142+1</f>
        <v>48</v>
      </c>
      <c r="C145" s="353" t="str">
        <f xml:space="preserve"> _xlfn.CONCAT( IF(OR(C$3=4, C$3=8),
_xlfn.XLOOKUP(($B145*2), 韻母表[序號], 韻母表[方音符號]),
_xlfn.XLOOKUP($B145, 韻母表[韻序], 韻母表[方音符號])
), _xlfn.XLOOKUP(C$3, 聲調符號表[調號], 聲調符號表[調符]))</f>
        <v>ㆯ</v>
      </c>
      <c r="D145" s="353" t="str">
        <f xml:space="preserve"> _xlfn.CONCAT( IF(OR(D$3=4, D$3=8),
_xlfn.XLOOKUP(($B145*2), 韻母表[序號], 韻母表[方音符號]),
_xlfn.XLOOKUP($B145, 韻母表[韻序], 韻母表[方音符號])
), _xlfn.XLOOKUP(D$3, 聲調符號表[調號], 聲調符號表[調符]))</f>
        <v>ㆯˋ</v>
      </c>
      <c r="E145" s="353" t="str">
        <f xml:space="preserve"> _xlfn.CONCAT( IF(OR(E$3=4, E$3=8),
_xlfn.XLOOKUP(($B145*2), 韻母表[序號], 韻母表[方音符號]),
_xlfn.XLOOKUP($B145, 韻母表[韻序], 韻母表[方音符號])
), _xlfn.XLOOKUP(E$3, 聲調符號表[調號], 聲調符號表[調符]))</f>
        <v>ㆯ˪</v>
      </c>
      <c r="F145" s="353" t="str">
        <f xml:space="preserve"> _xlfn.CONCAT( IF(OR(F$3=4, F$3=8),
_xlfn.XLOOKUP(($B145*2), 韻母表[序號], 韻母表[方音符號]),
_xlfn.XLOOKUP($B145, 韻母表[韻序], 韻母表[方音符號])
), _xlfn.XLOOKUP(F$3, 聲調符號表[調號], 聲調符號表[調符]))</f>
        <v>ㆯㆷ</v>
      </c>
      <c r="G145" s="353" t="str">
        <f xml:space="preserve"> _xlfn.CONCAT( IF(OR(G$3=4, G$3=8),
_xlfn.XLOOKUP(($B145*2), 韻母表[序號], 韻母表[方音符號]),
_xlfn.XLOOKUP($B145, 韻母表[韻序], 韻母表[方音符號])
), _xlfn.XLOOKUP(G$3, 聲調符號表[調號], 聲調符號表[調符]))</f>
        <v>ㆯˊ</v>
      </c>
      <c r="H145" s="353" t="str">
        <f xml:space="preserve"> _xlfn.CONCAT( IF(OR(H$3=4, H$3=8),
_xlfn.XLOOKUP(($B145*2), 韻母表[序號], 韻母表[方音符號]),
_xlfn.XLOOKUP($B145, 韻母表[韻序], 韻母表[方音符號])
), _xlfn.XLOOKUP(H$3, 聲調符號表[調號], 聲調符號表[調符]))</f>
        <v>ㆯˋ</v>
      </c>
      <c r="I145" s="353" t="str">
        <f xml:space="preserve"> _xlfn.CONCAT( IF(OR(I$3=4, I$3=8),
_xlfn.XLOOKUP(($B145*2), 韻母表[序號], 韻母表[方音符號]),
_xlfn.XLOOKUP($B145, 韻母表[韻序], 韻母表[方音符號])
), _xlfn.XLOOKUP(I$3, 聲調符號表[調號], 聲調符號表[調符]))</f>
        <v>ㆯ˫</v>
      </c>
      <c r="J145" s="353" t="str">
        <f xml:space="preserve"> _xlfn.CONCAT( IF(OR(J$3=4, J$3=8),
_xlfn.XLOOKUP(($B145*2), 韻母表[序號], 韻母表[方音符號]),
_xlfn.XLOOKUP($B145, 韻母表[韻序], 韻母表[方音符號])
), _xlfn.XLOOKUP(J$3, 聲調符號表[調號], 聲調符號表[調符]))</f>
        <v>ㆯㆷ˙</v>
      </c>
    </row>
    <row r="146" spans="2:10">
      <c r="B146" s="491">
        <v>4.5999999999999996</v>
      </c>
      <c r="C146" s="349" t="str" cm="1">
        <f t="array" ref="C146" xml:space="preserve"> INDEX(字母八音反切!$C$4:$J$53, $B145, C$3)</f>
        <v>爻</v>
      </c>
      <c r="D146" s="349" t="str" cm="1">
        <f t="array" ref="D146" xml:space="preserve"> INDEX(字母八音反切!$C$4:$J$53, $B145, D$3)</f>
        <v>○</v>
      </c>
      <c r="E146" s="349" t="str" cm="1">
        <f t="array" ref="E146" xml:space="preserve"> INDEX(字母八音反切!$C$4:$J$53, $B145, E$3)</f>
        <v>○</v>
      </c>
      <c r="F146" s="352" t="str" cm="1">
        <f t="array" ref="F146" xml:space="preserve"> INDEX(字母八音反切!$C$4:$J$53, $B145, F$3)</f>
        <v>○</v>
      </c>
      <c r="G146" s="349" t="str" cm="1">
        <f t="array" ref="G146" xml:space="preserve"> INDEX(字母八音反切!$C$4:$J$53, $B145, G$3)</f>
        <v>○</v>
      </c>
      <c r="H146" s="349" t="str" cm="1">
        <f t="array" ref="H146" xml:space="preserve"> INDEX(字母八音反切!$C$4:$J$53, $B145, H$3)</f>
        <v>○</v>
      </c>
      <c r="I146" s="349" t="str" cm="1">
        <f t="array" ref="I146" xml:space="preserve"> INDEX(字母八音反切!$C$4:$J$53, $B145, I$3)</f>
        <v>○</v>
      </c>
      <c r="J146" s="352" t="str" cm="1">
        <f t="array" ref="J146" xml:space="preserve"> INDEX(字母八音反切!$C$4:$J$53, $B145, J$3)</f>
        <v>○</v>
      </c>
    </row>
    <row r="147" spans="2:10" ht="23.25">
      <c r="B147" s="492"/>
      <c r="C147" s="350" t="str">
        <f xml:space="preserve"> _xlfn.CONCAT( IF(OR(C$3=4, C$3=8),
_xlfn.XLOOKUP(($B145*2), 韻母表[序號], 韻母表[台羅拼音]),
_xlfn.XLOOKUP($B145, 韻母表[韻序], 韻母表[台羅拼音])
), C$3)</f>
        <v>aunn1</v>
      </c>
      <c r="D147" s="350" t="str">
        <f xml:space="preserve"> _xlfn.CONCAT( IF(OR(D$3=4, D$3=8),
_xlfn.XLOOKUP(($B145*2), 韻母表[序號], 韻母表[台羅拼音]),
_xlfn.XLOOKUP($B145, 韻母表[韻序], 韻母表[台羅拼音])
), D$3)</f>
        <v>aunn2</v>
      </c>
      <c r="E147" s="350" t="str">
        <f xml:space="preserve"> _xlfn.CONCAT( IF(OR(E$3=4, E$3=8),
_xlfn.XLOOKUP(($B145*2), 韻母表[序號], 韻母表[台羅拼音]),
_xlfn.XLOOKUP($B145, 韻母表[韻序], 韻母表[台羅拼音])
), E$3)</f>
        <v>aunn3</v>
      </c>
      <c r="F147" s="350" t="str">
        <f xml:space="preserve"> _xlfn.CONCAT( IF(OR(F$3=4, F$3=8),
_xlfn.XLOOKUP(($B145*2), 韻母表[序號], 韻母表[台羅拼音]),
_xlfn.XLOOKUP($B145, 韻母表[韻序], 韻母表[台羅拼音])
), F$3)</f>
        <v>aunnh4</v>
      </c>
      <c r="G147" s="350" t="str">
        <f xml:space="preserve"> _xlfn.CONCAT( IF(OR(G$3=4, G$3=8),
_xlfn.XLOOKUP(($B145*2), 韻母表[序號], 韻母表[台羅拼音]),
_xlfn.XLOOKUP($B145, 韻母表[韻序], 韻母表[台羅拼音])
), G$3)</f>
        <v>aunn5</v>
      </c>
      <c r="H147" s="350" t="str">
        <f xml:space="preserve"> _xlfn.CONCAT( IF(OR(H$3=4, H$3=8),
_xlfn.XLOOKUP(($B145*2), 韻母表[序號], 韻母表[台羅拼音]),
_xlfn.XLOOKUP($B145, 韻母表[韻序], 韻母表[台羅拼音])
), H$3)</f>
        <v>aunn6</v>
      </c>
      <c r="I147" s="350" t="str">
        <f xml:space="preserve"> _xlfn.CONCAT( IF(OR(I$3=4, I$3=8),
_xlfn.XLOOKUP(($B145*2), 韻母表[序號], 韻母表[台羅拼音]),
_xlfn.XLOOKUP($B145, 韻母表[韻序], 韻母表[台羅拼音])
), I$3)</f>
        <v>aunn7</v>
      </c>
      <c r="J147" s="350" t="str">
        <f xml:space="preserve"> _xlfn.CONCAT( IF(OR(J$3=4, J$3=8),
_xlfn.XLOOKUP(($B145*2), 韻母表[序號], 韻母表[台羅拼音]),
_xlfn.XLOOKUP($B145, 韻母表[韻序], 韻母表[台羅拼音])
), J$3)</f>
        <v>aunnh8</v>
      </c>
    </row>
    <row r="148" spans="2:10" ht="20.25">
      <c r="B148" s="490">
        <f t="shared" ref="B148" si="43">B145+1</f>
        <v>49</v>
      </c>
      <c r="C148" s="353"/>
      <c r="D148" s="353"/>
      <c r="E148" s="353"/>
      <c r="F148" s="353"/>
      <c r="G148" s="353"/>
      <c r="H148" s="353"/>
      <c r="I148" s="353"/>
      <c r="J148" s="353"/>
    </row>
    <row r="149" spans="2:10">
      <c r="B149" s="491">
        <v>4.5999999999999996</v>
      </c>
      <c r="C149" s="349" t="str" cm="1">
        <f t="array" ref="C149" xml:space="preserve"> INDEX(字母八音反切!$C$4:$J$53, $B148, C$3)</f>
        <v>扛</v>
      </c>
      <c r="D149" s="349" t="str" cm="1">
        <f t="array" ref="D149" xml:space="preserve"> INDEX(字母八音反切!$C$4:$J$53, $B148, D$3)</f>
        <v>○</v>
      </c>
      <c r="E149" s="349" t="str" cm="1">
        <f t="array" ref="E149" xml:space="preserve"> INDEX(字母八音反切!$C$4:$J$53, $B148, E$3)</f>
        <v>○</v>
      </c>
      <c r="F149" s="352" t="str" cm="1">
        <f t="array" ref="F149" xml:space="preserve"> INDEX(字母八音反切!$C$4:$J$53, $B148, F$3)</f>
        <v>○</v>
      </c>
      <c r="G149" s="349" t="str" cm="1">
        <f t="array" ref="G149" xml:space="preserve"> INDEX(字母八音反切!$C$4:$J$53, $B148, G$3)</f>
        <v>○</v>
      </c>
      <c r="H149" s="349" t="str" cm="1">
        <f t="array" ref="H149" xml:space="preserve"> INDEX(字母八音反切!$C$4:$J$53, $B148, H$3)</f>
        <v>○</v>
      </c>
      <c r="I149" s="349" t="str" cm="1">
        <f t="array" ref="I149" xml:space="preserve"> INDEX(字母八音反切!$C$4:$J$53, $B148, I$3)</f>
        <v>○</v>
      </c>
      <c r="J149" s="352" t="str" cm="1">
        <f t="array" ref="J149" xml:space="preserve"> INDEX(字母八音反切!$C$4:$J$53, $B148, J$3)</f>
        <v>○</v>
      </c>
    </row>
    <row r="150" spans="2:10" ht="23.25">
      <c r="B150" s="492"/>
      <c r="C150" s="350"/>
      <c r="D150" s="350"/>
      <c r="E150" s="350"/>
      <c r="F150" s="350"/>
      <c r="G150" s="350"/>
      <c r="H150" s="350"/>
      <c r="I150" s="350"/>
      <c r="J150" s="350"/>
    </row>
    <row r="151" spans="2:10" ht="20.25">
      <c r="B151" s="490">
        <f t="shared" ref="B151" si="44">B148+1</f>
        <v>50</v>
      </c>
      <c r="C151" s="353" t="str">
        <f xml:space="preserve"> _xlfn.CONCAT( IF(OR(C$3=4, C$3=8),
_xlfn.XLOOKUP(($B151*2), 韻母表[序號], 韻母表[方音符號]),
_xlfn.XLOOKUP($B151, 韻母表[韻序], 韻母表[方音符號])
), _xlfn.XLOOKUP(C$3, 聲調符號表[調號], 聲調符號表[調符]))</f>
        <v>ㄧㆫ</v>
      </c>
      <c r="D151" s="353" t="str">
        <f xml:space="preserve"> _xlfn.CONCAT( IF(OR(D$3=4, D$3=8),
_xlfn.XLOOKUP(($B151*2), 韻母表[序號], 韻母表[方音符號]),
_xlfn.XLOOKUP($B151, 韻母表[韻序], 韻母表[方音符號])
), _xlfn.XLOOKUP(D$3, 聲調符號表[調號], 聲調符號表[調符]))</f>
        <v>ㄧㆫˋ</v>
      </c>
      <c r="E151" s="353" t="str">
        <f xml:space="preserve"> _xlfn.CONCAT( IF(OR(E$3=4, E$3=8),
_xlfn.XLOOKUP(($B151*2), 韻母表[序號], 韻母表[方音符號]),
_xlfn.XLOOKUP($B151, 韻母表[韻序], 韻母表[方音符號])
), _xlfn.XLOOKUP(E$3, 聲調符號表[調號], 聲調符號表[調符]))</f>
        <v>ㄧㆫ˪</v>
      </c>
      <c r="F151" s="353" t="str">
        <f xml:space="preserve"> _xlfn.CONCAT( IF(OR(F$3=4, F$3=8),
_xlfn.XLOOKUP(($B151*2), 韻母表[序號], 韻母表[方音符號]),
_xlfn.XLOOKUP($B151, 韻母表[韻序], 韻母表[方音符號])
), _xlfn.XLOOKUP(F$3, 聲調符號表[調號], 聲調符號表[調符]))</f>
        <v>ㄧㆫㆷ</v>
      </c>
      <c r="G151" s="353" t="str">
        <f xml:space="preserve"> _xlfn.CONCAT( IF(OR(G$3=4, G$3=8),
_xlfn.XLOOKUP(($B151*2), 韻母表[序號], 韻母表[方音符號]),
_xlfn.XLOOKUP($B151, 韻母表[韻序], 韻母表[方音符號])
), _xlfn.XLOOKUP(G$3, 聲調符號表[調號], 聲調符號表[調符]))</f>
        <v>ㄧㆫˊ</v>
      </c>
      <c r="H151" s="353" t="str">
        <f xml:space="preserve"> _xlfn.CONCAT( IF(OR(H$3=4, H$3=8),
_xlfn.XLOOKUP(($B151*2), 韻母表[序號], 韻母表[方音符號]),
_xlfn.XLOOKUP($B151, 韻母表[韻序], 韻母表[方音符號])
), _xlfn.XLOOKUP(H$3, 聲調符號表[調號], 聲調符號表[調符]))</f>
        <v>ㄧㆫˋ</v>
      </c>
      <c r="I151" s="353" t="str">
        <f xml:space="preserve"> _xlfn.CONCAT( IF(OR(I$3=4, I$3=8),
_xlfn.XLOOKUP(($B151*2), 韻母表[序號], 韻母表[方音符號]),
_xlfn.XLOOKUP($B151, 韻母表[韻序], 韻母表[方音符號])
), _xlfn.XLOOKUP(I$3, 聲調符號表[調號], 聲調符號表[調符]))</f>
        <v>ㄧㆫ˫</v>
      </c>
      <c r="J151" s="353" t="str">
        <f xml:space="preserve"> _xlfn.CONCAT( IF(OR(J$3=4, J$3=8),
_xlfn.XLOOKUP(($B151*2), 韻母表[序號], 韻母表[方音符號]),
_xlfn.XLOOKUP($B151, 韻母表[韻序], 韻母表[方音符號])
), _xlfn.XLOOKUP(J$3, 聲調符號表[調號], 聲調符號表[調符]))</f>
        <v>ㄧㆫㆷ˙</v>
      </c>
    </row>
    <row r="152" spans="2:10">
      <c r="B152" s="491">
        <v>4.5999999999999996</v>
      </c>
      <c r="C152" s="349" t="str" cm="1">
        <f t="array" ref="C152" xml:space="preserve"> INDEX(字母八音反切!$C$4:$J$53, $B151, C$3)</f>
        <v>牛</v>
      </c>
      <c r="D152" s="349" t="str" cm="1">
        <f t="array" ref="D152" xml:space="preserve"> INDEX(字母八音反切!$C$4:$J$53, $B151, D$3)</f>
        <v>○</v>
      </c>
      <c r="E152" s="349" t="str" cm="1">
        <f t="array" ref="E152" xml:space="preserve"> INDEX(字母八音反切!$C$4:$J$53, $B151, E$3)</f>
        <v>○</v>
      </c>
      <c r="F152" s="352" t="str" cm="1">
        <f t="array" ref="F152" xml:space="preserve"> INDEX(字母八音反切!$C$4:$J$53, $B151, F$3)</f>
        <v>牛</v>
      </c>
      <c r="G152" s="349" t="str" cm="1">
        <f t="array" ref="G152" xml:space="preserve"> INDEX(字母八音反切!$C$4:$J$53, $B151, G$3)</f>
        <v>○</v>
      </c>
      <c r="H152" s="349" t="str" cm="1">
        <f t="array" ref="H152" xml:space="preserve"> INDEX(字母八音反切!$C$4:$J$53, $B151, H$3)</f>
        <v>○</v>
      </c>
      <c r="I152" s="349" t="str" cm="1">
        <f t="array" ref="I152" xml:space="preserve"> INDEX(字母八音反切!$C$4:$J$53, $B151, I$3)</f>
        <v>○</v>
      </c>
      <c r="J152" s="352" t="str" cm="1">
        <f t="array" ref="J152" xml:space="preserve"> INDEX(字母八音反切!$C$4:$J$53, $B151, J$3)</f>
        <v>○</v>
      </c>
    </row>
    <row r="153" spans="2:10" ht="23.25">
      <c r="B153" s="492"/>
      <c r="C153" s="350" t="str">
        <f xml:space="preserve"> _xlfn.CONCAT( IF(OR(C$3=4, C$3=8),
_xlfn.XLOOKUP(($B151*2), 韻母表[序號], 韻母表[台羅拼音]),
_xlfn.XLOOKUP($B151, 韻母表[韻序], 韻母表[台羅拼音])
), C$3)</f>
        <v>iunn1</v>
      </c>
      <c r="D153" s="350" t="str">
        <f xml:space="preserve"> _xlfn.CONCAT( IF(OR(D$3=4, D$3=8),
_xlfn.XLOOKUP(($B151*2), 韻母表[序號], 韻母表[台羅拼音]),
_xlfn.XLOOKUP($B151, 韻母表[韻序], 韻母表[台羅拼音])
), D$3)</f>
        <v>iunn2</v>
      </c>
      <c r="E153" s="350" t="str">
        <f xml:space="preserve"> _xlfn.CONCAT( IF(OR(E$3=4, E$3=8),
_xlfn.XLOOKUP(($B151*2), 韻母表[序號], 韻母表[台羅拼音]),
_xlfn.XLOOKUP($B151, 韻母表[韻序], 韻母表[台羅拼音])
), E$3)</f>
        <v>iunn3</v>
      </c>
      <c r="F153" s="350" t="str">
        <f xml:space="preserve"> _xlfn.CONCAT( IF(OR(F$3=4, F$3=8),
_xlfn.XLOOKUP(($B151*2), 韻母表[序號], 韻母表[台羅拼音]),
_xlfn.XLOOKUP($B151, 韻母表[韻序], 韻母表[台羅拼音])
), F$3)</f>
        <v>iunnh4</v>
      </c>
      <c r="G153" s="350" t="str">
        <f xml:space="preserve"> _xlfn.CONCAT( IF(OR(G$3=4, G$3=8),
_xlfn.XLOOKUP(($B151*2), 韻母表[序號], 韻母表[台羅拼音]),
_xlfn.XLOOKUP($B151, 韻母表[韻序], 韻母表[台羅拼音])
), G$3)</f>
        <v>iunn5</v>
      </c>
      <c r="H153" s="350" t="str">
        <f xml:space="preserve"> _xlfn.CONCAT( IF(OR(H$3=4, H$3=8),
_xlfn.XLOOKUP(($B151*2), 韻母表[序號], 韻母表[台羅拼音]),
_xlfn.XLOOKUP($B151, 韻母表[韻序], 韻母表[台羅拼音])
), H$3)</f>
        <v>iunn6</v>
      </c>
      <c r="I153" s="350" t="str">
        <f xml:space="preserve"> _xlfn.CONCAT( IF(OR(I$3=4, I$3=8),
_xlfn.XLOOKUP(($B151*2), 韻母表[序號], 韻母表[台羅拼音]),
_xlfn.XLOOKUP($B151, 韻母表[韻序], 韻母表[台羅拼音])
), I$3)</f>
        <v>iunn7</v>
      </c>
      <c r="J153" s="350" t="str">
        <f xml:space="preserve"> _xlfn.CONCAT( IF(OR(J$3=4, J$3=8),
_xlfn.XLOOKUP(($B151*2), 韻母表[序號], 韻母表[台羅拼音]),
_xlfn.XLOOKUP($B151, 韻母表[韻序], 韻母表[台羅拼音])
), J$3)</f>
        <v>iunnh8</v>
      </c>
    </row>
  </sheetData>
  <mergeCells count="51">
    <mergeCell ref="B139:B141"/>
    <mergeCell ref="B142:B144"/>
    <mergeCell ref="B145:B147"/>
    <mergeCell ref="B148:B150"/>
    <mergeCell ref="B151:B153"/>
    <mergeCell ref="B136:B138"/>
    <mergeCell ref="B103:B105"/>
    <mergeCell ref="B106:B108"/>
    <mergeCell ref="B109:B111"/>
    <mergeCell ref="B112:B114"/>
    <mergeCell ref="B115:B117"/>
    <mergeCell ref="B118:B120"/>
    <mergeCell ref="B121:B123"/>
    <mergeCell ref="B124:B126"/>
    <mergeCell ref="B127:B129"/>
    <mergeCell ref="B130:B132"/>
    <mergeCell ref="B133:B135"/>
    <mergeCell ref="B100:B102"/>
    <mergeCell ref="B67:B69"/>
    <mergeCell ref="B70:B72"/>
    <mergeCell ref="B73:B75"/>
    <mergeCell ref="B76:B78"/>
    <mergeCell ref="B79:B81"/>
    <mergeCell ref="B82:B84"/>
    <mergeCell ref="B85:B87"/>
    <mergeCell ref="B88:B90"/>
    <mergeCell ref="B91:B93"/>
    <mergeCell ref="B94:B96"/>
    <mergeCell ref="B97:B99"/>
    <mergeCell ref="B64:B66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B28:B30"/>
    <mergeCell ref="B2:B3"/>
    <mergeCell ref="B4:B6"/>
    <mergeCell ref="B7:B9"/>
    <mergeCell ref="B10:B12"/>
    <mergeCell ref="B13:B15"/>
    <mergeCell ref="B16:B18"/>
    <mergeCell ref="B19:B21"/>
    <mergeCell ref="B22:B24"/>
    <mergeCell ref="B25:B27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33C20-177A-420A-BFDF-73602A6387F6}">
  <dimension ref="B2:F50"/>
  <sheetViews>
    <sheetView showGridLines="0" zoomScale="80" zoomScaleNormal="80" workbookViewId="0">
      <selection activeCell="I7" sqref="I7:K10"/>
    </sheetView>
  </sheetViews>
  <sheetFormatPr defaultRowHeight="16.5"/>
  <cols>
    <col min="1" max="1" width="3.5" customWidth="1"/>
    <col min="2" max="6" width="22.125" customWidth="1"/>
    <col min="7" max="7" width="3.5" customWidth="1"/>
    <col min="8" max="11" width="19" customWidth="1"/>
  </cols>
  <sheetData>
    <row r="2" spans="2:6" ht="23.25">
      <c r="B2" s="373">
        <v>1</v>
      </c>
      <c r="C2" s="373">
        <f>B2+1</f>
        <v>2</v>
      </c>
      <c r="D2" s="373">
        <f t="shared" ref="D2:F2" si="0">C2+1</f>
        <v>3</v>
      </c>
      <c r="E2" s="373">
        <f t="shared" si="0"/>
        <v>4</v>
      </c>
      <c r="F2" s="373">
        <f t="shared" si="0"/>
        <v>5</v>
      </c>
    </row>
    <row r="3" spans="2:6" ht="20.25">
      <c r="B3" s="353" t="str">
        <f ca="1" xml:space="preserve"> _xlfn.CONCAT(
_xlfn.XLOOKUP(OFFSET(B3,-1,0), 韻母表[韻序], 韻母表[方音符號]),
" / ",
_xlfn.XLOOKUP((OFFSET(B3,-1,0)*2), 韻母表[序號], 韻母表[方音符號])
)</f>
        <v>ㄨㄣ / ㄨㆵ</v>
      </c>
      <c r="C3" s="353" t="str">
        <f ca="1" xml:space="preserve"> _xlfn.CONCAT(
_xlfn.XLOOKUP(OFFSET(C3,-1,0), 韻母表[韻序], 韻母表[方音符號]),
" / ",
_xlfn.XLOOKUP((OFFSET(C3,-1,0)*2), 韻母表[序號], 韻母表[方音符號])
)</f>
        <v>ㄧㄢ / ㄧㄚㆵ</v>
      </c>
      <c r="D3" s="353" t="str">
        <f ca="1" xml:space="preserve"> _xlfn.CONCAT(
_xlfn.XLOOKUP(OFFSET(D3,-1,0), 韻母表[韻序], 韻母表[方音符號]),
" / ",
_xlfn.XLOOKUP((OFFSET(D3,-1,0)*2), 韻母表[序號], 韻母表[方音符號])
)</f>
        <v>ㄧㆬ / 一ㆴ</v>
      </c>
      <c r="E3" s="353" t="str">
        <f ca="1" xml:space="preserve"> _xlfn.CONCAT(
_xlfn.XLOOKUP(OFFSET(E3,-1,0), 韻母表[韻序], 韻母表[方音符號]),
" / ",
_xlfn.XLOOKUP((OFFSET(E3,-1,0)*2), 韻母表[序號], 韻母表[方音符號])
)</f>
        <v>ㄨㄧ / ㄨㄧㆷ</v>
      </c>
      <c r="F3" s="353" t="str">
        <f ca="1" xml:space="preserve"> _xlfn.CONCAT(
_xlfn.XLOOKUP(OFFSET(F3,-1,0), 韻母表[韻序], 韻母表[方音符號]),
" / ",
_xlfn.XLOOKUP((OFFSET(F3,-1,0)*2), 韻母表[序號], 韻母表[方音符號])
)</f>
        <v>ㄝ / ㄝㆷ</v>
      </c>
    </row>
    <row r="4" spans="2:6" ht="57.75">
      <c r="B4" s="378" t="str" cm="1">
        <f t="array" aca="1" ref="B4" ca="1" xml:space="preserve"> _xlfn.XLOOKUP(OFFSET(B4,-2,0), 韻母表[韻序], LEFT(韻母表[十五音],1))</f>
        <v>君</v>
      </c>
      <c r="C4" s="378" t="str" cm="1">
        <f t="array" aca="1" ref="C4" ca="1" xml:space="preserve"> _xlfn.XLOOKUP(OFFSET(C4,-2,0), 韻母表[韻序], LEFT(韻母表[十五音],1))</f>
        <v>堅</v>
      </c>
      <c r="D4" s="378" t="str" cm="1">
        <f t="array" aca="1" ref="D4" ca="1" xml:space="preserve"> _xlfn.XLOOKUP(OFFSET(D4,-2,0), 韻母表[韻序], LEFT(韻母表[十五音],1))</f>
        <v>金</v>
      </c>
      <c r="E4" s="378" t="str" cm="1">
        <f t="array" aca="1" ref="E4" ca="1" xml:space="preserve"> _xlfn.XLOOKUP(OFFSET(E4,-2,0), 韻母表[韻序], LEFT(韻母表[十五音],1))</f>
        <v>規</v>
      </c>
      <c r="F4" s="378" t="str" cm="1">
        <f t="array" aca="1" ref="F4" ca="1" xml:space="preserve"> _xlfn.XLOOKUP(OFFSET(F4,-2,0), 韻母表[韻序], LEFT(韻母表[十五音],1))</f>
        <v>嘉</v>
      </c>
    </row>
    <row r="5" spans="2:6" ht="23.25">
      <c r="B5" s="350" t="str">
        <f ca="1" xml:space="preserve"> _xlfn.CONCAT(
_xlfn.XLOOKUP(OFFSET(B5,-3,0), 韻母表[韻序], 韻母表[台羅拼音]),
" / ",
_xlfn.XLOOKUP((OFFSET(B5,-3,0)*2), 韻母表[序號], 韻母表[台羅拼音])
)</f>
        <v>un / ut</v>
      </c>
      <c r="C5" s="350" t="str">
        <f ca="1" xml:space="preserve"> _xlfn.CONCAT(
_xlfn.XLOOKUP(OFFSET(C5,-3,0), 韻母表[韻序], 韻母表[台羅拼音]),
" / ",
_xlfn.XLOOKUP((OFFSET(C5,-3,0)*2), 韻母表[序號], 韻母表[台羅拼音])
)</f>
        <v>ian / iat</v>
      </c>
      <c r="D5" s="350" t="str">
        <f ca="1" xml:space="preserve"> _xlfn.CONCAT(
_xlfn.XLOOKUP(OFFSET(D5,-3,0), 韻母表[韻序], 韻母表[台羅拼音]),
" / ",
_xlfn.XLOOKUP((OFFSET(D5,-3,0)*2), 韻母表[序號], 韻母表[台羅拼音])
)</f>
        <v>im / ip</v>
      </c>
      <c r="E5" s="350" t="str">
        <f ca="1" xml:space="preserve"> _xlfn.CONCAT(
_xlfn.XLOOKUP(OFFSET(E5,-3,0), 韻母表[韻序], 韻母表[台羅拼音]),
" / ",
_xlfn.XLOOKUP((OFFSET(E5,-3,0)*2), 韻母表[序號], 韻母表[台羅拼音])
)</f>
        <v>ui / ui</v>
      </c>
      <c r="F5" s="350" t="str">
        <f ca="1" xml:space="preserve"> _xlfn.CONCAT(
_xlfn.XLOOKUP(OFFSET(F5,-3,0), 韻母表[韻序], 韻母表[台羅拼音]),
" / ",
_xlfn.XLOOKUP((OFFSET(F5,-3,0)*2), 韻母表[序號], 韻母表[台羅拼音])
)</f>
        <v>ee / eeh</v>
      </c>
    </row>
    <row r="7" spans="2:6" ht="23.25">
      <c r="B7" s="373">
        <f>B2+5</f>
        <v>6</v>
      </c>
      <c r="C7" s="373">
        <f>B7+1</f>
        <v>7</v>
      </c>
      <c r="D7" s="373">
        <f t="shared" ref="D7:F7" si="1">C7+1</f>
        <v>8</v>
      </c>
      <c r="E7" s="373">
        <f t="shared" si="1"/>
        <v>9</v>
      </c>
      <c r="F7" s="373">
        <f t="shared" si="1"/>
        <v>10</v>
      </c>
    </row>
    <row r="8" spans="2:6" ht="20.25">
      <c r="B8" s="353" t="str">
        <f ca="1" xml:space="preserve"> _xlfn.CONCAT(
_xlfn.XLOOKUP(OFFSET(B8,-1,0), 韻母表[韻序], 韻母表[方音符號]),
" / ",
_xlfn.XLOOKUP((OFFSET(B8,-1,0)*2), 韻母表[序號], 韻母表[方音符號])
)</f>
        <v>ㄢ / ㄚㆵ</v>
      </c>
      <c r="C8" s="353" t="str">
        <f ca="1" xml:space="preserve"> _xlfn.CONCAT(
_xlfn.XLOOKUP(OFFSET(C8,-1,0), 韻母表[韻序], 韻母表[方音符號]),
" / ",
_xlfn.XLOOKUP((OFFSET(C8,-1,0)*2), 韻母表[序號], 韻母表[方音符號])
)</f>
        <v>ㆲ / ㆦㆻ</v>
      </c>
      <c r="D8" s="353" t="str">
        <f ca="1" xml:space="preserve"> _xlfn.CONCAT(
_xlfn.XLOOKUP(OFFSET(D8,-1,0), 韻母表[韻序], 韻母表[方音符號]),
" / ",
_xlfn.XLOOKUP((OFFSET(D8,-1,0)*2), 韻母表[序號], 韻母表[方音符號])
)</f>
        <v>ㄨㄞ / ㄨㄞㆷ</v>
      </c>
      <c r="E8" s="353" t="str">
        <f ca="1" xml:space="preserve"> _xlfn.CONCAT(
_xlfn.XLOOKUP(OFFSET(E8,-1,0), 韻母表[韻序], 韻母表[方音符號]),
" / ",
_xlfn.XLOOKUP((OFFSET(E8,-1,0)*2), 韻母表[序號], 韻母表[方音符號])
)</f>
        <v>ㄧㄥ / ㄧㆻ</v>
      </c>
      <c r="F8" s="353" t="str">
        <f ca="1" xml:space="preserve"> _xlfn.CONCAT(
_xlfn.XLOOKUP(OFFSET(F8,-1,0), 韻母表[韻序], 韻母表[方音符號]),
" / ",
_xlfn.XLOOKUP((OFFSET(F8,-1,0)*2), 韻母表[序號], 韻母表[方音符號])
)</f>
        <v>ㄨㄢ / ㄨㄚㆵ</v>
      </c>
    </row>
    <row r="9" spans="2:6" ht="57.75">
      <c r="B9" s="378" t="str" cm="1">
        <f t="array" aca="1" ref="B9" ca="1" xml:space="preserve"> _xlfn.XLOOKUP(OFFSET(B9,-2,0), 韻母表[韻序], LEFT(韻母表[十五音],1))</f>
        <v>干</v>
      </c>
      <c r="C9" s="378" t="str" cm="1">
        <f t="array" aca="1" ref="C9" ca="1" xml:space="preserve"> _xlfn.XLOOKUP(OFFSET(C9,-2,0), 韻母表[韻序], LEFT(韻母表[十五音],1))</f>
        <v>公</v>
      </c>
      <c r="D9" s="378" t="str" cm="1">
        <f t="array" aca="1" ref="D9" ca="1" xml:space="preserve"> _xlfn.XLOOKUP(OFFSET(D9,-2,0), 韻母表[韻序], LEFT(韻母表[十五音],1))</f>
        <v>乖</v>
      </c>
      <c r="E9" s="378" t="str" cm="1">
        <f t="array" aca="1" ref="E9" ca="1" xml:space="preserve"> _xlfn.XLOOKUP(OFFSET(E9,-2,0), 韻母表[韻序], LEFT(韻母表[十五音],1))</f>
        <v>經</v>
      </c>
      <c r="F9" s="378" t="str" cm="1">
        <f t="array" aca="1" ref="F9" ca="1" xml:space="preserve"> _xlfn.XLOOKUP(OFFSET(F9,-2,0), 韻母表[韻序], LEFT(韻母表[十五音],1))</f>
        <v>觀</v>
      </c>
    </row>
    <row r="10" spans="2:6" ht="23.25">
      <c r="B10" s="350" t="str">
        <f ca="1" xml:space="preserve"> _xlfn.CONCAT(
_xlfn.XLOOKUP(OFFSET(B10,-3,0), 韻母表[韻序], 韻母表[台羅拼音]),
" / ",
_xlfn.XLOOKUP((OFFSET(B10,-3,0)*2), 韻母表[序號], 韻母表[台羅拼音])
)</f>
        <v>an / at</v>
      </c>
      <c r="C10" s="350" t="str">
        <f ca="1" xml:space="preserve"> _xlfn.CONCAT(
_xlfn.XLOOKUP(OFFSET(C10,-3,0), 韻母表[韻序], 韻母表[台羅拼音]),
" / ",
_xlfn.XLOOKUP((OFFSET(C10,-3,0)*2), 韻母表[序號], 韻母表[台羅拼音])
)</f>
        <v>ong / ok</v>
      </c>
      <c r="D10" s="350" t="str">
        <f ca="1" xml:space="preserve"> _xlfn.CONCAT(
_xlfn.XLOOKUP(OFFSET(D10,-3,0), 韻母表[韻序], 韻母表[台羅拼音]),
" / ",
_xlfn.XLOOKUP((OFFSET(D10,-3,0)*2), 韻母表[序號], 韻母表[台羅拼音])
)</f>
        <v>uai / uaih</v>
      </c>
      <c r="E10" s="350" t="str">
        <f ca="1" xml:space="preserve"> _xlfn.CONCAT(
_xlfn.XLOOKUP(OFFSET(E10,-3,0), 韻母表[韻序], 韻母表[台羅拼音]),
" / ",
_xlfn.XLOOKUP((OFFSET(E10,-3,0)*2), 韻母表[序號], 韻母表[台羅拼音])
)</f>
        <v>ing / ik</v>
      </c>
      <c r="F10" s="350" t="str">
        <f ca="1" xml:space="preserve"> _xlfn.CONCAT(
_xlfn.XLOOKUP(OFFSET(F10,-3,0), 韻母表[韻序], 韻母表[台羅拼音]),
" / ",
_xlfn.XLOOKUP((OFFSET(F10,-3,0)*2), 韻母表[序號], 韻母表[台羅拼音])
)</f>
        <v>uan / uat</v>
      </c>
    </row>
    <row r="12" spans="2:6" ht="23.25">
      <c r="B12" s="373">
        <f>B7+5</f>
        <v>11</v>
      </c>
      <c r="C12" s="373">
        <f>B12+1</f>
        <v>12</v>
      </c>
      <c r="D12" s="373">
        <f t="shared" ref="D12:F12" si="2">C12+1</f>
        <v>13</v>
      </c>
      <c r="E12" s="373">
        <f t="shared" si="2"/>
        <v>14</v>
      </c>
      <c r="F12" s="373">
        <f t="shared" si="2"/>
        <v>15</v>
      </c>
    </row>
    <row r="13" spans="2:6" ht="20.25">
      <c r="B13" s="353" t="str">
        <f ca="1" xml:space="preserve"> _xlfn.CONCAT(
_xlfn.XLOOKUP(OFFSET(B13,-1,0), 韻母表[韻序], 韻母表[方音符號]),
" / ",
_xlfn.XLOOKUP((OFFSET(B13,-1,0)*2), 韻母表[序號], 韻母表[方音符號])
)</f>
        <v>ㆦ / ㆦㆷ</v>
      </c>
      <c r="C13" s="353" t="str">
        <f ca="1" xml:space="preserve"> _xlfn.CONCAT(
_xlfn.XLOOKUP(OFFSET(C13,-1,0), 韻母表[韻序], 韻母表[方音符號]),
" / ",
_xlfn.XLOOKUP((OFFSET(C13,-1,0)*2), 韻母表[序號], 韻母表[方音符號])
)</f>
        <v>ㄧㄠ / ㄧㄠㆷ</v>
      </c>
      <c r="D13" s="353" t="str">
        <f ca="1" xml:space="preserve"> _xlfn.CONCAT(
_xlfn.XLOOKUP(OFFSET(D13,-1,0), 韻母表[韻序], 韻母表[方音符號]),
" / ",
_xlfn.XLOOKUP((OFFSET(D13,-1,0)*2), 韻母表[序號], 韻母表[方音符號])
)</f>
        <v>ㆤ / ㆤㆷ</v>
      </c>
      <c r="E13" s="353" t="str">
        <f ca="1" xml:space="preserve"> _xlfn.CONCAT(
_xlfn.XLOOKUP(OFFSET(E13,-1,0), 韻母表[韻序], 韻母表[方音符號]),
" / ",
_xlfn.XLOOKUP((OFFSET(E13,-1,0)*2), 韻母表[序號], 韻母表[方音符號])
)</f>
        <v>ㄧㆲ / ㄧㆦㆻ</v>
      </c>
      <c r="F13" s="353" t="str">
        <f ca="1" xml:space="preserve"> _xlfn.CONCAT(
_xlfn.XLOOKUP(OFFSET(F13,-1,0), 韻母表[韻序], 韻母表[方音符號]),
" / ",
_xlfn.XLOOKUP((OFFSET(F13,-1,0)*2), 韻母表[序號], 韻母表[方音符號])
)</f>
        <v>ㄜ / ㄜㆷ</v>
      </c>
    </row>
    <row r="14" spans="2:6" ht="57.75">
      <c r="B14" s="378" t="str" cm="1">
        <f t="array" aca="1" ref="B14" ca="1" xml:space="preserve"> _xlfn.XLOOKUP(OFFSET(B14,-2,0), 韻母表[韻序], LEFT(韻母表[十五音],1))</f>
        <v>沽</v>
      </c>
      <c r="C14" s="378" t="str" cm="1">
        <f t="array" aca="1" ref="C14" ca="1" xml:space="preserve"> _xlfn.XLOOKUP(OFFSET(C14,-2,0), 韻母表[韻序], LEFT(韻母表[十五音],1))</f>
        <v>嬌</v>
      </c>
      <c r="D14" s="378" t="str" cm="1">
        <f t="array" aca="1" ref="D14" ca="1" xml:space="preserve"> _xlfn.XLOOKUP(OFFSET(D14,-2,0), 韻母表[韻序], LEFT(韻母表[十五音],1))</f>
        <v>稽</v>
      </c>
      <c r="E14" s="378" t="str" cm="1">
        <f t="array" aca="1" ref="E14" ca="1" xml:space="preserve"> _xlfn.XLOOKUP(OFFSET(E14,-2,0), 韻母表[韻序], LEFT(韻母表[十五音],1))</f>
        <v>恭</v>
      </c>
      <c r="F14" s="378" t="str" cm="1">
        <f t="array" aca="1" ref="F14" ca="1" xml:space="preserve"> _xlfn.XLOOKUP(OFFSET(F14,-2,0), 韻母表[韻序], LEFT(韻母表[十五音],1))</f>
        <v>高</v>
      </c>
    </row>
    <row r="15" spans="2:6" ht="23.25">
      <c r="B15" s="350" t="str">
        <f ca="1" xml:space="preserve"> _xlfn.CONCAT(
_xlfn.XLOOKUP(OFFSET(B15,-3,0), 韻母表[韻序], 韻母表[台羅拼音]),
" / ",
_xlfn.XLOOKUP((OFFSET(B15,-3,0)*2), 韻母表[序號], 韻母表[台羅拼音])
)</f>
        <v>oo / ooh</v>
      </c>
      <c r="C15" s="350" t="str">
        <f ca="1" xml:space="preserve"> _xlfn.CONCAT(
_xlfn.XLOOKUP(OFFSET(C15,-3,0), 韻母表[韻序], 韻母表[台羅拼音]),
" / ",
_xlfn.XLOOKUP((OFFSET(C15,-3,0)*2), 韻母表[序號], 韻母表[台羅拼音])
)</f>
        <v>iau / iauh</v>
      </c>
      <c r="D15" s="350" t="str">
        <f ca="1" xml:space="preserve"> _xlfn.CONCAT(
_xlfn.XLOOKUP(OFFSET(D15,-3,0), 韻母表[韻序], 韻母表[台羅拼音]),
" / ",
_xlfn.XLOOKUP((OFFSET(D15,-3,0)*2), 韻母表[序號], 韻母表[台羅拼音])
)</f>
        <v>e / eh</v>
      </c>
      <c r="E15" s="350" t="str">
        <f ca="1" xml:space="preserve"> _xlfn.CONCAT(
_xlfn.XLOOKUP(OFFSET(E15,-3,0), 韻母表[韻序], 韻母表[台羅拼音]),
" / ",
_xlfn.XLOOKUP((OFFSET(E15,-3,0)*2), 韻母表[序號], 韻母表[台羅拼音])
)</f>
        <v>iong / iok</v>
      </c>
      <c r="F15" s="350" t="str">
        <f ca="1" xml:space="preserve"> _xlfn.CONCAT(
_xlfn.XLOOKUP(OFFSET(F15,-3,0), 韻母表[韻序], 韻母表[台羅拼音]),
" / ",
_xlfn.XLOOKUP((OFFSET(F15,-3,0)*2), 韻母表[序號], 韻母表[台羅拼音])
)</f>
        <v>o / oh</v>
      </c>
    </row>
    <row r="17" spans="2:6" ht="23.25">
      <c r="B17" s="373">
        <f>B12+5</f>
        <v>16</v>
      </c>
      <c r="C17" s="373">
        <f>B17+1</f>
        <v>17</v>
      </c>
      <c r="D17" s="373">
        <f t="shared" ref="D17:F17" si="3">C17+1</f>
        <v>18</v>
      </c>
      <c r="E17" s="373">
        <f t="shared" si="3"/>
        <v>19</v>
      </c>
      <c r="F17" s="373">
        <f t="shared" si="3"/>
        <v>20</v>
      </c>
    </row>
    <row r="18" spans="2:6" ht="20.25">
      <c r="B18" s="353" t="str">
        <f ca="1" xml:space="preserve"> _xlfn.CONCAT(
_xlfn.XLOOKUP(OFFSET(B18,-1,0), 韻母表[韻序], 韻母表[方音符號]),
" / ",
_xlfn.XLOOKUP((OFFSET(B18,-1,0)*2), 韻母表[序號], 韻母表[方音符號])
)</f>
        <v>ㄞ / ㄞㆷ</v>
      </c>
      <c r="C18" s="353" t="str">
        <f ca="1" xml:space="preserve"> _xlfn.CONCAT(
_xlfn.XLOOKUP(OFFSET(C18,-1,0), 韻母表[韻序], 韻母表[方音符號]),
" / ",
_xlfn.XLOOKUP((OFFSET(C18,-1,0)*2), 韻母表[序號], 韻母表[方音符號])
)</f>
        <v>ㄧㄣ / ㄧㆵ</v>
      </c>
      <c r="D18" s="353" t="str">
        <f ca="1" xml:space="preserve"> _xlfn.CONCAT(
_xlfn.XLOOKUP(OFFSET(D18,-1,0), 韻母表[韻序], 韻母表[方音符號]),
" / ",
_xlfn.XLOOKUP((OFFSET(D18,-1,0)*2), 韻母表[序號], 韻母表[方音符號])
)</f>
        <v>ㄧㄤ / ㄧㄚㆻ</v>
      </c>
      <c r="E18" s="353" t="str">
        <f ca="1" xml:space="preserve"> _xlfn.CONCAT(
_xlfn.XLOOKUP(OFFSET(E18,-1,0), 韻母表[韻序], 韻母表[方音符號]),
" / ",
_xlfn.XLOOKUP((OFFSET(E18,-1,0)*2), 韻母表[序號], 韻母表[方音符號])
)</f>
        <v>ㆰ / ㄚㆴ</v>
      </c>
      <c r="F18" s="353" t="str">
        <f ca="1" xml:space="preserve"> _xlfn.CONCAT(
_xlfn.XLOOKUP(OFFSET(F18,-1,0), 韻母表[韻序], 韻母表[方音符號]),
" / ",
_xlfn.XLOOKUP((OFFSET(F18,-1,0)*2), 韻母表[序號], 韻母表[方音符號])
)</f>
        <v>ㄨㄚ / ㄨㄚㆷ</v>
      </c>
    </row>
    <row r="19" spans="2:6" ht="57.75">
      <c r="B19" s="378" t="str" cm="1">
        <f t="array" aca="1" ref="B19" ca="1" xml:space="preserve"> _xlfn.XLOOKUP(OFFSET(B19,-2,0), 韻母表[韻序], LEFT(韻母表[十五音],1))</f>
        <v>皆</v>
      </c>
      <c r="C19" s="378" t="str" cm="1">
        <f t="array" aca="1" ref="C19" ca="1" xml:space="preserve"> _xlfn.XLOOKUP(OFFSET(C19,-2,0), 韻母表[韻序], LEFT(韻母表[十五音],1))</f>
        <v>巾</v>
      </c>
      <c r="D19" s="378" t="str" cm="1">
        <f t="array" aca="1" ref="D19" ca="1" xml:space="preserve"> _xlfn.XLOOKUP(OFFSET(D19,-2,0), 韻母表[韻序], LEFT(韻母表[十五音],1))</f>
        <v>姜</v>
      </c>
      <c r="E19" s="378" t="str" cm="1">
        <f t="array" aca="1" ref="E19" ca="1" xml:space="preserve"> _xlfn.XLOOKUP(OFFSET(E19,-2,0), 韻母表[韻序], LEFT(韻母表[十五音],1))</f>
        <v>甘</v>
      </c>
      <c r="F19" s="378" t="str" cm="1">
        <f t="array" aca="1" ref="F19" ca="1" xml:space="preserve"> _xlfn.XLOOKUP(OFFSET(F19,-2,0), 韻母表[韻序], LEFT(韻母表[十五音],1))</f>
        <v>瓜</v>
      </c>
    </row>
    <row r="20" spans="2:6" ht="23.25">
      <c r="B20" s="350" t="str">
        <f ca="1" xml:space="preserve"> _xlfn.CONCAT(
_xlfn.XLOOKUP(OFFSET(B20,-3,0), 韻母表[韻序], 韻母表[台羅拼音]),
" / ",
_xlfn.XLOOKUP((OFFSET(B20,-3,0)*2), 韻母表[序號], 韻母表[台羅拼音])
)</f>
        <v>ai / aih</v>
      </c>
      <c r="C20" s="350" t="str">
        <f ca="1" xml:space="preserve"> _xlfn.CONCAT(
_xlfn.XLOOKUP(OFFSET(C20,-3,0), 韻母表[韻序], 韻母表[台羅拼音]),
" / ",
_xlfn.XLOOKUP((OFFSET(C20,-3,0)*2), 韻母表[序號], 韻母表[台羅拼音])
)</f>
        <v>in / it</v>
      </c>
      <c r="D20" s="350" t="str">
        <f ca="1" xml:space="preserve"> _xlfn.CONCAT(
_xlfn.XLOOKUP(OFFSET(D20,-3,0), 韻母表[韻序], 韻母表[台羅拼音]),
" / ",
_xlfn.XLOOKUP((OFFSET(D20,-3,0)*2), 韻母表[序號], 韻母表[台羅拼音])
)</f>
        <v>iang / iak</v>
      </c>
      <c r="E20" s="350" t="str">
        <f ca="1" xml:space="preserve"> _xlfn.CONCAT(
_xlfn.XLOOKUP(OFFSET(E20,-3,0), 韻母表[韻序], 韻母表[台羅拼音]),
" / ",
_xlfn.XLOOKUP((OFFSET(E20,-3,0)*2), 韻母表[序號], 韻母表[台羅拼音])
)</f>
        <v>am / ap</v>
      </c>
      <c r="F20" s="350" t="str">
        <f ca="1" xml:space="preserve"> _xlfn.CONCAT(
_xlfn.XLOOKUP(OFFSET(F20,-3,0), 韻母表[韻序], 韻母表[台羅拼音]),
" / ",
_xlfn.XLOOKUP((OFFSET(F20,-3,0)*2), 韻母表[序號], 韻母表[台羅拼音])
)</f>
        <v>ua / uah</v>
      </c>
    </row>
    <row r="22" spans="2:6" ht="23.25">
      <c r="B22" s="373">
        <f>B17+5</f>
        <v>21</v>
      </c>
      <c r="C22" s="373">
        <f>B22+1</f>
        <v>22</v>
      </c>
      <c r="D22" s="373">
        <f t="shared" ref="D22:F22" si="4">C22+1</f>
        <v>23</v>
      </c>
      <c r="E22" s="373">
        <f t="shared" si="4"/>
        <v>24</v>
      </c>
      <c r="F22" s="373">
        <f t="shared" si="4"/>
        <v>25</v>
      </c>
    </row>
    <row r="23" spans="2:6" ht="20.25">
      <c r="B23" s="353" t="str">
        <f ca="1" xml:space="preserve"> _xlfn.CONCAT(
_xlfn.XLOOKUP(OFFSET(B23,-1,0), 韻母表[韻序], 韻母表[方音符號]),
" / ",
_xlfn.XLOOKUP((OFFSET(B23,-1,0)*2), 韻母表[序號], 韻母表[方音符號])
)</f>
        <v>ㄤ / ㄚㆻ</v>
      </c>
      <c r="C23" s="353" t="str">
        <f ca="1" xml:space="preserve"> _xlfn.CONCAT(
_xlfn.XLOOKUP(OFFSET(C23,-1,0), 韻母表[韻序], 韻母表[方音符號]),
" / ",
_xlfn.XLOOKUP((OFFSET(C23,-1,0)*2), 韻母表[序號], 韻母表[方音符號])
)</f>
        <v>ㄧㆰ / ㄧㄚㆴ</v>
      </c>
      <c r="D23" s="353" t="str">
        <f ca="1" xml:space="preserve"> _xlfn.CONCAT(
_xlfn.XLOOKUP(OFFSET(D23,-1,0), 韻母表[韻序], 韻母表[方音符號]),
" / ",
_xlfn.XLOOKUP((OFFSET(D23,-1,0)*2), 韻母表[序號], 韻母表[方音符號])
)</f>
        <v>ㄠ / ㄠㆷ</v>
      </c>
      <c r="E23" s="353" t="str">
        <f ca="1" xml:space="preserve"> _xlfn.CONCAT(
_xlfn.XLOOKUP(OFFSET(E23,-1,0), 韻母表[韻序], 韻母表[方音符號]),
" / ",
_xlfn.XLOOKUP((OFFSET(E23,-1,0)*2), 韻母表[序號], 韻母表[方音符號])
)</f>
        <v>ㄧㄚ / ㄧㄚㆷ</v>
      </c>
      <c r="F23" s="353" t="str">
        <f ca="1" xml:space="preserve"> _xlfn.CONCAT(
_xlfn.XLOOKUP(OFFSET(F23,-1,0), 韻母表[韻序], 韻母表[方音符號]),
" / ",
_xlfn.XLOOKUP((OFFSET(F23,-1,0)*2), 韻母表[序號], 韻母表[方音符號])
)</f>
        <v>ㄨㆤ / ㄨㆤㆷ</v>
      </c>
    </row>
    <row r="24" spans="2:6" ht="57.75">
      <c r="B24" s="378" t="str" cm="1">
        <f t="array" aca="1" ref="B24" ca="1" xml:space="preserve"> _xlfn.XLOOKUP(OFFSET(B24,-2,0), 韻母表[韻序], LEFT(韻母表[十五音],1))</f>
        <v>江</v>
      </c>
      <c r="C24" s="378" t="str" cm="1">
        <f t="array" aca="1" ref="C24" ca="1" xml:space="preserve"> _xlfn.XLOOKUP(OFFSET(C24,-2,0), 韻母表[韻序], LEFT(韻母表[十五音],1))</f>
        <v>兼</v>
      </c>
      <c r="D24" s="378" t="str" cm="1">
        <f t="array" aca="1" ref="D24" ca="1" xml:space="preserve"> _xlfn.XLOOKUP(OFFSET(D24,-2,0), 韻母表[韻序], LEFT(韻母表[十五音],1))</f>
        <v>交</v>
      </c>
      <c r="E24" s="378" t="str" cm="1">
        <f t="array" aca="1" ref="E24" ca="1" xml:space="preserve"> _xlfn.XLOOKUP(OFFSET(E24,-2,0), 韻母表[韻序], LEFT(韻母表[十五音],1))</f>
        <v>迦</v>
      </c>
      <c r="F24" s="378" t="str" cm="1">
        <f t="array" aca="1" ref="F24" ca="1" xml:space="preserve"> _xlfn.XLOOKUP(OFFSET(F24,-2,0), 韻母表[韻序], LEFT(韻母表[十五音],1))</f>
        <v>檜</v>
      </c>
    </row>
    <row r="25" spans="2:6" ht="23.25">
      <c r="B25" s="350" t="str">
        <f ca="1" xml:space="preserve"> _xlfn.CONCAT(
_xlfn.XLOOKUP(OFFSET(B25,-3,0), 韻母表[韻序], 韻母表[台羅拼音]),
" / ",
_xlfn.XLOOKUP((OFFSET(B25,-3,0)*2), 韻母表[序號], 韻母表[台羅拼音])
)</f>
        <v>ang / ak</v>
      </c>
      <c r="C25" s="350" t="str">
        <f ca="1" xml:space="preserve"> _xlfn.CONCAT(
_xlfn.XLOOKUP(OFFSET(C25,-3,0), 韻母表[韻序], 韻母表[台羅拼音]),
" / ",
_xlfn.XLOOKUP((OFFSET(C25,-3,0)*2), 韻母表[序號], 韻母表[台羅拼音])
)</f>
        <v>iam / iap</v>
      </c>
      <c r="D25" s="350" t="str">
        <f ca="1" xml:space="preserve"> _xlfn.CONCAT(
_xlfn.XLOOKUP(OFFSET(D25,-3,0), 韻母表[韻序], 韻母表[台羅拼音]),
" / ",
_xlfn.XLOOKUP((OFFSET(D25,-3,0)*2), 韻母表[序號], 韻母表[台羅拼音])
)</f>
        <v>au / auh</v>
      </c>
      <c r="E25" s="350" t="str">
        <f ca="1" xml:space="preserve"> _xlfn.CONCAT(
_xlfn.XLOOKUP(OFFSET(E25,-3,0), 韻母表[韻序], 韻母表[台羅拼音]),
" / ",
_xlfn.XLOOKUP((OFFSET(E25,-3,0)*2), 韻母表[序號], 韻母表[台羅拼音])
)</f>
        <v>ia / iah</v>
      </c>
      <c r="F25" s="350" t="str">
        <f ca="1" xml:space="preserve"> _xlfn.CONCAT(
_xlfn.XLOOKUP(OFFSET(F25,-3,0), 韻母表[韻序], 韻母表[台羅拼音]),
" / ",
_xlfn.XLOOKUP((OFFSET(F25,-3,0)*2), 韻母表[序號], 韻母表[台羅拼音])
)</f>
        <v>ue / ueh</v>
      </c>
    </row>
    <row r="27" spans="2:6" ht="23.25">
      <c r="B27" s="373">
        <f>B22+5</f>
        <v>26</v>
      </c>
      <c r="C27" s="373">
        <f>B27+1</f>
        <v>27</v>
      </c>
      <c r="D27" s="373">
        <f t="shared" ref="D27:F27" si="5">C27+1</f>
        <v>28</v>
      </c>
      <c r="E27" s="373">
        <f t="shared" si="5"/>
        <v>29</v>
      </c>
      <c r="F27" s="373">
        <f t="shared" si="5"/>
        <v>30</v>
      </c>
    </row>
    <row r="28" spans="2:6" ht="20.25">
      <c r="B28" s="353" t="str">
        <f ca="1" xml:space="preserve"> _xlfn.CONCAT(
_xlfn.XLOOKUP(OFFSET(B28,-1,0), 韻母表[韻序], 韻母表[方音符號]),
" / ",
_xlfn.XLOOKUP((OFFSET(B28,-1,0)*2), 韻母表[序號], 韻母表[方音符號])
)</f>
        <v>ㆩ / ㆩㆷ</v>
      </c>
      <c r="C28" s="353" t="str">
        <f ca="1" xml:space="preserve"> _xlfn.CONCAT(
_xlfn.XLOOKUP(OFFSET(C28,-1,0), 韻母表[韻序], 韻母表[方音符號]),
" / ",
_xlfn.XLOOKUP((OFFSET(C28,-1,0)*2), 韻母表[序號], 韻母表[方音符號])
)</f>
        <v>ㄨ / ㄨㆷ</v>
      </c>
      <c r="D28" s="353" t="str">
        <f ca="1" xml:space="preserve"> _xlfn.CONCAT(
_xlfn.XLOOKUP(OFFSET(D28,-1,0), 韻母表[韻序], 韻母表[方音符號]),
" / ",
_xlfn.XLOOKUP((OFFSET(D28,-1,0)*2), 韻母表[序號], 韻母表[方音符號])
)</f>
        <v>ㄚ / ㄚㆷ</v>
      </c>
      <c r="E28" s="353" t="str">
        <f ca="1" xml:space="preserve"> _xlfn.CONCAT(
_xlfn.XLOOKUP(OFFSET(E28,-1,0), 韻母表[韻序], 韻母表[方音符號]),
" / ",
_xlfn.XLOOKUP((OFFSET(E28,-1,0)*2), 韻母表[序號], 韻母表[方音符號])
)</f>
        <v>ㄧ / ㄧㆷ</v>
      </c>
      <c r="F28" s="353" t="str">
        <f ca="1" xml:space="preserve"> _xlfn.CONCAT(
_xlfn.XLOOKUP(OFFSET(F28,-1,0), 韻母表[韻序], 韻母表[方音符號]),
" / ",
_xlfn.XLOOKUP((OFFSET(F28,-1,0)*2), 韻母表[序號], 韻母表[方音符號])
)</f>
        <v>ㄧㄨ / ㄧㄨㆷ</v>
      </c>
    </row>
    <row r="29" spans="2:6" ht="57.75">
      <c r="B29" s="378" t="str" cm="1">
        <f t="array" aca="1" ref="B29" ca="1" xml:space="preserve"> _xlfn.XLOOKUP(OFFSET(B29,-2,0), 韻母表[韻序], LEFT(韻母表[十五音],1))</f>
        <v>監</v>
      </c>
      <c r="C29" s="378" t="str" cm="1">
        <f t="array" aca="1" ref="C29" ca="1" xml:space="preserve"> _xlfn.XLOOKUP(OFFSET(C29,-2,0), 韻母表[韻序], LEFT(韻母表[十五音],1))</f>
        <v>艍</v>
      </c>
      <c r="D29" s="378" t="str" cm="1">
        <f t="array" aca="1" ref="D29" ca="1" xml:space="preserve"> _xlfn.XLOOKUP(OFFSET(D29,-2,0), 韻母表[韻序], LEFT(韻母表[十五音],1))</f>
        <v>膠</v>
      </c>
      <c r="E29" s="378" t="str" cm="1">
        <f t="array" aca="1" ref="E29" ca="1" xml:space="preserve"> _xlfn.XLOOKUP(OFFSET(E29,-2,0), 韻母表[韻序], LEFT(韻母表[十五音],1))</f>
        <v>居</v>
      </c>
      <c r="F29" s="378" t="str" cm="1">
        <f t="array" aca="1" ref="F29" ca="1" xml:space="preserve"> _xlfn.XLOOKUP(OFFSET(F29,-2,0), 韻母表[韻序], LEFT(韻母表[十五音],1))</f>
        <v>丩</v>
      </c>
    </row>
    <row r="30" spans="2:6" ht="23.25">
      <c r="B30" s="350" t="str">
        <f ca="1" xml:space="preserve"> _xlfn.CONCAT(
_xlfn.XLOOKUP(OFFSET(B30,-3,0), 韻母表[韻序], 韻母表[台羅拼音]),
" / ",
_xlfn.XLOOKUP((OFFSET(B30,-3,0)*2), 韻母表[序號], 韻母表[台羅拼音])
)</f>
        <v>ann / annh</v>
      </c>
      <c r="C30" s="350" t="str">
        <f ca="1" xml:space="preserve"> _xlfn.CONCAT(
_xlfn.XLOOKUP(OFFSET(C30,-3,0), 韻母表[韻序], 韻母表[台羅拼音]),
" / ",
_xlfn.XLOOKUP((OFFSET(C30,-3,0)*2), 韻母表[序號], 韻母表[台羅拼音])
)</f>
        <v>u / uh</v>
      </c>
      <c r="D30" s="350" t="str">
        <f ca="1" xml:space="preserve"> _xlfn.CONCAT(
_xlfn.XLOOKUP(OFFSET(D30,-3,0), 韻母表[韻序], 韻母表[台羅拼音]),
" / ",
_xlfn.XLOOKUP((OFFSET(D30,-3,0)*2), 韻母表[序號], 韻母表[台羅拼音])
)</f>
        <v>a / ah</v>
      </c>
      <c r="E30" s="350" t="str">
        <f ca="1" xml:space="preserve"> _xlfn.CONCAT(
_xlfn.XLOOKUP(OFFSET(E30,-3,0), 韻母表[韻序], 韻母表[台羅拼音]),
" / ",
_xlfn.XLOOKUP((OFFSET(E30,-3,0)*2), 韻母表[序號], 韻母表[台羅拼音])
)</f>
        <v>i / ih</v>
      </c>
      <c r="F30" s="350" t="str">
        <f ca="1" xml:space="preserve"> _xlfn.CONCAT(
_xlfn.XLOOKUP(OFFSET(F30,-3,0), 韻母表[韻序], 韻母表[台羅拼音]),
" / ",
_xlfn.XLOOKUP((OFFSET(F30,-3,0)*2), 韻母表[序號], 韻母表[台羅拼音])
)</f>
        <v>iu / iuh</v>
      </c>
    </row>
    <row r="32" spans="2:6" ht="23.25">
      <c r="B32" s="373">
        <f>B27+5</f>
        <v>31</v>
      </c>
      <c r="C32" s="373">
        <f>B32+1</f>
        <v>32</v>
      </c>
      <c r="D32" s="373">
        <f t="shared" ref="D32:F32" si="6">C32+1</f>
        <v>33</v>
      </c>
      <c r="E32" s="373">
        <f t="shared" si="6"/>
        <v>34</v>
      </c>
      <c r="F32" s="373">
        <f t="shared" si="6"/>
        <v>35</v>
      </c>
    </row>
    <row r="33" spans="2:6" ht="20.25">
      <c r="B33" s="353" t="str">
        <f ca="1" xml:space="preserve"> _xlfn.CONCAT(
_xlfn.XLOOKUP(OFFSET(B33,-1,0), 韻母表[韻序], 韻母表[方音符號]),
" / ",
_xlfn.XLOOKUP((OFFSET(B33,-1,0)*2), 韻母表[序號], 韻母表[方音符號])
)</f>
        <v>ㆥ / ㆥㆷ</v>
      </c>
      <c r="C33" s="353" t="str">
        <f ca="1" xml:space="preserve"> _xlfn.CONCAT(
_xlfn.XLOOKUP(OFFSET(C33,-1,0), 韻母表[韻序], 韻母表[方音符號]),
" / ",
_xlfn.XLOOKUP((OFFSET(C33,-1,0)*2), 韻母表[序號], 韻母表[方音符號])
)</f>
        <v>ㄨㆪ / ㄨㆪㆷ</v>
      </c>
      <c r="D33" s="353" t="str">
        <f ca="1" xml:space="preserve"> _xlfn.CONCAT(
_xlfn.XLOOKUP(OFFSET(D33,-1,0), 韻母表[韻序], 韻母表[方音符號]),
" / ",
_xlfn.XLOOKUP((OFFSET(D33,-1,0)*2), 韻母表[序號], 韻母表[方音符號])
)</f>
        <v>ㄧㄜ / ㄧㄜㆷ</v>
      </c>
      <c r="E33" s="353" t="str">
        <f ca="1" xml:space="preserve"> _xlfn.CONCAT(
_xlfn.XLOOKUP(OFFSET(E33,-1,0), 韻母表[韻序], 韻母表[方音符號]),
" / ",
_xlfn.XLOOKUP((OFFSET(E33,-1,0)*2), 韻母表[序號], 韻母表[方音符號])
)</f>
        <v>ㆪ / ㆪㆷ</v>
      </c>
      <c r="F33" s="353" t="str">
        <f ca="1" xml:space="preserve"> _xlfn.CONCAT(
_xlfn.XLOOKUP(OFFSET(F33,-1,0), 韻母表[韻序], 韻母表[方音符號]),
" / ",
_xlfn.XLOOKUP((OFFSET(F33,-1,0)*2), 韻母表[序號], 韻母表[方音符號])
)</f>
        <v>ㄧㆧ / ㄧㆧㆷ</v>
      </c>
    </row>
    <row r="34" spans="2:6" ht="57.75">
      <c r="B34" s="378" t="str" cm="1">
        <f t="array" aca="1" ref="B34" ca="1" xml:space="preserve"> _xlfn.XLOOKUP(OFFSET(B34,-2,0), 韻母表[韻序], LEFT(韻母表[十五音],1))</f>
        <v>更</v>
      </c>
      <c r="C34" s="378" t="str" cm="1">
        <f t="array" aca="1" ref="C34" ca="1" xml:space="preserve"> _xlfn.XLOOKUP(OFFSET(C34,-2,0), 韻母表[韻序], LEFT(韻母表[十五音],1))</f>
        <v>褌</v>
      </c>
      <c r="D34" s="378" t="str" cm="1">
        <f t="array" aca="1" ref="D34" ca="1" xml:space="preserve"> _xlfn.XLOOKUP(OFFSET(D34,-2,0), 韻母表[韻序], LEFT(韻母表[十五音],1))</f>
        <v>茄</v>
      </c>
      <c r="E34" s="378" t="str" cm="1">
        <f t="array" aca="1" ref="E34" ca="1" xml:space="preserve"> _xlfn.XLOOKUP(OFFSET(E34,-2,0), 韻母表[韻序], LEFT(韻母表[十五音],1))</f>
        <v>梔</v>
      </c>
      <c r="F34" s="378" t="str" cm="1">
        <f t="array" aca="1" ref="F34" ca="1" xml:space="preserve"> _xlfn.XLOOKUP(OFFSET(F34,-2,0), 韻母表[韻序], LEFT(韻母表[十五音],1))</f>
        <v>薑</v>
      </c>
    </row>
    <row r="35" spans="2:6" ht="23.25">
      <c r="B35" s="350" t="str">
        <f ca="1" xml:space="preserve"> _xlfn.CONCAT(
_xlfn.XLOOKUP(OFFSET(B35,-3,0), 韻母表[韻序], 韻母表[台羅拼音]),
" / ",
_xlfn.XLOOKUP((OFFSET(B35,-3,0)*2), 韻母表[序號], 韻母表[台羅拼音])
)</f>
        <v>enn / ennh</v>
      </c>
      <c r="C35" s="350" t="str">
        <f ca="1" xml:space="preserve"> _xlfn.CONCAT(
_xlfn.XLOOKUP(OFFSET(C35,-3,0), 韻母表[韻序], 韻母表[台羅拼音]),
" / ",
_xlfn.XLOOKUP((OFFSET(C35,-3,0)*2), 韻母表[序號], 韻母表[台羅拼音])
)</f>
        <v>uinn / uinnh</v>
      </c>
      <c r="D35" s="350" t="str">
        <f ca="1" xml:space="preserve"> _xlfn.CONCAT(
_xlfn.XLOOKUP(OFFSET(D35,-3,0), 韻母表[韻序], 韻母表[台羅拼音]),
" / ",
_xlfn.XLOOKUP((OFFSET(D35,-3,0)*2), 韻母表[序號], 韻母表[台羅拼音])
)</f>
        <v>io / ioh</v>
      </c>
      <c r="E35" s="350" t="str">
        <f ca="1" xml:space="preserve"> _xlfn.CONCAT(
_xlfn.XLOOKUP(OFFSET(E35,-3,0), 韻母表[韻序], 韻母表[台羅拼音]),
" / ",
_xlfn.XLOOKUP((OFFSET(E35,-3,0)*2), 韻母表[序號], 韻母表[台羅拼音])
)</f>
        <v>inn / innh</v>
      </c>
      <c r="F35" s="350" t="str">
        <f ca="1" xml:space="preserve"> _xlfn.CONCAT(
_xlfn.XLOOKUP(OFFSET(F35,-3,0), 韻母表[韻序], 韻母表[台羅拼音]),
" / ",
_xlfn.XLOOKUP((OFFSET(F35,-3,0)*2), 韻母表[序號], 韻母表[台羅拼音])
)</f>
        <v>ionn / ionnh</v>
      </c>
    </row>
    <row r="37" spans="2:6" ht="23.25">
      <c r="B37" s="373">
        <f>B32+5</f>
        <v>36</v>
      </c>
      <c r="C37" s="373">
        <f>B37+1</f>
        <v>37</v>
      </c>
      <c r="D37" s="373">
        <f t="shared" ref="D37:F37" si="7">C37+1</f>
        <v>38</v>
      </c>
      <c r="E37" s="373">
        <f t="shared" si="7"/>
        <v>39</v>
      </c>
      <c r="F37" s="373">
        <f t="shared" si="7"/>
        <v>40</v>
      </c>
    </row>
    <row r="38" spans="2:6" ht="20.25">
      <c r="B38" s="353" t="str">
        <f ca="1" xml:space="preserve"> _xlfn.CONCAT(
_xlfn.XLOOKUP(OFFSET(B38,-1,0), 韻母表[韻序], 韻母表[方音符號]),
" / ",
_xlfn.XLOOKUP((OFFSET(B38,-1,0)*2), 韻母表[序號], 韻母表[方音符號])
)</f>
        <v>ㄧㆩ / ㄧㆩㆷ</v>
      </c>
      <c r="C38" s="353" t="str">
        <f ca="1" xml:space="preserve"> _xlfn.CONCAT(
_xlfn.XLOOKUP(OFFSET(C38,-1,0), 韻母表[韻序], 韻母表[方音符號]),
" / ",
_xlfn.XLOOKUP((OFFSET(C38,-1,0)*2), 韻母表[序號], 韻母表[方音符號])
)</f>
        <v>ㄨㆩ / ㄨㆩㆷ</v>
      </c>
      <c r="D38" s="353" t="str">
        <f ca="1" xml:space="preserve"> _xlfn.CONCAT(
_xlfn.XLOOKUP(OFFSET(D38,-1,0), 韻母表[韻序], 韻母表[方音符號]),
" / ",
_xlfn.XLOOKUP((OFFSET(D38,-1,0)*2), 韻母表[序號], 韻母表[方音符號])
)</f>
        <v>ㆭ / ㆭㆷ</v>
      </c>
      <c r="E38" s="353" t="str">
        <f ca="1" xml:space="preserve"> _xlfn.CONCAT(
_xlfn.XLOOKUP(OFFSET(E38,-1,0), 韻母表[韻序], 韻母表[方音符號]),
" / ",
_xlfn.XLOOKUP((OFFSET(E38,-1,0)*2), 韻母表[序號], 韻母表[方音符號])
)</f>
        <v>ㆤ / ㆤㆷ</v>
      </c>
      <c r="F38" s="353" t="str">
        <f ca="1" xml:space="preserve"> _xlfn.CONCAT(
_xlfn.XLOOKUP(OFFSET(F38,-1,0), 韻母表[韻序], 韻母表[方音符號]),
" / ",
_xlfn.XLOOKUP((OFFSET(F38,-1,0)*2), 韻母表[序號], 韻母表[方音符號])
)</f>
        <v>ㆮ / ㆮㆷ</v>
      </c>
    </row>
    <row r="39" spans="2:6" ht="57.75">
      <c r="B39" s="378" t="str" cm="1">
        <f t="array" aca="1" ref="B39" ca="1" xml:space="preserve"> _xlfn.XLOOKUP(OFFSET(B39,-2,0), 韻母表[韻序], LEFT(韻母表[十五音],1))</f>
        <v>驚</v>
      </c>
      <c r="C39" s="378" t="str" cm="1">
        <f t="array" aca="1" ref="C39" ca="1" xml:space="preserve"> _xlfn.XLOOKUP(OFFSET(C39,-2,0), 韻母表[韻序], LEFT(韻母表[十五音],1))</f>
        <v>官</v>
      </c>
      <c r="D39" s="378" t="str" cm="1">
        <f t="array" aca="1" ref="D39" ca="1" xml:space="preserve"> _xlfn.XLOOKUP(OFFSET(D39,-2,0), 韻母表[韻序], LEFT(韻母表[十五音],1))</f>
        <v>鋼</v>
      </c>
      <c r="E39" s="378" t="str" cm="1">
        <f t="array" aca="1" ref="E39" ca="1" xml:space="preserve"> _xlfn.XLOOKUP(OFFSET(E39,-2,0), 韻母表[韻序], LEFT(韻母表[十五音],1))</f>
        <v>伽</v>
      </c>
      <c r="F39" s="378" t="str" cm="1">
        <f t="array" aca="1" ref="F39" ca="1" xml:space="preserve"> _xlfn.XLOOKUP(OFFSET(F39,-2,0), 韻母表[韻序], LEFT(韻母表[十五音],1))</f>
        <v>閒</v>
      </c>
    </row>
    <row r="40" spans="2:6" ht="23.25">
      <c r="B40" s="350" t="str">
        <f ca="1" xml:space="preserve"> _xlfn.CONCAT(
_xlfn.XLOOKUP(OFFSET(B40,-3,0), 韻母表[韻序], 韻母表[台羅拼音]),
" / ",
_xlfn.XLOOKUP((OFFSET(B40,-3,0)*2), 韻母表[序號], 韻母表[台羅拼音])
)</f>
        <v>iann / iannh</v>
      </c>
      <c r="C40" s="350" t="str">
        <f ca="1" xml:space="preserve"> _xlfn.CONCAT(
_xlfn.XLOOKUP(OFFSET(C40,-3,0), 韻母表[韻序], 韻母表[台羅拼音]),
" / ",
_xlfn.XLOOKUP((OFFSET(C40,-3,0)*2), 韻母表[序號], 韻母表[台羅拼音])
)</f>
        <v>uann / uannh</v>
      </c>
      <c r="D40" s="350" t="str">
        <f ca="1" xml:space="preserve"> _xlfn.CONCAT(
_xlfn.XLOOKUP(OFFSET(D40,-3,0), 韻母表[韻序], 韻母表[台羅拼音]),
" / ",
_xlfn.XLOOKUP((OFFSET(D40,-3,0)*2), 韻母表[序號], 韻母表[台羅拼音])
)</f>
        <v>ng / ngh</v>
      </c>
      <c r="E40" s="350" t="str">
        <f ca="1" xml:space="preserve"> _xlfn.CONCAT(
_xlfn.XLOOKUP(OFFSET(E40,-3,0), 韻母表[韻序], 韻母表[台羅拼音]),
" / ",
_xlfn.XLOOKUP((OFFSET(E40,-3,0)*2), 韻母表[序號], 韻母表[台羅拼音])
)</f>
        <v>e / eh</v>
      </c>
      <c r="F40" s="350" t="str">
        <f ca="1" xml:space="preserve"> _xlfn.CONCAT(
_xlfn.XLOOKUP(OFFSET(F40,-3,0), 韻母表[韻序], 韻母表[台羅拼音]),
" / ",
_xlfn.XLOOKUP((OFFSET(F40,-3,0)*2), 韻母表[序號], 韻母表[台羅拼音])
)</f>
        <v>ainn / ainnh</v>
      </c>
    </row>
    <row r="42" spans="2:6" ht="23.25">
      <c r="B42" s="373">
        <f>B37+5</f>
        <v>41</v>
      </c>
      <c r="C42" s="373">
        <f>B42+1</f>
        <v>42</v>
      </c>
      <c r="D42" s="373">
        <f t="shared" ref="D42:F42" si="8">C42+1</f>
        <v>43</v>
      </c>
      <c r="E42" s="373">
        <f t="shared" si="8"/>
        <v>44</v>
      </c>
      <c r="F42" s="373">
        <f t="shared" si="8"/>
        <v>45</v>
      </c>
    </row>
    <row r="43" spans="2:6" ht="20.25">
      <c r="B43" s="353" t="str">
        <f ca="1" xml:space="preserve"> _xlfn.CONCAT(
_xlfn.XLOOKUP(OFFSET(B43,-1,0), 韻母表[韻序], 韻母表[方音符號]),
" / ",
_xlfn.XLOOKUP((OFFSET(B43,-1,0)*2), 韻母表[序號], 韻母表[方音符號])
)</f>
        <v>ㆧ / ㆧㆷ</v>
      </c>
      <c r="C43" s="353" t="str">
        <f ca="1" xml:space="preserve"> _xlfn.CONCAT(
_xlfn.XLOOKUP(OFFSET(C43,-1,0), 韻母表[韻序], 韻母表[方音符號]),
" / ",
_xlfn.XLOOKUP((OFFSET(C43,-1,0)*2), 韻母表[序號], 韻母表[方音符號])
)</f>
        <v>ㆬ / ㆬㆷ</v>
      </c>
      <c r="D43" s="353" t="str">
        <f ca="1" xml:space="preserve"> _xlfn.CONCAT(
_xlfn.XLOOKUP(OFFSET(D43,-1,0), 韻母表[韻序], 韻母表[方音符號]),
" / ",
_xlfn.XLOOKUP((OFFSET(D43,-1,0)*2), 韻母表[序號], 韻母表[方音符號])
)</f>
        <v>ㄨㄤ / ㄨㄤㆷ</v>
      </c>
      <c r="E43" s="353" t="str">
        <f ca="1" xml:space="preserve"> _xlfn.CONCAT(
_xlfn.XLOOKUP(OFFSET(E43,-1,0), 韻母表[韻序], 韻母表[方音符號]),
" / ",
_xlfn.XLOOKUP((OFFSET(E43,-1,0)*2), 韻母表[序號], 韻母表[方音符號])
)</f>
        <v>ㄨㆮ / ㄨㆮㆷ</v>
      </c>
      <c r="F43" s="353" t="str">
        <f ca="1" xml:space="preserve"> _xlfn.CONCAT(
_xlfn.XLOOKUP(OFFSET(F43,-1,0), 韻母表[韻序], 韻母表[方音符號]),
" / ",
_xlfn.XLOOKUP((OFFSET(F43,-1,0)*2), 韻母表[序號], 韻母表[方音符號])
)</f>
        <v>ㄨㆥ / ㄨㆥㆷ</v>
      </c>
    </row>
    <row r="44" spans="2:6" ht="57.75">
      <c r="B44" s="378" t="str" cm="1">
        <f t="array" aca="1" ref="B44" ca="1" xml:space="preserve"> _xlfn.XLOOKUP(OFFSET(B44,-2,0), 韻母表[韻序], LEFT(韻母表[十五音],1))</f>
        <v>姑</v>
      </c>
      <c r="C44" s="378" t="str" cm="1">
        <f t="array" aca="1" ref="C44" ca="1" xml:space="preserve"> _xlfn.XLOOKUP(OFFSET(C44,-2,0), 韻母表[韻序], LEFT(韻母表[十五音],1))</f>
        <v>姆</v>
      </c>
      <c r="D44" s="378" t="str" cm="1">
        <f t="array" aca="1" ref="D44" ca="1" xml:space="preserve"> _xlfn.XLOOKUP(OFFSET(D44,-2,0), 韻母表[韻序], LEFT(韻母表[十五音],1))</f>
        <v>光</v>
      </c>
      <c r="E44" s="378" t="str" cm="1">
        <f t="array" aca="1" ref="E44" ca="1" xml:space="preserve"> _xlfn.XLOOKUP(OFFSET(E44,-2,0), 韻母表[韻序], LEFT(韻母表[十五音],1))</f>
        <v>閂</v>
      </c>
      <c r="F44" s="378" t="str" cm="1">
        <f t="array" aca="1" ref="F44" ca="1" xml:space="preserve"> _xlfn.XLOOKUP(OFFSET(F44,-2,0), 韻母表[韻序], LEFT(韻母表[十五音],1))</f>
        <v>糜</v>
      </c>
    </row>
    <row r="45" spans="2:6" ht="23.25">
      <c r="B45" s="350" t="str">
        <f ca="1" xml:space="preserve"> _xlfn.CONCAT(
_xlfn.XLOOKUP(OFFSET(B45,-3,0), 韻母表[韻序], 韻母表[台羅拼音]),
" / ",
_xlfn.XLOOKUP((OFFSET(B45,-3,0)*2), 韻母表[序號], 韻母表[台羅拼音])
)</f>
        <v>onn / onnh</v>
      </c>
      <c r="C45" s="350" t="str">
        <f ca="1" xml:space="preserve"> _xlfn.CONCAT(
_xlfn.XLOOKUP(OFFSET(C45,-3,0), 韻母表[韻序], 韻母表[台羅拼音]),
" / ",
_xlfn.XLOOKUP((OFFSET(C45,-3,0)*2), 韻母表[序號], 韻母表[台羅拼音])
)</f>
        <v>m / mh</v>
      </c>
      <c r="D45" s="350" t="str">
        <f ca="1" xml:space="preserve"> _xlfn.CONCAT(
_xlfn.XLOOKUP(OFFSET(D45,-3,0), 韻母表[韻序], 韻母表[台羅拼音]),
" / ",
_xlfn.XLOOKUP((OFFSET(D45,-3,0)*2), 韻母表[序號], 韻母表[台羅拼音])
)</f>
        <v>uang / uangh</v>
      </c>
      <c r="E45" s="350" t="str">
        <f ca="1" xml:space="preserve"> _xlfn.CONCAT(
_xlfn.XLOOKUP(OFFSET(E45,-3,0), 韻母表[韻序], 韻母表[台羅拼音]),
" / ",
_xlfn.XLOOKUP((OFFSET(E45,-3,0)*2), 韻母表[序號], 韻母表[台羅拼音])
)</f>
        <v>uainn / uainnh</v>
      </c>
      <c r="F45" s="350" t="str">
        <f ca="1" xml:space="preserve"> _xlfn.CONCAT(
_xlfn.XLOOKUP(OFFSET(F45,-3,0), 韻母表[韻序], 韻母表[台羅拼音]),
" / ",
_xlfn.XLOOKUP((OFFSET(F45,-3,0)*2), 韻母表[序號], 韻母表[台羅拼音])
)</f>
        <v>ue / ueh</v>
      </c>
    </row>
    <row r="47" spans="2:6" ht="23.25">
      <c r="B47" s="373">
        <f>B42+5</f>
        <v>46</v>
      </c>
      <c r="C47" s="373">
        <f>B47+1</f>
        <v>47</v>
      </c>
      <c r="D47" s="373">
        <f t="shared" ref="D47:F47" si="9">C47+1</f>
        <v>48</v>
      </c>
      <c r="E47" s="373">
        <f t="shared" si="9"/>
        <v>49</v>
      </c>
      <c r="F47" s="373">
        <f t="shared" si="9"/>
        <v>50</v>
      </c>
    </row>
    <row r="48" spans="2:6" ht="20.25">
      <c r="B48" s="353" t="str">
        <f ca="1" xml:space="preserve"> _xlfn.CONCAT(
_xlfn.XLOOKUP(OFFSET(B48,-1,0), 韻母表[韻序], 韻母表[方音符號]),
" / ",
_xlfn.XLOOKUP((OFFSET(B48,-1,0)*2), 韻母表[序號], 韻母表[方音符號])
)</f>
        <v>ㄧㆯ / ㄧㆯㆷ</v>
      </c>
      <c r="C48" s="353" t="str">
        <f ca="1" xml:space="preserve"> _xlfn.CONCAT(
_xlfn.XLOOKUP(OFFSET(C48,-1,0), 韻母表[韻序], 韻母表[方音符號]),
" / ",
_xlfn.XLOOKUP((OFFSET(C48,-1,0)*2), 韻母表[序號], 韻母表[方音符號])
)</f>
        <v>ㆱ / ㆦㆴ</v>
      </c>
      <c r="D48" s="353" t="str">
        <f ca="1" xml:space="preserve"> _xlfn.CONCAT(
_xlfn.XLOOKUP(OFFSET(D48,-1,0), 韻母表[韻序], 韻母表[方音符號]),
" / ",
_xlfn.XLOOKUP((OFFSET(D48,-1,0)*2), 韻母表[序號], 韻母表[方音符號])
)</f>
        <v>ㆯ / ㆯㆷ</v>
      </c>
      <c r="E48" s="353" t="str">
        <f ca="1" xml:space="preserve"> _xlfn.CONCAT(
_xlfn.XLOOKUP(OFFSET(E48,-1,0), 韻母表[韻序], 韻母表[方音符號]),
" / ",
_xlfn.XLOOKUP((OFFSET(E48,-1,0)*2), 韻母表[序號], 韻母表[方音符號])
)</f>
        <v xml:space="preserve"> / ㆧㆷ</v>
      </c>
      <c r="F48" s="353" t="str">
        <f ca="1" xml:space="preserve"> _xlfn.CONCAT(
_xlfn.XLOOKUP(OFFSET(F48,-1,0), 韻母表[韻序], 韻母表[方音符號]),
" / ",
_xlfn.XLOOKUP((OFFSET(F48,-1,0)*2), 韻母表[序號], 韻母表[方音符號])
)</f>
        <v>ㄧㆫ / ㄧㆫㆷ</v>
      </c>
    </row>
    <row r="49" spans="2:6" ht="57.75">
      <c r="B49" s="378" t="str" cm="1">
        <f t="array" aca="1" ref="B49" ca="1" xml:space="preserve"> _xlfn.XLOOKUP(OFFSET(B49,-2,0), 韻母表[韻序], LEFT(韻母表[十五音],1))</f>
        <v>嘄</v>
      </c>
      <c r="C49" s="378" t="str" cm="1">
        <f t="array" aca="1" ref="C49" ca="1" xml:space="preserve"> _xlfn.XLOOKUP(OFFSET(C49,-2,0), 韻母表[韻序], LEFT(韻母表[十五音],1))</f>
        <v>箴</v>
      </c>
      <c r="D49" s="378" t="str" cm="1">
        <f t="array" aca="1" ref="D49" ca="1" xml:space="preserve"> _xlfn.XLOOKUP(OFFSET(D49,-2,0), 韻母表[韻序], LEFT(韻母表[十五音],1))</f>
        <v>爻</v>
      </c>
      <c r="E49" s="378" t="str" cm="1">
        <f t="array" aca="1" ref="E49" ca="1" xml:space="preserve"> _xlfn.XLOOKUP(OFFSET(E49,-2,0), 韻母表[韻序], LEFT(韻母表[十五音],1))</f>
        <v>扛</v>
      </c>
      <c r="F49" s="378" t="str" cm="1">
        <f t="array" aca="1" ref="F49" ca="1" xml:space="preserve"> _xlfn.XLOOKUP(OFFSET(F49,-2,0), 韻母表[韻序], LEFT(韻母表[十五音],1))</f>
        <v>牛</v>
      </c>
    </row>
    <row r="50" spans="2:6" ht="23.25">
      <c r="B50" s="350" t="str">
        <f ca="1" xml:space="preserve"> _xlfn.CONCAT(
_xlfn.XLOOKUP(OFFSET(B50,-3,0), 韻母表[韻序], 韻母表[台羅拼音]),
" / ",
_xlfn.XLOOKUP((OFFSET(B50,-3,0)*2), 韻母表[序號], 韻母表[台羅拼音])
)</f>
        <v>iaunn / iaunnh</v>
      </c>
      <c r="C50" s="350" t="str">
        <f ca="1" xml:space="preserve"> _xlfn.CONCAT(
_xlfn.XLOOKUP(OFFSET(C50,-3,0), 韻母表[韻序], 韻母表[台羅拼音]),
" / ",
_xlfn.XLOOKUP((OFFSET(C50,-3,0)*2), 韻母表[序號], 韻母表[台羅拼音])
)</f>
        <v>om / op</v>
      </c>
      <c r="D50" s="350" t="str">
        <f ca="1" xml:space="preserve"> _xlfn.CONCAT(
_xlfn.XLOOKUP(OFFSET(D50,-3,0), 韻母表[韻序], 韻母表[台羅拼音]),
" / ",
_xlfn.XLOOKUP((OFFSET(D50,-3,0)*2), 韻母表[序號], 韻母表[台羅拼音])
)</f>
        <v>aunn / aunnh</v>
      </c>
      <c r="E50" s="350" t="str">
        <f ca="1" xml:space="preserve"> _xlfn.CONCAT(
_xlfn.XLOOKUP(OFFSET(E50,-3,0), 韻母表[韻序], 韻母表[台羅拼音]),
" / ",
_xlfn.XLOOKUP((OFFSET(E50,-3,0)*2), 韻母表[序號], 韻母表[台羅拼音])
)</f>
        <v>onn / onnh</v>
      </c>
      <c r="F50" s="350" t="str">
        <f ca="1" xml:space="preserve"> _xlfn.CONCAT(
_xlfn.XLOOKUP(OFFSET(F50,-3,0), 韻母表[韻序], 韻母表[台羅拼音]),
" / ",
_xlfn.XLOOKUP((OFFSET(F50,-3,0)*2), 韻母表[序號], 韻母表[台羅拼音])
)</f>
        <v>iunn / iunnh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1F280-5FE4-414C-9944-7C43EBF9F0E0}">
  <dimension ref="B2:J15"/>
  <sheetViews>
    <sheetView showGridLines="0" topLeftCell="A10" zoomScale="80" zoomScaleNormal="80" workbookViewId="0">
      <selection activeCell="H12" sqref="H12:H15"/>
    </sheetView>
  </sheetViews>
  <sheetFormatPr defaultRowHeight="16.5"/>
  <cols>
    <col min="1" max="1" width="3.625" customWidth="1"/>
    <col min="2" max="2" width="22.125" customWidth="1"/>
    <col min="3" max="3" width="3.625" customWidth="1"/>
    <col min="4" max="4" width="22.125" customWidth="1"/>
    <col min="5" max="5" width="3.625" customWidth="1"/>
    <col min="6" max="6" width="22.125" customWidth="1"/>
    <col min="7" max="7" width="3.625" customWidth="1"/>
    <col min="8" max="8" width="22.125" customWidth="1"/>
    <col min="9" max="9" width="3.625" customWidth="1"/>
    <col min="10" max="10" width="22.125" customWidth="1"/>
    <col min="11" max="11" width="3.625" customWidth="1"/>
    <col min="12" max="15" width="19" customWidth="1"/>
  </cols>
  <sheetData>
    <row r="2" spans="2:10" s="375" customFormat="1" ht="30">
      <c r="B2" s="374">
        <v>1</v>
      </c>
      <c r="D2" s="374">
        <f>B2+1</f>
        <v>2</v>
      </c>
      <c r="F2" s="374">
        <f>D2+1</f>
        <v>3</v>
      </c>
      <c r="H2" s="374">
        <f>F2+1</f>
        <v>4</v>
      </c>
      <c r="J2" s="374">
        <f t="shared" ref="J2" si="0">H2+1</f>
        <v>5</v>
      </c>
    </row>
    <row r="3" spans="2:10" s="376" customFormat="1" ht="33.75">
      <c r="B3" s="379" t="str">
        <f ca="1" xml:space="preserve"> _xlfn.XLOOKUP(OFFSET(B3,-1,0), 聲母表[音序], 聲母表[方音符號])</f>
        <v>ㄌ</v>
      </c>
      <c r="D3" s="379" t="str">
        <f ca="1" xml:space="preserve"> _xlfn.XLOOKUP(OFFSET(D3,-1,0), 聲母表[音序], 聲母表[方音符號])</f>
        <v>ㄅ</v>
      </c>
      <c r="F3" s="379" t="str">
        <f ca="1" xml:space="preserve"> _xlfn.XLOOKUP(OFFSET(F3,-1,0), 聲母表[音序], 聲母表[方音符號])</f>
        <v>ㄍ</v>
      </c>
      <c r="H3" s="379" t="str">
        <f ca="1" xml:space="preserve"> _xlfn.XLOOKUP(OFFSET(H3,-1,0), 聲母表[音序], 聲母表[方音符號])</f>
        <v>ㄎ</v>
      </c>
      <c r="J3" s="379" t="str">
        <f ca="1" xml:space="preserve"> _xlfn.XLOOKUP(OFFSET(J3,-1,0), 聲母表[音序], 聲母表[方音符號])</f>
        <v>ㄉ</v>
      </c>
    </row>
    <row r="4" spans="2:10" ht="114">
      <c r="B4" s="380" t="str">
        <f ca="1" xml:space="preserve"> _xlfn.XLOOKUP(OFFSET(B4,-2,0), 聲母表[音序], 聲母表[十五音])</f>
        <v>柳</v>
      </c>
      <c r="D4" s="380" t="str">
        <f ca="1" xml:space="preserve"> _xlfn.XLOOKUP(OFFSET(D4,-2,0), 聲母表[音序], 聲母表[十五音])</f>
        <v>邊</v>
      </c>
      <c r="F4" s="380" t="str">
        <f ca="1" xml:space="preserve"> _xlfn.XLOOKUP(OFFSET(F4,-2,0), 聲母表[音序], 聲母表[十五音])</f>
        <v>求</v>
      </c>
      <c r="H4" s="380" t="str">
        <f ca="1" xml:space="preserve"> _xlfn.XLOOKUP(OFFSET(H4,-2,0), 聲母表[音序], 聲母表[十五音])</f>
        <v>去</v>
      </c>
      <c r="J4" s="380" t="str">
        <f ca="1" xml:space="preserve"> _xlfn.XLOOKUP(OFFSET(J4,-2,0), 聲母表[音序], 聲母表[十五音])</f>
        <v>地</v>
      </c>
    </row>
    <row r="5" spans="2:10" s="377" customFormat="1" ht="44.25">
      <c r="B5" s="381" t="str">
        <f ca="1" xml:space="preserve"> _xlfn.XLOOKUP(OFFSET(B5,-3,0), 聲母表[音序], 聲母表[台羅拼音])</f>
        <v>l</v>
      </c>
      <c r="D5" s="381" t="str">
        <f ca="1" xml:space="preserve"> _xlfn.XLOOKUP(OFFSET(D5,-3,0), 聲母表[音序], 聲母表[台羅拼音])</f>
        <v>p</v>
      </c>
      <c r="F5" s="381" t="str">
        <f ca="1" xml:space="preserve"> _xlfn.XLOOKUP(OFFSET(F5,-3,0), 聲母表[音序], 聲母表[台羅拼音])</f>
        <v>k</v>
      </c>
      <c r="H5" s="381" t="str">
        <f ca="1" xml:space="preserve"> _xlfn.XLOOKUP(OFFSET(H5,-3,0), 聲母表[音序], 聲母表[台羅拼音])</f>
        <v>kh</v>
      </c>
      <c r="J5" s="381" t="str">
        <f ca="1" xml:space="preserve"> _xlfn.XLOOKUP(OFFSET(J5,-3,0), 聲母表[音序], 聲母表[台羅拼音])</f>
        <v>t</v>
      </c>
    </row>
    <row r="6" spans="2:10" ht="50.1" customHeight="1"/>
    <row r="7" spans="2:10" ht="30">
      <c r="B7" s="374">
        <f>B2+5</f>
        <v>6</v>
      </c>
      <c r="C7" s="375"/>
      <c r="D7" s="374">
        <f>B7+1</f>
        <v>7</v>
      </c>
      <c r="E7" s="375"/>
      <c r="F7" s="374">
        <f>D7+1</f>
        <v>8</v>
      </c>
      <c r="G7" s="375"/>
      <c r="H7" s="374">
        <f>F7+1</f>
        <v>9</v>
      </c>
      <c r="I7" s="375"/>
      <c r="J7" s="374">
        <f t="shared" ref="J7" si="1">H7+1</f>
        <v>10</v>
      </c>
    </row>
    <row r="8" spans="2:10" ht="33.75">
      <c r="B8" s="379" t="str">
        <f ca="1" xml:space="preserve"> _xlfn.XLOOKUP(OFFSET(B8,-1,0), 聲母表[音序], 聲母表[方音符號])</f>
        <v>ㄆ</v>
      </c>
      <c r="C8" s="376"/>
      <c r="D8" s="379" t="str">
        <f ca="1" xml:space="preserve"> _xlfn.XLOOKUP(OFFSET(D8,-1,0), 聲母表[音序], 聲母表[方音符號])</f>
        <v>ㄊ</v>
      </c>
      <c r="E8" s="376"/>
      <c r="F8" s="379" t="str">
        <f ca="1" xml:space="preserve"> _xlfn.XLOOKUP(OFFSET(F8,-1,0), 聲母表[音序], 聲母表[方音符號])</f>
        <v>ㄗ</v>
      </c>
      <c r="G8" s="376"/>
      <c r="H8" s="379" t="str">
        <f ca="1" xml:space="preserve"> _xlfn.XLOOKUP(OFFSET(H8,-1,0), 聲母表[音序], 聲母表[方音符號])</f>
        <v>ㆡ</v>
      </c>
      <c r="I8" s="376"/>
      <c r="J8" s="379" t="str">
        <f ca="1" xml:space="preserve"> _xlfn.XLOOKUP(OFFSET(J8,-1,0), 聲母表[音序], 聲母表[方音符號])</f>
        <v>ㄙ</v>
      </c>
    </row>
    <row r="9" spans="2:10" ht="114">
      <c r="B9" s="380" t="str">
        <f ca="1" xml:space="preserve"> _xlfn.XLOOKUP(OFFSET(B9,-2,0), 聲母表[音序], 聲母表[十五音])</f>
        <v>頗</v>
      </c>
      <c r="D9" s="380" t="str">
        <f ca="1" xml:space="preserve"> _xlfn.XLOOKUP(OFFSET(D9,-2,0), 聲母表[音序], 聲母表[十五音])</f>
        <v>他</v>
      </c>
      <c r="F9" s="380" t="str">
        <f ca="1" xml:space="preserve"> _xlfn.XLOOKUP(OFFSET(F9,-2,0), 聲母表[音序], 聲母表[十五音])</f>
        <v>曾</v>
      </c>
      <c r="H9" s="380" t="str">
        <f ca="1" xml:space="preserve"> _xlfn.XLOOKUP(OFFSET(H9,-2,0), 聲母表[音序], 聲母表[十五音])</f>
        <v>入</v>
      </c>
      <c r="J9" s="380" t="str">
        <f ca="1" xml:space="preserve"> _xlfn.XLOOKUP(OFFSET(J9,-2,0), 聲母表[音序], 聲母表[十五音])</f>
        <v>時</v>
      </c>
    </row>
    <row r="10" spans="2:10" ht="44.25">
      <c r="B10" s="381" t="str">
        <f ca="1" xml:space="preserve"> _xlfn.XLOOKUP(OFFSET(B10,-3,0), 聲母表[音序], 聲母表[台羅拼音])</f>
        <v>ph</v>
      </c>
      <c r="C10" s="377"/>
      <c r="D10" s="381" t="str">
        <f ca="1" xml:space="preserve"> _xlfn.XLOOKUP(OFFSET(D10,-3,0), 聲母表[音序], 聲母表[台羅拼音])</f>
        <v>th</v>
      </c>
      <c r="E10" s="377"/>
      <c r="F10" s="381" t="str">
        <f ca="1" xml:space="preserve"> _xlfn.XLOOKUP(OFFSET(F10,-3,0), 聲母表[音序], 聲母表[台羅拼音])</f>
        <v>ts</v>
      </c>
      <c r="G10" s="377"/>
      <c r="H10" s="381" t="str">
        <f ca="1" xml:space="preserve"> _xlfn.XLOOKUP(OFFSET(H10,-3,0), 聲母表[音序], 聲母表[台羅拼音])</f>
        <v>j</v>
      </c>
      <c r="I10" s="377"/>
      <c r="J10" s="381" t="str">
        <f ca="1" xml:space="preserve"> _xlfn.XLOOKUP(OFFSET(J10,-3,0), 聲母表[音序], 聲母表[台羅拼音])</f>
        <v>s</v>
      </c>
    </row>
    <row r="11" spans="2:10" ht="50.1" customHeight="1"/>
    <row r="12" spans="2:10" ht="30">
      <c r="B12" s="374">
        <f>B7+5</f>
        <v>11</v>
      </c>
      <c r="C12" s="375"/>
      <c r="D12" s="374">
        <f>B12+1</f>
        <v>12</v>
      </c>
      <c r="E12" s="375"/>
      <c r="F12" s="374">
        <f>D12+1</f>
        <v>13</v>
      </c>
      <c r="G12" s="375"/>
      <c r="H12" s="374">
        <f>F12+1</f>
        <v>14</v>
      </c>
      <c r="I12" s="375"/>
      <c r="J12" s="374">
        <f t="shared" ref="J12" si="2">H12+1</f>
        <v>15</v>
      </c>
    </row>
    <row r="13" spans="2:10" ht="33.75">
      <c r="B13" s="379" t="s">
        <v>327</v>
      </c>
      <c r="C13" s="376"/>
      <c r="D13" s="379" t="str">
        <f ca="1" xml:space="preserve"> _xlfn.XLOOKUP(OFFSET(D13,-1,0), 聲母表[音序], 聲母表[方音符號])</f>
        <v>ㆠ</v>
      </c>
      <c r="E13" s="376"/>
      <c r="F13" s="379" t="str">
        <f ca="1" xml:space="preserve"> _xlfn.XLOOKUP(OFFSET(F13,-1,0), 聲母表[音序], 聲母表[方音符號])</f>
        <v>ㆣ</v>
      </c>
      <c r="G13" s="376"/>
      <c r="H13" s="379" t="str">
        <f ca="1" xml:space="preserve"> _xlfn.XLOOKUP(OFFSET(H13,-1,0), 聲母表[音序], 聲母表[方音符號])</f>
        <v>ㄘ</v>
      </c>
      <c r="I13" s="376"/>
      <c r="J13" s="379" t="str">
        <f ca="1" xml:space="preserve"> _xlfn.XLOOKUP(OFFSET(J13,-1,0), 聲母表[音序], 聲母表[方音符號])</f>
        <v>ㄏ</v>
      </c>
    </row>
    <row r="14" spans="2:10" ht="114">
      <c r="B14" s="380" t="str">
        <f ca="1" xml:space="preserve"> _xlfn.XLOOKUP(OFFSET(B14,-2,0), 聲母表[音序], 聲母表[十五音])</f>
        <v>英</v>
      </c>
      <c r="D14" s="380" t="str">
        <f ca="1" xml:space="preserve"> _xlfn.XLOOKUP(OFFSET(D14,-2,0), 聲母表[音序], 聲母表[十五音])</f>
        <v>門</v>
      </c>
      <c r="F14" s="380" t="str">
        <f ca="1" xml:space="preserve"> _xlfn.XLOOKUP(OFFSET(F14,-2,0), 聲母表[音序], 聲母表[十五音])</f>
        <v>語</v>
      </c>
      <c r="H14" s="380" t="str">
        <f ca="1" xml:space="preserve"> _xlfn.XLOOKUP(OFFSET(H14,-2,0), 聲母表[音序], 聲母表[十五音])</f>
        <v>出</v>
      </c>
      <c r="J14" s="380" t="str">
        <f ca="1" xml:space="preserve"> _xlfn.XLOOKUP(OFFSET(J14,-2,0), 聲母表[音序], 聲母表[十五音])</f>
        <v>喜</v>
      </c>
    </row>
    <row r="15" spans="2:10" ht="44.25">
      <c r="B15" s="381" t="str">
        <f ca="1" xml:space="preserve"> _xlfn.XLOOKUP(OFFSET(B15,-3,0), 聲母表[音序], 聲母表[台羅拼音])</f>
        <v>Ø</v>
      </c>
      <c r="C15" s="377"/>
      <c r="D15" s="381" t="str">
        <f ca="1" xml:space="preserve"> _xlfn.XLOOKUP(OFFSET(D15,-3,0), 聲母表[音序], 聲母表[台羅拼音])</f>
        <v>b</v>
      </c>
      <c r="E15" s="377"/>
      <c r="F15" s="381" t="str">
        <f ca="1" xml:space="preserve"> _xlfn.XLOOKUP(OFFSET(F15,-3,0), 聲母表[音序], 聲母表[台羅拼音])</f>
        <v>g</v>
      </c>
      <c r="G15" s="377"/>
      <c r="H15" s="381" t="str">
        <f ca="1" xml:space="preserve"> _xlfn.XLOOKUP(OFFSET(H15,-3,0), 聲母表[音序], 聲母表[台羅拼音])</f>
        <v>tsh</v>
      </c>
      <c r="I15" s="377"/>
      <c r="J15" s="381" t="str">
        <f ca="1" xml:space="preserve"> _xlfn.XLOOKUP(OFFSET(J15,-3,0), 聲母表[音序], 聲母表[台羅拼音])</f>
        <v>h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9A1FD-8593-406D-9544-03F31F583D97}">
  <dimension ref="B1:X66"/>
  <sheetViews>
    <sheetView showGridLines="0" topLeftCell="I1" workbookViewId="0">
      <selection activeCell="Q2" sqref="Q2:Q5"/>
    </sheetView>
  </sheetViews>
  <sheetFormatPr defaultRowHeight="39"/>
  <cols>
    <col min="2" max="2" width="8.875" style="336"/>
    <col min="3" max="3" width="12" style="334" customWidth="1"/>
    <col min="4" max="7" width="12.625" style="339" customWidth="1"/>
    <col min="8" max="8" width="12" style="339" customWidth="1"/>
    <col min="9" max="11" width="12.625" style="339" customWidth="1"/>
    <col min="13" max="15" width="25.625" customWidth="1"/>
    <col min="17" max="17" width="25.625" customWidth="1"/>
  </cols>
  <sheetData>
    <row r="1" spans="2:24">
      <c r="D1" s="339">
        <f ca="1" xml:space="preserve"> SEARCH("/", M3)</f>
        <v>4</v>
      </c>
      <c r="G1" s="339">
        <f ca="1" xml:space="preserve"> LEN(M3)</f>
        <v>7</v>
      </c>
      <c r="K1" s="389" t="s">
        <v>2563</v>
      </c>
      <c r="M1" s="388" t="str">
        <f xml:space="preserve"> LEFT(K1,1)</f>
        <v>經</v>
      </c>
      <c r="N1" s="388" t="str">
        <f xml:space="preserve"> MID(K1,2,1)</f>
        <v>八</v>
      </c>
      <c r="O1" s="388" t="str">
        <f xml:space="preserve"> RIGHT(K1,1)</f>
        <v>邊</v>
      </c>
      <c r="Q1" s="388" t="str">
        <f xml:space="preserve"> RIGHT(M1,1)</f>
        <v>經</v>
      </c>
    </row>
    <row r="2" spans="2:24" ht="27.75" customHeight="1">
      <c r="D2" s="339" t="s">
        <v>2564</v>
      </c>
      <c r="G2" s="339" t="s">
        <v>2565</v>
      </c>
      <c r="M2" s="373" cm="1">
        <f t="array" ref="M2" xml:space="preserve"> INDEX(韻母表[序號],MATCH(TRUE,EXACT(_xlfn.CONCAT(呼十五音法!M1,"（",IF(OR(N1="四",N1="八"),"促","舒"),"）"),韻母表[十五音]),0))/2</f>
        <v>9</v>
      </c>
      <c r="N2" s="390">
        <f xml:space="preserve"> SEARCH(N1,N4)</f>
        <v>8</v>
      </c>
      <c r="O2" s="373" cm="1">
        <f t="array" ref="O2" xml:space="preserve"> INDEX(聲母表[序號], MATCH(TRUE, EXACT(呼十五音法!O1, 聲母表[新十五音]),0))</f>
        <v>2</v>
      </c>
      <c r="Q2" s="373" t="str">
        <f xml:space="preserve"> _xlfn.CONCAT(M1,N1)</f>
        <v>經八</v>
      </c>
    </row>
    <row r="3" spans="2:24" s="386" customFormat="1" ht="31.5" customHeight="1">
      <c r="B3" s="384"/>
      <c r="C3" s="385"/>
      <c r="D3" s="339"/>
      <c r="F3" s="339"/>
      <c r="G3" s="339"/>
      <c r="H3" s="339"/>
      <c r="I3" s="339"/>
      <c r="J3" s="339"/>
      <c r="K3" s="339"/>
      <c r="M3" s="382" t="str">
        <f ca="1" xml:space="preserve"> _xlfn.CONCAT(
_xlfn.XLOOKUP(OFFSET(M3,-1,0), 韻母表[韻序], 韻母表[方音符號]),
" / ",
_xlfn.XLOOKUP((OFFSET(M3,-1,0)*2), 韻母表[序號], 韻母表[方音符號])
)</f>
        <v>ㄧㄥ / ㄧㆻ</v>
      </c>
      <c r="O3" s="382" t="str">
        <f ca="1" xml:space="preserve"> _xlfn.XLOOKUP(OFFSET(O3,-1,0), 聲母表[音序], 聲母表[方音符號])</f>
        <v>ㄅ</v>
      </c>
      <c r="Q3" s="382"/>
    </row>
    <row r="4" spans="2:24" ht="88.5" customHeight="1">
      <c r="D4" s="391" t="str">
        <f ca="1" xml:space="preserve"> LEFT(M3, G1-D1-2)</f>
        <v>ㄧ</v>
      </c>
      <c r="E4" s="392"/>
      <c r="F4" s="387"/>
      <c r="G4" s="391" t="str">
        <f ca="1" xml:space="preserve"> RIGHT(M3,G1-D1)</f>
        <v xml:space="preserve"> ㄧㆻ</v>
      </c>
      <c r="H4" s="392"/>
      <c r="M4" s="380" t="str" cm="1">
        <f t="array" aca="1" ref="M4" ca="1" xml:space="preserve"> _xlfn.XLOOKUP(OFFSET(M4,-2,0), 韻母表[韻序], LEFT(韻母表[十五音],1))</f>
        <v>經</v>
      </c>
      <c r="N4" s="390" t="s">
        <v>2568</v>
      </c>
      <c r="O4" s="380" t="str">
        <f ca="1" xml:space="preserve"> _xlfn.XLOOKUP(OFFSET(O4,-2,0), 聲母表[音序], 聲母表[十五音])</f>
        <v>邊</v>
      </c>
      <c r="Q4" s="378" t="str">
        <f ca="1" xml:space="preserve"> _xlfn.CONCAT(IF( OR(N2=4,N2=8), G4, D4), INDEX(方音符號聲調表二式[調符],N2))</f>
        <v xml:space="preserve"> ㄧㆻ˙</v>
      </c>
      <c r="X4" t="s">
        <v>2570</v>
      </c>
    </row>
    <row r="5" spans="2:24" s="386" customFormat="1" ht="31.5" customHeight="1">
      <c r="B5" s="384"/>
      <c r="C5" s="385"/>
      <c r="D5" s="339"/>
      <c r="E5" s="339"/>
      <c r="F5" s="339"/>
      <c r="G5" s="339"/>
      <c r="H5" s="339"/>
      <c r="I5" s="339"/>
      <c r="J5" s="339"/>
      <c r="K5" s="339"/>
      <c r="M5" s="383" t="str">
        <f ca="1" xml:space="preserve"> _xlfn.CONCAT(
_xlfn.XLOOKUP(OFFSET(M5,-3,0), 韻母表[韻序], 韻母表[台羅拼音]),
" / ",
_xlfn.XLOOKUP((OFFSET(M5,-3,0)*2), 韻母表[序號], 韻母表[台羅拼音])
)</f>
        <v>ing / ik</v>
      </c>
      <c r="O5" s="383" t="str">
        <f ca="1" xml:space="preserve"> _xlfn.XLOOKUP(OFFSET(O5,-3,0), 聲母表[音序], 聲母表[台羅拼音])</f>
        <v>p</v>
      </c>
      <c r="Q5" s="383"/>
    </row>
    <row r="7" spans="2:24" ht="11.25" customHeight="1"/>
    <row r="8" spans="2:24">
      <c r="C8" s="493" t="s">
        <v>2558</v>
      </c>
      <c r="D8" s="493"/>
      <c r="E8" s="493"/>
      <c r="F8" s="493"/>
      <c r="G8" s="493"/>
      <c r="H8" s="493"/>
      <c r="I8" s="493"/>
      <c r="J8" s="493"/>
      <c r="K8" s="494"/>
    </row>
    <row r="9" spans="2:24" ht="8.1" customHeight="1"/>
    <row r="10" spans="2:24" ht="25.5">
      <c r="C10" s="488" t="s">
        <v>2496</v>
      </c>
      <c r="D10" s="345" t="s">
        <v>2497</v>
      </c>
      <c r="E10" s="345" t="s">
        <v>2498</v>
      </c>
      <c r="F10" s="345" t="s">
        <v>2499</v>
      </c>
      <c r="G10" s="345" t="s">
        <v>2500</v>
      </c>
      <c r="H10" s="345" t="s">
        <v>2501</v>
      </c>
      <c r="I10" s="345" t="s">
        <v>2502</v>
      </c>
      <c r="J10" s="345" t="s">
        <v>2503</v>
      </c>
      <c r="K10" s="345" t="s">
        <v>2504</v>
      </c>
    </row>
    <row r="11" spans="2:24">
      <c r="B11" s="332"/>
      <c r="C11" s="489"/>
      <c r="D11" s="351">
        <v>1</v>
      </c>
      <c r="E11" s="351">
        <v>2</v>
      </c>
      <c r="F11" s="351">
        <v>3</v>
      </c>
      <c r="G11" s="351">
        <v>4</v>
      </c>
      <c r="H11" s="351">
        <v>5</v>
      </c>
      <c r="I11" s="351">
        <v>6</v>
      </c>
      <c r="J11" s="351">
        <v>7</v>
      </c>
      <c r="K11" s="351">
        <v>8</v>
      </c>
    </row>
    <row r="12" spans="2:24" ht="20.25">
      <c r="C12" s="490">
        <v>29</v>
      </c>
      <c r="D12" s="353" t="s">
        <v>1188</v>
      </c>
      <c r="E12" s="370" t="s">
        <v>2537</v>
      </c>
      <c r="F12" s="353" t="s">
        <v>2538</v>
      </c>
      <c r="G12" s="353" t="s">
        <v>1190</v>
      </c>
      <c r="H12" s="353" t="s">
        <v>2539</v>
      </c>
      <c r="I12" s="353" t="s">
        <v>2537</v>
      </c>
      <c r="J12" s="353" t="s">
        <v>2540</v>
      </c>
      <c r="K12" s="353" t="s">
        <v>2541</v>
      </c>
    </row>
    <row r="13" spans="2:24">
      <c r="C13" s="491">
        <v>4.5999999999999996</v>
      </c>
      <c r="D13" s="349" t="s">
        <v>2271</v>
      </c>
      <c r="E13" s="371" t="s">
        <v>1794</v>
      </c>
      <c r="F13" s="349" t="s">
        <v>2272</v>
      </c>
      <c r="G13" s="352" t="s">
        <v>2273</v>
      </c>
      <c r="H13" s="349" t="s">
        <v>2274</v>
      </c>
      <c r="I13" s="349" t="s">
        <v>2275</v>
      </c>
      <c r="J13" s="349" t="s">
        <v>2276</v>
      </c>
      <c r="K13" s="352" t="s">
        <v>1909</v>
      </c>
    </row>
    <row r="14" spans="2:24" ht="23.25">
      <c r="C14" s="492"/>
      <c r="D14" s="350" t="s">
        <v>2542</v>
      </c>
      <c r="E14" s="372" t="s">
        <v>2543</v>
      </c>
      <c r="F14" s="350" t="s">
        <v>2544</v>
      </c>
      <c r="G14" s="350" t="s">
        <v>2545</v>
      </c>
      <c r="H14" s="350" t="s">
        <v>2546</v>
      </c>
      <c r="I14" s="350" t="s">
        <v>2547</v>
      </c>
      <c r="J14" s="350" t="s">
        <v>2548</v>
      </c>
      <c r="K14" s="350" t="s">
        <v>2549</v>
      </c>
    </row>
    <row r="15" spans="2:24" ht="16.5" customHeight="1"/>
    <row r="16" spans="2:24" ht="24" customHeight="1"/>
    <row r="17" spans="2:11">
      <c r="C17" s="493" t="s">
        <v>2559</v>
      </c>
      <c r="D17" s="493"/>
      <c r="E17" s="493"/>
      <c r="F17" s="493"/>
      <c r="G17" s="493"/>
      <c r="H17" s="493"/>
      <c r="I17" s="493"/>
      <c r="J17" s="493"/>
      <c r="K17" s="494"/>
    </row>
    <row r="18" spans="2:11" ht="8.1" customHeight="1"/>
    <row r="19" spans="2:11" ht="16.5" customHeight="1">
      <c r="C19" s="495" t="s">
        <v>2562</v>
      </c>
      <c r="D19" s="497" t="s">
        <v>2560</v>
      </c>
      <c r="E19" s="497" t="s">
        <v>2557</v>
      </c>
      <c r="F19" s="497" t="s">
        <v>2561</v>
      </c>
      <c r="G19"/>
      <c r="H19" s="495" t="s">
        <v>2562</v>
      </c>
      <c r="I19" s="497" t="s">
        <v>2560</v>
      </c>
      <c r="J19" s="497" t="s">
        <v>2557</v>
      </c>
      <c r="K19" s="497" t="s">
        <v>2561</v>
      </c>
    </row>
    <row r="20" spans="2:11" ht="16.5" customHeight="1">
      <c r="B20" s="332"/>
      <c r="C20" s="496"/>
      <c r="D20" s="498"/>
      <c r="E20" s="498"/>
      <c r="F20" s="498"/>
      <c r="G20"/>
      <c r="H20" s="496"/>
      <c r="I20" s="498"/>
      <c r="J20" s="498"/>
      <c r="K20" s="498"/>
    </row>
    <row r="21" spans="2:11" ht="20.25">
      <c r="C21" s="490">
        <v>1</v>
      </c>
      <c r="D21" s="353" t="str">
        <f xml:space="preserve">
_xlfn.XLOOKUP($C21, 聲母表[音序], 聲母表[方音符號])</f>
        <v>ㄌ</v>
      </c>
      <c r="E21" s="370" t="s">
        <v>2537</v>
      </c>
      <c r="F21" s="353" t="str">
        <f xml:space="preserve"> _xlfn.CONCAT(D21,E21)</f>
        <v>ㄌㄧˋ</v>
      </c>
      <c r="G21"/>
      <c r="H21" s="490">
        <v>9</v>
      </c>
      <c r="I21" s="353" t="str">
        <f xml:space="preserve">
_xlfn.XLOOKUP($H21, 聲母表[音序], 聲母表[方音符號])</f>
        <v>ㆡ</v>
      </c>
      <c r="J21" s="370" t="s">
        <v>2537</v>
      </c>
      <c r="K21" s="353" t="str">
        <f xml:space="preserve"> _xlfn.CONCAT(I21,J21)</f>
        <v>ㆡㄧˋ</v>
      </c>
    </row>
    <row r="22" spans="2:11">
      <c r="C22" s="491">
        <v>4.5999999999999996</v>
      </c>
      <c r="D22" s="349" t="str">
        <f xml:space="preserve">
_xlfn.XLOOKUP($C21, 聲母表[音序], 聲母表[十五音])</f>
        <v>柳</v>
      </c>
      <c r="E22" s="371" t="s">
        <v>1794</v>
      </c>
      <c r="F22" s="349" t="s">
        <v>25</v>
      </c>
      <c r="G22"/>
      <c r="H22" s="491">
        <v>4.5999999999999996</v>
      </c>
      <c r="I22" s="349" t="str">
        <f xml:space="preserve">
_xlfn.XLOOKUP($H21, 聲母表[音序], 聲母表[十五音])</f>
        <v>入</v>
      </c>
      <c r="J22" s="371" t="s">
        <v>1794</v>
      </c>
      <c r="K22" s="349" t="s">
        <v>2552</v>
      </c>
    </row>
    <row r="23" spans="2:11" ht="23.25">
      <c r="C23" s="492"/>
      <c r="D23" s="350" t="str">
        <f xml:space="preserve">
_xlfn.XLOOKUP($C21, 聲母表[音序], 聲母表[台羅拼音])</f>
        <v>l</v>
      </c>
      <c r="E23" s="372" t="s">
        <v>2543</v>
      </c>
      <c r="F23" s="350" t="str">
        <f xml:space="preserve"> _xlfn.CONCAT(D23,E23)</f>
        <v>li2</v>
      </c>
      <c r="G23"/>
      <c r="H23" s="492"/>
      <c r="I23" s="350" t="str">
        <f xml:space="preserve">
_xlfn.XLOOKUP($H21, 聲母表[音序], 聲母表[台羅拼音])</f>
        <v>j</v>
      </c>
      <c r="J23" s="372" t="s">
        <v>2543</v>
      </c>
      <c r="K23" s="350" t="str">
        <f xml:space="preserve"> _xlfn.CONCAT(I23,J23)</f>
        <v>ji2</v>
      </c>
    </row>
    <row r="24" spans="2:11" ht="20.25">
      <c r="C24" s="490">
        <f>C21+1</f>
        <v>2</v>
      </c>
      <c r="D24" s="353" t="str">
        <f xml:space="preserve">
_xlfn.XLOOKUP($C24, 聲母表[音序], 聲母表[方音符號])</f>
        <v>ㄅ</v>
      </c>
      <c r="E24" s="370" t="s">
        <v>2537</v>
      </c>
      <c r="F24" s="353" t="str">
        <f xml:space="preserve"> _xlfn.CONCAT(D24,E24)</f>
        <v>ㄅㄧˋ</v>
      </c>
      <c r="G24"/>
      <c r="H24" s="490">
        <f>H21+1</f>
        <v>10</v>
      </c>
      <c r="I24" s="353" t="str">
        <f xml:space="preserve">
_xlfn.XLOOKUP($H24, 聲母表[音序], 聲母表[方音符號])</f>
        <v>ㄙ</v>
      </c>
      <c r="J24" s="370" t="s">
        <v>2537</v>
      </c>
      <c r="K24" s="353" t="str">
        <f xml:space="preserve"> _xlfn.CONCAT(I24,J24)</f>
        <v>ㄙㄧˋ</v>
      </c>
    </row>
    <row r="25" spans="2:11">
      <c r="C25" s="491">
        <v>4.5999999999999996</v>
      </c>
      <c r="D25" s="349" t="str">
        <f xml:space="preserve">
_xlfn.XLOOKUP($C24, 聲母表[音序], 聲母表[十五音])</f>
        <v>邊</v>
      </c>
      <c r="E25" s="371" t="s">
        <v>1794</v>
      </c>
      <c r="F25" s="349" t="s">
        <v>19</v>
      </c>
      <c r="G25"/>
      <c r="H25" s="491">
        <v>4.5999999999999996</v>
      </c>
      <c r="I25" s="349" t="str">
        <f xml:space="preserve">
_xlfn.XLOOKUP($H24, 聲母表[音序], 聲母表[十五音])</f>
        <v>時</v>
      </c>
      <c r="J25" s="371" t="s">
        <v>1794</v>
      </c>
      <c r="K25" s="349" t="s">
        <v>2553</v>
      </c>
    </row>
    <row r="26" spans="2:11" ht="23.25">
      <c r="C26" s="492"/>
      <c r="D26" s="350" t="str">
        <f xml:space="preserve">
_xlfn.XLOOKUP($C24, 聲母表[音序], 聲母表[台羅拼音])</f>
        <v>p</v>
      </c>
      <c r="E26" s="372" t="s">
        <v>2543</v>
      </c>
      <c r="F26" s="350" t="str">
        <f xml:space="preserve"> _xlfn.CONCAT(D26,E26)</f>
        <v>pi2</v>
      </c>
      <c r="G26"/>
      <c r="H26" s="492"/>
      <c r="I26" s="350" t="str">
        <f xml:space="preserve">
_xlfn.XLOOKUP($H24, 聲母表[音序], 聲母表[台羅拼音])</f>
        <v>s</v>
      </c>
      <c r="J26" s="372" t="s">
        <v>2543</v>
      </c>
      <c r="K26" s="350" t="str">
        <f xml:space="preserve"> _xlfn.CONCAT(I26,J26)</f>
        <v>si2</v>
      </c>
    </row>
    <row r="27" spans="2:11" ht="20.25">
      <c r="C27" s="490">
        <f>C24+1</f>
        <v>3</v>
      </c>
      <c r="D27" s="353" t="str">
        <f xml:space="preserve">
_xlfn.XLOOKUP($C27, 聲母表[音序], 聲母表[方音符號])</f>
        <v>ㄍ</v>
      </c>
      <c r="E27" s="370" t="s">
        <v>2537</v>
      </c>
      <c r="F27" s="353" t="str">
        <f xml:space="preserve"> _xlfn.CONCAT(D27,E27)</f>
        <v>ㄍㄧˋ</v>
      </c>
      <c r="G27"/>
      <c r="H27" s="490">
        <f>H24+1</f>
        <v>11</v>
      </c>
      <c r="I27" s="353" t="str">
        <f xml:space="preserve">
_xlfn.XLOOKUP($H27, 聲母表[音序], 聲母表[方音符號])</f>
        <v/>
      </c>
      <c r="J27" s="370" t="s">
        <v>2537</v>
      </c>
      <c r="K27" s="353" t="str">
        <f xml:space="preserve"> _xlfn.CONCAT(I27,J27)</f>
        <v>ㄧˋ</v>
      </c>
    </row>
    <row r="28" spans="2:11">
      <c r="C28" s="491">
        <v>4.5999999999999996</v>
      </c>
      <c r="D28" s="349" t="str">
        <f xml:space="preserve">
_xlfn.XLOOKUP($C27, 聲母表[音序], 聲母表[十五音])</f>
        <v>求</v>
      </c>
      <c r="E28" s="371" t="s">
        <v>1794</v>
      </c>
      <c r="F28" s="349" t="s">
        <v>27</v>
      </c>
      <c r="G28"/>
      <c r="H28" s="491">
        <v>4.5999999999999996</v>
      </c>
      <c r="I28" s="349" t="str">
        <f xml:space="preserve">
_xlfn.XLOOKUP($H27, 聲母表[音序], 聲母表[十五音])</f>
        <v>英</v>
      </c>
      <c r="J28" s="371" t="s">
        <v>1794</v>
      </c>
      <c r="K28" s="349" t="s">
        <v>2554</v>
      </c>
    </row>
    <row r="29" spans="2:11" ht="23.25">
      <c r="C29" s="492"/>
      <c r="D29" s="350" t="str">
        <f xml:space="preserve">
_xlfn.XLOOKUP($C27, 聲母表[音序], 聲母表[台羅拼音])</f>
        <v>k</v>
      </c>
      <c r="E29" s="372" t="s">
        <v>2543</v>
      </c>
      <c r="F29" s="350" t="str">
        <f xml:space="preserve"> _xlfn.CONCAT(D29,E29)</f>
        <v>ki2</v>
      </c>
      <c r="G29"/>
      <c r="H29" s="492"/>
      <c r="I29" s="350" t="str">
        <f xml:space="preserve">
_xlfn.XLOOKUP($H27, 聲母表[音序], 聲母表[台羅拼音])</f>
        <v>Ø</v>
      </c>
      <c r="J29" s="372" t="s">
        <v>2543</v>
      </c>
      <c r="K29" s="350" t="str">
        <f xml:space="preserve"> _xlfn.CONCAT(I29,J29)</f>
        <v>Øi2</v>
      </c>
    </row>
    <row r="30" spans="2:11" ht="20.25">
      <c r="C30" s="490">
        <f>C27+1</f>
        <v>4</v>
      </c>
      <c r="D30" s="353" t="str">
        <f xml:space="preserve">
_xlfn.XLOOKUP($C30, 聲母表[音序], 聲母表[方音符號])</f>
        <v>ㄎ</v>
      </c>
      <c r="E30" s="370" t="s">
        <v>2537</v>
      </c>
      <c r="F30" s="353" t="str">
        <f xml:space="preserve"> _xlfn.CONCAT(D30,E30)</f>
        <v>ㄎㄧˋ</v>
      </c>
      <c r="G30"/>
      <c r="H30" s="490">
        <f>H27+1</f>
        <v>12</v>
      </c>
      <c r="I30" s="353" t="str">
        <f xml:space="preserve">
_xlfn.XLOOKUP($H30, 聲母表[音序], 聲母表[方音符號])</f>
        <v>ㆠ</v>
      </c>
      <c r="J30" s="370" t="s">
        <v>2537</v>
      </c>
      <c r="K30" s="353" t="str">
        <f xml:space="preserve"> _xlfn.CONCAT(I30,J30)</f>
        <v>ㆠㄧˋ</v>
      </c>
    </row>
    <row r="31" spans="2:11">
      <c r="C31" s="491">
        <v>4.5999999999999996</v>
      </c>
      <c r="D31" s="349" t="str">
        <f xml:space="preserve">
_xlfn.XLOOKUP($C30, 聲母表[音序], 聲母表[十五音])</f>
        <v>去</v>
      </c>
      <c r="E31" s="371" t="s">
        <v>1794</v>
      </c>
      <c r="F31" s="349" t="s">
        <v>28</v>
      </c>
      <c r="G31"/>
      <c r="H31" s="491">
        <v>4.5999999999999996</v>
      </c>
      <c r="I31" s="349" t="str">
        <f xml:space="preserve">
_xlfn.XLOOKUP($H30, 聲母表[音序], 聲母表[十五音])</f>
        <v>門</v>
      </c>
      <c r="J31" s="371" t="s">
        <v>1794</v>
      </c>
      <c r="K31" s="349" t="s">
        <v>2555</v>
      </c>
    </row>
    <row r="32" spans="2:11" ht="23.25">
      <c r="C32" s="492"/>
      <c r="D32" s="350" t="str">
        <f xml:space="preserve">
_xlfn.XLOOKUP($C30, 聲母表[音序], 聲母表[台羅拼音])</f>
        <v>kh</v>
      </c>
      <c r="E32" s="372" t="s">
        <v>2543</v>
      </c>
      <c r="F32" s="350" t="str">
        <f xml:space="preserve"> _xlfn.CONCAT(D32,E32)</f>
        <v>khi2</v>
      </c>
      <c r="G32"/>
      <c r="H32" s="492"/>
      <c r="I32" s="350" t="str">
        <f xml:space="preserve">
_xlfn.XLOOKUP($H30, 聲母表[音序], 聲母表[台羅拼音])</f>
        <v>b</v>
      </c>
      <c r="J32" s="372" t="s">
        <v>2543</v>
      </c>
      <c r="K32" s="350" t="str">
        <f xml:space="preserve"> _xlfn.CONCAT(I32,J32)</f>
        <v>bi2</v>
      </c>
    </row>
    <row r="33" spans="2:11" ht="20.25">
      <c r="C33" s="490">
        <f>C30+1</f>
        <v>5</v>
      </c>
      <c r="D33" s="353" t="str">
        <f xml:space="preserve">
_xlfn.XLOOKUP($C33, 聲母表[音序], 聲母表[方音符號])</f>
        <v>ㄉ</v>
      </c>
      <c r="E33" s="370" t="s">
        <v>2537</v>
      </c>
      <c r="F33" s="353" t="str">
        <f xml:space="preserve"> _xlfn.CONCAT(D33,E33)</f>
        <v>ㄉㄧˋ</v>
      </c>
      <c r="G33"/>
      <c r="H33" s="490">
        <f>H30+1</f>
        <v>13</v>
      </c>
      <c r="I33" s="353" t="str">
        <f xml:space="preserve">
_xlfn.XLOOKUP($H33, 聲母表[音序], 聲母表[方音符號])</f>
        <v>ㆣ</v>
      </c>
      <c r="J33" s="370" t="s">
        <v>2537</v>
      </c>
      <c r="K33" s="353" t="str">
        <f xml:space="preserve"> _xlfn.CONCAT(I33,J33)</f>
        <v>ㆣㄧˋ</v>
      </c>
    </row>
    <row r="34" spans="2:11">
      <c r="C34" s="491">
        <v>4.5999999999999996</v>
      </c>
      <c r="D34" s="349" t="str">
        <f xml:space="preserve">
_xlfn.XLOOKUP($C33, 聲母表[音序], 聲母表[十五音])</f>
        <v>地</v>
      </c>
      <c r="E34" s="371" t="s">
        <v>1794</v>
      </c>
      <c r="F34" s="349" t="s">
        <v>23</v>
      </c>
      <c r="G34"/>
      <c r="H34" s="491">
        <v>4.5999999999999996</v>
      </c>
      <c r="I34" s="349" t="str">
        <f xml:space="preserve">
_xlfn.XLOOKUP($H33, 聲母表[音序], 聲母表[十五音])</f>
        <v>語</v>
      </c>
      <c r="J34" s="371" t="s">
        <v>1794</v>
      </c>
      <c r="K34" s="349" t="s">
        <v>29</v>
      </c>
    </row>
    <row r="35" spans="2:11" ht="23.25">
      <c r="C35" s="492"/>
      <c r="D35" s="350" t="str">
        <f xml:space="preserve">
_xlfn.XLOOKUP($C33, 聲母表[音序], 聲母表[台羅拼音])</f>
        <v>t</v>
      </c>
      <c r="E35" s="372" t="s">
        <v>2543</v>
      </c>
      <c r="F35" s="350" t="str">
        <f xml:space="preserve"> _xlfn.CONCAT(D35,E35)</f>
        <v>ti2</v>
      </c>
      <c r="G35"/>
      <c r="H35" s="492"/>
      <c r="I35" s="350" t="str">
        <f xml:space="preserve">
_xlfn.XLOOKUP($H33, 聲母表[音序], 聲母表[台羅拼音])</f>
        <v>g</v>
      </c>
      <c r="J35" s="372" t="s">
        <v>2543</v>
      </c>
      <c r="K35" s="350" t="str">
        <f xml:space="preserve"> _xlfn.CONCAT(I35,J35)</f>
        <v>gi2</v>
      </c>
    </row>
    <row r="36" spans="2:11" ht="20.25">
      <c r="C36" s="490">
        <f>C33+1</f>
        <v>6</v>
      </c>
      <c r="D36" s="353" t="str">
        <f xml:space="preserve">
_xlfn.XLOOKUP($C36, 聲母表[音序], 聲母表[方音符號])</f>
        <v>ㄆ</v>
      </c>
      <c r="E36" s="370" t="s">
        <v>2537</v>
      </c>
      <c r="F36" s="353" t="str">
        <f xml:space="preserve"> _xlfn.CONCAT(D36,E36)</f>
        <v>ㄆㄧˋ</v>
      </c>
      <c r="G36"/>
      <c r="H36" s="490">
        <f>H33+1</f>
        <v>14</v>
      </c>
      <c r="I36" s="353" t="str">
        <f xml:space="preserve">
_xlfn.XLOOKUP($H36, 聲母表[音序], 聲母表[方音符號])</f>
        <v>ㄘ</v>
      </c>
      <c r="J36" s="370" t="s">
        <v>2537</v>
      </c>
      <c r="K36" s="353" t="str">
        <f xml:space="preserve"> _xlfn.CONCAT(I36,J36)</f>
        <v>ㄘㄧˋ</v>
      </c>
    </row>
    <row r="37" spans="2:11">
      <c r="C37" s="491">
        <v>4.5999999999999996</v>
      </c>
      <c r="D37" s="349" t="str">
        <f xml:space="preserve">
_xlfn.XLOOKUP($C36, 聲母表[音序], 聲母表[十五音])</f>
        <v>頗</v>
      </c>
      <c r="E37" s="371" t="s">
        <v>1794</v>
      </c>
      <c r="F37" s="349" t="s">
        <v>2550</v>
      </c>
      <c r="G37"/>
      <c r="H37" s="491">
        <v>4.5999999999999996</v>
      </c>
      <c r="I37" s="349" t="str">
        <f xml:space="preserve">
_xlfn.XLOOKUP($H36, 聲母表[音序], 聲母表[十五音])</f>
        <v>出</v>
      </c>
      <c r="J37" s="371" t="s">
        <v>1794</v>
      </c>
      <c r="K37" s="349" t="s">
        <v>34</v>
      </c>
    </row>
    <row r="38" spans="2:11" ht="23.25">
      <c r="C38" s="492"/>
      <c r="D38" s="350" t="str">
        <f xml:space="preserve">
_xlfn.XLOOKUP($C36, 聲母表[音序], 聲母表[台羅拼音])</f>
        <v>ph</v>
      </c>
      <c r="E38" s="372" t="s">
        <v>2543</v>
      </c>
      <c r="F38" s="350" t="str">
        <f xml:space="preserve"> _xlfn.CONCAT(D38,E38)</f>
        <v>phi2</v>
      </c>
      <c r="G38"/>
      <c r="H38" s="492"/>
      <c r="I38" s="350" t="str">
        <f xml:space="preserve">
_xlfn.XLOOKUP($H36, 聲母表[音序], 聲母表[台羅拼音])</f>
        <v>tsh</v>
      </c>
      <c r="J38" s="372" t="s">
        <v>2543</v>
      </c>
      <c r="K38" s="350" t="str">
        <f xml:space="preserve"> _xlfn.CONCAT(I38,J38)</f>
        <v>tshi2</v>
      </c>
    </row>
    <row r="39" spans="2:11" ht="20.25">
      <c r="C39" s="490">
        <f>C36+1</f>
        <v>7</v>
      </c>
      <c r="D39" s="353" t="str">
        <f xml:space="preserve">
_xlfn.XLOOKUP($C39, 聲母表[音序], 聲母表[方音符號])</f>
        <v>ㄊ</v>
      </c>
      <c r="E39" s="370" t="s">
        <v>2537</v>
      </c>
      <c r="F39" s="353" t="str">
        <f xml:space="preserve"> _xlfn.CONCAT(D39,E39)</f>
        <v>ㄊㄧˋ</v>
      </c>
      <c r="G39"/>
      <c r="H39" s="490">
        <f>H36+1</f>
        <v>15</v>
      </c>
      <c r="I39" s="353" t="str">
        <f xml:space="preserve">
_xlfn.XLOOKUP($H39, 聲母表[音序], 聲母表[方音符號])</f>
        <v>ㄏ</v>
      </c>
      <c r="J39" s="370" t="s">
        <v>2537</v>
      </c>
      <c r="K39" s="353" t="str">
        <f xml:space="preserve"> _xlfn.CONCAT(I39,J39)</f>
        <v>ㄏㄧˋ</v>
      </c>
    </row>
    <row r="40" spans="2:11">
      <c r="C40" s="491">
        <v>4.5999999999999996</v>
      </c>
      <c r="D40" s="349" t="str">
        <f xml:space="preserve">
_xlfn.XLOOKUP($C39, 聲母表[音序], 聲母表[十五音])</f>
        <v>他</v>
      </c>
      <c r="E40" s="371" t="s">
        <v>1794</v>
      </c>
      <c r="F40" s="349" t="s">
        <v>2551</v>
      </c>
      <c r="G40"/>
      <c r="H40" s="491">
        <v>4.5999999999999996</v>
      </c>
      <c r="I40" s="349" t="str">
        <f xml:space="preserve">
_xlfn.XLOOKUP($H39, 聲母表[音序], 聲母表[十五音])</f>
        <v>喜</v>
      </c>
      <c r="J40" s="371" t="s">
        <v>1794</v>
      </c>
      <c r="K40" s="349" t="s">
        <v>2556</v>
      </c>
    </row>
    <row r="41" spans="2:11" ht="23.25">
      <c r="C41" s="492"/>
      <c r="D41" s="350" t="str">
        <f xml:space="preserve">
_xlfn.XLOOKUP($C39, 聲母表[音序], 聲母表[台羅拼音])</f>
        <v>th</v>
      </c>
      <c r="E41" s="372" t="s">
        <v>2543</v>
      </c>
      <c r="F41" s="350" t="str">
        <f xml:space="preserve"> _xlfn.CONCAT(D41,E41)</f>
        <v>thi2</v>
      </c>
      <c r="G41"/>
      <c r="H41" s="492"/>
      <c r="I41" s="350" t="str">
        <f xml:space="preserve">
_xlfn.XLOOKUP($H39, 聲母表[音序], 聲母表[台羅拼音])</f>
        <v>h</v>
      </c>
      <c r="J41" s="372" t="s">
        <v>2543</v>
      </c>
      <c r="K41" s="350" t="str">
        <f xml:space="preserve"> _xlfn.CONCAT(I41,J41)</f>
        <v>hi2</v>
      </c>
    </row>
    <row r="42" spans="2:11" ht="20.25">
      <c r="C42" s="490">
        <f>C39+1</f>
        <v>8</v>
      </c>
      <c r="D42" s="353" t="str">
        <f xml:space="preserve">
_xlfn.XLOOKUP($C42, 聲母表[音序], 聲母表[方音符號])</f>
        <v>ㄗ</v>
      </c>
      <c r="E42" s="370" t="s">
        <v>2537</v>
      </c>
      <c r="F42" s="353" t="str">
        <f xml:space="preserve"> _xlfn.CONCAT(D42,E42)</f>
        <v>ㄗㄧˋ</v>
      </c>
      <c r="G42"/>
      <c r="H42"/>
      <c r="I42"/>
      <c r="J42"/>
      <c r="K42"/>
    </row>
    <row r="43" spans="2:11">
      <c r="C43" s="491">
        <v>4.5999999999999996</v>
      </c>
      <c r="D43" s="349" t="str">
        <f xml:space="preserve">
_xlfn.XLOOKUP($C42, 聲母表[音序], 聲母表[十五音])</f>
        <v>曾</v>
      </c>
      <c r="E43" s="371" t="s">
        <v>1794</v>
      </c>
      <c r="F43" s="349" t="s">
        <v>33</v>
      </c>
      <c r="G43"/>
      <c r="H43"/>
      <c r="I43"/>
      <c r="J43"/>
      <c r="K43"/>
    </row>
    <row r="44" spans="2:11" ht="23.25">
      <c r="C44" s="492"/>
      <c r="D44" s="350" t="str">
        <f xml:space="preserve">
_xlfn.XLOOKUP($C42, 聲母表[音序], 聲母表[台羅拼音])</f>
        <v>ts</v>
      </c>
      <c r="E44" s="372" t="s">
        <v>2543</v>
      </c>
      <c r="F44" s="350" t="str">
        <f xml:space="preserve"> _xlfn.CONCAT(D44,E44)</f>
        <v>tsi2</v>
      </c>
      <c r="G44"/>
      <c r="H44"/>
      <c r="I44"/>
      <c r="J44"/>
      <c r="K44"/>
    </row>
    <row r="45" spans="2:11" ht="16.5">
      <c r="B45"/>
      <c r="C45"/>
      <c r="D45"/>
      <c r="E45"/>
      <c r="F45"/>
      <c r="G45"/>
      <c r="H45"/>
      <c r="I45"/>
      <c r="J45"/>
      <c r="K45"/>
    </row>
    <row r="46" spans="2:11" ht="20.25">
      <c r="C46" s="490">
        <f>C42+1</f>
        <v>9</v>
      </c>
      <c r="D46" s="353" t="str">
        <f xml:space="preserve">
_xlfn.XLOOKUP($C46, 聲母表[音序], 聲母表[方音符號])</f>
        <v>ㆡ</v>
      </c>
      <c r="E46" s="370" t="s">
        <v>2537</v>
      </c>
      <c r="F46" s="353" t="str">
        <f xml:space="preserve"> _xlfn.CONCAT(D46,E46)</f>
        <v>ㆡㄧˋ</v>
      </c>
      <c r="G46"/>
      <c r="H46"/>
      <c r="I46"/>
      <c r="J46"/>
      <c r="K46"/>
    </row>
    <row r="47" spans="2:11">
      <c r="C47" s="491">
        <v>4.5999999999999996</v>
      </c>
      <c r="D47" s="349" t="str">
        <f xml:space="preserve">
_xlfn.XLOOKUP($C46, 聲母表[音序], 聲母表[十五音])</f>
        <v>入</v>
      </c>
      <c r="E47" s="371" t="s">
        <v>1794</v>
      </c>
      <c r="F47" s="349" t="s">
        <v>2552</v>
      </c>
      <c r="G47"/>
      <c r="H47"/>
      <c r="I47"/>
      <c r="J47"/>
      <c r="K47"/>
    </row>
    <row r="48" spans="2:11" ht="23.25">
      <c r="C48" s="492"/>
      <c r="D48" s="350" t="str">
        <f xml:space="preserve">
_xlfn.XLOOKUP($C46, 聲母表[音序], 聲母表[台羅拼音])</f>
        <v>j</v>
      </c>
      <c r="E48" s="372" t="s">
        <v>2543</v>
      </c>
      <c r="F48" s="350" t="str">
        <f xml:space="preserve"> _xlfn.CONCAT(D48,E48)</f>
        <v>ji2</v>
      </c>
      <c r="G48"/>
      <c r="H48"/>
      <c r="I48"/>
      <c r="J48"/>
      <c r="K48"/>
    </row>
    <row r="49" spans="3:11" ht="20.25">
      <c r="C49" s="490">
        <f>C46+1</f>
        <v>10</v>
      </c>
      <c r="D49" s="353" t="str">
        <f xml:space="preserve">
_xlfn.XLOOKUP($C49, 聲母表[音序], 聲母表[方音符號])</f>
        <v>ㄙ</v>
      </c>
      <c r="E49" s="370" t="s">
        <v>2537</v>
      </c>
      <c r="F49" s="353" t="str">
        <f xml:space="preserve"> _xlfn.CONCAT(D49,E49)</f>
        <v>ㄙㄧˋ</v>
      </c>
      <c r="G49"/>
      <c r="H49"/>
      <c r="I49"/>
      <c r="J49"/>
      <c r="K49"/>
    </row>
    <row r="50" spans="3:11">
      <c r="C50" s="491">
        <v>4.5999999999999996</v>
      </c>
      <c r="D50" s="349" t="str">
        <f xml:space="preserve">
_xlfn.XLOOKUP($C49, 聲母表[音序], 聲母表[十五音])</f>
        <v>時</v>
      </c>
      <c r="E50" s="371" t="s">
        <v>1794</v>
      </c>
      <c r="F50" s="349" t="s">
        <v>2553</v>
      </c>
      <c r="G50"/>
      <c r="H50"/>
      <c r="I50"/>
      <c r="J50"/>
      <c r="K50"/>
    </row>
    <row r="51" spans="3:11" ht="23.25">
      <c r="C51" s="492"/>
      <c r="D51" s="350" t="str">
        <f xml:space="preserve">
_xlfn.XLOOKUP($C49, 聲母表[音序], 聲母表[台羅拼音])</f>
        <v>s</v>
      </c>
      <c r="E51" s="372" t="s">
        <v>2543</v>
      </c>
      <c r="F51" s="350" t="str">
        <f xml:space="preserve"> _xlfn.CONCAT(D51,E51)</f>
        <v>si2</v>
      </c>
      <c r="G51"/>
      <c r="H51"/>
      <c r="I51"/>
      <c r="J51"/>
      <c r="K51"/>
    </row>
    <row r="52" spans="3:11" ht="20.25">
      <c r="C52" s="490">
        <f>C49+1</f>
        <v>11</v>
      </c>
      <c r="D52" s="353" t="str">
        <f xml:space="preserve">
_xlfn.XLOOKUP($C52, 聲母表[音序], 聲母表[方音符號])</f>
        <v/>
      </c>
      <c r="E52" s="370" t="s">
        <v>2537</v>
      </c>
      <c r="F52" s="353" t="str">
        <f xml:space="preserve"> _xlfn.CONCAT(D52,E52)</f>
        <v>ㄧˋ</v>
      </c>
      <c r="G52"/>
      <c r="H52"/>
      <c r="I52"/>
      <c r="J52"/>
      <c r="K52"/>
    </row>
    <row r="53" spans="3:11">
      <c r="C53" s="491">
        <v>4.5999999999999996</v>
      </c>
      <c r="D53" s="349" t="str">
        <f xml:space="preserve">
_xlfn.XLOOKUP($C52, 聲母表[音序], 聲母表[十五音])</f>
        <v>英</v>
      </c>
      <c r="E53" s="371" t="s">
        <v>1794</v>
      </c>
      <c r="F53" s="349" t="s">
        <v>2554</v>
      </c>
      <c r="G53"/>
      <c r="H53"/>
      <c r="I53"/>
      <c r="J53"/>
      <c r="K53"/>
    </row>
    <row r="54" spans="3:11" ht="23.25">
      <c r="C54" s="492"/>
      <c r="D54" s="350" t="str">
        <f xml:space="preserve">
_xlfn.XLOOKUP($C52, 聲母表[音序], 聲母表[台羅拼音])</f>
        <v>Ø</v>
      </c>
      <c r="E54" s="372" t="s">
        <v>2543</v>
      </c>
      <c r="F54" s="350" t="str">
        <f xml:space="preserve"> _xlfn.CONCAT(D54,E54)</f>
        <v>Øi2</v>
      </c>
      <c r="G54"/>
      <c r="H54"/>
      <c r="I54"/>
      <c r="J54"/>
      <c r="K54"/>
    </row>
    <row r="55" spans="3:11" ht="20.25">
      <c r="C55" s="490">
        <f>C52+1</f>
        <v>12</v>
      </c>
      <c r="D55" s="353" t="str">
        <f xml:space="preserve">
_xlfn.XLOOKUP($C55, 聲母表[音序], 聲母表[方音符號])</f>
        <v>ㆠ</v>
      </c>
      <c r="E55" s="370" t="s">
        <v>2537</v>
      </c>
      <c r="F55" s="353" t="str">
        <f xml:space="preserve"> _xlfn.CONCAT(D55,E55)</f>
        <v>ㆠㄧˋ</v>
      </c>
      <c r="G55"/>
      <c r="H55"/>
      <c r="I55"/>
      <c r="J55"/>
      <c r="K55"/>
    </row>
    <row r="56" spans="3:11">
      <c r="C56" s="491">
        <v>4.5999999999999996</v>
      </c>
      <c r="D56" s="349" t="str">
        <f xml:space="preserve">
_xlfn.XLOOKUP($C55, 聲母表[音序], 聲母表[十五音])</f>
        <v>門</v>
      </c>
      <c r="E56" s="371" t="s">
        <v>1794</v>
      </c>
      <c r="F56" s="349" t="s">
        <v>2555</v>
      </c>
      <c r="G56"/>
      <c r="H56"/>
      <c r="I56"/>
      <c r="J56"/>
      <c r="K56"/>
    </row>
    <row r="57" spans="3:11" ht="23.25">
      <c r="C57" s="492"/>
      <c r="D57" s="350" t="str">
        <f xml:space="preserve">
_xlfn.XLOOKUP($C55, 聲母表[音序], 聲母表[台羅拼音])</f>
        <v>b</v>
      </c>
      <c r="E57" s="372" t="s">
        <v>2543</v>
      </c>
      <c r="F57" s="350" t="str">
        <f xml:space="preserve"> _xlfn.CONCAT(D57,E57)</f>
        <v>bi2</v>
      </c>
      <c r="G57"/>
      <c r="H57"/>
      <c r="I57"/>
      <c r="J57"/>
      <c r="K57"/>
    </row>
    <row r="58" spans="3:11" ht="20.25">
      <c r="C58" s="490">
        <f>C55+1</f>
        <v>13</v>
      </c>
      <c r="D58" s="353" t="str">
        <f xml:space="preserve">
_xlfn.XLOOKUP($C58, 聲母表[音序], 聲母表[方音符號])</f>
        <v>ㆣ</v>
      </c>
      <c r="E58" s="370" t="s">
        <v>2537</v>
      </c>
      <c r="F58" s="353" t="str">
        <f xml:space="preserve"> _xlfn.CONCAT(D58,E58)</f>
        <v>ㆣㄧˋ</v>
      </c>
      <c r="G58"/>
      <c r="H58"/>
      <c r="I58"/>
      <c r="J58"/>
      <c r="K58"/>
    </row>
    <row r="59" spans="3:11">
      <c r="C59" s="491">
        <v>4.5999999999999996</v>
      </c>
      <c r="D59" s="349" t="str">
        <f xml:space="preserve">
_xlfn.XLOOKUP($C58, 聲母表[音序], 聲母表[十五音])</f>
        <v>語</v>
      </c>
      <c r="E59" s="371" t="s">
        <v>1794</v>
      </c>
      <c r="F59" s="349" t="s">
        <v>29</v>
      </c>
      <c r="G59"/>
      <c r="H59"/>
      <c r="I59"/>
      <c r="J59"/>
      <c r="K59"/>
    </row>
    <row r="60" spans="3:11" ht="23.25">
      <c r="C60" s="492"/>
      <c r="D60" s="350" t="str">
        <f xml:space="preserve">
_xlfn.XLOOKUP($C58, 聲母表[音序], 聲母表[台羅拼音])</f>
        <v>g</v>
      </c>
      <c r="E60" s="372" t="s">
        <v>2543</v>
      </c>
      <c r="F60" s="350" t="str">
        <f xml:space="preserve"> _xlfn.CONCAT(D60,E60)</f>
        <v>gi2</v>
      </c>
      <c r="G60"/>
      <c r="H60"/>
      <c r="I60"/>
      <c r="J60"/>
      <c r="K60"/>
    </row>
    <row r="61" spans="3:11" ht="20.25">
      <c r="C61" s="490">
        <f>C58+1</f>
        <v>14</v>
      </c>
      <c r="D61" s="353" t="str">
        <f xml:space="preserve">
_xlfn.XLOOKUP($C61, 聲母表[音序], 聲母表[方音符號])</f>
        <v>ㄘ</v>
      </c>
      <c r="E61" s="370" t="s">
        <v>2537</v>
      </c>
      <c r="F61" s="353" t="str">
        <f xml:space="preserve"> _xlfn.CONCAT(D61,E61)</f>
        <v>ㄘㄧˋ</v>
      </c>
      <c r="G61"/>
      <c r="H61"/>
      <c r="I61"/>
      <c r="J61"/>
      <c r="K61"/>
    </row>
    <row r="62" spans="3:11">
      <c r="C62" s="491">
        <v>4.5999999999999996</v>
      </c>
      <c r="D62" s="349" t="str">
        <f xml:space="preserve">
_xlfn.XLOOKUP($C61, 聲母表[音序], 聲母表[十五音])</f>
        <v>出</v>
      </c>
      <c r="E62" s="371" t="s">
        <v>1794</v>
      </c>
      <c r="F62" s="349" t="s">
        <v>34</v>
      </c>
      <c r="G62"/>
      <c r="H62"/>
      <c r="I62"/>
      <c r="J62"/>
      <c r="K62"/>
    </row>
    <row r="63" spans="3:11" ht="23.25">
      <c r="C63" s="492"/>
      <c r="D63" s="350" t="str">
        <f xml:space="preserve">
_xlfn.XLOOKUP($C61, 聲母表[音序], 聲母表[台羅拼音])</f>
        <v>tsh</v>
      </c>
      <c r="E63" s="372" t="s">
        <v>2543</v>
      </c>
      <c r="F63" s="350" t="str">
        <f xml:space="preserve"> _xlfn.CONCAT(D63,E63)</f>
        <v>tshi2</v>
      </c>
      <c r="G63"/>
      <c r="H63"/>
      <c r="I63"/>
      <c r="J63"/>
      <c r="K63"/>
    </row>
    <row r="64" spans="3:11" ht="20.25">
      <c r="C64" s="490">
        <f>C61+1</f>
        <v>15</v>
      </c>
      <c r="D64" s="353" t="str">
        <f xml:space="preserve">
_xlfn.XLOOKUP($C64, 聲母表[音序], 聲母表[方音符號])</f>
        <v>ㄏ</v>
      </c>
      <c r="E64" s="370" t="s">
        <v>2537</v>
      </c>
      <c r="F64" s="353" t="str">
        <f xml:space="preserve"> _xlfn.CONCAT(D64,E64)</f>
        <v>ㄏㄧˋ</v>
      </c>
      <c r="G64"/>
      <c r="H64"/>
      <c r="I64"/>
      <c r="J64"/>
      <c r="K64"/>
    </row>
    <row r="65" spans="3:11">
      <c r="C65" s="491">
        <v>4.5999999999999996</v>
      </c>
      <c r="D65" s="349" t="str">
        <f xml:space="preserve">
_xlfn.XLOOKUP($C64, 聲母表[音序], 聲母表[十五音])</f>
        <v>喜</v>
      </c>
      <c r="E65" s="371" t="s">
        <v>1794</v>
      </c>
      <c r="F65" s="349" t="s">
        <v>2556</v>
      </c>
      <c r="G65"/>
      <c r="H65"/>
      <c r="I65"/>
      <c r="J65"/>
      <c r="K65"/>
    </row>
    <row r="66" spans="3:11" ht="23.25">
      <c r="C66" s="492"/>
      <c r="D66" s="350" t="str">
        <f xml:space="preserve">
_xlfn.XLOOKUP($C64, 聲母表[音序], 聲母表[台羅拼音])</f>
        <v>h</v>
      </c>
      <c r="E66" s="372" t="s">
        <v>2543</v>
      </c>
      <c r="F66" s="350" t="str">
        <f xml:space="preserve"> _xlfn.CONCAT(D66,E66)</f>
        <v>hi2</v>
      </c>
      <c r="G66"/>
      <c r="H66"/>
      <c r="I66"/>
      <c r="J66"/>
      <c r="K66"/>
    </row>
  </sheetData>
  <mergeCells count="34">
    <mergeCell ref="C27:C29"/>
    <mergeCell ref="C30:C32"/>
    <mergeCell ref="C33:C35"/>
    <mergeCell ref="C36:C38"/>
    <mergeCell ref="C8:K8"/>
    <mergeCell ref="C19:C20"/>
    <mergeCell ref="D19:D20"/>
    <mergeCell ref="E19:E20"/>
    <mergeCell ref="F19:F20"/>
    <mergeCell ref="C17:K17"/>
    <mergeCell ref="H19:H20"/>
    <mergeCell ref="I19:I20"/>
    <mergeCell ref="J19:J20"/>
    <mergeCell ref="K19:K20"/>
    <mergeCell ref="H27:H29"/>
    <mergeCell ref="H30:H32"/>
    <mergeCell ref="H33:H35"/>
    <mergeCell ref="H36:H38"/>
    <mergeCell ref="H39:H41"/>
    <mergeCell ref="H21:H23"/>
    <mergeCell ref="H24:H26"/>
    <mergeCell ref="C10:C11"/>
    <mergeCell ref="C12:C14"/>
    <mergeCell ref="C21:C23"/>
    <mergeCell ref="C24:C26"/>
    <mergeCell ref="C39:C41"/>
    <mergeCell ref="C58:C60"/>
    <mergeCell ref="C61:C63"/>
    <mergeCell ref="C64:C66"/>
    <mergeCell ref="C46:C48"/>
    <mergeCell ref="C49:C51"/>
    <mergeCell ref="C52:C54"/>
    <mergeCell ref="C55:C57"/>
    <mergeCell ref="C42:C44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C9B48-E160-4D94-8123-6FA36DD53210}">
  <sheetPr>
    <tabColor theme="9" tint="0.39997558519241921"/>
    <pageSetUpPr fitToPage="1"/>
  </sheetPr>
  <dimension ref="B2:AM32"/>
  <sheetViews>
    <sheetView showGridLines="0" zoomScale="60" zoomScaleNormal="60" workbookViewId="0">
      <selection activeCell="AZ20" sqref="AZ20"/>
    </sheetView>
  </sheetViews>
  <sheetFormatPr defaultColWidth="13" defaultRowHeight="14.25"/>
  <cols>
    <col min="1" max="1" width="2.75" style="293" customWidth="1"/>
    <col min="2" max="39" width="5.375" style="293" customWidth="1"/>
    <col min="40" max="16384" width="13" style="293"/>
  </cols>
  <sheetData>
    <row r="2" spans="2:39" ht="21.75" customHeight="1">
      <c r="B2" s="292"/>
      <c r="C2" s="292"/>
      <c r="D2" s="499" t="s">
        <v>1700</v>
      </c>
      <c r="E2" s="499"/>
      <c r="F2" s="499"/>
      <c r="G2" s="499"/>
      <c r="H2" s="499"/>
      <c r="I2" s="499"/>
      <c r="J2" s="499"/>
      <c r="K2" s="499"/>
      <c r="L2" s="500" t="s">
        <v>1742</v>
      </c>
      <c r="M2" s="499"/>
      <c r="N2" s="499"/>
      <c r="O2" s="499"/>
      <c r="P2" s="499"/>
      <c r="Q2" s="499"/>
      <c r="R2" s="499"/>
      <c r="S2" s="499"/>
      <c r="T2" s="500" t="s">
        <v>1743</v>
      </c>
      <c r="U2" s="499"/>
      <c r="V2" s="499"/>
      <c r="W2" s="499"/>
      <c r="X2" s="499"/>
      <c r="Y2" s="499"/>
      <c r="Z2" s="499"/>
      <c r="AA2" s="499"/>
      <c r="AB2" s="500" t="s">
        <v>1744</v>
      </c>
      <c r="AC2" s="499"/>
      <c r="AD2" s="499"/>
      <c r="AE2" s="499"/>
      <c r="AF2" s="499"/>
      <c r="AG2" s="499"/>
      <c r="AH2" s="499"/>
      <c r="AI2" s="499"/>
      <c r="AJ2" s="501" t="s">
        <v>1745</v>
      </c>
      <c r="AK2" s="499"/>
      <c r="AL2" s="499"/>
      <c r="AM2" s="499"/>
    </row>
    <row r="3" spans="2:39" ht="21.75" customHeight="1">
      <c r="B3" s="292"/>
      <c r="C3" s="292"/>
      <c r="D3" s="500" t="s">
        <v>1741</v>
      </c>
      <c r="E3" s="499"/>
      <c r="F3" s="499"/>
      <c r="G3" s="499"/>
      <c r="H3" s="499"/>
      <c r="I3" s="499"/>
      <c r="J3" s="499"/>
      <c r="K3" s="499"/>
      <c r="L3" s="500" t="s">
        <v>1740</v>
      </c>
      <c r="M3" s="499"/>
      <c r="N3" s="499"/>
      <c r="O3" s="499"/>
      <c r="P3" s="499"/>
      <c r="Q3" s="499"/>
      <c r="R3" s="499"/>
      <c r="S3" s="499"/>
      <c r="T3" s="499" t="s">
        <v>1701</v>
      </c>
      <c r="U3" s="499"/>
      <c r="V3" s="499"/>
      <c r="W3" s="499"/>
      <c r="X3" s="499"/>
      <c r="Y3" s="499"/>
      <c r="Z3" s="499"/>
      <c r="AA3" s="499"/>
      <c r="AB3" s="499" t="s">
        <v>1702</v>
      </c>
      <c r="AC3" s="499"/>
      <c r="AD3" s="499"/>
      <c r="AE3" s="499"/>
      <c r="AF3" s="499"/>
      <c r="AG3" s="499"/>
      <c r="AH3" s="499"/>
      <c r="AI3" s="499"/>
      <c r="AJ3" s="499" t="s">
        <v>1703</v>
      </c>
      <c r="AK3" s="499"/>
      <c r="AL3" s="499"/>
      <c r="AM3" s="499"/>
    </row>
    <row r="4" spans="2:39" ht="21.75" customHeight="1">
      <c r="B4" s="292"/>
      <c r="C4" s="292"/>
      <c r="D4" s="499" t="s">
        <v>1704</v>
      </c>
      <c r="E4" s="499"/>
      <c r="F4" s="499"/>
      <c r="G4" s="499"/>
      <c r="H4" s="499" t="s">
        <v>1705</v>
      </c>
      <c r="I4" s="499"/>
      <c r="J4" s="499"/>
      <c r="K4" s="499"/>
      <c r="L4" s="499" t="s">
        <v>1704</v>
      </c>
      <c r="M4" s="499"/>
      <c r="N4" s="499"/>
      <c r="O4" s="499"/>
      <c r="P4" s="499" t="s">
        <v>1705</v>
      </c>
      <c r="Q4" s="499"/>
      <c r="R4" s="499"/>
      <c r="S4" s="499"/>
      <c r="T4" s="499" t="s">
        <v>1704</v>
      </c>
      <c r="U4" s="499"/>
      <c r="V4" s="499"/>
      <c r="W4" s="499"/>
      <c r="X4" s="499" t="s">
        <v>1705</v>
      </c>
      <c r="Y4" s="499"/>
      <c r="Z4" s="499"/>
      <c r="AA4" s="499"/>
      <c r="AB4" s="499" t="s">
        <v>1704</v>
      </c>
      <c r="AC4" s="499"/>
      <c r="AD4" s="499"/>
      <c r="AE4" s="499"/>
      <c r="AF4" s="499" t="s">
        <v>1705</v>
      </c>
      <c r="AG4" s="499"/>
      <c r="AH4" s="499"/>
      <c r="AI4" s="499"/>
      <c r="AJ4" s="499" t="s">
        <v>1704</v>
      </c>
      <c r="AK4" s="499"/>
      <c r="AL4" s="499"/>
      <c r="AM4" s="499"/>
    </row>
    <row r="5" spans="2:39" ht="27" customHeight="1">
      <c r="B5" s="502" t="s">
        <v>1706</v>
      </c>
      <c r="C5" s="502"/>
      <c r="D5" s="477"/>
      <c r="E5" s="503"/>
      <c r="F5" s="506"/>
      <c r="G5" s="507"/>
      <c r="H5" s="473" t="s">
        <v>4</v>
      </c>
      <c r="I5" s="510"/>
      <c r="J5" s="513" t="s">
        <v>44</v>
      </c>
      <c r="K5" s="514"/>
      <c r="L5" s="477"/>
      <c r="M5" s="503"/>
      <c r="N5" s="506"/>
      <c r="O5" s="507"/>
      <c r="P5" s="473" t="s">
        <v>7</v>
      </c>
      <c r="Q5" s="510"/>
      <c r="R5" s="513" t="s">
        <v>48</v>
      </c>
      <c r="S5" s="514"/>
      <c r="T5" s="477"/>
      <c r="U5" s="503"/>
      <c r="V5" s="506"/>
      <c r="W5" s="507"/>
      <c r="X5" s="473"/>
      <c r="Y5" s="510"/>
      <c r="Z5" s="513"/>
      <c r="AA5" s="514"/>
      <c r="AB5" s="477"/>
      <c r="AC5" s="503"/>
      <c r="AD5" s="506"/>
      <c r="AE5" s="507"/>
      <c r="AF5" s="473" t="s">
        <v>10</v>
      </c>
      <c r="AG5" s="510"/>
      <c r="AH5" s="513" t="s">
        <v>52</v>
      </c>
      <c r="AI5" s="514"/>
      <c r="AJ5" s="477"/>
      <c r="AK5" s="503"/>
      <c r="AL5" s="506"/>
      <c r="AM5" s="507"/>
    </row>
    <row r="6" spans="2:39" ht="27" customHeight="1">
      <c r="B6" s="502"/>
      <c r="C6" s="502"/>
      <c r="D6" s="504"/>
      <c r="E6" s="505"/>
      <c r="F6" s="508"/>
      <c r="G6" s="509"/>
      <c r="H6" s="511"/>
      <c r="I6" s="512"/>
      <c r="J6" s="515" t="s">
        <v>44</v>
      </c>
      <c r="K6" s="516"/>
      <c r="L6" s="504"/>
      <c r="M6" s="505"/>
      <c r="N6" s="508"/>
      <c r="O6" s="509"/>
      <c r="P6" s="511"/>
      <c r="Q6" s="512"/>
      <c r="R6" s="515" t="s">
        <v>48</v>
      </c>
      <c r="S6" s="516"/>
      <c r="T6" s="504"/>
      <c r="U6" s="505"/>
      <c r="V6" s="508"/>
      <c r="W6" s="509"/>
      <c r="X6" s="511"/>
      <c r="Y6" s="512"/>
      <c r="Z6" s="515"/>
      <c r="AA6" s="516"/>
      <c r="AB6" s="504"/>
      <c r="AC6" s="505"/>
      <c r="AD6" s="508"/>
      <c r="AE6" s="509"/>
      <c r="AF6" s="511"/>
      <c r="AG6" s="512"/>
      <c r="AH6" s="515" t="s">
        <v>52</v>
      </c>
      <c r="AI6" s="516"/>
      <c r="AJ6" s="504"/>
      <c r="AK6" s="505"/>
      <c r="AL6" s="508"/>
      <c r="AM6" s="509"/>
    </row>
    <row r="7" spans="2:39" ht="27" customHeight="1">
      <c r="B7" s="502"/>
      <c r="C7" s="502"/>
      <c r="D7" s="483"/>
      <c r="E7" s="484"/>
      <c r="F7" s="521"/>
      <c r="G7" s="522"/>
      <c r="H7" s="529" t="s">
        <v>1707</v>
      </c>
      <c r="I7" s="530"/>
      <c r="J7" s="532" t="s">
        <v>1748</v>
      </c>
      <c r="K7" s="518"/>
      <c r="L7" s="483"/>
      <c r="M7" s="484"/>
      <c r="N7" s="521"/>
      <c r="O7" s="522"/>
      <c r="P7" s="529" t="s">
        <v>1708</v>
      </c>
      <c r="Q7" s="530"/>
      <c r="R7" s="517" t="s">
        <v>1749</v>
      </c>
      <c r="S7" s="518"/>
      <c r="T7" s="483"/>
      <c r="U7" s="484"/>
      <c r="V7" s="521"/>
      <c r="W7" s="522"/>
      <c r="X7" s="529"/>
      <c r="Y7" s="530"/>
      <c r="Z7" s="517"/>
      <c r="AA7" s="518"/>
      <c r="AB7" s="483"/>
      <c r="AC7" s="484"/>
      <c r="AD7" s="521"/>
      <c r="AE7" s="522"/>
      <c r="AF7" s="529" t="s">
        <v>1709</v>
      </c>
      <c r="AG7" s="530"/>
      <c r="AH7" s="517" t="s">
        <v>1750</v>
      </c>
      <c r="AI7" s="518"/>
      <c r="AJ7" s="483"/>
      <c r="AK7" s="484"/>
      <c r="AL7" s="521"/>
      <c r="AM7" s="522"/>
    </row>
    <row r="8" spans="2:39" ht="27" customHeight="1">
      <c r="B8" s="502"/>
      <c r="C8" s="502"/>
      <c r="D8" s="525"/>
      <c r="E8" s="526"/>
      <c r="F8" s="523"/>
      <c r="G8" s="524"/>
      <c r="H8" s="527" t="s">
        <v>1711</v>
      </c>
      <c r="I8" s="528"/>
      <c r="J8" s="519" t="s">
        <v>1238</v>
      </c>
      <c r="K8" s="520"/>
      <c r="L8" s="525"/>
      <c r="M8" s="526"/>
      <c r="N8" s="523"/>
      <c r="O8" s="524"/>
      <c r="P8" s="527" t="s">
        <v>1275</v>
      </c>
      <c r="Q8" s="528"/>
      <c r="R8" s="519" t="s">
        <v>1275</v>
      </c>
      <c r="S8" s="520"/>
      <c r="T8" s="525"/>
      <c r="U8" s="526"/>
      <c r="V8" s="523"/>
      <c r="W8" s="524"/>
      <c r="X8" s="527"/>
      <c r="Y8" s="528"/>
      <c r="Z8" s="519"/>
      <c r="AA8" s="520"/>
      <c r="AB8" s="525"/>
      <c r="AC8" s="526"/>
      <c r="AD8" s="523"/>
      <c r="AE8" s="524"/>
      <c r="AF8" s="527" t="s">
        <v>1313</v>
      </c>
      <c r="AG8" s="528"/>
      <c r="AH8" s="519" t="s">
        <v>1313</v>
      </c>
      <c r="AI8" s="520"/>
      <c r="AJ8" s="525"/>
      <c r="AK8" s="526"/>
      <c r="AL8" s="523"/>
      <c r="AM8" s="524"/>
    </row>
    <row r="9" spans="2:39" ht="27" customHeight="1">
      <c r="B9" s="502" t="s">
        <v>1712</v>
      </c>
      <c r="C9" s="531" t="s">
        <v>1713</v>
      </c>
      <c r="D9" s="477" t="s">
        <v>2</v>
      </c>
      <c r="E9" s="503"/>
      <c r="F9" s="506" t="s">
        <v>41</v>
      </c>
      <c r="G9" s="507"/>
      <c r="H9" s="473" t="s">
        <v>4</v>
      </c>
      <c r="I9" s="510"/>
      <c r="J9" s="513" t="s">
        <v>43</v>
      </c>
      <c r="K9" s="514"/>
      <c r="L9" s="477" t="s">
        <v>5</v>
      </c>
      <c r="M9" s="503"/>
      <c r="N9" s="506" t="s">
        <v>45</v>
      </c>
      <c r="O9" s="507"/>
      <c r="P9" s="473"/>
      <c r="Q9" s="510"/>
      <c r="R9" s="513"/>
      <c r="S9" s="514"/>
      <c r="T9" s="477"/>
      <c r="U9" s="503"/>
      <c r="V9" s="506"/>
      <c r="W9" s="507"/>
      <c r="X9" s="473"/>
      <c r="Y9" s="510"/>
      <c r="Z9" s="513"/>
      <c r="AA9" s="514"/>
      <c r="AB9" s="477" t="s">
        <v>8</v>
      </c>
      <c r="AC9" s="503"/>
      <c r="AD9" s="506" t="s">
        <v>49</v>
      </c>
      <c r="AE9" s="507"/>
      <c r="AF9" s="473" t="s">
        <v>10</v>
      </c>
      <c r="AG9" s="510"/>
      <c r="AH9" s="513" t="s">
        <v>51</v>
      </c>
      <c r="AI9" s="514"/>
      <c r="AJ9" s="477" t="s">
        <v>1055</v>
      </c>
      <c r="AK9" s="503"/>
      <c r="AL9" s="506" t="s">
        <v>327</v>
      </c>
      <c r="AM9" s="507"/>
    </row>
    <row r="10" spans="2:39" ht="27" customHeight="1">
      <c r="B10" s="502"/>
      <c r="C10" s="531"/>
      <c r="D10" s="504"/>
      <c r="E10" s="505"/>
      <c r="F10" s="508"/>
      <c r="G10" s="509"/>
      <c r="H10" s="511"/>
      <c r="I10" s="512"/>
      <c r="J10" s="515" t="s">
        <v>43</v>
      </c>
      <c r="K10" s="516"/>
      <c r="L10" s="504"/>
      <c r="M10" s="505"/>
      <c r="N10" s="508" t="s">
        <v>45</v>
      </c>
      <c r="O10" s="509"/>
      <c r="P10" s="511"/>
      <c r="Q10" s="512"/>
      <c r="R10" s="515"/>
      <c r="S10" s="516"/>
      <c r="T10" s="504"/>
      <c r="U10" s="505"/>
      <c r="V10" s="508"/>
      <c r="W10" s="509"/>
      <c r="X10" s="511"/>
      <c r="Y10" s="512"/>
      <c r="Z10" s="515"/>
      <c r="AA10" s="516"/>
      <c r="AB10" s="504"/>
      <c r="AC10" s="505"/>
      <c r="AD10" s="508" t="s">
        <v>49</v>
      </c>
      <c r="AE10" s="509"/>
      <c r="AF10" s="511"/>
      <c r="AG10" s="512"/>
      <c r="AH10" s="515" t="s">
        <v>51</v>
      </c>
      <c r="AI10" s="516"/>
      <c r="AJ10" s="504"/>
      <c r="AK10" s="505"/>
      <c r="AL10" s="508" t="s">
        <v>327</v>
      </c>
      <c r="AM10" s="509"/>
    </row>
    <row r="11" spans="2:39" ht="27" customHeight="1">
      <c r="B11" s="502"/>
      <c r="C11" s="531"/>
      <c r="D11" s="533" t="s">
        <v>1714</v>
      </c>
      <c r="E11" s="534"/>
      <c r="F11" s="521" t="s">
        <v>43</v>
      </c>
      <c r="G11" s="522"/>
      <c r="H11" s="529" t="s">
        <v>1715</v>
      </c>
      <c r="I11" s="530"/>
      <c r="J11" s="517" t="s">
        <v>1306</v>
      </c>
      <c r="K11" s="518"/>
      <c r="L11" s="533" t="s">
        <v>1716</v>
      </c>
      <c r="M11" s="534"/>
      <c r="N11" s="521" t="s">
        <v>1280</v>
      </c>
      <c r="O11" s="522"/>
      <c r="P11" s="529"/>
      <c r="Q11" s="530"/>
      <c r="R11" s="517"/>
      <c r="S11" s="518"/>
      <c r="T11" s="533"/>
      <c r="U11" s="534"/>
      <c r="V11" s="521"/>
      <c r="W11" s="522"/>
      <c r="X11" s="529"/>
      <c r="Y11" s="530"/>
      <c r="Z11" s="517"/>
      <c r="AA11" s="518"/>
      <c r="AB11" s="533" t="s">
        <v>1717</v>
      </c>
      <c r="AC11" s="534"/>
      <c r="AD11" s="521" t="s">
        <v>51</v>
      </c>
      <c r="AE11" s="522"/>
      <c r="AF11" s="529" t="s">
        <v>1718</v>
      </c>
      <c r="AG11" s="530"/>
      <c r="AH11" s="517" t="s">
        <v>1311</v>
      </c>
      <c r="AI11" s="518"/>
      <c r="AJ11" s="533" t="s">
        <v>1719</v>
      </c>
      <c r="AK11" s="534"/>
      <c r="AL11" s="521" t="s">
        <v>327</v>
      </c>
      <c r="AM11" s="522"/>
    </row>
    <row r="12" spans="2:39" ht="27" customHeight="1">
      <c r="B12" s="502"/>
      <c r="C12" s="531"/>
      <c r="D12" s="525" t="s">
        <v>1276</v>
      </c>
      <c r="E12" s="526"/>
      <c r="F12" s="523"/>
      <c r="G12" s="524"/>
      <c r="H12" s="527" t="s">
        <v>1307</v>
      </c>
      <c r="I12" s="528"/>
      <c r="J12" s="519" t="s">
        <v>1307</v>
      </c>
      <c r="K12" s="520"/>
      <c r="L12" s="525" t="s">
        <v>1281</v>
      </c>
      <c r="M12" s="526"/>
      <c r="N12" s="523" t="s">
        <v>1281</v>
      </c>
      <c r="O12" s="524"/>
      <c r="P12" s="527"/>
      <c r="Q12" s="528"/>
      <c r="R12" s="519"/>
      <c r="S12" s="520"/>
      <c r="T12" s="525"/>
      <c r="U12" s="526"/>
      <c r="V12" s="523"/>
      <c r="W12" s="524"/>
      <c r="X12" s="527"/>
      <c r="Y12" s="528"/>
      <c r="Z12" s="519"/>
      <c r="AA12" s="520"/>
      <c r="AB12" s="525" t="s">
        <v>1277</v>
      </c>
      <c r="AC12" s="526"/>
      <c r="AD12" s="523" t="s">
        <v>1277</v>
      </c>
      <c r="AE12" s="524"/>
      <c r="AF12" s="527" t="s">
        <v>1312</v>
      </c>
      <c r="AG12" s="528"/>
      <c r="AH12" s="519" t="s">
        <v>1312</v>
      </c>
      <c r="AI12" s="520"/>
      <c r="AJ12" s="525"/>
      <c r="AK12" s="526"/>
      <c r="AL12" s="523" t="s">
        <v>327</v>
      </c>
      <c r="AM12" s="524"/>
    </row>
    <row r="13" spans="2:39" ht="27" customHeight="1">
      <c r="B13" s="502"/>
      <c r="C13" s="502" t="s">
        <v>1720</v>
      </c>
      <c r="D13" s="477" t="s">
        <v>3</v>
      </c>
      <c r="E13" s="503"/>
      <c r="F13" s="506" t="s">
        <v>42</v>
      </c>
      <c r="G13" s="507"/>
      <c r="H13" s="473"/>
      <c r="I13" s="510"/>
      <c r="J13" s="513"/>
      <c r="K13" s="514"/>
      <c r="L13" s="477" t="s">
        <v>6</v>
      </c>
      <c r="M13" s="503"/>
      <c r="N13" s="506" t="s">
        <v>46</v>
      </c>
      <c r="O13" s="507"/>
      <c r="P13" s="473"/>
      <c r="Q13" s="510"/>
      <c r="R13" s="513"/>
      <c r="S13" s="514"/>
      <c r="T13" s="477"/>
      <c r="U13" s="503"/>
      <c r="V13" s="506"/>
      <c r="W13" s="507"/>
      <c r="X13" s="473"/>
      <c r="Y13" s="510"/>
      <c r="Z13" s="513"/>
      <c r="AA13" s="514"/>
      <c r="AB13" s="477" t="s">
        <v>9</v>
      </c>
      <c r="AC13" s="503"/>
      <c r="AD13" s="506" t="s">
        <v>50</v>
      </c>
      <c r="AE13" s="507"/>
      <c r="AF13" s="473"/>
      <c r="AG13" s="510"/>
      <c r="AH13" s="513"/>
      <c r="AI13" s="514"/>
      <c r="AJ13" s="477"/>
      <c r="AK13" s="503"/>
      <c r="AL13" s="506"/>
      <c r="AM13" s="507"/>
    </row>
    <row r="14" spans="2:39" ht="27" customHeight="1">
      <c r="B14" s="502"/>
      <c r="C14" s="502"/>
      <c r="D14" s="504"/>
      <c r="E14" s="505"/>
      <c r="F14" s="508" t="s">
        <v>42</v>
      </c>
      <c r="G14" s="509"/>
      <c r="H14" s="511"/>
      <c r="I14" s="512"/>
      <c r="J14" s="515"/>
      <c r="K14" s="516"/>
      <c r="L14" s="504"/>
      <c r="M14" s="505"/>
      <c r="N14" s="508" t="s">
        <v>46</v>
      </c>
      <c r="O14" s="509"/>
      <c r="P14" s="511"/>
      <c r="Q14" s="512"/>
      <c r="R14" s="515"/>
      <c r="S14" s="516"/>
      <c r="T14" s="504"/>
      <c r="U14" s="505"/>
      <c r="V14" s="508"/>
      <c r="W14" s="509"/>
      <c r="X14" s="511"/>
      <c r="Y14" s="512"/>
      <c r="Z14" s="515"/>
      <c r="AA14" s="516"/>
      <c r="AB14" s="504"/>
      <c r="AC14" s="505"/>
      <c r="AD14" s="508" t="s">
        <v>50</v>
      </c>
      <c r="AE14" s="509"/>
      <c r="AF14" s="511"/>
      <c r="AG14" s="512"/>
      <c r="AH14" s="515"/>
      <c r="AI14" s="516"/>
      <c r="AJ14" s="504"/>
      <c r="AK14" s="505"/>
      <c r="AL14" s="508"/>
      <c r="AM14" s="509"/>
    </row>
    <row r="15" spans="2:39" ht="27" customHeight="1">
      <c r="B15" s="502"/>
      <c r="C15" s="502"/>
      <c r="D15" s="533" t="s">
        <v>1721</v>
      </c>
      <c r="E15" s="534"/>
      <c r="F15" s="521" t="s">
        <v>41</v>
      </c>
      <c r="G15" s="522"/>
      <c r="H15" s="529"/>
      <c r="I15" s="530"/>
      <c r="J15" s="517"/>
      <c r="K15" s="518"/>
      <c r="L15" s="533" t="s">
        <v>1722</v>
      </c>
      <c r="M15" s="534"/>
      <c r="N15" s="521" t="s">
        <v>45</v>
      </c>
      <c r="O15" s="522"/>
      <c r="P15" s="529"/>
      <c r="Q15" s="530"/>
      <c r="R15" s="517"/>
      <c r="S15" s="518"/>
      <c r="T15" s="533"/>
      <c r="U15" s="534"/>
      <c r="V15" s="521"/>
      <c r="W15" s="522"/>
      <c r="X15" s="529"/>
      <c r="Y15" s="530"/>
      <c r="Z15" s="517"/>
      <c r="AA15" s="518"/>
      <c r="AB15" s="533" t="s">
        <v>1723</v>
      </c>
      <c r="AC15" s="534"/>
      <c r="AD15" s="521" t="s">
        <v>49</v>
      </c>
      <c r="AE15" s="522"/>
      <c r="AF15" s="529"/>
      <c r="AG15" s="530"/>
      <c r="AH15" s="517"/>
      <c r="AI15" s="518"/>
      <c r="AJ15" s="533"/>
      <c r="AK15" s="534"/>
      <c r="AL15" s="521"/>
      <c r="AM15" s="522"/>
    </row>
    <row r="16" spans="2:39" ht="27" customHeight="1">
      <c r="B16" s="502"/>
      <c r="C16" s="502"/>
      <c r="D16" s="525" t="s">
        <v>1283</v>
      </c>
      <c r="E16" s="526"/>
      <c r="F16" s="523" t="s">
        <v>1283</v>
      </c>
      <c r="G16" s="524"/>
      <c r="H16" s="527"/>
      <c r="I16" s="528"/>
      <c r="J16" s="519"/>
      <c r="K16" s="520"/>
      <c r="L16" s="525" t="s">
        <v>1285</v>
      </c>
      <c r="M16" s="526"/>
      <c r="N16" s="523" t="s">
        <v>1285</v>
      </c>
      <c r="O16" s="524"/>
      <c r="P16" s="527"/>
      <c r="Q16" s="528"/>
      <c r="R16" s="519"/>
      <c r="S16" s="520"/>
      <c r="T16" s="525"/>
      <c r="U16" s="526"/>
      <c r="V16" s="523"/>
      <c r="W16" s="524"/>
      <c r="X16" s="527"/>
      <c r="Y16" s="528"/>
      <c r="Z16" s="519"/>
      <c r="AA16" s="520"/>
      <c r="AB16" s="525" t="s">
        <v>1279</v>
      </c>
      <c r="AC16" s="526"/>
      <c r="AD16" s="523" t="s">
        <v>1279</v>
      </c>
      <c r="AE16" s="524"/>
      <c r="AF16" s="527"/>
      <c r="AG16" s="528"/>
      <c r="AH16" s="519"/>
      <c r="AI16" s="520"/>
      <c r="AJ16" s="525"/>
      <c r="AK16" s="526"/>
      <c r="AL16" s="523"/>
      <c r="AM16" s="524"/>
    </row>
    <row r="17" spans="2:39" ht="27" customHeight="1">
      <c r="B17" s="502" t="s">
        <v>1724</v>
      </c>
      <c r="C17" s="502" t="s">
        <v>1713</v>
      </c>
      <c r="D17" s="477"/>
      <c r="E17" s="503"/>
      <c r="F17" s="506"/>
      <c r="G17" s="507"/>
      <c r="H17" s="473"/>
      <c r="I17" s="510"/>
      <c r="J17" s="513"/>
      <c r="K17" s="514"/>
      <c r="L17" s="477" t="s">
        <v>12</v>
      </c>
      <c r="M17" s="503"/>
      <c r="N17" s="506" t="s">
        <v>1751</v>
      </c>
      <c r="O17" s="507"/>
      <c r="P17" s="473" t="s">
        <v>15</v>
      </c>
      <c r="Q17" s="510"/>
      <c r="R17" s="513" t="s">
        <v>60</v>
      </c>
      <c r="S17" s="514"/>
      <c r="T17" s="477" t="s">
        <v>12</v>
      </c>
      <c r="U17" s="503"/>
      <c r="V17" s="506" t="s">
        <v>1753</v>
      </c>
      <c r="W17" s="507"/>
      <c r="X17" s="473" t="s">
        <v>15</v>
      </c>
      <c r="Y17" s="510"/>
      <c r="Z17" s="513" t="s">
        <v>527</v>
      </c>
      <c r="AA17" s="514"/>
      <c r="AB17" s="477"/>
      <c r="AC17" s="503"/>
      <c r="AD17" s="506"/>
      <c r="AE17" s="507"/>
      <c r="AF17" s="473"/>
      <c r="AG17" s="510"/>
      <c r="AH17" s="513"/>
      <c r="AI17" s="514"/>
      <c r="AJ17" s="477"/>
      <c r="AK17" s="503"/>
      <c r="AL17" s="506"/>
      <c r="AM17" s="507"/>
    </row>
    <row r="18" spans="2:39" ht="27" customHeight="1">
      <c r="B18" s="502"/>
      <c r="C18" s="502"/>
      <c r="D18" s="504"/>
      <c r="E18" s="505"/>
      <c r="F18" s="508"/>
      <c r="G18" s="509"/>
      <c r="H18" s="511"/>
      <c r="I18" s="512"/>
      <c r="J18" s="515"/>
      <c r="K18" s="516"/>
      <c r="L18" s="504"/>
      <c r="M18" s="505"/>
      <c r="N18" s="508" t="s">
        <v>54</v>
      </c>
      <c r="O18" s="509"/>
      <c r="P18" s="511"/>
      <c r="Q18" s="512"/>
      <c r="R18" s="515" t="s">
        <v>60</v>
      </c>
      <c r="S18" s="516"/>
      <c r="T18" s="504"/>
      <c r="U18" s="505"/>
      <c r="V18" s="508" t="s">
        <v>55</v>
      </c>
      <c r="W18" s="509"/>
      <c r="X18" s="511"/>
      <c r="Y18" s="512"/>
      <c r="Z18" s="515" t="s">
        <v>527</v>
      </c>
      <c r="AA18" s="516"/>
      <c r="AB18" s="504"/>
      <c r="AC18" s="505"/>
      <c r="AD18" s="508"/>
      <c r="AE18" s="509"/>
      <c r="AF18" s="511"/>
      <c r="AG18" s="512"/>
      <c r="AH18" s="515"/>
      <c r="AI18" s="516"/>
      <c r="AJ18" s="504"/>
      <c r="AK18" s="505"/>
      <c r="AL18" s="508"/>
      <c r="AM18" s="509"/>
    </row>
    <row r="19" spans="2:39" ht="27" customHeight="1">
      <c r="B19" s="502"/>
      <c r="C19" s="502"/>
      <c r="D19" s="483"/>
      <c r="E19" s="484"/>
      <c r="F19" s="521"/>
      <c r="G19" s="522"/>
      <c r="H19" s="529"/>
      <c r="I19" s="530"/>
      <c r="J19" s="517"/>
      <c r="K19" s="518"/>
      <c r="L19" s="483" t="s">
        <v>1725</v>
      </c>
      <c r="M19" s="484"/>
      <c r="N19" s="521" t="s">
        <v>1287</v>
      </c>
      <c r="O19" s="522"/>
      <c r="P19" s="529" t="s">
        <v>1726</v>
      </c>
      <c r="Q19" s="530"/>
      <c r="R19" s="517" t="s">
        <v>1295</v>
      </c>
      <c r="S19" s="518"/>
      <c r="T19" s="483" t="s">
        <v>1727</v>
      </c>
      <c r="U19" s="484"/>
      <c r="V19" s="521" t="s">
        <v>1755</v>
      </c>
      <c r="W19" s="522"/>
      <c r="X19" s="529" t="s">
        <v>1729</v>
      </c>
      <c r="Y19" s="530"/>
      <c r="Z19" s="517" t="s">
        <v>1756</v>
      </c>
      <c r="AA19" s="518"/>
      <c r="AB19" s="483"/>
      <c r="AC19" s="484"/>
      <c r="AD19" s="521"/>
      <c r="AE19" s="522"/>
      <c r="AF19" s="529"/>
      <c r="AG19" s="530"/>
      <c r="AH19" s="517"/>
      <c r="AI19" s="518"/>
      <c r="AJ19" s="483"/>
      <c r="AK19" s="484"/>
      <c r="AL19" s="521"/>
      <c r="AM19" s="522"/>
    </row>
    <row r="20" spans="2:39" ht="27" customHeight="1">
      <c r="B20" s="502"/>
      <c r="C20" s="502"/>
      <c r="D20" s="525"/>
      <c r="E20" s="526"/>
      <c r="F20" s="523"/>
      <c r="G20" s="524"/>
      <c r="H20" s="527"/>
      <c r="I20" s="528"/>
      <c r="J20" s="519"/>
      <c r="K20" s="520"/>
      <c r="L20" s="525" t="s">
        <v>1289</v>
      </c>
      <c r="M20" s="526"/>
      <c r="N20" s="523" t="s">
        <v>1289</v>
      </c>
      <c r="O20" s="524"/>
      <c r="P20" s="527" t="s">
        <v>1296</v>
      </c>
      <c r="Q20" s="528"/>
      <c r="R20" s="519" t="s">
        <v>1296</v>
      </c>
      <c r="S20" s="520"/>
      <c r="T20" s="525" t="s">
        <v>1293</v>
      </c>
      <c r="U20" s="526"/>
      <c r="V20" s="523" t="s">
        <v>1293</v>
      </c>
      <c r="W20" s="524"/>
      <c r="X20" s="527" t="s">
        <v>1301</v>
      </c>
      <c r="Y20" s="528"/>
      <c r="Z20" s="519" t="s">
        <v>1301</v>
      </c>
      <c r="AA20" s="520"/>
      <c r="AB20" s="525"/>
      <c r="AC20" s="526"/>
      <c r="AD20" s="523"/>
      <c r="AE20" s="524"/>
      <c r="AF20" s="527"/>
      <c r="AG20" s="528"/>
      <c r="AH20" s="519"/>
      <c r="AI20" s="520"/>
      <c r="AJ20" s="525"/>
      <c r="AK20" s="526"/>
      <c r="AL20" s="523"/>
      <c r="AM20" s="524"/>
    </row>
    <row r="21" spans="2:39" ht="27" customHeight="1">
      <c r="B21" s="502"/>
      <c r="C21" s="502" t="s">
        <v>1720</v>
      </c>
      <c r="D21" s="477"/>
      <c r="E21" s="503"/>
      <c r="F21" s="506"/>
      <c r="G21" s="507"/>
      <c r="H21" s="473"/>
      <c r="I21" s="510"/>
      <c r="J21" s="513"/>
      <c r="K21" s="514"/>
      <c r="L21" s="477" t="s">
        <v>13</v>
      </c>
      <c r="M21" s="503"/>
      <c r="N21" s="506" t="s">
        <v>1752</v>
      </c>
      <c r="O21" s="507"/>
      <c r="P21" s="473"/>
      <c r="Q21" s="510"/>
      <c r="R21" s="513"/>
      <c r="S21" s="514"/>
      <c r="T21" s="477" t="s">
        <v>13</v>
      </c>
      <c r="U21" s="503"/>
      <c r="V21" s="506" t="s">
        <v>1754</v>
      </c>
      <c r="W21" s="507"/>
      <c r="X21" s="473"/>
      <c r="Y21" s="510"/>
      <c r="Z21" s="513"/>
      <c r="AA21" s="514"/>
      <c r="AB21" s="477"/>
      <c r="AC21" s="503"/>
      <c r="AD21" s="506"/>
      <c r="AE21" s="507"/>
      <c r="AF21" s="473"/>
      <c r="AG21" s="510"/>
      <c r="AH21" s="513"/>
      <c r="AI21" s="514"/>
      <c r="AJ21" s="477"/>
      <c r="AK21" s="503"/>
      <c r="AL21" s="506"/>
      <c r="AM21" s="507"/>
    </row>
    <row r="22" spans="2:39" ht="27" customHeight="1">
      <c r="B22" s="502"/>
      <c r="C22" s="502"/>
      <c r="D22" s="504"/>
      <c r="E22" s="505"/>
      <c r="F22" s="508"/>
      <c r="G22" s="509"/>
      <c r="H22" s="511"/>
      <c r="I22" s="512"/>
      <c r="J22" s="515"/>
      <c r="K22" s="516"/>
      <c r="L22" s="504"/>
      <c r="M22" s="505"/>
      <c r="N22" s="508" t="s">
        <v>56</v>
      </c>
      <c r="O22" s="509"/>
      <c r="P22" s="511"/>
      <c r="Q22" s="512"/>
      <c r="R22" s="515"/>
      <c r="S22" s="516"/>
      <c r="T22" s="504"/>
      <c r="U22" s="505"/>
      <c r="V22" s="508" t="s">
        <v>57</v>
      </c>
      <c r="W22" s="509"/>
      <c r="X22" s="511"/>
      <c r="Y22" s="512"/>
      <c r="Z22" s="515"/>
      <c r="AA22" s="516"/>
      <c r="AB22" s="504"/>
      <c r="AC22" s="505"/>
      <c r="AD22" s="508"/>
      <c r="AE22" s="509"/>
      <c r="AF22" s="511"/>
      <c r="AG22" s="512"/>
      <c r="AH22" s="515"/>
      <c r="AI22" s="516"/>
      <c r="AJ22" s="504"/>
      <c r="AK22" s="505"/>
      <c r="AL22" s="508"/>
      <c r="AM22" s="509"/>
    </row>
    <row r="23" spans="2:39" ht="27" customHeight="1">
      <c r="B23" s="502"/>
      <c r="C23" s="502"/>
      <c r="D23" s="483"/>
      <c r="E23" s="484"/>
      <c r="F23" s="521"/>
      <c r="G23" s="522"/>
      <c r="H23" s="529"/>
      <c r="I23" s="530"/>
      <c r="J23" s="517"/>
      <c r="K23" s="518"/>
      <c r="L23" s="483" t="s">
        <v>1730</v>
      </c>
      <c r="M23" s="484"/>
      <c r="N23" s="521" t="s">
        <v>1318</v>
      </c>
      <c r="O23" s="522"/>
      <c r="P23" s="529"/>
      <c r="Q23" s="530"/>
      <c r="R23" s="517"/>
      <c r="S23" s="518"/>
      <c r="T23" s="483" t="s">
        <v>1731</v>
      </c>
      <c r="U23" s="484"/>
      <c r="V23" s="521" t="s">
        <v>1757</v>
      </c>
      <c r="W23" s="522"/>
      <c r="X23" s="529"/>
      <c r="Y23" s="530"/>
      <c r="Z23" s="517"/>
      <c r="AA23" s="518"/>
      <c r="AB23" s="483"/>
      <c r="AC23" s="484"/>
      <c r="AD23" s="521"/>
      <c r="AE23" s="522"/>
      <c r="AF23" s="529"/>
      <c r="AG23" s="530"/>
      <c r="AH23" s="517"/>
      <c r="AI23" s="518"/>
      <c r="AJ23" s="483"/>
      <c r="AK23" s="484"/>
      <c r="AL23" s="521"/>
      <c r="AM23" s="522"/>
    </row>
    <row r="24" spans="2:39" ht="27" customHeight="1">
      <c r="B24" s="502"/>
      <c r="C24" s="502"/>
      <c r="D24" s="525"/>
      <c r="E24" s="526"/>
      <c r="F24" s="523"/>
      <c r="G24" s="524"/>
      <c r="H24" s="527"/>
      <c r="I24" s="528"/>
      <c r="J24" s="519"/>
      <c r="K24" s="520"/>
      <c r="L24" s="525" t="s">
        <v>1320</v>
      </c>
      <c r="M24" s="526"/>
      <c r="N24" s="523" t="s">
        <v>1320</v>
      </c>
      <c r="O24" s="524"/>
      <c r="P24" s="527"/>
      <c r="Q24" s="528"/>
      <c r="R24" s="519"/>
      <c r="S24" s="520"/>
      <c r="T24" s="525" t="s">
        <v>1324</v>
      </c>
      <c r="U24" s="526"/>
      <c r="V24" s="523" t="s">
        <v>1324</v>
      </c>
      <c r="W24" s="524"/>
      <c r="X24" s="527"/>
      <c r="Y24" s="528"/>
      <c r="Z24" s="519"/>
      <c r="AA24" s="520"/>
      <c r="AB24" s="525"/>
      <c r="AC24" s="526"/>
      <c r="AD24" s="523"/>
      <c r="AE24" s="524"/>
      <c r="AF24" s="527"/>
      <c r="AG24" s="528"/>
      <c r="AH24" s="519"/>
      <c r="AI24" s="520"/>
      <c r="AJ24" s="525"/>
      <c r="AK24" s="526"/>
      <c r="AL24" s="523"/>
      <c r="AM24" s="524"/>
    </row>
    <row r="25" spans="2:39" ht="27" customHeight="1">
      <c r="B25" s="502" t="s">
        <v>1733</v>
      </c>
      <c r="C25" s="502"/>
      <c r="D25" s="477"/>
      <c r="E25" s="503"/>
      <c r="F25" s="506"/>
      <c r="G25" s="507"/>
      <c r="H25" s="473"/>
      <c r="I25" s="510"/>
      <c r="J25" s="513"/>
      <c r="K25" s="514"/>
      <c r="L25" s="477" t="s">
        <v>14</v>
      </c>
      <c r="M25" s="503"/>
      <c r="N25" s="506" t="s">
        <v>58</v>
      </c>
      <c r="O25" s="507"/>
      <c r="P25" s="473"/>
      <c r="Q25" s="510"/>
      <c r="R25" s="513"/>
      <c r="S25" s="514"/>
      <c r="T25" s="477" t="s">
        <v>14</v>
      </c>
      <c r="U25" s="503"/>
      <c r="V25" s="506" t="s">
        <v>59</v>
      </c>
      <c r="W25" s="507"/>
      <c r="X25" s="473"/>
      <c r="Y25" s="510"/>
      <c r="Z25" s="513"/>
      <c r="AA25" s="514"/>
      <c r="AB25" s="477"/>
      <c r="AC25" s="503"/>
      <c r="AD25" s="506"/>
      <c r="AE25" s="507"/>
      <c r="AF25" s="473"/>
      <c r="AG25" s="510"/>
      <c r="AH25" s="513"/>
      <c r="AI25" s="514"/>
      <c r="AJ25" s="477" t="s">
        <v>11</v>
      </c>
      <c r="AK25" s="503"/>
      <c r="AL25" s="506" t="s">
        <v>53</v>
      </c>
      <c r="AM25" s="507"/>
    </row>
    <row r="26" spans="2:39" ht="27" customHeight="1">
      <c r="B26" s="502"/>
      <c r="C26" s="502"/>
      <c r="D26" s="504"/>
      <c r="E26" s="505"/>
      <c r="F26" s="508"/>
      <c r="G26" s="509"/>
      <c r="H26" s="511"/>
      <c r="I26" s="512"/>
      <c r="J26" s="515"/>
      <c r="K26" s="516"/>
      <c r="L26" s="504"/>
      <c r="M26" s="505"/>
      <c r="N26" s="508" t="s">
        <v>58</v>
      </c>
      <c r="O26" s="509"/>
      <c r="P26" s="511"/>
      <c r="Q26" s="512"/>
      <c r="R26" s="515"/>
      <c r="S26" s="516"/>
      <c r="T26" s="504"/>
      <c r="U26" s="505"/>
      <c r="V26" s="508" t="s">
        <v>59</v>
      </c>
      <c r="W26" s="509"/>
      <c r="X26" s="511"/>
      <c r="Y26" s="512"/>
      <c r="Z26" s="515"/>
      <c r="AA26" s="516"/>
      <c r="AB26" s="504"/>
      <c r="AC26" s="505"/>
      <c r="AD26" s="508"/>
      <c r="AE26" s="509"/>
      <c r="AF26" s="511"/>
      <c r="AG26" s="512"/>
      <c r="AH26" s="515"/>
      <c r="AI26" s="516"/>
      <c r="AJ26" s="504"/>
      <c r="AK26" s="505"/>
      <c r="AL26" s="508" t="s">
        <v>53</v>
      </c>
      <c r="AM26" s="509"/>
    </row>
    <row r="27" spans="2:39" ht="27" customHeight="1">
      <c r="B27" s="502"/>
      <c r="C27" s="502"/>
      <c r="D27" s="483"/>
      <c r="E27" s="484"/>
      <c r="F27" s="521"/>
      <c r="G27" s="522"/>
      <c r="H27" s="529"/>
      <c r="I27" s="530"/>
      <c r="J27" s="517"/>
      <c r="K27" s="518"/>
      <c r="L27" s="483" t="s">
        <v>1734</v>
      </c>
      <c r="M27" s="484"/>
      <c r="N27" s="521" t="s">
        <v>58</v>
      </c>
      <c r="O27" s="522"/>
      <c r="P27" s="529"/>
      <c r="Q27" s="530"/>
      <c r="R27" s="517"/>
      <c r="S27" s="518"/>
      <c r="T27" s="483" t="s">
        <v>1735</v>
      </c>
      <c r="U27" s="484"/>
      <c r="V27" s="521" t="s">
        <v>1758</v>
      </c>
      <c r="W27" s="522"/>
      <c r="X27" s="529"/>
      <c r="Y27" s="530"/>
      <c r="Z27" s="517"/>
      <c r="AA27" s="518"/>
      <c r="AB27" s="483"/>
      <c r="AC27" s="484"/>
      <c r="AD27" s="521"/>
      <c r="AE27" s="522"/>
      <c r="AF27" s="529"/>
      <c r="AG27" s="530"/>
      <c r="AH27" s="517"/>
      <c r="AI27" s="518"/>
      <c r="AJ27" s="483" t="s">
        <v>1737</v>
      </c>
      <c r="AK27" s="484"/>
      <c r="AL27" s="521" t="s">
        <v>53</v>
      </c>
      <c r="AM27" s="522"/>
    </row>
    <row r="28" spans="2:39" ht="27" customHeight="1">
      <c r="B28" s="502"/>
      <c r="C28" s="502"/>
      <c r="D28" s="525"/>
      <c r="E28" s="526"/>
      <c r="F28" s="523"/>
      <c r="G28" s="524"/>
      <c r="H28" s="527"/>
      <c r="I28" s="528"/>
      <c r="J28" s="519"/>
      <c r="K28" s="520"/>
      <c r="L28" s="525" t="s">
        <v>1302</v>
      </c>
      <c r="M28" s="526"/>
      <c r="N28" s="523" t="s">
        <v>1302</v>
      </c>
      <c r="O28" s="524"/>
      <c r="P28" s="527"/>
      <c r="Q28" s="528"/>
      <c r="R28" s="519"/>
      <c r="S28" s="520"/>
      <c r="T28" s="525" t="s">
        <v>1305</v>
      </c>
      <c r="U28" s="526"/>
      <c r="V28" s="523" t="s">
        <v>1305</v>
      </c>
      <c r="W28" s="524"/>
      <c r="X28" s="527"/>
      <c r="Y28" s="528"/>
      <c r="Z28" s="519"/>
      <c r="AA28" s="520"/>
      <c r="AB28" s="525"/>
      <c r="AC28" s="526"/>
      <c r="AD28" s="523"/>
      <c r="AE28" s="524"/>
      <c r="AF28" s="527"/>
      <c r="AG28" s="528"/>
      <c r="AH28" s="519"/>
      <c r="AI28" s="520"/>
      <c r="AJ28" s="525" t="s">
        <v>1325</v>
      </c>
      <c r="AK28" s="526"/>
      <c r="AL28" s="523" t="s">
        <v>1325</v>
      </c>
      <c r="AM28" s="524"/>
    </row>
    <row r="29" spans="2:39" ht="27" customHeight="1">
      <c r="B29" s="502" t="s">
        <v>1738</v>
      </c>
      <c r="C29" s="502"/>
      <c r="D29" s="477"/>
      <c r="E29" s="503"/>
      <c r="F29" s="506"/>
      <c r="G29" s="507"/>
      <c r="H29" s="473"/>
      <c r="I29" s="510"/>
      <c r="J29" s="513"/>
      <c r="K29" s="514"/>
      <c r="L29" s="477"/>
      <c r="M29" s="503"/>
      <c r="N29" s="506"/>
      <c r="O29" s="507"/>
      <c r="P29" s="473" t="s">
        <v>7</v>
      </c>
      <c r="Q29" s="510"/>
      <c r="R29" s="513" t="s">
        <v>47</v>
      </c>
      <c r="S29" s="514"/>
      <c r="T29" s="477"/>
      <c r="U29" s="503"/>
      <c r="V29" s="506"/>
      <c r="W29" s="507"/>
      <c r="X29" s="473"/>
      <c r="Y29" s="510"/>
      <c r="Z29" s="513"/>
      <c r="AA29" s="514"/>
      <c r="AB29" s="477"/>
      <c r="AC29" s="503"/>
      <c r="AD29" s="506"/>
      <c r="AE29" s="507"/>
      <c r="AF29" s="473"/>
      <c r="AG29" s="510"/>
      <c r="AH29" s="513"/>
      <c r="AI29" s="514"/>
      <c r="AJ29" s="477"/>
      <c r="AK29" s="503"/>
      <c r="AL29" s="506"/>
      <c r="AM29" s="507"/>
    </row>
    <row r="30" spans="2:39" ht="27" customHeight="1">
      <c r="B30" s="502"/>
      <c r="C30" s="502"/>
      <c r="D30" s="504"/>
      <c r="E30" s="505"/>
      <c r="F30" s="508"/>
      <c r="G30" s="509"/>
      <c r="H30" s="511"/>
      <c r="I30" s="512"/>
      <c r="J30" s="515"/>
      <c r="K30" s="516"/>
      <c r="L30" s="504"/>
      <c r="M30" s="505"/>
      <c r="N30" s="508"/>
      <c r="O30" s="509"/>
      <c r="P30" s="511"/>
      <c r="Q30" s="512"/>
      <c r="R30" s="515" t="s">
        <v>47</v>
      </c>
      <c r="S30" s="516"/>
      <c r="T30" s="504"/>
      <c r="U30" s="505"/>
      <c r="V30" s="508"/>
      <c r="W30" s="509"/>
      <c r="X30" s="511"/>
      <c r="Y30" s="512"/>
      <c r="Z30" s="515"/>
      <c r="AA30" s="516"/>
      <c r="AB30" s="504"/>
      <c r="AC30" s="505"/>
      <c r="AD30" s="508"/>
      <c r="AE30" s="509"/>
      <c r="AF30" s="511"/>
      <c r="AG30" s="512"/>
      <c r="AH30" s="515"/>
      <c r="AI30" s="516"/>
      <c r="AJ30" s="504"/>
      <c r="AK30" s="505"/>
      <c r="AL30" s="508"/>
      <c r="AM30" s="509"/>
    </row>
    <row r="31" spans="2:39" ht="27" customHeight="1">
      <c r="B31" s="502"/>
      <c r="C31" s="502"/>
      <c r="D31" s="483"/>
      <c r="E31" s="484"/>
      <c r="F31" s="521"/>
      <c r="G31" s="522"/>
      <c r="H31" s="529"/>
      <c r="I31" s="530"/>
      <c r="J31" s="517"/>
      <c r="K31" s="518"/>
      <c r="L31" s="483"/>
      <c r="M31" s="484"/>
      <c r="N31" s="521"/>
      <c r="O31" s="522"/>
      <c r="P31" s="529" t="s">
        <v>1739</v>
      </c>
      <c r="Q31" s="530"/>
      <c r="R31" s="517" t="s">
        <v>47</v>
      </c>
      <c r="S31" s="518"/>
      <c r="T31" s="483"/>
      <c r="U31" s="484"/>
      <c r="V31" s="521"/>
      <c r="W31" s="522"/>
      <c r="X31" s="529"/>
      <c r="Y31" s="530"/>
      <c r="Z31" s="517"/>
      <c r="AA31" s="518"/>
      <c r="AB31" s="483"/>
      <c r="AC31" s="484"/>
      <c r="AD31" s="521"/>
      <c r="AE31" s="522"/>
      <c r="AF31" s="529"/>
      <c r="AG31" s="530"/>
      <c r="AH31" s="517"/>
      <c r="AI31" s="518"/>
      <c r="AJ31" s="483"/>
      <c r="AK31" s="484"/>
      <c r="AL31" s="521"/>
      <c r="AM31" s="522"/>
    </row>
    <row r="32" spans="2:39" ht="27" customHeight="1">
      <c r="B32" s="502"/>
      <c r="C32" s="502"/>
      <c r="D32" s="525"/>
      <c r="E32" s="526"/>
      <c r="F32" s="523"/>
      <c r="G32" s="524"/>
      <c r="H32" s="527"/>
      <c r="I32" s="528"/>
      <c r="J32" s="519"/>
      <c r="K32" s="520"/>
      <c r="L32" s="525"/>
      <c r="M32" s="526"/>
      <c r="N32" s="523"/>
      <c r="O32" s="524"/>
      <c r="P32" s="527" t="s">
        <v>1273</v>
      </c>
      <c r="Q32" s="528"/>
      <c r="R32" s="519" t="s">
        <v>1273</v>
      </c>
      <c r="S32" s="520"/>
      <c r="T32" s="525"/>
      <c r="U32" s="526"/>
      <c r="V32" s="523"/>
      <c r="W32" s="524"/>
      <c r="X32" s="527"/>
      <c r="Y32" s="528"/>
      <c r="Z32" s="519"/>
      <c r="AA32" s="520"/>
      <c r="AB32" s="525"/>
      <c r="AC32" s="526"/>
      <c r="AD32" s="523"/>
      <c r="AE32" s="524"/>
      <c r="AF32" s="527"/>
      <c r="AG32" s="528"/>
      <c r="AH32" s="519"/>
      <c r="AI32" s="520"/>
      <c r="AJ32" s="525"/>
      <c r="AK32" s="526"/>
      <c r="AL32" s="523"/>
      <c r="AM32" s="524"/>
    </row>
  </sheetData>
  <mergeCells count="343">
    <mergeCell ref="AF32:AG32"/>
    <mergeCell ref="AJ32:AK32"/>
    <mergeCell ref="P31:Q31"/>
    <mergeCell ref="R31:S32"/>
    <mergeCell ref="T31:U31"/>
    <mergeCell ref="V31:W32"/>
    <mergeCell ref="X31:Y31"/>
    <mergeCell ref="Z31:AA32"/>
    <mergeCell ref="D32:E32"/>
    <mergeCell ref="H32:I32"/>
    <mergeCell ref="L32:M32"/>
    <mergeCell ref="P32:Q32"/>
    <mergeCell ref="T32:U32"/>
    <mergeCell ref="X32:Y32"/>
    <mergeCell ref="AB31:AC31"/>
    <mergeCell ref="AD31:AE32"/>
    <mergeCell ref="AF31:AG31"/>
    <mergeCell ref="B25:C28"/>
    <mergeCell ref="H25:I26"/>
    <mergeCell ref="J25:K26"/>
    <mergeCell ref="L25:M26"/>
    <mergeCell ref="AF29:AG30"/>
    <mergeCell ref="AH29:AI30"/>
    <mergeCell ref="AJ29:AK30"/>
    <mergeCell ref="AL29:AM30"/>
    <mergeCell ref="D31:E31"/>
    <mergeCell ref="F31:G32"/>
    <mergeCell ref="H31:I31"/>
    <mergeCell ref="J31:K32"/>
    <mergeCell ref="L31:M31"/>
    <mergeCell ref="N31:O32"/>
    <mergeCell ref="T29:U30"/>
    <mergeCell ref="V29:W30"/>
    <mergeCell ref="X29:Y30"/>
    <mergeCell ref="Z29:AA30"/>
    <mergeCell ref="AB29:AC30"/>
    <mergeCell ref="AD29:AE30"/>
    <mergeCell ref="AH31:AI32"/>
    <mergeCell ref="AJ31:AK31"/>
    <mergeCell ref="AL31:AM32"/>
    <mergeCell ref="AB32:AC32"/>
    <mergeCell ref="B29:C32"/>
    <mergeCell ref="D29:E30"/>
    <mergeCell ref="F29:G30"/>
    <mergeCell ref="H29:I30"/>
    <mergeCell ref="J29:K30"/>
    <mergeCell ref="L29:M30"/>
    <mergeCell ref="N29:O30"/>
    <mergeCell ref="P29:Q30"/>
    <mergeCell ref="R29:S30"/>
    <mergeCell ref="AL27:AM28"/>
    <mergeCell ref="D28:E28"/>
    <mergeCell ref="H28:I28"/>
    <mergeCell ref="L28:M28"/>
    <mergeCell ref="P28:Q28"/>
    <mergeCell ref="T28:U28"/>
    <mergeCell ref="X28:Y28"/>
    <mergeCell ref="AB28:AC28"/>
    <mergeCell ref="V27:W28"/>
    <mergeCell ref="X27:Y27"/>
    <mergeCell ref="Z27:AA28"/>
    <mergeCell ref="AB27:AC27"/>
    <mergeCell ref="AD27:AE28"/>
    <mergeCell ref="AF27:AG27"/>
    <mergeCell ref="AF28:AG28"/>
    <mergeCell ref="AJ28:AK28"/>
    <mergeCell ref="AH27:AI28"/>
    <mergeCell ref="AJ27:AK27"/>
    <mergeCell ref="AL25:AM26"/>
    <mergeCell ref="D27:E27"/>
    <mergeCell ref="F27:G28"/>
    <mergeCell ref="H27:I27"/>
    <mergeCell ref="J27:K28"/>
    <mergeCell ref="L27:M27"/>
    <mergeCell ref="N27:O28"/>
    <mergeCell ref="P27:Q27"/>
    <mergeCell ref="R27:S28"/>
    <mergeCell ref="T27:U27"/>
    <mergeCell ref="Z25:AA26"/>
    <mergeCell ref="AB25:AC26"/>
    <mergeCell ref="AD25:AE26"/>
    <mergeCell ref="AF25:AG26"/>
    <mergeCell ref="AH25:AI26"/>
    <mergeCell ref="AJ25:AK26"/>
    <mergeCell ref="N25:O26"/>
    <mergeCell ref="P25:Q26"/>
    <mergeCell ref="R25:S26"/>
    <mergeCell ref="T25:U26"/>
    <mergeCell ref="V25:W26"/>
    <mergeCell ref="X25:Y26"/>
    <mergeCell ref="D25:E26"/>
    <mergeCell ref="F25:G26"/>
    <mergeCell ref="AJ24:AK24"/>
    <mergeCell ref="Z23:AA24"/>
    <mergeCell ref="AB23:AC23"/>
    <mergeCell ref="AD23:AE24"/>
    <mergeCell ref="AF23:AG23"/>
    <mergeCell ref="AH23:AI24"/>
    <mergeCell ref="AJ23:AK23"/>
    <mergeCell ref="N23:O24"/>
    <mergeCell ref="P23:Q23"/>
    <mergeCell ref="R23:S24"/>
    <mergeCell ref="T23:U23"/>
    <mergeCell ref="V23:W24"/>
    <mergeCell ref="X23:Y23"/>
    <mergeCell ref="AF21:AG22"/>
    <mergeCell ref="AH21:AI22"/>
    <mergeCell ref="AJ21:AK22"/>
    <mergeCell ref="AL21:AM22"/>
    <mergeCell ref="D23:E23"/>
    <mergeCell ref="F23:G24"/>
    <mergeCell ref="H23:I23"/>
    <mergeCell ref="J23:K24"/>
    <mergeCell ref="L23:M23"/>
    <mergeCell ref="R21:S22"/>
    <mergeCell ref="T21:U22"/>
    <mergeCell ref="V21:W22"/>
    <mergeCell ref="X21:Y22"/>
    <mergeCell ref="Z21:AA22"/>
    <mergeCell ref="AB21:AC22"/>
    <mergeCell ref="AL23:AM24"/>
    <mergeCell ref="D24:E24"/>
    <mergeCell ref="H24:I24"/>
    <mergeCell ref="L24:M24"/>
    <mergeCell ref="P24:Q24"/>
    <mergeCell ref="T24:U24"/>
    <mergeCell ref="X24:Y24"/>
    <mergeCell ref="AB24:AC24"/>
    <mergeCell ref="AF24:AG24"/>
    <mergeCell ref="C21:C24"/>
    <mergeCell ref="D21:E22"/>
    <mergeCell ref="F21:G22"/>
    <mergeCell ref="H21:I22"/>
    <mergeCell ref="J21:K22"/>
    <mergeCell ref="L21:M22"/>
    <mergeCell ref="N21:O22"/>
    <mergeCell ref="P21:Q22"/>
    <mergeCell ref="AD21:AE22"/>
    <mergeCell ref="V17:W18"/>
    <mergeCell ref="AF19:AG19"/>
    <mergeCell ref="AH19:AI20"/>
    <mergeCell ref="AJ19:AK19"/>
    <mergeCell ref="AL19:AM20"/>
    <mergeCell ref="D20:E20"/>
    <mergeCell ref="H20:I20"/>
    <mergeCell ref="L20:M20"/>
    <mergeCell ref="P20:Q20"/>
    <mergeCell ref="T20:U20"/>
    <mergeCell ref="X20:Y20"/>
    <mergeCell ref="T19:U19"/>
    <mergeCell ref="V19:W20"/>
    <mergeCell ref="X19:Y19"/>
    <mergeCell ref="Z19:AA20"/>
    <mergeCell ref="AB19:AC19"/>
    <mergeCell ref="AD19:AE20"/>
    <mergeCell ref="AB20:AC20"/>
    <mergeCell ref="AF20:AG20"/>
    <mergeCell ref="AJ20:AK20"/>
    <mergeCell ref="AJ15:AK15"/>
    <mergeCell ref="N15:O16"/>
    <mergeCell ref="P15:Q15"/>
    <mergeCell ref="AJ17:AK18"/>
    <mergeCell ref="AL17:AM18"/>
    <mergeCell ref="D19:E19"/>
    <mergeCell ref="F19:G20"/>
    <mergeCell ref="H19:I19"/>
    <mergeCell ref="J19:K20"/>
    <mergeCell ref="L19:M19"/>
    <mergeCell ref="N19:O20"/>
    <mergeCell ref="P19:Q19"/>
    <mergeCell ref="R19:S20"/>
    <mergeCell ref="X17:Y18"/>
    <mergeCell ref="Z17:AA18"/>
    <mergeCell ref="AB17:AC18"/>
    <mergeCell ref="AD17:AE18"/>
    <mergeCell ref="AF17:AG18"/>
    <mergeCell ref="AH17:AI18"/>
    <mergeCell ref="L17:M18"/>
    <mergeCell ref="N17:O18"/>
    <mergeCell ref="P17:Q18"/>
    <mergeCell ref="R17:S18"/>
    <mergeCell ref="T17:U18"/>
    <mergeCell ref="AJ13:AK14"/>
    <mergeCell ref="AL13:AM14"/>
    <mergeCell ref="Z13:AA14"/>
    <mergeCell ref="AB13:AC14"/>
    <mergeCell ref="B17:B24"/>
    <mergeCell ref="C17:C20"/>
    <mergeCell ref="D17:E18"/>
    <mergeCell ref="F17:G18"/>
    <mergeCell ref="H17:I18"/>
    <mergeCell ref="J17:K18"/>
    <mergeCell ref="AL15:AM16"/>
    <mergeCell ref="D16:E16"/>
    <mergeCell ref="H16:I16"/>
    <mergeCell ref="L16:M16"/>
    <mergeCell ref="P16:Q16"/>
    <mergeCell ref="T16:U16"/>
    <mergeCell ref="X16:Y16"/>
    <mergeCell ref="AB16:AC16"/>
    <mergeCell ref="AF16:AG16"/>
    <mergeCell ref="AJ16:AK16"/>
    <mergeCell ref="Z15:AA16"/>
    <mergeCell ref="AB15:AC15"/>
    <mergeCell ref="AD15:AE16"/>
    <mergeCell ref="AF15:AG15"/>
    <mergeCell ref="V13:W14"/>
    <mergeCell ref="X13:Y14"/>
    <mergeCell ref="R15:S16"/>
    <mergeCell ref="T15:U15"/>
    <mergeCell ref="V15:W16"/>
    <mergeCell ref="X15:Y15"/>
    <mergeCell ref="AD13:AE14"/>
    <mergeCell ref="AF13:AG14"/>
    <mergeCell ref="AH13:AI14"/>
    <mergeCell ref="AH15:AI16"/>
    <mergeCell ref="N13:O14"/>
    <mergeCell ref="P13:Q14"/>
    <mergeCell ref="D15:E15"/>
    <mergeCell ref="F15:G16"/>
    <mergeCell ref="H15:I15"/>
    <mergeCell ref="J15:K16"/>
    <mergeCell ref="L15:M15"/>
    <mergeCell ref="R13:S14"/>
    <mergeCell ref="T13:U14"/>
    <mergeCell ref="AJ11:AK11"/>
    <mergeCell ref="AL11:AM12"/>
    <mergeCell ref="D12:E12"/>
    <mergeCell ref="H12:I12"/>
    <mergeCell ref="L12:M12"/>
    <mergeCell ref="P12:Q12"/>
    <mergeCell ref="T12:U12"/>
    <mergeCell ref="X12:Y12"/>
    <mergeCell ref="T11:U11"/>
    <mergeCell ref="V11:W12"/>
    <mergeCell ref="X11:Y11"/>
    <mergeCell ref="Z11:AA12"/>
    <mergeCell ref="AB11:AC11"/>
    <mergeCell ref="AD11:AE12"/>
    <mergeCell ref="AB12:AC12"/>
    <mergeCell ref="AF12:AG12"/>
    <mergeCell ref="AJ12:AK12"/>
    <mergeCell ref="AJ9:AK10"/>
    <mergeCell ref="AL9:AM10"/>
    <mergeCell ref="D11:E11"/>
    <mergeCell ref="F11:G12"/>
    <mergeCell ref="H11:I11"/>
    <mergeCell ref="J11:K12"/>
    <mergeCell ref="L11:M11"/>
    <mergeCell ref="N11:O12"/>
    <mergeCell ref="P11:Q11"/>
    <mergeCell ref="R11:S12"/>
    <mergeCell ref="X9:Y10"/>
    <mergeCell ref="Z9:AA10"/>
    <mergeCell ref="AB9:AC10"/>
    <mergeCell ref="AD9:AE10"/>
    <mergeCell ref="AF9:AG10"/>
    <mergeCell ref="AH9:AI10"/>
    <mergeCell ref="L9:M10"/>
    <mergeCell ref="N9:O10"/>
    <mergeCell ref="P9:Q10"/>
    <mergeCell ref="R9:S10"/>
    <mergeCell ref="T9:U10"/>
    <mergeCell ref="V9:W10"/>
    <mergeCell ref="AF11:AG11"/>
    <mergeCell ref="AH11:AI12"/>
    <mergeCell ref="B9:B16"/>
    <mergeCell ref="C9:C12"/>
    <mergeCell ref="D9:E10"/>
    <mergeCell ref="F9:G10"/>
    <mergeCell ref="H9:I10"/>
    <mergeCell ref="J9:K10"/>
    <mergeCell ref="AB7:AC7"/>
    <mergeCell ref="AD7:AE8"/>
    <mergeCell ref="AF7:AG7"/>
    <mergeCell ref="D7:E7"/>
    <mergeCell ref="F7:G8"/>
    <mergeCell ref="H7:I7"/>
    <mergeCell ref="J7:K8"/>
    <mergeCell ref="L7:M7"/>
    <mergeCell ref="N7:O8"/>
    <mergeCell ref="D8:E8"/>
    <mergeCell ref="H8:I8"/>
    <mergeCell ref="L8:M8"/>
    <mergeCell ref="C13:C16"/>
    <mergeCell ref="D13:E14"/>
    <mergeCell ref="F13:G14"/>
    <mergeCell ref="H13:I14"/>
    <mergeCell ref="J13:K14"/>
    <mergeCell ref="L13:M14"/>
    <mergeCell ref="P7:Q7"/>
    <mergeCell ref="R7:S8"/>
    <mergeCell ref="T7:U7"/>
    <mergeCell ref="V7:W8"/>
    <mergeCell ref="X7:Y7"/>
    <mergeCell ref="Z7:AA8"/>
    <mergeCell ref="P8:Q8"/>
    <mergeCell ref="T8:U8"/>
    <mergeCell ref="X8:Y8"/>
    <mergeCell ref="T5:U6"/>
    <mergeCell ref="V5:W6"/>
    <mergeCell ref="X5:Y6"/>
    <mergeCell ref="Z5:AA6"/>
    <mergeCell ref="AH7:AI8"/>
    <mergeCell ref="AJ7:AK7"/>
    <mergeCell ref="AL7:AM8"/>
    <mergeCell ref="AB8:AC8"/>
    <mergeCell ref="AF8:AG8"/>
    <mergeCell ref="AJ8:AK8"/>
    <mergeCell ref="AB4:AE4"/>
    <mergeCell ref="AF4:AI4"/>
    <mergeCell ref="AJ4:AM4"/>
    <mergeCell ref="B5:C8"/>
    <mergeCell ref="D5:E6"/>
    <mergeCell ref="F5:G6"/>
    <mergeCell ref="H5:I6"/>
    <mergeCell ref="J5:K6"/>
    <mergeCell ref="L5:M6"/>
    <mergeCell ref="N5:O6"/>
    <mergeCell ref="D4:G4"/>
    <mergeCell ref="H4:K4"/>
    <mergeCell ref="L4:O4"/>
    <mergeCell ref="P4:S4"/>
    <mergeCell ref="T4:W4"/>
    <mergeCell ref="X4:AA4"/>
    <mergeCell ref="AB5:AC6"/>
    <mergeCell ref="AD5:AE6"/>
    <mergeCell ref="AF5:AG6"/>
    <mergeCell ref="AH5:AI6"/>
    <mergeCell ref="AJ5:AK6"/>
    <mergeCell ref="AL5:AM6"/>
    <mergeCell ref="P5:Q6"/>
    <mergeCell ref="R5:S6"/>
    <mergeCell ref="D2:K2"/>
    <mergeCell ref="L2:S2"/>
    <mergeCell ref="T2:AA2"/>
    <mergeCell ref="AB2:AI2"/>
    <mergeCell ref="AJ2:AM2"/>
    <mergeCell ref="D3:K3"/>
    <mergeCell ref="L3:S3"/>
    <mergeCell ref="T3:AA3"/>
    <mergeCell ref="AB3:AI3"/>
    <mergeCell ref="AJ3:AM3"/>
  </mergeCells>
  <phoneticPr fontId="2" type="noConversion"/>
  <printOptions horizontalCentered="1" gridLines="1"/>
  <pageMargins left="0.7" right="0.7" top="0.75" bottom="0.75" header="0.511811023622047" footer="0.511811023622047"/>
  <pageSetup paperSize="9" pageOrder="overThenDown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13F26-C902-4A86-A09F-2B9413421306}">
  <dimension ref="A1:Y83"/>
  <sheetViews>
    <sheetView workbookViewId="0"/>
  </sheetViews>
  <sheetFormatPr defaultRowHeight="22.5"/>
  <cols>
    <col min="1" max="1" width="1" style="41" customWidth="1"/>
    <col min="2" max="2" width="6" style="41" customWidth="1"/>
    <col min="3" max="4" width="9.625" style="41" customWidth="1"/>
    <col min="5" max="23" width="9" style="41"/>
    <col min="24" max="25" width="9.625" style="41" customWidth="1"/>
    <col min="26" max="16384" width="9" style="41"/>
  </cols>
  <sheetData>
    <row r="1" spans="1:25" ht="9" customHeight="1"/>
    <row r="2" spans="1:25">
      <c r="B2" s="50"/>
      <c r="C2" s="50"/>
      <c r="D2" s="50"/>
      <c r="E2" s="50"/>
      <c r="F2" s="49">
        <v>1</v>
      </c>
      <c r="G2" s="49">
        <v>1</v>
      </c>
      <c r="H2" s="49">
        <f xml:space="preserve"> _xlfn.XLOOKUP(H$4, 聲母表[台羅拼音], 聲母表[序號])</f>
        <v>2</v>
      </c>
      <c r="I2" s="49">
        <v>3</v>
      </c>
      <c r="J2" s="49">
        <v>4</v>
      </c>
      <c r="K2" s="49">
        <v>5</v>
      </c>
      <c r="L2" s="49">
        <v>6</v>
      </c>
      <c r="M2" s="49">
        <f xml:space="preserve"> _xlfn.XLOOKUP(M$4, 聲母表[台羅拼音], 聲母表[序號])</f>
        <v>7</v>
      </c>
      <c r="N2" s="49">
        <v>8</v>
      </c>
      <c r="O2" s="49">
        <v>9</v>
      </c>
      <c r="P2" s="49">
        <v>10</v>
      </c>
      <c r="Q2" s="49">
        <v>11</v>
      </c>
      <c r="R2" s="49">
        <v>12</v>
      </c>
      <c r="S2" s="49">
        <v>12</v>
      </c>
      <c r="T2" s="49">
        <v>13</v>
      </c>
      <c r="U2" s="49">
        <f xml:space="preserve"> _xlfn.XLOOKUP(U$4, 聲母表[台羅拼音], 聲母表[序號])</f>
        <v>13</v>
      </c>
      <c r="V2" s="49">
        <v>14</v>
      </c>
      <c r="W2" s="49">
        <v>15</v>
      </c>
      <c r="X2" s="50"/>
      <c r="Y2" s="50"/>
    </row>
    <row r="3" spans="1:25">
      <c r="B3" s="50"/>
      <c r="C3" s="50"/>
      <c r="D3" s="50"/>
      <c r="E3" s="50"/>
      <c r="F3" s="49" t="str">
        <f xml:space="preserve"> _xlfn.XLOOKUP(F$4, 聲母表[台羅拼音], 聲母表[十五音])</f>
        <v>柳</v>
      </c>
      <c r="G3" s="52" t="str">
        <f xml:space="preserve"> _xlfn.XLOOKUP(G$4, 聲母表[台羅拼音], 聲母表[十五音])</f>
        <v>柳</v>
      </c>
      <c r="H3" s="49" t="str">
        <f xml:space="preserve"> _xlfn.XLOOKUP(H$4, 聲母表[台羅拼音], 聲母表[十五音])</f>
        <v>邊</v>
      </c>
      <c r="I3" s="49" t="str">
        <f xml:space="preserve"> _xlfn.XLOOKUP(I$4, 聲母表[台羅拼音], 聲母表[十五音])</f>
        <v>求</v>
      </c>
      <c r="J3" s="49" t="str">
        <f xml:space="preserve"> _xlfn.XLOOKUP(J$4, 聲母表[台羅拼音], 聲母表[十五音])</f>
        <v>去</v>
      </c>
      <c r="K3" s="49" t="str">
        <f xml:space="preserve"> _xlfn.XLOOKUP(K$4, 聲母表[台羅拼音], 聲母表[十五音])</f>
        <v>地</v>
      </c>
      <c r="L3" s="49" t="str">
        <f xml:space="preserve"> _xlfn.XLOOKUP(L$4, 聲母表[台羅拼音], 聲母表[十五音])</f>
        <v>頗</v>
      </c>
      <c r="M3" s="49" t="str">
        <f xml:space="preserve"> _xlfn.XLOOKUP(M$4, 聲母表[台羅拼音], 聲母表[十五音])</f>
        <v>他</v>
      </c>
      <c r="N3" s="49" t="str">
        <f xml:space="preserve"> _xlfn.XLOOKUP(N$4, 聲母表[台羅拼音], 聲母表[十五音])</f>
        <v>曾</v>
      </c>
      <c r="O3" s="49" t="str">
        <f xml:space="preserve"> _xlfn.XLOOKUP(O$4, 聲母表[台羅拼音], 聲母表[十五音])</f>
        <v>入</v>
      </c>
      <c r="P3" s="49" t="str">
        <f xml:space="preserve"> _xlfn.XLOOKUP(P$4, 聲母表[台羅拼音], 聲母表[十五音])</f>
        <v>時</v>
      </c>
      <c r="Q3" s="49" t="str">
        <f xml:space="preserve"> _xlfn.XLOOKUP(Q$4, 聲母表[台羅拼音], 聲母表[十五音])</f>
        <v>英</v>
      </c>
      <c r="R3" s="49" t="str">
        <f xml:space="preserve"> _xlfn.XLOOKUP(R$4, 聲母表[台羅拼音], 聲母表[十五音])</f>
        <v>門</v>
      </c>
      <c r="S3" s="52" t="str">
        <f xml:space="preserve"> _xlfn.XLOOKUP(S$4, 聲母表[台羅拼音], 聲母表[十五音])</f>
        <v>門</v>
      </c>
      <c r="T3" s="49" t="str">
        <f xml:space="preserve"> _xlfn.XLOOKUP(T$4, 聲母表[台羅拼音], 聲母表[十五音])</f>
        <v>語</v>
      </c>
      <c r="U3" s="52" t="str">
        <f xml:space="preserve"> _xlfn.XLOOKUP(U$4, 聲母表[台羅拼音], 聲母表[十五音])</f>
        <v>語</v>
      </c>
      <c r="V3" s="49" t="str">
        <f xml:space="preserve"> _xlfn.XLOOKUP(V$4, 聲母表[台羅拼音], 聲母表[十五音])</f>
        <v>出</v>
      </c>
      <c r="W3" s="49" t="str">
        <f xml:space="preserve"> _xlfn.XLOOKUP(W$4, 聲母表[台羅拼音], 聲母表[十五音])</f>
        <v>喜</v>
      </c>
      <c r="X3" s="50"/>
      <c r="Y3" s="50"/>
    </row>
    <row r="4" spans="1:25">
      <c r="A4" s="95"/>
      <c r="B4" s="103" t="s">
        <v>1056</v>
      </c>
      <c r="C4" s="103" t="s">
        <v>1391</v>
      </c>
      <c r="D4" s="103" t="s">
        <v>1057</v>
      </c>
      <c r="E4" s="103" t="s">
        <v>40</v>
      </c>
      <c r="F4" s="49" t="s">
        <v>47</v>
      </c>
      <c r="G4" s="52" t="s">
        <v>48</v>
      </c>
      <c r="H4" s="49" t="s">
        <v>41</v>
      </c>
      <c r="I4" s="49" t="s">
        <v>49</v>
      </c>
      <c r="J4" s="49" t="s">
        <v>50</v>
      </c>
      <c r="K4" s="49" t="s">
        <v>45</v>
      </c>
      <c r="L4" s="49" t="s">
        <v>42</v>
      </c>
      <c r="M4" s="49" t="s">
        <v>46</v>
      </c>
      <c r="N4" s="49" t="s">
        <v>54</v>
      </c>
      <c r="O4" s="49" t="s">
        <v>60</v>
      </c>
      <c r="P4" s="49" t="s">
        <v>58</v>
      </c>
      <c r="Q4" s="49" t="s">
        <v>327</v>
      </c>
      <c r="R4" s="49" t="s">
        <v>43</v>
      </c>
      <c r="S4" s="52" t="s">
        <v>44</v>
      </c>
      <c r="T4" s="49" t="s">
        <v>51</v>
      </c>
      <c r="U4" s="52" t="s">
        <v>52</v>
      </c>
      <c r="V4" s="49" t="s">
        <v>56</v>
      </c>
      <c r="W4" s="49" t="s">
        <v>53</v>
      </c>
      <c r="X4" s="50"/>
      <c r="Y4" s="50"/>
    </row>
    <row r="5" spans="1:25" ht="7.5" customHeight="1">
      <c r="B5" s="50"/>
      <c r="C5" s="50"/>
      <c r="D5" s="50"/>
      <c r="E5" s="50"/>
      <c r="F5" s="49"/>
      <c r="G5" s="52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52"/>
      <c r="T5" s="49"/>
      <c r="U5" s="52"/>
      <c r="V5" s="49"/>
      <c r="W5" s="49"/>
      <c r="X5" s="50"/>
      <c r="Y5" s="50"/>
    </row>
    <row r="6" spans="1:25">
      <c r="B6" s="50" cm="1">
        <f t="array" ref="B6" xml:space="preserve"> INDEX(韻母表[韻序], MATCH(TRUE, EXACT($C6, 韻母表[十五音]), 0))</f>
        <v>1</v>
      </c>
      <c r="C6" s="50" t="s">
        <v>62</v>
      </c>
      <c r="D6" s="50" t="str" cm="1">
        <f t="array" ref="D6" xml:space="preserve"> IF( INDEX(韻母表[國際音標2], MATCH(TRUE, EXACT($C6, 韻母表[十五音]), 0))&lt;&gt;"",  INDEX(韻母表[國際音標2], MATCH(TRUE, EXACT($C6, 韻母表[十五音]), 0)),  INDEX(韻母表[國際音標], MATCH(TRUE, EXACT($C6, 韻母表[十五音]), 0)))</f>
        <v>un</v>
      </c>
      <c r="E6" s="50" t="str" cm="1">
        <f t="array" ref="E6" xml:space="preserve"> INDEX(韻母表[台羅拼音], MATCH(TRUE, EXACT($C6, 韻母表[十五音]), 0))</f>
        <v>un</v>
      </c>
      <c r="F6" s="53" t="s">
        <v>1034</v>
      </c>
      <c r="G6" s="53"/>
      <c r="H6" s="53" t="s">
        <v>1035</v>
      </c>
      <c r="I6" s="53" t="s">
        <v>1032</v>
      </c>
      <c r="J6" s="53" t="s">
        <v>1033</v>
      </c>
      <c r="K6" s="53" t="s">
        <v>1038</v>
      </c>
      <c r="L6" s="53" t="s">
        <v>1036</v>
      </c>
      <c r="M6" s="53" t="s">
        <v>1039</v>
      </c>
      <c r="N6" s="53" t="s">
        <v>1040</v>
      </c>
      <c r="O6" s="53" t="s">
        <v>1031</v>
      </c>
      <c r="P6" s="53" t="s">
        <v>1037</v>
      </c>
      <c r="Q6" s="53" t="s">
        <v>162</v>
      </c>
      <c r="R6" s="53" t="s">
        <v>1028</v>
      </c>
      <c r="S6" s="53"/>
      <c r="T6" s="53" t="s">
        <v>1029</v>
      </c>
      <c r="U6" s="53"/>
      <c r="V6" s="53" t="s">
        <v>1041</v>
      </c>
      <c r="W6" s="53" t="s">
        <v>1030</v>
      </c>
      <c r="X6" s="50" t="s">
        <v>162</v>
      </c>
      <c r="Y6" s="50" t="s">
        <v>62</v>
      </c>
    </row>
    <row r="7" spans="1:25">
      <c r="B7" s="50" cm="1">
        <f t="array" ref="B7" xml:space="preserve"> INDEX(韻母表[韻序], MATCH(TRUE, EXACT($C7, 韻母表[十五音]), 0))</f>
        <v>1</v>
      </c>
      <c r="C7" s="50" t="s">
        <v>63</v>
      </c>
      <c r="D7" s="50" t="str" cm="1">
        <f t="array" ref="D7" xml:space="preserve"> IF( INDEX(韻母表[國際音標2], MATCH(TRUE, EXACT($C7, 韻母表[十五音]), 0))&lt;&gt;"",  INDEX(韻母表[國際音標2], MATCH(TRUE, EXACT($C7, 韻母表[十五音]), 0)),  INDEX(韻母表[國際音標], MATCH(TRUE, EXACT($C7, 韻母表[十五音]), 0)))</f>
        <v>ut̚</v>
      </c>
      <c r="E7" s="50" t="str" cm="1">
        <f t="array" ref="E7" xml:space="preserve"> INDEX(韻母表[台羅拼音], MATCH(TRUE, EXACT($C7, 韻母表[十五音]), 0))</f>
        <v>ut</v>
      </c>
      <c r="F7" s="53" t="s">
        <v>1046</v>
      </c>
      <c r="G7" s="53"/>
      <c r="H7" s="53" t="s">
        <v>1047</v>
      </c>
      <c r="I7" s="53" t="s">
        <v>1044</v>
      </c>
      <c r="J7" s="53" t="s">
        <v>1045</v>
      </c>
      <c r="K7" s="53" t="s">
        <v>1050</v>
      </c>
      <c r="L7" s="53" t="s">
        <v>1048</v>
      </c>
      <c r="M7" s="53" t="s">
        <v>1051</v>
      </c>
      <c r="N7" s="53" t="s">
        <v>1052</v>
      </c>
      <c r="O7" s="53"/>
      <c r="P7" s="53" t="s">
        <v>1049</v>
      </c>
      <c r="Q7" s="53" t="s">
        <v>163</v>
      </c>
      <c r="R7" s="53" t="s">
        <v>1042</v>
      </c>
      <c r="S7" s="53"/>
      <c r="T7" s="53"/>
      <c r="U7" s="53"/>
      <c r="V7" s="53" t="s">
        <v>1053</v>
      </c>
      <c r="W7" s="53" t="s">
        <v>1043</v>
      </c>
      <c r="X7" s="50" t="s">
        <v>163</v>
      </c>
      <c r="Y7" s="50" t="s">
        <v>63</v>
      </c>
    </row>
    <row r="8" spans="1:25">
      <c r="B8" s="50" cm="1">
        <f t="array" ref="B8" xml:space="preserve"> INDEX(韻母表[韻序], MATCH(TRUE, EXACT($C8, 韻母表[十五音]), 0))</f>
        <v>2</v>
      </c>
      <c r="C8" s="50" t="s">
        <v>64</v>
      </c>
      <c r="D8" s="50" t="str" cm="1">
        <f t="array" ref="D8" xml:space="preserve"> IF( INDEX(韻母表[國際音標2], MATCH(TRUE, EXACT($C8, 韻母表[十五音]), 0))&lt;&gt;"",  INDEX(韻母表[國際音標2], MATCH(TRUE, EXACT($C8, 韻母表[十五音]), 0)),  INDEX(韻母表[國際音標], MATCH(TRUE, EXACT($C8, 韻母表[十五音]), 0)))</f>
        <v>ɪan</v>
      </c>
      <c r="E8" s="50" t="str" cm="1">
        <f t="array" ref="E8" xml:space="preserve"> INDEX(韻母表[台羅拼音], MATCH(TRUE, EXACT($C8, 韻母表[十五音]), 0))</f>
        <v>ian</v>
      </c>
      <c r="F8" s="53" t="s">
        <v>584</v>
      </c>
      <c r="G8" s="53"/>
      <c r="H8" s="53" t="s">
        <v>585</v>
      </c>
      <c r="I8" s="53" t="s">
        <v>582</v>
      </c>
      <c r="J8" s="53" t="s">
        <v>583</v>
      </c>
      <c r="K8" s="53" t="s">
        <v>588</v>
      </c>
      <c r="L8" s="53" t="s">
        <v>586</v>
      </c>
      <c r="M8" s="53" t="s">
        <v>589</v>
      </c>
      <c r="N8" s="53" t="s">
        <v>590</v>
      </c>
      <c r="O8" s="53" t="s">
        <v>581</v>
      </c>
      <c r="P8" s="53" t="s">
        <v>587</v>
      </c>
      <c r="Q8" s="53" t="s">
        <v>164</v>
      </c>
      <c r="R8" s="53" t="s">
        <v>578</v>
      </c>
      <c r="S8" s="53"/>
      <c r="T8" s="53" t="s">
        <v>579</v>
      </c>
      <c r="U8" s="53"/>
      <c r="V8" s="53" t="s">
        <v>591</v>
      </c>
      <c r="W8" s="53" t="s">
        <v>580</v>
      </c>
      <c r="X8" s="50" t="s">
        <v>164</v>
      </c>
      <c r="Y8" s="50" t="s">
        <v>64</v>
      </c>
    </row>
    <row r="9" spans="1:25">
      <c r="B9" s="50" cm="1">
        <f t="array" ref="B9" xml:space="preserve"> INDEX(韻母表[韻序], MATCH(TRUE, EXACT($C9, 韻母表[十五音]), 0))</f>
        <v>2</v>
      </c>
      <c r="C9" s="50" t="s">
        <v>65</v>
      </c>
      <c r="D9" s="50" t="str" cm="1">
        <f t="array" ref="D9" xml:space="preserve"> IF( INDEX(韻母表[國際音標2], MATCH(TRUE, EXACT($C9, 韻母表[十五音]), 0))&lt;&gt;"",  INDEX(韻母表[國際音標2], MATCH(TRUE, EXACT($C9, 韻母表[十五音]), 0)),  INDEX(韻母表[國際音標], MATCH(TRUE, EXACT($C9, 韻母表[十五音]), 0)))</f>
        <v>ɪat̚</v>
      </c>
      <c r="E9" s="50" t="str" cm="1">
        <f t="array" ref="E9" xml:space="preserve"> INDEX(韻母表[台羅拼音], MATCH(TRUE, EXACT($C9, 韻母表[十五音]), 0))</f>
        <v>iat</v>
      </c>
      <c r="F9" s="53" t="s">
        <v>628</v>
      </c>
      <c r="G9" s="53"/>
      <c r="H9" s="53" t="s">
        <v>629</v>
      </c>
      <c r="I9" s="53" t="s">
        <v>626</v>
      </c>
      <c r="J9" s="53" t="s">
        <v>627</v>
      </c>
      <c r="K9" s="53" t="s">
        <v>632</v>
      </c>
      <c r="L9" s="53" t="s">
        <v>630</v>
      </c>
      <c r="M9" s="53" t="s">
        <v>633</v>
      </c>
      <c r="N9" s="53" t="s">
        <v>634</v>
      </c>
      <c r="O9" s="53" t="s">
        <v>625</v>
      </c>
      <c r="P9" s="53" t="s">
        <v>631</v>
      </c>
      <c r="Q9" s="53" t="s">
        <v>165</v>
      </c>
      <c r="R9" s="53" t="s">
        <v>622</v>
      </c>
      <c r="S9" s="53"/>
      <c r="T9" s="53" t="s">
        <v>623</v>
      </c>
      <c r="U9" s="53"/>
      <c r="V9" s="53" t="s">
        <v>635</v>
      </c>
      <c r="W9" s="53" t="s">
        <v>624</v>
      </c>
      <c r="X9" s="50" t="s">
        <v>165</v>
      </c>
      <c r="Y9" s="50" t="s">
        <v>65</v>
      </c>
    </row>
    <row r="10" spans="1:25">
      <c r="B10" s="50" cm="1">
        <f t="array" ref="B10" xml:space="preserve"> INDEX(韻母表[韻序], MATCH(TRUE, EXACT($C10, 韻母表[十五音]), 0))</f>
        <v>3</v>
      </c>
      <c r="C10" s="50" t="s">
        <v>66</v>
      </c>
      <c r="D10" s="50" t="str" cm="1">
        <f t="array" ref="D10" xml:space="preserve"> IF( INDEX(韻母表[國際音標2], MATCH(TRUE, EXACT($C10, 韻母表[十五音]), 0))&lt;&gt;"",  INDEX(韻母表[國際音標2], MATCH(TRUE, EXACT($C10, 韻母表[十五音]), 0)),  INDEX(韻母表[國際音標], MATCH(TRUE, EXACT($C10, 韻母表[十五音]), 0)))</f>
        <v>im</v>
      </c>
      <c r="E10" s="50" t="str" cm="1">
        <f t="array" ref="E10" xml:space="preserve"> INDEX(韻母表[台羅拼音], MATCH(TRUE, EXACT($C10, 韻母表[十五音]), 0))</f>
        <v>im</v>
      </c>
      <c r="F10" s="53" t="s">
        <v>684</v>
      </c>
      <c r="G10" s="53"/>
      <c r="H10" s="53"/>
      <c r="I10" s="53" t="s">
        <v>682</v>
      </c>
      <c r="J10" s="53" t="s">
        <v>683</v>
      </c>
      <c r="K10" s="53" t="s">
        <v>686</v>
      </c>
      <c r="L10" s="53"/>
      <c r="M10" s="53" t="s">
        <v>687</v>
      </c>
      <c r="N10" s="53" t="s">
        <v>688</v>
      </c>
      <c r="O10" s="53" t="s">
        <v>681</v>
      </c>
      <c r="P10" s="53" t="s">
        <v>685</v>
      </c>
      <c r="Q10" s="53" t="s">
        <v>166</v>
      </c>
      <c r="R10" s="53"/>
      <c r="S10" s="53"/>
      <c r="T10" s="53" t="s">
        <v>679</v>
      </c>
      <c r="U10" s="53"/>
      <c r="V10" s="53" t="s">
        <v>689</v>
      </c>
      <c r="W10" s="53" t="s">
        <v>680</v>
      </c>
      <c r="X10" s="50" t="s">
        <v>166</v>
      </c>
      <c r="Y10" s="50" t="s">
        <v>66</v>
      </c>
    </row>
    <row r="11" spans="1:25">
      <c r="B11" s="50" cm="1">
        <f t="array" ref="B11" xml:space="preserve"> INDEX(韻母表[韻序], MATCH(TRUE, EXACT($C11, 韻母表[十五音]), 0))</f>
        <v>3</v>
      </c>
      <c r="C11" s="50" t="s">
        <v>67</v>
      </c>
      <c r="D11" s="50" t="str" cm="1">
        <f t="array" ref="D11" xml:space="preserve"> IF( INDEX(韻母表[國際音標2], MATCH(TRUE, EXACT($C11, 韻母表[十五音]), 0))&lt;&gt;"",  INDEX(韻母表[國際音標2], MATCH(TRUE, EXACT($C11, 韻母表[十五音]), 0)),  INDEX(韻母表[國際音標], MATCH(TRUE, EXACT($C11, 韻母表[十五音]), 0)))</f>
        <v>ip̚</v>
      </c>
      <c r="E11" s="50" t="str" cm="1">
        <f t="array" ref="E11" xml:space="preserve"> INDEX(韻母表[台羅拼音], MATCH(TRUE, EXACT($C11, 韻母表[十五音]), 0))</f>
        <v>ip</v>
      </c>
      <c r="F11" s="53" t="s">
        <v>774</v>
      </c>
      <c r="G11" s="53"/>
      <c r="H11" s="53"/>
      <c r="I11" s="53" t="s">
        <v>772</v>
      </c>
      <c r="J11" s="53" t="s">
        <v>773</v>
      </c>
      <c r="K11" s="53"/>
      <c r="L11" s="53"/>
      <c r="M11" s="53"/>
      <c r="N11" s="53" t="s">
        <v>776</v>
      </c>
      <c r="O11" s="53" t="s">
        <v>771</v>
      </c>
      <c r="P11" s="53" t="s">
        <v>775</v>
      </c>
      <c r="Q11" s="53" t="s">
        <v>167</v>
      </c>
      <c r="R11" s="53"/>
      <c r="S11" s="53"/>
      <c r="T11" s="53"/>
      <c r="U11" s="53"/>
      <c r="V11" s="53" t="s">
        <v>777</v>
      </c>
      <c r="W11" s="53" t="s">
        <v>770</v>
      </c>
      <c r="X11" s="50" t="s">
        <v>167</v>
      </c>
      <c r="Y11" s="50" t="s">
        <v>67</v>
      </c>
    </row>
    <row r="12" spans="1:25">
      <c r="B12" s="50" cm="1">
        <f t="array" ref="B12" xml:space="preserve"> INDEX(韻母表[韻序], MATCH(TRUE, EXACT($C12, 韻母表[十五音]), 0))</f>
        <v>4</v>
      </c>
      <c r="C12" s="50" t="s">
        <v>68</v>
      </c>
      <c r="D12" s="50" t="str" cm="1">
        <f t="array" ref="D12" xml:space="preserve"> IF( INDEX(韻母表[國際音標2], MATCH(TRUE, EXACT($C12, 韻母表[十五音]), 0))&lt;&gt;"",  INDEX(韻母表[國際音標2], MATCH(TRUE, EXACT($C12, 韻母表[十五音]), 0)),  INDEX(韻母表[國際音標], MATCH(TRUE, EXACT($C12, 韻母表[十五音]), 0)))</f>
        <v>ui</v>
      </c>
      <c r="E12" s="50" t="str" cm="1">
        <f t="array" ref="E12" xml:space="preserve"> INDEX(韻母表[台羅拼音], MATCH(TRUE, EXACT($C12, 韻母表[十五音]), 0))</f>
        <v>ui</v>
      </c>
      <c r="F12" s="53" t="s">
        <v>1019</v>
      </c>
      <c r="G12" s="53"/>
      <c r="H12" s="53" t="s">
        <v>1021</v>
      </c>
      <c r="I12" s="53" t="s">
        <v>1017</v>
      </c>
      <c r="J12" s="53" t="s">
        <v>1018</v>
      </c>
      <c r="K12" s="53" t="s">
        <v>1024</v>
      </c>
      <c r="L12" s="53" t="s">
        <v>1022</v>
      </c>
      <c r="M12" s="53" t="s">
        <v>1025</v>
      </c>
      <c r="N12" s="53" t="s">
        <v>1026</v>
      </c>
      <c r="O12" s="53"/>
      <c r="P12" s="53" t="s">
        <v>1023</v>
      </c>
      <c r="Q12" s="53" t="s">
        <v>168</v>
      </c>
      <c r="R12" s="53" t="s">
        <v>1014</v>
      </c>
      <c r="S12" s="53" t="s">
        <v>1020</v>
      </c>
      <c r="T12" s="53" t="s">
        <v>1015</v>
      </c>
      <c r="U12" s="53"/>
      <c r="V12" s="53" t="s">
        <v>1027</v>
      </c>
      <c r="W12" s="53" t="s">
        <v>1016</v>
      </c>
      <c r="X12" s="50" t="s">
        <v>168</v>
      </c>
      <c r="Y12" s="50" t="s">
        <v>68</v>
      </c>
    </row>
    <row r="13" spans="1:25">
      <c r="B13" s="50" cm="1">
        <f t="array" ref="B13" xml:space="preserve"> INDEX(韻母表[韻序], MATCH(TRUE, EXACT($C13, 韻母表[十五音]), 0))</f>
        <v>6</v>
      </c>
      <c r="C13" s="50" t="s">
        <v>72</v>
      </c>
      <c r="D13" s="50" t="str" cm="1">
        <f t="array" ref="D13" xml:space="preserve"> IF( INDEX(韻母表[國際音標2], MATCH(TRUE, EXACT($C13, 韻母表[十五音]), 0))&lt;&gt;"",  INDEX(韻母表[國際音標2], MATCH(TRUE, EXACT($C13, 韻母表[十五音]), 0)),  INDEX(韻母表[國際音標], MATCH(TRUE, EXACT($C13, 韻母表[十五音]), 0)))</f>
        <v>an</v>
      </c>
      <c r="E13" s="50" t="str" cm="1">
        <f t="array" ref="E13" xml:space="preserve"> INDEX(韻母表[台羅拼音], MATCH(TRUE, EXACT($C13, 韻母表[十五音]), 0))</f>
        <v>an</v>
      </c>
      <c r="F13" s="53" t="s">
        <v>407</v>
      </c>
      <c r="G13" s="53"/>
      <c r="H13" s="53" t="s">
        <v>408</v>
      </c>
      <c r="I13" s="53" t="s">
        <v>405</v>
      </c>
      <c r="J13" s="53" t="s">
        <v>406</v>
      </c>
      <c r="K13" s="53" t="s">
        <v>411</v>
      </c>
      <c r="L13" s="53" t="s">
        <v>409</v>
      </c>
      <c r="M13" s="53" t="s">
        <v>412</v>
      </c>
      <c r="N13" s="53" t="s">
        <v>413</v>
      </c>
      <c r="O13" s="53"/>
      <c r="P13" s="53" t="s">
        <v>410</v>
      </c>
      <c r="Q13" s="53" t="s">
        <v>171</v>
      </c>
      <c r="R13" s="53" t="s">
        <v>402</v>
      </c>
      <c r="S13" s="53"/>
      <c r="T13" s="53" t="s">
        <v>403</v>
      </c>
      <c r="U13" s="53"/>
      <c r="V13" s="53" t="s">
        <v>414</v>
      </c>
      <c r="W13" s="53" t="s">
        <v>404</v>
      </c>
      <c r="X13" s="50" t="s">
        <v>171</v>
      </c>
      <c r="Y13" s="50" t="s">
        <v>72</v>
      </c>
    </row>
    <row r="14" spans="1:25">
      <c r="B14" s="50" cm="1">
        <f t="array" ref="B14" xml:space="preserve"> INDEX(韻母表[韻序], MATCH(TRUE, EXACT($C14, 韻母表[十五音]), 0))</f>
        <v>6</v>
      </c>
      <c r="C14" s="50" t="s">
        <v>73</v>
      </c>
      <c r="D14" s="50" t="str" cm="1">
        <f t="array" ref="D14" xml:space="preserve"> IF( INDEX(韻母表[國際音標2], MATCH(TRUE, EXACT($C14, 韻母表[十五音]), 0))&lt;&gt;"",  INDEX(韻母表[國際音標2], MATCH(TRUE, EXACT($C14, 韻母表[十五音]), 0)),  INDEX(韻母表[國際音標], MATCH(TRUE, EXACT($C14, 韻母表[十五音]), 0)))</f>
        <v>at̚</v>
      </c>
      <c r="E14" s="50" t="str" cm="1">
        <f t="array" ref="E14" xml:space="preserve"> INDEX(韻母表[台羅拼音], MATCH(TRUE, EXACT($C14, 韻母表[十五音]), 0))</f>
        <v>at</v>
      </c>
      <c r="F14" s="53" t="s">
        <v>452</v>
      </c>
      <c r="G14" s="53"/>
      <c r="H14" s="53" t="s">
        <v>453</v>
      </c>
      <c r="I14" s="53" t="s">
        <v>450</v>
      </c>
      <c r="J14" s="53" t="s">
        <v>451</v>
      </c>
      <c r="K14" s="53" t="s">
        <v>455</v>
      </c>
      <c r="L14" s="53"/>
      <c r="M14" s="53" t="s">
        <v>456</v>
      </c>
      <c r="N14" s="53" t="s">
        <v>457</v>
      </c>
      <c r="O14" s="53"/>
      <c r="P14" s="53" t="s">
        <v>454</v>
      </c>
      <c r="Q14" s="53" t="s">
        <v>172</v>
      </c>
      <c r="R14" s="53" t="s">
        <v>448</v>
      </c>
      <c r="S14" s="53"/>
      <c r="T14" s="53"/>
      <c r="U14" s="53"/>
      <c r="V14" s="53" t="s">
        <v>458</v>
      </c>
      <c r="W14" s="53" t="s">
        <v>449</v>
      </c>
      <c r="X14" s="50" t="s">
        <v>172</v>
      </c>
      <c r="Y14" s="50" t="s">
        <v>73</v>
      </c>
    </row>
    <row r="15" spans="1:25">
      <c r="B15" s="50" cm="1">
        <f t="array" ref="B15" xml:space="preserve"> INDEX(韻母表[韻序], MATCH(TRUE, EXACT($C15, 韻母表[十五音]), 0))</f>
        <v>7</v>
      </c>
      <c r="C15" s="50" t="s">
        <v>74</v>
      </c>
      <c r="D15" s="50" t="str" cm="1">
        <f t="array" ref="D15" xml:space="preserve"> IF( INDEX(韻母表[國際音標2], MATCH(TRUE, EXACT($C15, 韻母表[十五音]), 0))&lt;&gt;"",  INDEX(韻母表[國際音標2], MATCH(TRUE, EXACT($C15, 韻母表[十五音]), 0)),  INDEX(韻母表[國際音標], MATCH(TRUE, EXACT($C15, 韻母表[十五音]), 0)))</f>
        <v>ɔŋ</v>
      </c>
      <c r="E15" s="50" t="str" cm="1">
        <f t="array" ref="E15" xml:space="preserve"> INDEX(韻母表[台羅拼音], MATCH(TRUE, EXACT($C15, 韻母表[十五音]), 0))</f>
        <v>ong</v>
      </c>
      <c r="F15" s="53" t="s">
        <v>874</v>
      </c>
      <c r="G15" s="53"/>
      <c r="H15" s="53" t="s">
        <v>875</v>
      </c>
      <c r="I15" s="53" t="s">
        <v>872</v>
      </c>
      <c r="J15" s="53" t="s">
        <v>873</v>
      </c>
      <c r="K15" s="53" t="s">
        <v>878</v>
      </c>
      <c r="L15" s="53" t="s">
        <v>876</v>
      </c>
      <c r="M15" s="53" t="s">
        <v>879</v>
      </c>
      <c r="N15" s="53" t="s">
        <v>880</v>
      </c>
      <c r="O15" s="53"/>
      <c r="P15" s="53" t="s">
        <v>877</v>
      </c>
      <c r="Q15" s="53" t="s">
        <v>173</v>
      </c>
      <c r="R15" s="53" t="s">
        <v>869</v>
      </c>
      <c r="S15" s="53"/>
      <c r="T15" s="53" t="s">
        <v>870</v>
      </c>
      <c r="U15" s="53"/>
      <c r="V15" s="53" t="s">
        <v>881</v>
      </c>
      <c r="W15" s="53" t="s">
        <v>871</v>
      </c>
      <c r="X15" s="50" t="s">
        <v>173</v>
      </c>
      <c r="Y15" s="50" t="s">
        <v>74</v>
      </c>
    </row>
    <row r="16" spans="1:25">
      <c r="B16" s="50" cm="1">
        <f t="array" ref="B16" xml:space="preserve"> INDEX(韻母表[韻序], MATCH(TRUE, EXACT($C16, 韻母表[十五音]), 0))</f>
        <v>7</v>
      </c>
      <c r="C16" s="50" t="s">
        <v>75</v>
      </c>
      <c r="D16" s="50" t="str" cm="1">
        <f t="array" ref="D16" xml:space="preserve"> IF( INDEX(韻母表[國際音標2], MATCH(TRUE, EXACT($C16, 韻母表[十五音]), 0))&lt;&gt;"",  INDEX(韻母表[國際音標2], MATCH(TRUE, EXACT($C16, 韻母表[十五音]), 0)),  INDEX(韻母表[國際音標], MATCH(TRUE, EXACT($C16, 韻母表[十五音]), 0)))</f>
        <v>ɔk̚</v>
      </c>
      <c r="E16" s="50" t="str" cm="1">
        <f t="array" ref="E16" xml:space="preserve"> INDEX(韻母表[台羅拼音], MATCH(TRUE, EXACT($C16, 韻母表[十五音]), 0))</f>
        <v>ok</v>
      </c>
      <c r="F16" s="53" t="s">
        <v>859</v>
      </c>
      <c r="G16" s="53"/>
      <c r="H16" s="53" t="s">
        <v>860</v>
      </c>
      <c r="I16" s="53" t="s">
        <v>857</v>
      </c>
      <c r="J16" s="53" t="s">
        <v>858</v>
      </c>
      <c r="K16" s="53" t="s">
        <v>863</v>
      </c>
      <c r="L16" s="53" t="s">
        <v>861</v>
      </c>
      <c r="M16" s="53" t="s">
        <v>864</v>
      </c>
      <c r="N16" s="53" t="s">
        <v>865</v>
      </c>
      <c r="O16" s="53"/>
      <c r="P16" s="53" t="s">
        <v>862</v>
      </c>
      <c r="Q16" s="53" t="s">
        <v>174</v>
      </c>
      <c r="R16" s="53" t="s">
        <v>854</v>
      </c>
      <c r="S16" s="53"/>
      <c r="T16" s="53" t="s">
        <v>855</v>
      </c>
      <c r="U16" s="53"/>
      <c r="V16" s="53" t="s">
        <v>866</v>
      </c>
      <c r="W16" s="53" t="s">
        <v>856</v>
      </c>
      <c r="X16" s="50" t="s">
        <v>174</v>
      </c>
      <c r="Y16" s="50" t="s">
        <v>75</v>
      </c>
    </row>
    <row r="17" spans="2:25">
      <c r="B17" s="50" cm="1">
        <f t="array" ref="B17" xml:space="preserve"> INDEX(韻母表[韻序], MATCH(TRUE, EXACT($C17, 韻母表[十五音]), 0))</f>
        <v>8</v>
      </c>
      <c r="C17" s="50" t="s">
        <v>76</v>
      </c>
      <c r="D17" s="50" t="str" cm="1">
        <f t="array" ref="D17" xml:space="preserve"> IF( INDEX(韻母表[國際音標2], MATCH(TRUE, EXACT($C17, 韻母表[十五音]), 0))&lt;&gt;"",  INDEX(韻母表[國際音標2], MATCH(TRUE, EXACT($C17, 韻母表[十五音]), 0)),  INDEX(韻母表[國際音標], MATCH(TRUE, EXACT($C17, 韻母表[十五音]), 0)))</f>
        <v>uai</v>
      </c>
      <c r="E17" s="50" t="str" cm="1">
        <f t="array" ref="E17" xml:space="preserve"> INDEX(韻母表[台羅拼音], MATCH(TRUE, EXACT($C17, 韻母表[十五音]), 0))</f>
        <v>uai</v>
      </c>
      <c r="F17" s="53"/>
      <c r="G17" s="53"/>
      <c r="H17" s="53"/>
      <c r="I17" s="53" t="s">
        <v>944</v>
      </c>
      <c r="J17" s="53" t="s">
        <v>945</v>
      </c>
      <c r="K17" s="53"/>
      <c r="L17" s="53"/>
      <c r="M17" s="53"/>
      <c r="N17" s="53"/>
      <c r="O17" s="53"/>
      <c r="P17" s="53" t="s">
        <v>946</v>
      </c>
      <c r="Q17" s="53" t="s">
        <v>175</v>
      </c>
      <c r="R17" s="53"/>
      <c r="S17" s="53"/>
      <c r="T17" s="53"/>
      <c r="U17" s="53"/>
      <c r="V17" s="53"/>
      <c r="W17" s="53" t="s">
        <v>943</v>
      </c>
      <c r="X17" s="50" t="s">
        <v>175</v>
      </c>
      <c r="Y17" s="50" t="s">
        <v>76</v>
      </c>
    </row>
    <row r="18" spans="2:25">
      <c r="B18" s="50" cm="1">
        <f t="array" ref="B18" xml:space="preserve"> INDEX(韻母表[韻序], MATCH(TRUE, EXACT($C18, 韻母表[十五音]), 0))</f>
        <v>9</v>
      </c>
      <c r="C18" s="50" t="s">
        <v>78</v>
      </c>
      <c r="D18" s="96" t="str" cm="1">
        <f t="array" ref="D18" xml:space="preserve"> IF( INDEX(韻母表[國際音標2], MATCH(TRUE, EXACT($C18, 韻母表[十五音]), 0))&lt;&gt;"",  INDEX(韻母表[國際音標2], MATCH(TRUE, EXACT($C18, 韻母表[十五音]), 0)),  INDEX(韻母表[國際音標], MATCH(TRUE, EXACT($C18, 韻母表[十五音]), 0)))</f>
        <v>ɛŋ</v>
      </c>
      <c r="E18" s="50" t="str" cm="1">
        <f t="array" ref="E18" xml:space="preserve"> INDEX(韻母表[台羅拼音], MATCH(TRUE, EXACT($C18, 韻母表[十五音]), 0))</f>
        <v>ing</v>
      </c>
      <c r="F18" s="53" t="s">
        <v>709</v>
      </c>
      <c r="G18" s="53"/>
      <c r="H18" s="53" t="s">
        <v>710</v>
      </c>
      <c r="I18" s="53" t="s">
        <v>707</v>
      </c>
      <c r="J18" s="53" t="s">
        <v>708</v>
      </c>
      <c r="K18" s="53" t="s">
        <v>713</v>
      </c>
      <c r="L18" s="53" t="s">
        <v>711</v>
      </c>
      <c r="M18" s="53" t="s">
        <v>714</v>
      </c>
      <c r="N18" s="53" t="s">
        <v>715</v>
      </c>
      <c r="O18" s="53"/>
      <c r="P18" s="53" t="s">
        <v>712</v>
      </c>
      <c r="Q18" s="53" t="s">
        <v>177</v>
      </c>
      <c r="R18" s="53" t="s">
        <v>704</v>
      </c>
      <c r="S18" s="53"/>
      <c r="T18" s="53" t="s">
        <v>705</v>
      </c>
      <c r="U18" s="53"/>
      <c r="V18" s="53" t="s">
        <v>716</v>
      </c>
      <c r="W18" s="53" t="s">
        <v>706</v>
      </c>
      <c r="X18" s="50" t="s">
        <v>177</v>
      </c>
      <c r="Y18" s="50" t="s">
        <v>78</v>
      </c>
    </row>
    <row r="19" spans="2:25">
      <c r="B19" s="50" cm="1">
        <f t="array" ref="B19" xml:space="preserve"> INDEX(韻母表[韻序], MATCH(TRUE, EXACT($C19, 韻母表[十五音]), 0))</f>
        <v>9</v>
      </c>
      <c r="C19" s="50" t="s">
        <v>79</v>
      </c>
      <c r="D19" s="96" t="str" cm="1">
        <f t="array" ref="D19" xml:space="preserve"> IF( INDEX(韻母表[國際音標2], MATCH(TRUE, EXACT($C19, 韻母表[十五音]), 0))&lt;&gt;"",  INDEX(韻母表[國際音標2], MATCH(TRUE, EXACT($C19, 韻母表[十五音]), 0)),  INDEX(韻母表[國際音標], MATCH(TRUE, EXACT($C19, 韻母表[十五音]), 0)))</f>
        <v>ɛk</v>
      </c>
      <c r="E19" s="50" t="str" cm="1">
        <f t="array" ref="E19" xml:space="preserve"> INDEX(韻母表[台羅拼音], MATCH(TRUE, EXACT($C19, 韻母表[十五音]), 0))</f>
        <v>ik</v>
      </c>
      <c r="F19" s="53" t="s">
        <v>671</v>
      </c>
      <c r="G19" s="53"/>
      <c r="H19" s="53" t="s">
        <v>672</v>
      </c>
      <c r="I19" s="53" t="s">
        <v>670</v>
      </c>
      <c r="J19" s="53"/>
      <c r="K19" s="53" t="s">
        <v>675</v>
      </c>
      <c r="L19" s="53" t="s">
        <v>673</v>
      </c>
      <c r="M19" s="53" t="s">
        <v>676</v>
      </c>
      <c r="N19" s="53" t="s">
        <v>677</v>
      </c>
      <c r="O19" s="53"/>
      <c r="P19" s="53" t="s">
        <v>674</v>
      </c>
      <c r="Q19" s="53" t="s">
        <v>178</v>
      </c>
      <c r="R19" s="53" t="s">
        <v>667</v>
      </c>
      <c r="S19" s="53"/>
      <c r="T19" s="53" t="s">
        <v>668</v>
      </c>
      <c r="U19" s="53"/>
      <c r="V19" s="53" t="s">
        <v>678</v>
      </c>
      <c r="W19" s="53" t="s">
        <v>669</v>
      </c>
      <c r="X19" s="50" t="s">
        <v>178</v>
      </c>
      <c r="Y19" s="50" t="s">
        <v>79</v>
      </c>
    </row>
    <row r="20" spans="2:25">
      <c r="B20" s="50" cm="1">
        <f t="array" ref="B20" xml:space="preserve"> INDEX(韻母表[韻序], MATCH(TRUE, EXACT($C20, 韻母表[十五音]), 0))</f>
        <v>10</v>
      </c>
      <c r="C20" s="50" t="s">
        <v>80</v>
      </c>
      <c r="D20" s="50" t="str" cm="1">
        <f t="array" ref="D20" xml:space="preserve"> IF( INDEX(韻母表[國際音標2], MATCH(TRUE, EXACT($C20, 韻母表[十五音]), 0))&lt;&gt;"",  INDEX(韻母表[國際音標2], MATCH(TRUE, EXACT($C20, 韻母表[十五音]), 0)),  INDEX(韻母表[國際音標], MATCH(TRUE, EXACT($C20, 韻母表[十五音]), 0)))</f>
        <v>uan</v>
      </c>
      <c r="E20" s="50" t="str" cm="1">
        <f t="array" ref="E20" xml:space="preserve"> INDEX(韻母表[台羅拼音], MATCH(TRUE, EXACT($C20, 韻母表[十五音]), 0))</f>
        <v>uan</v>
      </c>
      <c r="F20" s="53" t="s">
        <v>956</v>
      </c>
      <c r="G20" s="53"/>
      <c r="H20" s="53" t="s">
        <v>957</v>
      </c>
      <c r="I20" s="53" t="s">
        <v>954</v>
      </c>
      <c r="J20" s="53" t="s">
        <v>955</v>
      </c>
      <c r="K20" s="53" t="s">
        <v>960</v>
      </c>
      <c r="L20" s="53" t="s">
        <v>958</v>
      </c>
      <c r="M20" s="53" t="s">
        <v>961</v>
      </c>
      <c r="N20" s="53" t="s">
        <v>962</v>
      </c>
      <c r="O20" s="53"/>
      <c r="P20" s="53" t="s">
        <v>959</v>
      </c>
      <c r="Q20" s="53" t="s">
        <v>179</v>
      </c>
      <c r="R20" s="53" t="s">
        <v>951</v>
      </c>
      <c r="S20" s="53"/>
      <c r="T20" s="53" t="s">
        <v>952</v>
      </c>
      <c r="U20" s="53"/>
      <c r="V20" s="53" t="s">
        <v>963</v>
      </c>
      <c r="W20" s="53" t="s">
        <v>953</v>
      </c>
      <c r="X20" s="50" t="s">
        <v>179</v>
      </c>
      <c r="Y20" s="50" t="s">
        <v>80</v>
      </c>
    </row>
    <row r="21" spans="2:25">
      <c r="B21" s="50" cm="1">
        <f t="array" ref="B21" xml:space="preserve"> INDEX(韻母表[韻序], MATCH(TRUE, EXACT($C21, 韻母表[十五音]), 0))</f>
        <v>10</v>
      </c>
      <c r="C21" s="50" t="s">
        <v>81</v>
      </c>
      <c r="D21" s="50" t="str" cm="1">
        <f t="array" ref="D21" xml:space="preserve"> IF( INDEX(韻母表[國際音標2], MATCH(TRUE, EXACT($C21, 韻母表[十五音]), 0))&lt;&gt;"",  INDEX(韻母表[國際音標2], MATCH(TRUE, EXACT($C21, 韻母表[十五音]), 0)),  INDEX(韻母表[國際音標], MATCH(TRUE, EXACT($C21, 韻母表[十五音]), 0)))</f>
        <v>uat̚</v>
      </c>
      <c r="E21" s="50" t="str" cm="1">
        <f t="array" ref="E21" xml:space="preserve"> INDEX(韻母表[台羅拼音], MATCH(TRUE, EXACT($C21, 韻母表[十五音]), 0))</f>
        <v>uat</v>
      </c>
      <c r="F21" s="53" t="s">
        <v>979</v>
      </c>
      <c r="G21" s="53"/>
      <c r="H21" s="53" t="s">
        <v>980</v>
      </c>
      <c r="I21" s="53" t="s">
        <v>977</v>
      </c>
      <c r="J21" s="53" t="s">
        <v>978</v>
      </c>
      <c r="K21" s="53" t="s">
        <v>983</v>
      </c>
      <c r="L21" s="53" t="s">
        <v>981</v>
      </c>
      <c r="M21" s="53" t="s">
        <v>984</v>
      </c>
      <c r="N21" s="53" t="s">
        <v>985</v>
      </c>
      <c r="O21" s="53"/>
      <c r="P21" s="53" t="s">
        <v>982</v>
      </c>
      <c r="Q21" s="53" t="s">
        <v>180</v>
      </c>
      <c r="R21" s="53" t="s">
        <v>974</v>
      </c>
      <c r="S21" s="53"/>
      <c r="T21" s="53" t="s">
        <v>975</v>
      </c>
      <c r="U21" s="53"/>
      <c r="V21" s="53"/>
      <c r="W21" s="53" t="s">
        <v>976</v>
      </c>
      <c r="X21" s="50" t="s">
        <v>180</v>
      </c>
      <c r="Y21" s="50" t="s">
        <v>81</v>
      </c>
    </row>
    <row r="22" spans="2:25">
      <c r="B22" s="50" cm="1">
        <f t="array" ref="B22" xml:space="preserve"> INDEX(韻母表[韻序], MATCH(TRUE, EXACT($C22, 韻母表[十五音]), 0))</f>
        <v>11</v>
      </c>
      <c r="C22" s="50" t="s">
        <v>82</v>
      </c>
      <c r="D22" s="96" t="str" cm="1">
        <f t="array" ref="D22" xml:space="preserve"> IF( INDEX(韻母表[國際音標2], MATCH(TRUE, EXACT($C22, 韻母表[十五音]), 0))&lt;&gt;"",  INDEX(韻母表[國際音標2], MATCH(TRUE, EXACT($C22, 韻母表[十五音]), 0)),  INDEX(韻母表[國際音標], MATCH(TRUE, EXACT($C22, 韻母表[十五音]), 0)))</f>
        <v>ou</v>
      </c>
      <c r="E22" s="50" t="str" cm="1">
        <f t="array" ref="E22" xml:space="preserve"> INDEX(韻母表[台羅拼音], MATCH(TRUE, EXACT($C22, 韻母表[十五音]), 0))</f>
        <v>oo</v>
      </c>
      <c r="F22" s="53" t="s">
        <v>890</v>
      </c>
      <c r="G22" s="53" t="s">
        <v>892</v>
      </c>
      <c r="H22" s="53" t="s">
        <v>894</v>
      </c>
      <c r="I22" s="53" t="s">
        <v>888</v>
      </c>
      <c r="J22" s="53" t="s">
        <v>889</v>
      </c>
      <c r="K22" s="53" t="s">
        <v>897</v>
      </c>
      <c r="L22" s="53" t="s">
        <v>895</v>
      </c>
      <c r="M22" s="53" t="s">
        <v>898</v>
      </c>
      <c r="N22" s="53" t="s">
        <v>899</v>
      </c>
      <c r="O22" s="53"/>
      <c r="P22" s="53" t="s">
        <v>896</v>
      </c>
      <c r="Q22" s="53" t="s">
        <v>181</v>
      </c>
      <c r="R22" s="53" t="s">
        <v>885</v>
      </c>
      <c r="S22" s="53" t="s">
        <v>891</v>
      </c>
      <c r="T22" s="53" t="s">
        <v>886</v>
      </c>
      <c r="U22" s="53" t="s">
        <v>893</v>
      </c>
      <c r="V22" s="53" t="s">
        <v>900</v>
      </c>
      <c r="W22" s="53" t="s">
        <v>887</v>
      </c>
      <c r="X22" s="50" t="s">
        <v>181</v>
      </c>
      <c r="Y22" s="50" t="s">
        <v>82</v>
      </c>
    </row>
    <row r="23" spans="2:25">
      <c r="B23" s="50" cm="1">
        <f t="array" ref="B23" xml:space="preserve"> INDEX(韻母表[韻序], MATCH(TRUE, EXACT($C23, 韻母表[十五音]), 0))</f>
        <v>11</v>
      </c>
      <c r="C23" s="50" t="s">
        <v>83</v>
      </c>
      <c r="D23" s="50" t="str" cm="1">
        <f t="array" ref="D23" xml:space="preserve"> IF( INDEX(韻母表[國際音標2], MATCH(TRUE, EXACT($C23, 韻母表[十五音]), 0))&lt;&gt;"",  INDEX(韻母表[國際音標2], MATCH(TRUE, EXACT($C23, 韻母表[十五音]), 0)),  INDEX(韻母表[國際音標], MATCH(TRUE, EXACT($C23, 韻母表[十五音]), 0)))</f>
        <v>ɔh</v>
      </c>
      <c r="E23" s="50" t="str" cm="1">
        <f t="array" ref="E23" xml:space="preserve"> INDEX(韻母表[台羅拼音], MATCH(TRUE, EXACT($C23, 韻母表[十五音]), 0))</f>
        <v>ooh</v>
      </c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 t="s">
        <v>901</v>
      </c>
      <c r="T23" s="53"/>
      <c r="U23" s="53"/>
      <c r="V23" s="53"/>
      <c r="W23" s="53"/>
      <c r="X23" s="50" t="s">
        <v>253</v>
      </c>
      <c r="Y23" s="50" t="s">
        <v>83</v>
      </c>
    </row>
    <row r="24" spans="2:25">
      <c r="B24" s="50" cm="1">
        <f t="array" ref="B24" xml:space="preserve"> INDEX(韻母表[韻序], MATCH(TRUE, EXACT($C24, 韻母表[十五音]), 0))</f>
        <v>12</v>
      </c>
      <c r="C24" s="50" t="s">
        <v>84</v>
      </c>
      <c r="D24" s="50" t="str" cm="1">
        <f t="array" ref="D24" xml:space="preserve"> IF( INDEX(韻母表[國際音標2], MATCH(TRUE, EXACT($C24, 韻母表[十五音]), 0))&lt;&gt;"",  INDEX(韻母表[國際音標2], MATCH(TRUE, EXACT($C24, 韻母表[十五音]), 0)),  INDEX(韻母表[國際音標], MATCH(TRUE, EXACT($C24, 韻母表[十五音]), 0)))</f>
        <v>ɪaʊ</v>
      </c>
      <c r="E24" s="50" t="str" cm="1">
        <f t="array" ref="E24" xml:space="preserve"> INDEX(韻母表[台羅拼音], MATCH(TRUE, EXACT($C24, 韻母表[十五音]), 0))</f>
        <v>iau</v>
      </c>
      <c r="F24" s="53" t="s">
        <v>642</v>
      </c>
      <c r="G24" s="53" t="s">
        <v>644</v>
      </c>
      <c r="H24" s="53" t="s">
        <v>646</v>
      </c>
      <c r="I24" s="53" t="s">
        <v>640</v>
      </c>
      <c r="J24" s="53" t="s">
        <v>641</v>
      </c>
      <c r="K24" s="53" t="s">
        <v>649</v>
      </c>
      <c r="L24" s="53" t="s">
        <v>647</v>
      </c>
      <c r="M24" s="53" t="s">
        <v>650</v>
      </c>
      <c r="N24" s="53" t="s">
        <v>651</v>
      </c>
      <c r="O24" s="53" t="s">
        <v>639</v>
      </c>
      <c r="P24" s="53" t="s">
        <v>648</v>
      </c>
      <c r="Q24" s="53" t="s">
        <v>182</v>
      </c>
      <c r="R24" s="53" t="s">
        <v>636</v>
      </c>
      <c r="S24" s="53" t="s">
        <v>643</v>
      </c>
      <c r="T24" s="53" t="s">
        <v>637</v>
      </c>
      <c r="U24" s="53" t="s">
        <v>645</v>
      </c>
      <c r="V24" s="53" t="s">
        <v>652</v>
      </c>
      <c r="W24" s="53" t="s">
        <v>638</v>
      </c>
      <c r="X24" s="50" t="s">
        <v>182</v>
      </c>
      <c r="Y24" s="50" t="s">
        <v>84</v>
      </c>
    </row>
    <row r="25" spans="2:25">
      <c r="B25" s="50" cm="1">
        <f t="array" ref="B25" xml:space="preserve"> INDEX(韻母表[韻序], MATCH(TRUE, EXACT($C25, 韻母表[十五音]), 0))</f>
        <v>12</v>
      </c>
      <c r="C25" s="50" t="s">
        <v>85</v>
      </c>
      <c r="D25" s="50" t="str" cm="1">
        <f t="array" ref="D25" xml:space="preserve"> IF( INDEX(韻母表[國際音標2], MATCH(TRUE, EXACT($C25, 韻母表[十五音]), 0))&lt;&gt;"",  INDEX(韻母表[國際音標2], MATCH(TRUE, EXACT($C25, 韻母表[十五音]), 0)),  INDEX(韻母表[國際音標], MATCH(TRUE, EXACT($C25, 韻母表[十五音]), 0)))</f>
        <v>ɪaʊʔ</v>
      </c>
      <c r="E25" s="50" t="str" cm="1">
        <f t="array" ref="E25" xml:space="preserve"> INDEX(韻母表[台羅拼音], MATCH(TRUE, EXACT($C25, 韻母表[十五音]), 0))</f>
        <v>iauh</v>
      </c>
      <c r="F25" s="53"/>
      <c r="G25" s="53"/>
      <c r="H25" s="53"/>
      <c r="I25" s="53"/>
      <c r="J25" s="53" t="s">
        <v>654</v>
      </c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 t="s">
        <v>655</v>
      </c>
      <c r="V25" s="53"/>
      <c r="W25" s="53" t="s">
        <v>653</v>
      </c>
      <c r="X25" s="50" t="s">
        <v>183</v>
      </c>
      <c r="Y25" s="50" t="s">
        <v>85</v>
      </c>
    </row>
    <row r="26" spans="2:25">
      <c r="B26" s="50" cm="1">
        <f t="array" ref="B26" xml:space="preserve"> INDEX(韻母表[韻序], MATCH(TRUE, EXACT($C26, 韻母表[十五音]), 0))</f>
        <v>13</v>
      </c>
      <c r="C26" s="50" t="s">
        <v>86</v>
      </c>
      <c r="D26" s="96" t="str" cm="1">
        <f t="array" ref="D26" xml:space="preserve"> IF( INDEX(韻母表[國際音標2], MATCH(TRUE, EXACT($C26, 韻母表[十五音]), 0))&lt;&gt;"",  INDEX(韻母表[國際音標2], MATCH(TRUE, EXACT($C26, 韻母表[十五音]), 0)),  INDEX(韻母表[國際音標], MATCH(TRUE, EXACT($C26, 韻母表[十五音]), 0)))</f>
        <v>ei</v>
      </c>
      <c r="E26" s="50" t="str" cm="1">
        <f t="array" ref="E26" xml:space="preserve"> INDEX(韻母表[台羅拼音], MATCH(TRUE, EXACT($C26, 韻母表[十五音]), 0))</f>
        <v>e</v>
      </c>
      <c r="F26" s="53" t="s">
        <v>487</v>
      </c>
      <c r="G26" s="53" t="s">
        <v>489</v>
      </c>
      <c r="H26" s="53" t="s">
        <v>491</v>
      </c>
      <c r="I26" s="53" t="s">
        <v>485</v>
      </c>
      <c r="J26" s="53" t="s">
        <v>486</v>
      </c>
      <c r="K26" s="53" t="s">
        <v>494</v>
      </c>
      <c r="L26" s="53" t="s">
        <v>492</v>
      </c>
      <c r="M26" s="53" t="s">
        <v>495</v>
      </c>
      <c r="N26" s="53" t="s">
        <v>496</v>
      </c>
      <c r="O26" s="53"/>
      <c r="P26" s="53" t="s">
        <v>493</v>
      </c>
      <c r="Q26" s="53" t="s">
        <v>184</v>
      </c>
      <c r="R26" s="53" t="s">
        <v>482</v>
      </c>
      <c r="S26" s="53" t="s">
        <v>488</v>
      </c>
      <c r="T26" s="53" t="s">
        <v>483</v>
      </c>
      <c r="U26" s="53" t="s">
        <v>490</v>
      </c>
      <c r="V26" s="53" t="s">
        <v>497</v>
      </c>
      <c r="W26" s="53" t="s">
        <v>484</v>
      </c>
      <c r="X26" s="50" t="s">
        <v>184</v>
      </c>
      <c r="Y26" s="50" t="s">
        <v>86</v>
      </c>
    </row>
    <row r="27" spans="2:25">
      <c r="B27" s="50" cm="1">
        <f t="array" ref="B27" xml:space="preserve"> INDEX(韻母表[韻序], MATCH(TRUE, EXACT($C27, 韻母表[十五音]), 0))</f>
        <v>14</v>
      </c>
      <c r="C27" s="50" t="s">
        <v>88</v>
      </c>
      <c r="D27" s="50" t="str" cm="1">
        <f t="array" ref="D27" xml:space="preserve"> IF( INDEX(韻母表[國際音標2], MATCH(TRUE, EXACT($C27, 韻母表[十五音]), 0))&lt;&gt;"",  INDEX(韻母表[國際音標2], MATCH(TRUE, EXACT($C27, 韻母表[十五音]), 0)),  INDEX(韻母表[國際音標], MATCH(TRUE, EXACT($C27, 韻母表[十五音]), 0)))</f>
        <v>ɪɔŋ</v>
      </c>
      <c r="E27" s="50" t="str" cm="1">
        <f t="array" ref="E27" xml:space="preserve"> INDEX(韻母表[台羅拼音], MATCH(TRUE, EXACT($C27, 韻母表[十五音]), 0))</f>
        <v>iong</v>
      </c>
      <c r="F27" s="53" t="s">
        <v>764</v>
      </c>
      <c r="G27" s="53"/>
      <c r="H27" s="53"/>
      <c r="I27" s="53" t="s">
        <v>762</v>
      </c>
      <c r="J27" s="53" t="s">
        <v>763</v>
      </c>
      <c r="K27" s="53" t="s">
        <v>766</v>
      </c>
      <c r="L27" s="53"/>
      <c r="M27" s="53" t="s">
        <v>767</v>
      </c>
      <c r="N27" s="53" t="s">
        <v>768</v>
      </c>
      <c r="O27" s="53" t="s">
        <v>761</v>
      </c>
      <c r="P27" s="53" t="s">
        <v>765</v>
      </c>
      <c r="Q27" s="53" t="s">
        <v>185</v>
      </c>
      <c r="R27" s="53"/>
      <c r="S27" s="53"/>
      <c r="T27" s="53" t="s">
        <v>759</v>
      </c>
      <c r="U27" s="53"/>
      <c r="V27" s="53" t="s">
        <v>769</v>
      </c>
      <c r="W27" s="53" t="s">
        <v>760</v>
      </c>
      <c r="X27" s="50" t="s">
        <v>185</v>
      </c>
      <c r="Y27" s="50" t="s">
        <v>88</v>
      </c>
    </row>
    <row r="28" spans="2:25">
      <c r="B28" s="50" cm="1">
        <f t="array" ref="B28" xml:space="preserve"> INDEX(韻母表[韻序], MATCH(TRUE, EXACT($C28, 韻母表[十五音]), 0))</f>
        <v>14</v>
      </c>
      <c r="C28" s="50" t="s">
        <v>89</v>
      </c>
      <c r="D28" s="50" t="str" cm="1">
        <f t="array" ref="D28" xml:space="preserve"> IF( INDEX(韻母表[國際音標2], MATCH(TRUE, EXACT($C28, 韻母表[十五音]), 0))&lt;&gt;"",  INDEX(韻母表[國際音標2], MATCH(TRUE, EXACT($C28, 韻母表[十五音]), 0)),  INDEX(韻母表[國際音標], MATCH(TRUE, EXACT($C28, 韻母表[十五音]), 0)))</f>
        <v>ɪɔk̚</v>
      </c>
      <c r="E28" s="50" t="str" cm="1">
        <f t="array" ref="E28" xml:space="preserve"> INDEX(韻母表[台羅拼音], MATCH(TRUE, EXACT($C28, 韻母表[十五音]), 0))</f>
        <v>iok</v>
      </c>
      <c r="F28" s="53" t="s">
        <v>753</v>
      </c>
      <c r="G28" s="53"/>
      <c r="H28" s="53"/>
      <c r="I28" s="53" t="s">
        <v>751</v>
      </c>
      <c r="J28" s="53" t="s">
        <v>752</v>
      </c>
      <c r="K28" s="53" t="s">
        <v>755</v>
      </c>
      <c r="L28" s="53"/>
      <c r="M28" s="53" t="s">
        <v>756</v>
      </c>
      <c r="N28" s="53" t="s">
        <v>757</v>
      </c>
      <c r="O28" s="53" t="s">
        <v>750</v>
      </c>
      <c r="P28" s="53" t="s">
        <v>754</v>
      </c>
      <c r="Q28" s="53" t="s">
        <v>186</v>
      </c>
      <c r="R28" s="53"/>
      <c r="S28" s="53"/>
      <c r="T28" s="53" t="s">
        <v>748</v>
      </c>
      <c r="U28" s="53"/>
      <c r="V28" s="53" t="s">
        <v>758</v>
      </c>
      <c r="W28" s="53" t="s">
        <v>749</v>
      </c>
      <c r="X28" s="50" t="s">
        <v>186</v>
      </c>
      <c r="Y28" s="50" t="s">
        <v>89</v>
      </c>
    </row>
    <row r="29" spans="2:25">
      <c r="B29" s="50" cm="1">
        <f t="array" ref="B29" xml:space="preserve"> INDEX(韻母表[韻序], MATCH(TRUE, EXACT($C29, 韻母表[十五音]), 0))</f>
        <v>15</v>
      </c>
      <c r="C29" s="50" t="s">
        <v>90</v>
      </c>
      <c r="D29" s="50" t="str" cm="1">
        <f t="array" ref="D29" xml:space="preserve"> IF( INDEX(韻母表[國際音標2], MATCH(TRUE, EXACT($C29, 韻母表[十五音]), 0))&lt;&gt;"",  INDEX(韻母表[國際音標2], MATCH(TRUE, EXACT($C29, 韻母表[十五音]), 0)),  INDEX(韻母表[國際音標], MATCH(TRUE, EXACT($C29, 韻母表[十五音]), 0)))</f>
        <v>ə</v>
      </c>
      <c r="E29" s="50" t="str" cm="1">
        <f t="array" ref="E29" xml:space="preserve"> INDEX(韻母表[台羅拼音], MATCH(TRUE, EXACT($C29, 韻母表[十五音]), 0))</f>
        <v>o</v>
      </c>
      <c r="F29" s="53" t="s">
        <v>836</v>
      </c>
      <c r="G29" s="53"/>
      <c r="H29" s="53" t="s">
        <v>837</v>
      </c>
      <c r="I29" s="53" t="s">
        <v>834</v>
      </c>
      <c r="J29" s="53" t="s">
        <v>835</v>
      </c>
      <c r="K29" s="53" t="s">
        <v>840</v>
      </c>
      <c r="L29" s="53" t="s">
        <v>838</v>
      </c>
      <c r="M29" s="53" t="s">
        <v>841</v>
      </c>
      <c r="N29" s="53" t="s">
        <v>842</v>
      </c>
      <c r="O29" s="53"/>
      <c r="P29" s="53" t="s">
        <v>839</v>
      </c>
      <c r="Q29" s="53" t="s">
        <v>187</v>
      </c>
      <c r="R29" s="53" t="s">
        <v>831</v>
      </c>
      <c r="S29" s="53"/>
      <c r="T29" s="53" t="s">
        <v>832</v>
      </c>
      <c r="U29" s="53"/>
      <c r="V29" s="53" t="s">
        <v>843</v>
      </c>
      <c r="W29" s="53" t="s">
        <v>833</v>
      </c>
      <c r="X29" s="50" t="s">
        <v>187</v>
      </c>
      <c r="Y29" s="50" t="s">
        <v>90</v>
      </c>
    </row>
    <row r="30" spans="2:25">
      <c r="B30" s="50" cm="1">
        <f t="array" ref="B30" xml:space="preserve"> INDEX(韻母表[韻序], MATCH(TRUE, EXACT($C30, 韻母表[十五音]), 0))</f>
        <v>15</v>
      </c>
      <c r="C30" s="50" t="s">
        <v>91</v>
      </c>
      <c r="D30" s="50" t="str" cm="1">
        <f t="array" ref="D30" xml:space="preserve"> IF( INDEX(韻母表[國際音標2], MATCH(TRUE, EXACT($C30, 韻母表[十五音]), 0))&lt;&gt;"",  INDEX(韻母表[國際音標2], MATCH(TRUE, EXACT($C30, 韻母表[十五音]), 0)),  INDEX(韻母表[國際音標], MATCH(TRUE, EXACT($C30, 韻母表[十五音]), 0)))</f>
        <v>əʔ</v>
      </c>
      <c r="E30" s="50" t="str" cm="1">
        <f t="array" ref="E30" xml:space="preserve"> INDEX(韻母表[台羅拼音], MATCH(TRUE, EXACT($C30, 韻母表[十五音]), 0))</f>
        <v>oh</v>
      </c>
      <c r="F30" s="53" t="s">
        <v>846</v>
      </c>
      <c r="G30" s="53"/>
      <c r="H30" s="53" t="s">
        <v>847</v>
      </c>
      <c r="I30" s="53" t="s">
        <v>845</v>
      </c>
      <c r="J30" s="53"/>
      <c r="K30" s="53" t="s">
        <v>850</v>
      </c>
      <c r="L30" s="53" t="s">
        <v>848</v>
      </c>
      <c r="M30" s="53" t="s">
        <v>851</v>
      </c>
      <c r="N30" s="53" t="s">
        <v>852</v>
      </c>
      <c r="O30" s="53"/>
      <c r="P30" s="53" t="s">
        <v>849</v>
      </c>
      <c r="Q30" s="53" t="s">
        <v>188</v>
      </c>
      <c r="R30" s="53"/>
      <c r="S30" s="53"/>
      <c r="T30" s="53"/>
      <c r="U30" s="53"/>
      <c r="V30" s="53" t="s">
        <v>853</v>
      </c>
      <c r="W30" s="53" t="s">
        <v>844</v>
      </c>
      <c r="X30" s="50" t="s">
        <v>188</v>
      </c>
      <c r="Y30" s="50" t="s">
        <v>91</v>
      </c>
    </row>
    <row r="31" spans="2:25">
      <c r="B31" s="50" cm="1">
        <f t="array" ref="B31" xml:space="preserve"> INDEX(韻母表[韻序], MATCH(TRUE, EXACT($C31, 韻母表[十五音]), 0))</f>
        <v>16</v>
      </c>
      <c r="C31" s="50" t="s">
        <v>92</v>
      </c>
      <c r="D31" s="50" t="str" cm="1">
        <f t="array" ref="D31" xml:space="preserve"> IF( INDEX(韻母表[國際音標2], MATCH(TRUE, EXACT($C31, 韻母表[十五音]), 0))&lt;&gt;"",  INDEX(韻母表[國際音標2], MATCH(TRUE, EXACT($C31, 韻母表[十五音]), 0)),  INDEX(韻母表[國際音標], MATCH(TRUE, EXACT($C31, 韻母表[十五音]), 0)))</f>
        <v>aɪ</v>
      </c>
      <c r="E31" s="50" t="str" cm="1">
        <f t="array" ref="E31" xml:space="preserve"> INDEX(韻母表[台羅拼音], MATCH(TRUE, EXACT($C31, 韻母表[十五音]), 0))</f>
        <v>ai</v>
      </c>
      <c r="F31" s="53" t="s">
        <v>362</v>
      </c>
      <c r="G31" s="53" t="s">
        <v>364</v>
      </c>
      <c r="H31" s="53" t="s">
        <v>366</v>
      </c>
      <c r="I31" s="53" t="s">
        <v>360</v>
      </c>
      <c r="J31" s="53" t="s">
        <v>361</v>
      </c>
      <c r="K31" s="53" t="s">
        <v>369</v>
      </c>
      <c r="L31" s="53" t="s">
        <v>367</v>
      </c>
      <c r="M31" s="53" t="s">
        <v>370</v>
      </c>
      <c r="N31" s="53" t="s">
        <v>371</v>
      </c>
      <c r="O31" s="53"/>
      <c r="P31" s="53" t="s">
        <v>368</v>
      </c>
      <c r="Q31" s="53" t="s">
        <v>189</v>
      </c>
      <c r="R31" s="53" t="s">
        <v>357</v>
      </c>
      <c r="S31" s="53" t="s">
        <v>363</v>
      </c>
      <c r="T31" s="53" t="s">
        <v>358</v>
      </c>
      <c r="U31" s="53" t="s">
        <v>365</v>
      </c>
      <c r="V31" s="53" t="s">
        <v>372</v>
      </c>
      <c r="W31" s="53" t="s">
        <v>359</v>
      </c>
      <c r="X31" s="50" t="s">
        <v>189</v>
      </c>
      <c r="Y31" s="50" t="s">
        <v>92</v>
      </c>
    </row>
    <row r="32" spans="2:25">
      <c r="B32" s="50" cm="1">
        <f t="array" ref="B32" xml:space="preserve"> INDEX(韻母表[韻序], MATCH(TRUE, EXACT($C32, 韻母表[十五音]), 0))</f>
        <v>17</v>
      </c>
      <c r="C32" s="50" t="s">
        <v>94</v>
      </c>
      <c r="D32" s="50" t="str" cm="1">
        <f t="array" ref="D32" xml:space="preserve"> IF( INDEX(韻母表[國際音標2], MATCH(TRUE, EXACT($C32, 韻母表[十五音]), 0))&lt;&gt;"",  INDEX(韻母表[國際音標2], MATCH(TRUE, EXACT($C32, 韻母表[十五音]), 0)),  INDEX(韻母表[國際音標], MATCH(TRUE, EXACT($C32, 韻母表[十五音]), 0)))</f>
        <v>in</v>
      </c>
      <c r="E32" s="50" t="str" cm="1">
        <f t="array" ref="E32" xml:space="preserve"> INDEX(韻母表[台羅拼音], MATCH(TRUE, EXACT($C32, 韻母表[十五音]), 0))</f>
        <v>in</v>
      </c>
      <c r="F32" s="53" t="s">
        <v>696</v>
      </c>
      <c r="G32" s="53"/>
      <c r="H32" s="53" t="s">
        <v>697</v>
      </c>
      <c r="I32" s="53" t="s">
        <v>694</v>
      </c>
      <c r="J32" s="53" t="s">
        <v>695</v>
      </c>
      <c r="K32" s="53" t="s">
        <v>700</v>
      </c>
      <c r="L32" s="53" t="s">
        <v>698</v>
      </c>
      <c r="M32" s="53" t="s">
        <v>701</v>
      </c>
      <c r="N32" s="53" t="s">
        <v>702</v>
      </c>
      <c r="O32" s="53" t="s">
        <v>693</v>
      </c>
      <c r="P32" s="53" t="s">
        <v>699</v>
      </c>
      <c r="Q32" s="53" t="s">
        <v>190</v>
      </c>
      <c r="R32" s="53" t="s">
        <v>690</v>
      </c>
      <c r="S32" s="53"/>
      <c r="T32" s="53" t="s">
        <v>691</v>
      </c>
      <c r="U32" s="53"/>
      <c r="V32" s="53" t="s">
        <v>703</v>
      </c>
      <c r="W32" s="53" t="s">
        <v>692</v>
      </c>
      <c r="X32" s="50" t="s">
        <v>190</v>
      </c>
      <c r="Y32" s="50" t="s">
        <v>94</v>
      </c>
    </row>
    <row r="33" spans="2:25">
      <c r="B33" s="50" cm="1">
        <f t="array" ref="B33" xml:space="preserve"> INDEX(韻母表[韻序], MATCH(TRUE, EXACT($C33, 韻母表[十五音]), 0))</f>
        <v>17</v>
      </c>
      <c r="C33" s="50" t="s">
        <v>95</v>
      </c>
      <c r="D33" s="50" t="str" cm="1">
        <f t="array" ref="D33" xml:space="preserve"> IF( INDEX(韻母表[國際音標2], MATCH(TRUE, EXACT($C33, 韻母表[十五音]), 0))&lt;&gt;"",  INDEX(韻母表[國際音標2], MATCH(TRUE, EXACT($C33, 韻母表[十五音]), 0)),  INDEX(韻母表[國際音標], MATCH(TRUE, EXACT($C33, 韻母表[十五音]), 0)))</f>
        <v>it̚</v>
      </c>
      <c r="E33" s="50" t="str" cm="1">
        <f t="array" ref="E33" xml:space="preserve"> INDEX(韻母表[台羅拼音], MATCH(TRUE, EXACT($C33, 韻母表[十五音]), 0))</f>
        <v>it</v>
      </c>
      <c r="F33" s="53"/>
      <c r="G33" s="53"/>
      <c r="H33" s="53" t="s">
        <v>783</v>
      </c>
      <c r="I33" s="53" t="s">
        <v>781</v>
      </c>
      <c r="J33" s="53" t="s">
        <v>782</v>
      </c>
      <c r="K33" s="53" t="s">
        <v>786</v>
      </c>
      <c r="L33" s="53" t="s">
        <v>784</v>
      </c>
      <c r="M33" s="53"/>
      <c r="N33" s="53" t="s">
        <v>787</v>
      </c>
      <c r="O33" s="53" t="s">
        <v>780</v>
      </c>
      <c r="P33" s="53" t="s">
        <v>785</v>
      </c>
      <c r="Q33" s="53" t="s">
        <v>191</v>
      </c>
      <c r="R33" s="53" t="s">
        <v>778</v>
      </c>
      <c r="S33" s="53"/>
      <c r="T33" s="53"/>
      <c r="U33" s="53"/>
      <c r="V33" s="53" t="s">
        <v>788</v>
      </c>
      <c r="W33" s="53" t="s">
        <v>779</v>
      </c>
      <c r="X33" s="50" t="s">
        <v>191</v>
      </c>
      <c r="Y33" s="50" t="s">
        <v>95</v>
      </c>
    </row>
    <row r="34" spans="2:25">
      <c r="B34" s="50" cm="1">
        <f t="array" ref="B34" xml:space="preserve"> INDEX(韻母表[韻序], MATCH(TRUE, EXACT($C34, 韻母表[十五音]), 0))</f>
        <v>18</v>
      </c>
      <c r="C34" s="50" t="s">
        <v>96</v>
      </c>
      <c r="D34" s="50" t="str" cm="1">
        <f t="array" ref="D34" xml:space="preserve"> IF( INDEX(韻母表[國際音標2], MATCH(TRUE, EXACT($C34, 韻母表[十五音]), 0))&lt;&gt;"",  INDEX(韻母表[國際音標2], MATCH(TRUE, EXACT($C34, 韻母表[十五音]), 0)),  INDEX(韻母表[國際音標], MATCH(TRUE, EXACT($C34, 韻母表[十五音]), 0)))</f>
        <v>ɪaŋ</v>
      </c>
      <c r="E34" s="50" t="str" cm="1">
        <f t="array" ref="E34" xml:space="preserve"> INDEX(韻母表[台羅拼音], MATCH(TRUE, EXACT($C34, 韻母表[十五音]), 0))</f>
        <v>iang</v>
      </c>
      <c r="F34" s="53" t="s">
        <v>596</v>
      </c>
      <c r="G34" s="53"/>
      <c r="H34" s="53" t="s">
        <v>597</v>
      </c>
      <c r="I34" s="53"/>
      <c r="J34" s="53" t="s">
        <v>595</v>
      </c>
      <c r="K34" s="53"/>
      <c r="L34" s="53" t="s">
        <v>598</v>
      </c>
      <c r="M34" s="53"/>
      <c r="N34" s="53" t="s">
        <v>600</v>
      </c>
      <c r="O34" s="53" t="s">
        <v>594</v>
      </c>
      <c r="P34" s="53" t="s">
        <v>599</v>
      </c>
      <c r="Q34" s="53" t="s">
        <v>192</v>
      </c>
      <c r="R34" s="53"/>
      <c r="S34" s="53"/>
      <c r="T34" s="53" t="s">
        <v>592</v>
      </c>
      <c r="U34" s="53"/>
      <c r="V34" s="53" t="s">
        <v>601</v>
      </c>
      <c r="W34" s="53" t="s">
        <v>593</v>
      </c>
      <c r="X34" s="50" t="s">
        <v>192</v>
      </c>
      <c r="Y34" s="50" t="s">
        <v>96</v>
      </c>
    </row>
    <row r="35" spans="2:25">
      <c r="B35" s="50" cm="1">
        <f t="array" ref="B35" xml:space="preserve"> INDEX(韻母表[韻序], MATCH(TRUE, EXACT($C35, 韻母表[十五音]), 0))</f>
        <v>18</v>
      </c>
      <c r="C35" s="50" t="s">
        <v>97</v>
      </c>
      <c r="D35" s="50" t="str" cm="1">
        <f t="array" ref="D35" xml:space="preserve"> IF( INDEX(韻母表[國際音標2], MATCH(TRUE, EXACT($C35, 韻母表[十五音]), 0))&lt;&gt;"",  INDEX(韻母表[國際音標2], MATCH(TRUE, EXACT($C35, 韻母表[十五音]), 0)),  INDEX(韻母表[國際音標], MATCH(TRUE, EXACT($C35, 韻母表[十五音]), 0)))</f>
        <v>ɪak̚</v>
      </c>
      <c r="E35" s="50" t="str" cm="1">
        <f t="array" ref="E35" xml:space="preserve"> INDEX(韻母表[台羅拼音], MATCH(TRUE, EXACT($C35, 韻母表[十五音]), 0))</f>
        <v>iak</v>
      </c>
      <c r="F35" s="53"/>
      <c r="G35" s="53"/>
      <c r="H35" s="53" t="s">
        <v>562</v>
      </c>
      <c r="I35" s="53"/>
      <c r="J35" s="53" t="s">
        <v>561</v>
      </c>
      <c r="K35" s="53" t="s">
        <v>565</v>
      </c>
      <c r="L35" s="53" t="s">
        <v>563</v>
      </c>
      <c r="M35" s="53"/>
      <c r="N35" s="53"/>
      <c r="O35" s="53"/>
      <c r="P35" s="53" t="s">
        <v>564</v>
      </c>
      <c r="Q35" s="53"/>
      <c r="R35" s="53"/>
      <c r="S35" s="53"/>
      <c r="T35" s="53"/>
      <c r="U35" s="53"/>
      <c r="V35" s="53" t="s">
        <v>566</v>
      </c>
      <c r="W35" s="53"/>
      <c r="X35" s="50" t="s">
        <v>193</v>
      </c>
      <c r="Y35" s="50" t="s">
        <v>97</v>
      </c>
    </row>
    <row r="36" spans="2:25">
      <c r="B36" s="50" cm="1">
        <f t="array" ref="B36" xml:space="preserve"> INDEX(韻母表[韻序], MATCH(TRUE, EXACT($C36, 韻母表[十五音]), 0))</f>
        <v>19</v>
      </c>
      <c r="C36" s="50" t="s">
        <v>98</v>
      </c>
      <c r="D36" s="50" t="str" cm="1">
        <f t="array" ref="D36" xml:space="preserve"> IF( INDEX(韻母表[國際音標2], MATCH(TRUE, EXACT($C36, 韻母表[十五音]), 0))&lt;&gt;"",  INDEX(韻母表[國際音標2], MATCH(TRUE, EXACT($C36, 韻母表[十五音]), 0)),  INDEX(韻母表[國際音標], MATCH(TRUE, EXACT($C36, 韻母表[十五音]), 0)))</f>
        <v>am</v>
      </c>
      <c r="E36" s="50" t="str" cm="1">
        <f t="array" ref="E36" xml:space="preserve"> INDEX(韻母表[台羅拼音], MATCH(TRUE, EXACT($C36, 韻母表[十五音]), 0))</f>
        <v>am</v>
      </c>
      <c r="F36" s="53" t="s">
        <v>396</v>
      </c>
      <c r="G36" s="53"/>
      <c r="H36" s="53"/>
      <c r="I36" s="53" t="s">
        <v>394</v>
      </c>
      <c r="J36" s="53" t="s">
        <v>395</v>
      </c>
      <c r="K36" s="53" t="s">
        <v>398</v>
      </c>
      <c r="L36" s="53"/>
      <c r="M36" s="53" t="s">
        <v>399</v>
      </c>
      <c r="N36" s="53" t="s">
        <v>400</v>
      </c>
      <c r="O36" s="53"/>
      <c r="P36" s="53" t="s">
        <v>397</v>
      </c>
      <c r="Q36" s="53" t="s">
        <v>194</v>
      </c>
      <c r="R36" s="53"/>
      <c r="S36" s="53"/>
      <c r="T36" s="53" t="s">
        <v>392</v>
      </c>
      <c r="U36" s="53"/>
      <c r="V36" s="53" t="s">
        <v>401</v>
      </c>
      <c r="W36" s="53" t="s">
        <v>393</v>
      </c>
      <c r="X36" s="50" t="s">
        <v>194</v>
      </c>
      <c r="Y36" s="50" t="s">
        <v>98</v>
      </c>
    </row>
    <row r="37" spans="2:25">
      <c r="B37" s="50" cm="1">
        <f t="array" ref="B37" xml:space="preserve"> INDEX(韻母表[韻序], MATCH(TRUE, EXACT($C37, 韻母表[十五音]), 0))</f>
        <v>19</v>
      </c>
      <c r="C37" s="50" t="s">
        <v>99</v>
      </c>
      <c r="D37" s="50" t="str" cm="1">
        <f t="array" ref="D37" xml:space="preserve"> IF( INDEX(韻母表[國際音標2], MATCH(TRUE, EXACT($C37, 韻母表[十五音]), 0))&lt;&gt;"",  INDEX(韻母表[國際音標2], MATCH(TRUE, EXACT($C37, 韻母表[十五音]), 0)),  INDEX(韻母表[國際音標], MATCH(TRUE, EXACT($C37, 韻母表[十五音]), 0)))</f>
        <v>ap̚</v>
      </c>
      <c r="E37" s="50" t="str" cm="1">
        <f t="array" ref="E37" xml:space="preserve"> INDEX(韻母表[台羅拼音], MATCH(TRUE, EXACT($C37, 韻母表[十五音]), 0))</f>
        <v>ap</v>
      </c>
      <c r="F37" s="53" t="s">
        <v>442</v>
      </c>
      <c r="G37" s="53"/>
      <c r="H37" s="53"/>
      <c r="I37" s="53" t="s">
        <v>440</v>
      </c>
      <c r="J37" s="53" t="s">
        <v>441</v>
      </c>
      <c r="K37" s="53" t="s">
        <v>444</v>
      </c>
      <c r="L37" s="53"/>
      <c r="M37" s="53" t="s">
        <v>445</v>
      </c>
      <c r="N37" s="53" t="s">
        <v>446</v>
      </c>
      <c r="O37" s="53"/>
      <c r="P37" s="53" t="s">
        <v>443</v>
      </c>
      <c r="Q37" s="53" t="s">
        <v>195</v>
      </c>
      <c r="R37" s="53"/>
      <c r="S37" s="53"/>
      <c r="T37" s="53"/>
      <c r="U37" s="53"/>
      <c r="V37" s="53" t="s">
        <v>447</v>
      </c>
      <c r="W37" s="53" t="s">
        <v>439</v>
      </c>
      <c r="X37" s="50" t="s">
        <v>195</v>
      </c>
      <c r="Y37" s="50" t="s">
        <v>99</v>
      </c>
    </row>
    <row r="38" spans="2:25">
      <c r="B38" s="50" cm="1">
        <f t="array" ref="B38" xml:space="preserve"> INDEX(韻母表[韻序], MATCH(TRUE, EXACT($C38, 韻母表[十五音]), 0))</f>
        <v>20</v>
      </c>
      <c r="C38" s="50" t="s">
        <v>100</v>
      </c>
      <c r="D38" s="50" t="str" cm="1">
        <f t="array" ref="D38" xml:space="preserve"> IF( INDEX(韻母表[國際音標2], MATCH(TRUE, EXACT($C38, 韻母表[十五音]), 0))&lt;&gt;"",  INDEX(韻母表[國際音標2], MATCH(TRUE, EXACT($C38, 韻母表[十五音]), 0)),  INDEX(韻母表[國際音標], MATCH(TRUE, EXACT($C38, 韻母表[十五音]), 0)))</f>
        <v>ua</v>
      </c>
      <c r="E38" s="50" t="str" cm="1">
        <f t="array" ref="E38" xml:space="preserve"> INDEX(韻母表[台羅拼音], MATCH(TRUE, EXACT($C38, 韻母表[十五音]), 0))</f>
        <v>ua</v>
      </c>
      <c r="F38" s="53" t="s">
        <v>921</v>
      </c>
      <c r="G38" s="53" t="s">
        <v>923</v>
      </c>
      <c r="H38" s="53" t="s">
        <v>924</v>
      </c>
      <c r="I38" s="53" t="s">
        <v>919</v>
      </c>
      <c r="J38" s="53" t="s">
        <v>920</v>
      </c>
      <c r="K38" s="53" t="s">
        <v>927</v>
      </c>
      <c r="L38" s="53" t="s">
        <v>925</v>
      </c>
      <c r="M38" s="53" t="s">
        <v>928</v>
      </c>
      <c r="N38" s="53" t="s">
        <v>929</v>
      </c>
      <c r="O38" s="53"/>
      <c r="P38" s="53" t="s">
        <v>926</v>
      </c>
      <c r="Q38" s="53" t="s">
        <v>196</v>
      </c>
      <c r="R38" s="53" t="s">
        <v>916</v>
      </c>
      <c r="S38" s="53" t="s">
        <v>922</v>
      </c>
      <c r="T38" s="53" t="s">
        <v>917</v>
      </c>
      <c r="U38" s="53"/>
      <c r="V38" s="53" t="s">
        <v>930</v>
      </c>
      <c r="W38" s="53" t="s">
        <v>918</v>
      </c>
      <c r="X38" s="50" t="s">
        <v>196</v>
      </c>
      <c r="Y38" s="50" t="s">
        <v>100</v>
      </c>
    </row>
    <row r="39" spans="2:25">
      <c r="B39" s="50" cm="1">
        <f t="array" ref="B39" xml:space="preserve"> INDEX(韻母表[韻序], MATCH(TRUE, EXACT($C39, 韻母表[十五音]), 0))</f>
        <v>20</v>
      </c>
      <c r="C39" s="50" t="s">
        <v>101</v>
      </c>
      <c r="D39" s="50" t="str" cm="1">
        <f t="array" ref="D39" xml:space="preserve"> IF( INDEX(韻母表[國際音標2], MATCH(TRUE, EXACT($C39, 韻母表[十五音]), 0))&lt;&gt;"",  INDEX(韻母表[國際音標2], MATCH(TRUE, EXACT($C39, 韻母表[十五音]), 0)),  INDEX(韻母表[國際音標], MATCH(TRUE, EXACT($C39, 韻母表[十五音]), 0)))</f>
        <v>uaʔ</v>
      </c>
      <c r="E39" s="50" t="str" cm="1">
        <f t="array" ref="E39" xml:space="preserve"> INDEX(韻母表[台羅拼音], MATCH(TRUE, EXACT($C39, 韻母表[十五音]), 0))</f>
        <v>uah</v>
      </c>
      <c r="F39" s="53" t="s">
        <v>936</v>
      </c>
      <c r="G39" s="53"/>
      <c r="H39" s="53" t="s">
        <v>937</v>
      </c>
      <c r="I39" s="53" t="s">
        <v>934</v>
      </c>
      <c r="J39" s="53" t="s">
        <v>935</v>
      </c>
      <c r="K39" s="53"/>
      <c r="L39" s="53" t="s">
        <v>938</v>
      </c>
      <c r="M39" s="53" t="s">
        <v>940</v>
      </c>
      <c r="N39" s="53" t="s">
        <v>941</v>
      </c>
      <c r="O39" s="53" t="s">
        <v>933</v>
      </c>
      <c r="P39" s="53" t="s">
        <v>939</v>
      </c>
      <c r="Q39" s="53" t="s">
        <v>197</v>
      </c>
      <c r="R39" s="53" t="s">
        <v>931</v>
      </c>
      <c r="S39" s="53"/>
      <c r="T39" s="53"/>
      <c r="U39" s="53"/>
      <c r="V39" s="53" t="s">
        <v>942</v>
      </c>
      <c r="W39" s="53" t="s">
        <v>932</v>
      </c>
      <c r="X39" s="50" t="s">
        <v>197</v>
      </c>
      <c r="Y39" s="50" t="s">
        <v>101</v>
      </c>
    </row>
    <row r="40" spans="2:25">
      <c r="B40" s="50" cm="1">
        <f t="array" ref="B40" xml:space="preserve"> INDEX(韻母表[韻序], MATCH(TRUE, EXACT($C40, 韻母表[十五音]), 0))</f>
        <v>21</v>
      </c>
      <c r="C40" s="50" t="s">
        <v>102</v>
      </c>
      <c r="D40" s="50" t="str" cm="1">
        <f t="array" ref="D40" xml:space="preserve"> IF( INDEX(韻母表[國際音標2], MATCH(TRUE, EXACT($C40, 韻母表[十五音]), 0))&lt;&gt;"",  INDEX(韻母表[國際音標2], MATCH(TRUE, EXACT($C40, 韻母表[十五音]), 0)),  INDEX(韻母表[國際音標], MATCH(TRUE, EXACT($C40, 韻母表[十五音]), 0)))</f>
        <v>aŋ</v>
      </c>
      <c r="E40" s="50" t="str" cm="1">
        <f t="array" ref="E40" xml:space="preserve"> INDEX(韻母表[台羅拼音], MATCH(TRUE, EXACT($C40, 韻母表[十五音]), 0))</f>
        <v>ang</v>
      </c>
      <c r="F40" s="53" t="s">
        <v>420</v>
      </c>
      <c r="G40" s="53"/>
      <c r="H40" s="53" t="s">
        <v>421</v>
      </c>
      <c r="I40" s="53" t="s">
        <v>418</v>
      </c>
      <c r="J40" s="53" t="s">
        <v>419</v>
      </c>
      <c r="K40" s="53" t="s">
        <v>424</v>
      </c>
      <c r="L40" s="53" t="s">
        <v>422</v>
      </c>
      <c r="M40" s="53" t="s">
        <v>425</v>
      </c>
      <c r="N40" s="53" t="s">
        <v>426</v>
      </c>
      <c r="O40" s="53"/>
      <c r="P40" s="53" t="s">
        <v>423</v>
      </c>
      <c r="Q40" s="53" t="s">
        <v>198</v>
      </c>
      <c r="R40" s="53" t="s">
        <v>415</v>
      </c>
      <c r="S40" s="53"/>
      <c r="T40" s="53" t="s">
        <v>416</v>
      </c>
      <c r="U40" s="53"/>
      <c r="V40" s="53" t="s">
        <v>427</v>
      </c>
      <c r="W40" s="53" t="s">
        <v>417</v>
      </c>
      <c r="X40" s="50" t="s">
        <v>198</v>
      </c>
      <c r="Y40" s="50" t="s">
        <v>102</v>
      </c>
    </row>
    <row r="41" spans="2:25">
      <c r="B41" s="50" cm="1">
        <f t="array" ref="B41" xml:space="preserve"> INDEX(韻母表[韻序], MATCH(TRUE, EXACT($C41, 韻母表[十五音]), 0))</f>
        <v>21</v>
      </c>
      <c r="C41" s="50" t="s">
        <v>103</v>
      </c>
      <c r="D41" s="50" t="str" cm="1">
        <f t="array" ref="D41" xml:space="preserve"> IF( INDEX(韻母表[國際音標2], MATCH(TRUE, EXACT($C41, 韻母表[十五音]), 0))&lt;&gt;"",  INDEX(韻母表[國際音標2], MATCH(TRUE, EXACT($C41, 韻母表[十五音]), 0)),  INDEX(韻母表[國際音標], MATCH(TRUE, EXACT($C41, 韻母表[十五音]), 0)))</f>
        <v>ak̚</v>
      </c>
      <c r="E41" s="50" t="str" cm="1">
        <f t="array" ref="E41" xml:space="preserve"> INDEX(韻母表[台羅拼音], MATCH(TRUE, EXACT($C41, 韻母表[十五音]), 0))</f>
        <v>ak</v>
      </c>
      <c r="F41" s="53" t="s">
        <v>384</v>
      </c>
      <c r="G41" s="53"/>
      <c r="H41" s="53" t="s">
        <v>385</v>
      </c>
      <c r="I41" s="53" t="s">
        <v>382</v>
      </c>
      <c r="J41" s="53" t="s">
        <v>383</v>
      </c>
      <c r="K41" s="53" t="s">
        <v>388</v>
      </c>
      <c r="L41" s="53" t="s">
        <v>386</v>
      </c>
      <c r="M41" s="53" t="s">
        <v>389</v>
      </c>
      <c r="N41" s="53" t="s">
        <v>390</v>
      </c>
      <c r="O41" s="53"/>
      <c r="P41" s="53" t="s">
        <v>387</v>
      </c>
      <c r="Q41" s="53" t="s">
        <v>199</v>
      </c>
      <c r="R41" s="53" t="s">
        <v>379</v>
      </c>
      <c r="S41" s="53"/>
      <c r="T41" s="53" t="s">
        <v>380</v>
      </c>
      <c r="U41" s="53"/>
      <c r="V41" s="53" t="s">
        <v>391</v>
      </c>
      <c r="W41" s="53" t="s">
        <v>381</v>
      </c>
      <c r="X41" s="50" t="s">
        <v>199</v>
      </c>
      <c r="Y41" s="50" t="s">
        <v>103</v>
      </c>
    </row>
    <row r="42" spans="2:25">
      <c r="B42" s="50" cm="1">
        <f t="array" ref="B42" xml:space="preserve"> INDEX(韻母表[韻序], MATCH(TRUE, EXACT($C42, 韻母表[十五音]), 0))</f>
        <v>22</v>
      </c>
      <c r="C42" s="50" t="s">
        <v>104</v>
      </c>
      <c r="D42" s="50" t="str" cm="1">
        <f t="array" ref="D42" xml:space="preserve"> IF( INDEX(韻母表[國際音標2], MATCH(TRUE, EXACT($C42, 韻母表[十五音]), 0))&lt;&gt;"",  INDEX(韻母表[國際音標2], MATCH(TRUE, EXACT($C42, 韻母表[十五音]), 0)),  INDEX(韻母表[國際音標], MATCH(TRUE, EXACT($C42, 韻母表[十五音]), 0)))</f>
        <v>ɪam</v>
      </c>
      <c r="E42" s="50" t="str" cm="1">
        <f t="array" ref="E42" xml:space="preserve"> INDEX(韻母表[台羅拼音], MATCH(TRUE, EXACT($C42, 韻母表[十五音]), 0))</f>
        <v>iam</v>
      </c>
      <c r="F42" s="53" t="s">
        <v>572</v>
      </c>
      <c r="G42" s="53"/>
      <c r="H42" s="53"/>
      <c r="I42" s="53" t="s">
        <v>570</v>
      </c>
      <c r="J42" s="53" t="s">
        <v>571</v>
      </c>
      <c r="K42" s="53" t="s">
        <v>574</v>
      </c>
      <c r="L42" s="53"/>
      <c r="M42" s="53" t="s">
        <v>575</v>
      </c>
      <c r="N42" s="53" t="s">
        <v>576</v>
      </c>
      <c r="O42" s="53" t="s">
        <v>569</v>
      </c>
      <c r="P42" s="53" t="s">
        <v>573</v>
      </c>
      <c r="Q42" s="53" t="s">
        <v>200</v>
      </c>
      <c r="R42" s="53"/>
      <c r="S42" s="53"/>
      <c r="T42" s="53" t="s">
        <v>567</v>
      </c>
      <c r="U42" s="53"/>
      <c r="V42" s="53" t="s">
        <v>577</v>
      </c>
      <c r="W42" s="53" t="s">
        <v>568</v>
      </c>
      <c r="X42" s="50" t="s">
        <v>200</v>
      </c>
      <c r="Y42" s="50" t="s">
        <v>104</v>
      </c>
    </row>
    <row r="43" spans="2:25">
      <c r="B43" s="50" cm="1">
        <f t="array" ref="B43" xml:space="preserve"> INDEX(韻母表[韻序], MATCH(TRUE, EXACT($C43, 韻母表[十五音]), 0))</f>
        <v>22</v>
      </c>
      <c r="C43" s="50" t="s">
        <v>105</v>
      </c>
      <c r="D43" s="50" t="str" cm="1">
        <f t="array" ref="D43" xml:space="preserve"> IF( INDEX(韻母表[國際音標2], MATCH(TRUE, EXACT($C43, 韻母表[十五音]), 0))&lt;&gt;"",  INDEX(韻母表[國際音標2], MATCH(TRUE, EXACT($C43, 韻母表[十五音]), 0)),  INDEX(韻母表[國際音標], MATCH(TRUE, EXACT($C43, 韻母表[十五音]), 0)))</f>
        <v>ɪap̚</v>
      </c>
      <c r="E43" s="50" t="str" cm="1">
        <f t="array" ref="E43" xml:space="preserve"> INDEX(韻母表[台羅拼音], MATCH(TRUE, EXACT($C43, 韻母表[十五音]), 0))</f>
        <v>iap</v>
      </c>
      <c r="F43" s="53" t="s">
        <v>616</v>
      </c>
      <c r="G43" s="53"/>
      <c r="H43" s="53"/>
      <c r="I43" s="53" t="s">
        <v>614</v>
      </c>
      <c r="J43" s="53" t="s">
        <v>615</v>
      </c>
      <c r="K43" s="53" t="s">
        <v>618</v>
      </c>
      <c r="L43" s="53"/>
      <c r="M43" s="53" t="s">
        <v>619</v>
      </c>
      <c r="N43" s="53" t="s">
        <v>620</v>
      </c>
      <c r="O43" s="53" t="s">
        <v>613</v>
      </c>
      <c r="P43" s="53" t="s">
        <v>617</v>
      </c>
      <c r="Q43" s="53" t="s">
        <v>201</v>
      </c>
      <c r="R43" s="53"/>
      <c r="S43" s="53"/>
      <c r="T43" s="53" t="s">
        <v>611</v>
      </c>
      <c r="U43" s="53"/>
      <c r="V43" s="53" t="s">
        <v>621</v>
      </c>
      <c r="W43" s="53" t="s">
        <v>612</v>
      </c>
      <c r="X43" s="50" t="s">
        <v>201</v>
      </c>
      <c r="Y43" s="50" t="s">
        <v>105</v>
      </c>
    </row>
    <row r="44" spans="2:25">
      <c r="B44" s="50" cm="1">
        <f t="array" ref="B44" xml:space="preserve"> INDEX(韻母表[韻序], MATCH(TRUE, EXACT($C44, 韻母表[十五音]), 0))</f>
        <v>23</v>
      </c>
      <c r="C44" s="50" t="s">
        <v>106</v>
      </c>
      <c r="D44" s="50" t="str" cm="1">
        <f t="array" ref="D44" xml:space="preserve"> IF( INDEX(韻母表[國際音標2], MATCH(TRUE, EXACT($C44, 韻母表[十五音]), 0))&lt;&gt;"",  INDEX(韻母表[國際音標2], MATCH(TRUE, EXACT($C44, 韻母表[十五音]), 0)),  INDEX(韻母表[國際音標], MATCH(TRUE, EXACT($C44, 韻母表[十五音]), 0)))</f>
        <v>aʊ</v>
      </c>
      <c r="E44" s="50" t="str" cm="1">
        <f t="array" ref="E44" xml:space="preserve"> INDEX(韻母表[台羅拼音], MATCH(TRUE, EXACT($C44, 韻母表[十五音]), 0))</f>
        <v>au</v>
      </c>
      <c r="F44" s="53" t="s">
        <v>464</v>
      </c>
      <c r="G44" s="53" t="s">
        <v>466</v>
      </c>
      <c r="H44" s="53" t="s">
        <v>468</v>
      </c>
      <c r="I44" s="53" t="s">
        <v>462</v>
      </c>
      <c r="J44" s="53" t="s">
        <v>463</v>
      </c>
      <c r="K44" s="53" t="s">
        <v>471</v>
      </c>
      <c r="L44" s="53" t="s">
        <v>469</v>
      </c>
      <c r="M44" s="53" t="s">
        <v>472</v>
      </c>
      <c r="N44" s="53" t="s">
        <v>473</v>
      </c>
      <c r="O44" s="53"/>
      <c r="P44" s="53" t="s">
        <v>470</v>
      </c>
      <c r="Q44" s="53" t="s">
        <v>202</v>
      </c>
      <c r="R44" s="53" t="s">
        <v>459</v>
      </c>
      <c r="S44" s="53" t="s">
        <v>465</v>
      </c>
      <c r="T44" s="53" t="s">
        <v>460</v>
      </c>
      <c r="U44" s="53" t="s">
        <v>467</v>
      </c>
      <c r="V44" s="53" t="s">
        <v>474</v>
      </c>
      <c r="W44" s="53" t="s">
        <v>461</v>
      </c>
      <c r="X44" s="50" t="s">
        <v>202</v>
      </c>
      <c r="Y44" s="50" t="s">
        <v>106</v>
      </c>
    </row>
    <row r="45" spans="2:25">
      <c r="B45" s="50" cm="1">
        <f t="array" ref="B45" xml:space="preserve"> INDEX(韻母表[韻序], MATCH(TRUE, EXACT($C45, 韻母表[十五音]), 0))</f>
        <v>23</v>
      </c>
      <c r="C45" s="50" t="s">
        <v>107</v>
      </c>
      <c r="D45" s="50" t="str" cm="1">
        <f t="array" ref="D45" xml:space="preserve"> IF( INDEX(韻母表[國際音標2], MATCH(TRUE, EXACT($C45, 韻母表[十五音]), 0))&lt;&gt;"",  INDEX(韻母表[國際音標2], MATCH(TRUE, EXACT($C45, 韻母表[十五音]), 0)),  INDEX(韻母表[國際音標], MATCH(TRUE, EXACT($C45, 韻母表[十五音]), 0)))</f>
        <v>auʔ</v>
      </c>
      <c r="E45" s="50" t="str" cm="1">
        <f t="array" ref="E45" xml:space="preserve"> INDEX(韻母表[台羅拼音], MATCH(TRUE, EXACT($C45, 韻母表[十五音]), 0))</f>
        <v>auh</v>
      </c>
      <c r="F45" s="53" t="s">
        <v>476</v>
      </c>
      <c r="G45" s="53" t="s">
        <v>478</v>
      </c>
      <c r="H45" s="53"/>
      <c r="I45" s="53" t="s">
        <v>475</v>
      </c>
      <c r="J45" s="53"/>
      <c r="K45" s="53" t="s">
        <v>480</v>
      </c>
      <c r="L45" s="53" t="s">
        <v>479</v>
      </c>
      <c r="M45" s="53"/>
      <c r="N45" s="53"/>
      <c r="O45" s="53"/>
      <c r="P45" s="53"/>
      <c r="Q45" s="53"/>
      <c r="R45" s="53"/>
      <c r="S45" s="53" t="s">
        <v>477</v>
      </c>
      <c r="T45" s="53"/>
      <c r="U45" s="53"/>
      <c r="V45" s="53" t="s">
        <v>481</v>
      </c>
      <c r="W45" s="53"/>
      <c r="X45" s="50" t="s">
        <v>203</v>
      </c>
      <c r="Y45" s="50" t="s">
        <v>107</v>
      </c>
    </row>
    <row r="46" spans="2:25">
      <c r="B46" s="50" cm="1">
        <f t="array" ref="B46" xml:space="preserve"> INDEX(韻母表[韻序], MATCH(TRUE, EXACT($C46, 韻母表[十五音]), 0))</f>
        <v>24</v>
      </c>
      <c r="C46" s="50" t="s">
        <v>108</v>
      </c>
      <c r="D46" s="50" t="str" cm="1">
        <f t="array" ref="D46" xml:space="preserve"> IF( INDEX(韻母表[國際音標2], MATCH(TRUE, EXACT($C46, 韻母表[十五音]), 0))&lt;&gt;"",  INDEX(韻母表[國際音標2], MATCH(TRUE, EXACT($C46, 韻母表[十五音]), 0)),  INDEX(韻母表[國際音標], MATCH(TRUE, EXACT($C46, 韻母表[十五音]), 0)))</f>
        <v>ɪa</v>
      </c>
      <c r="E46" s="50" t="str" cm="1">
        <f t="array" ref="E46" xml:space="preserve"> INDEX(韻母表[台羅拼音], MATCH(TRUE, EXACT($C46, 韻母表[十五音]), 0))</f>
        <v>ia</v>
      </c>
      <c r="F46" s="53"/>
      <c r="G46" s="53" t="s">
        <v>543</v>
      </c>
      <c r="H46" s="53"/>
      <c r="I46" s="53" t="s">
        <v>540</v>
      </c>
      <c r="J46" s="53" t="s">
        <v>541</v>
      </c>
      <c r="K46" s="53" t="s">
        <v>546</v>
      </c>
      <c r="L46" s="53"/>
      <c r="M46" s="53"/>
      <c r="N46" s="53" t="s">
        <v>547</v>
      </c>
      <c r="O46" s="53" t="s">
        <v>539</v>
      </c>
      <c r="P46" s="53" t="s">
        <v>545</v>
      </c>
      <c r="Q46" s="53" t="s">
        <v>204</v>
      </c>
      <c r="R46" s="53"/>
      <c r="S46" s="53" t="s">
        <v>542</v>
      </c>
      <c r="T46" s="53" t="s">
        <v>537</v>
      </c>
      <c r="U46" s="53" t="s">
        <v>544</v>
      </c>
      <c r="V46" s="53" t="s">
        <v>548</v>
      </c>
      <c r="W46" s="53" t="s">
        <v>538</v>
      </c>
      <c r="X46" s="50" t="s">
        <v>204</v>
      </c>
      <c r="Y46" s="50" t="s">
        <v>108</v>
      </c>
    </row>
    <row r="47" spans="2:25">
      <c r="B47" s="50" cm="1">
        <f t="array" ref="B47" xml:space="preserve"> INDEX(韻母表[韻序], MATCH(TRUE, EXACT($C47, 韻母表[十五音]), 0))</f>
        <v>24</v>
      </c>
      <c r="C47" s="50" t="s">
        <v>109</v>
      </c>
      <c r="D47" s="50" t="str" cm="1">
        <f t="array" ref="D47" xml:space="preserve"> IF( INDEX(韻母表[國際音標2], MATCH(TRUE, EXACT($C47, 韻母表[十五音]), 0))&lt;&gt;"",  INDEX(韻母表[國際音標2], MATCH(TRUE, EXACT($C47, 韻母表[十五音]), 0)),  INDEX(韻母表[國際音標], MATCH(TRUE, EXACT($C47, 韻母表[十五音]), 0)))</f>
        <v>ɪaʔ</v>
      </c>
      <c r="E47" s="50" t="str" cm="1">
        <f t="array" ref="E47" xml:space="preserve"> INDEX(韻母表[台羅拼音], MATCH(TRUE, EXACT($C47, 韻母表[十五音]), 0))</f>
        <v>iah</v>
      </c>
      <c r="F47" s="53" t="s">
        <v>553</v>
      </c>
      <c r="G47" s="53"/>
      <c r="H47" s="53" t="s">
        <v>554</v>
      </c>
      <c r="I47" s="53" t="s">
        <v>551</v>
      </c>
      <c r="J47" s="53" t="s">
        <v>552</v>
      </c>
      <c r="K47" s="53" t="s">
        <v>557</v>
      </c>
      <c r="L47" s="53" t="s">
        <v>555</v>
      </c>
      <c r="M47" s="53" t="s">
        <v>558</v>
      </c>
      <c r="N47" s="53" t="s">
        <v>559</v>
      </c>
      <c r="O47" s="53"/>
      <c r="P47" s="53" t="s">
        <v>556</v>
      </c>
      <c r="Q47" s="53" t="s">
        <v>205</v>
      </c>
      <c r="R47" s="53"/>
      <c r="S47" s="53"/>
      <c r="T47" s="53" t="s">
        <v>549</v>
      </c>
      <c r="U47" s="53"/>
      <c r="V47" s="53" t="s">
        <v>560</v>
      </c>
      <c r="W47" s="53" t="s">
        <v>550</v>
      </c>
      <c r="X47" s="50" t="s">
        <v>205</v>
      </c>
      <c r="Y47" s="50" t="s">
        <v>109</v>
      </c>
    </row>
    <row r="48" spans="2:25">
      <c r="B48" s="50" cm="1">
        <f t="array" ref="B48" xml:space="preserve"> INDEX(韻母表[韻序], MATCH(TRUE, EXACT($C48, 韻母表[十五音]), 0))</f>
        <v>25</v>
      </c>
      <c r="C48" s="50" t="s">
        <v>110</v>
      </c>
      <c r="D48" s="96" t="str" cm="1">
        <f t="array" ref="D48" xml:space="preserve"> IF( INDEX(韻母表[國際音標2], MATCH(TRUE, EXACT($C48, 韻母表[十五音]), 0))&lt;&gt;"",  INDEX(韻母表[國際音標2], MATCH(TRUE, EXACT($C48, 韻母表[十五音]), 0)),  INDEX(韻母表[國際音標], MATCH(TRUE, EXACT($C48, 韻母表[十五音]), 0)))</f>
        <v>uei</v>
      </c>
      <c r="E48" s="50" t="str" cm="1">
        <f t="array" ref="E48" xml:space="preserve"> INDEX(韻母表[台羅拼音], MATCH(TRUE, EXACT($C48, 韻母表[十五音]), 0))</f>
        <v>ue</v>
      </c>
      <c r="F48" s="53" t="s">
        <v>992</v>
      </c>
      <c r="G48" s="53"/>
      <c r="H48" s="53" t="s">
        <v>993</v>
      </c>
      <c r="I48" s="53" t="s">
        <v>990</v>
      </c>
      <c r="J48" s="53" t="s">
        <v>991</v>
      </c>
      <c r="K48" s="53" t="s">
        <v>996</v>
      </c>
      <c r="L48" s="53" t="s">
        <v>994</v>
      </c>
      <c r="M48" s="53"/>
      <c r="N48" s="53" t="s">
        <v>997</v>
      </c>
      <c r="O48" s="53" t="s">
        <v>989</v>
      </c>
      <c r="P48" s="53" t="s">
        <v>995</v>
      </c>
      <c r="Q48" s="53" t="s">
        <v>206</v>
      </c>
      <c r="R48" s="53" t="s">
        <v>986</v>
      </c>
      <c r="S48" s="53"/>
      <c r="T48" s="53" t="s">
        <v>987</v>
      </c>
      <c r="U48" s="53"/>
      <c r="V48" s="53" t="s">
        <v>998</v>
      </c>
      <c r="W48" s="53" t="s">
        <v>988</v>
      </c>
      <c r="X48" s="50" t="s">
        <v>206</v>
      </c>
      <c r="Y48" s="50" t="s">
        <v>110</v>
      </c>
    </row>
    <row r="49" spans="2:25">
      <c r="B49" s="50" cm="1">
        <f t="array" ref="B49" xml:space="preserve"> INDEX(韻母表[韻序], MATCH(TRUE, EXACT($C49, 韻母表[十五音]), 0))</f>
        <v>25</v>
      </c>
      <c r="C49" s="50" t="s">
        <v>111</v>
      </c>
      <c r="D49" s="96" t="str" cm="1">
        <f t="array" ref="D49" xml:space="preserve"> IF( INDEX(韻母表[國際音標2], MATCH(TRUE, EXACT($C49, 韻母表[十五音]), 0))&lt;&gt;"",  INDEX(韻母表[國際音標2], MATCH(TRUE, EXACT($C49, 韻母表[十五音]), 0)),  INDEX(韻母表[國際音標], MATCH(TRUE, EXACT($C49, 韻母表[十五音]), 0)))</f>
        <v>ueiʔ</v>
      </c>
      <c r="E49" s="50" t="str" cm="1">
        <f t="array" ref="E49" xml:space="preserve"> INDEX(韻母表[台羅拼音], MATCH(TRUE, EXACT($C49, 韻母表[十五音]), 0))</f>
        <v>ueh</v>
      </c>
      <c r="F49" s="53"/>
      <c r="G49" s="53"/>
      <c r="H49" s="53" t="s">
        <v>1004</v>
      </c>
      <c r="I49" s="53" t="s">
        <v>1002</v>
      </c>
      <c r="J49" s="53" t="s">
        <v>1003</v>
      </c>
      <c r="K49" s="53"/>
      <c r="L49" s="53" t="s">
        <v>1005</v>
      </c>
      <c r="M49" s="53"/>
      <c r="N49" s="53"/>
      <c r="O49" s="53"/>
      <c r="P49" s="53" t="s">
        <v>1006</v>
      </c>
      <c r="Q49" s="53" t="s">
        <v>207</v>
      </c>
      <c r="R49" s="53" t="s">
        <v>999</v>
      </c>
      <c r="S49" s="53"/>
      <c r="T49" s="53" t="s">
        <v>1000</v>
      </c>
      <c r="U49" s="53"/>
      <c r="V49" s="53"/>
      <c r="W49" s="53" t="s">
        <v>1001</v>
      </c>
      <c r="X49" s="50" t="s">
        <v>207</v>
      </c>
      <c r="Y49" s="50" t="s">
        <v>111</v>
      </c>
    </row>
    <row r="50" spans="2:25">
      <c r="B50" s="50" cm="1">
        <f t="array" ref="B50" xml:space="preserve"> INDEX(韻母表[韻序], MATCH(TRUE, EXACT($C50, 韻母表[十五音]), 0))</f>
        <v>26</v>
      </c>
      <c r="C50" s="50" t="s">
        <v>112</v>
      </c>
      <c r="D50" s="50" t="str" cm="1">
        <f t="array" ref="D50" xml:space="preserve"> IF( INDEX(韻母表[國際音標2], MATCH(TRUE, EXACT($C50, 韻母表[十五音]), 0))&lt;&gt;"",  INDEX(韻母表[國際音標2], MATCH(TRUE, EXACT($C50, 韻母表[十五音]), 0)),  INDEX(韻母表[國際音標], MATCH(TRUE, EXACT($C50, 韻母表[十五音]), 0)))</f>
        <v>ã</v>
      </c>
      <c r="E50" s="50" t="str" cm="1">
        <f t="array" ref="E50" xml:space="preserve"> INDEX(韻母表[台羅拼音], MATCH(TRUE, EXACT($C50, 韻母表[十五音]), 0))</f>
        <v>ann</v>
      </c>
      <c r="F50" s="53"/>
      <c r="G50" s="53"/>
      <c r="H50" s="53"/>
      <c r="I50" s="53" t="s">
        <v>429</v>
      </c>
      <c r="J50" s="53" t="s">
        <v>430</v>
      </c>
      <c r="K50" s="53" t="s">
        <v>433</v>
      </c>
      <c r="L50" s="53" t="s">
        <v>431</v>
      </c>
      <c r="M50" s="53" t="s">
        <v>434</v>
      </c>
      <c r="N50" s="53" t="s">
        <v>435</v>
      </c>
      <c r="O50" s="53"/>
      <c r="P50" s="53" t="s">
        <v>432</v>
      </c>
      <c r="Q50" s="53" t="s">
        <v>208</v>
      </c>
      <c r="R50" s="53"/>
      <c r="S50" s="53"/>
      <c r="T50" s="53"/>
      <c r="U50" s="53"/>
      <c r="V50" s="53" t="s">
        <v>436</v>
      </c>
      <c r="W50" s="53" t="s">
        <v>428</v>
      </c>
      <c r="X50" s="50" t="s">
        <v>208</v>
      </c>
      <c r="Y50" s="50" t="s">
        <v>112</v>
      </c>
    </row>
    <row r="51" spans="2:25">
      <c r="B51" s="50" cm="1">
        <f t="array" ref="B51" xml:space="preserve"> INDEX(韻母表[韻序], MATCH(TRUE, EXACT($C51, 韻母表[十五音]), 0))</f>
        <v>26</v>
      </c>
      <c r="C51" s="50" t="s">
        <v>113</v>
      </c>
      <c r="D51" s="50" t="str" cm="1">
        <f t="array" ref="D51" xml:space="preserve"> IF( INDEX(韻母表[國際音標2], MATCH(TRUE, EXACT($C51, 韻母表[十五音]), 0))&lt;&gt;"",  INDEX(韻母表[國際音標2], MATCH(TRUE, EXACT($C51, 韻母表[十五音]), 0)),  INDEX(韻母表[國際音標], MATCH(TRUE, EXACT($C51, 韻母表[十五音]), 0)))</f>
        <v>ãʔ</v>
      </c>
      <c r="E51" s="50" t="str" cm="1">
        <f t="array" ref="E51" xml:space="preserve"> INDEX(韻母表[台羅拼音], MATCH(TRUE, EXACT($C51, 韻母表[十五音]), 0))</f>
        <v>annh</v>
      </c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 t="s">
        <v>438</v>
      </c>
      <c r="Q51" s="53"/>
      <c r="R51" s="53"/>
      <c r="S51" s="53"/>
      <c r="T51" s="53"/>
      <c r="U51" s="53"/>
      <c r="V51" s="53"/>
      <c r="W51" s="53" t="s">
        <v>437</v>
      </c>
      <c r="X51" s="50" t="s">
        <v>209</v>
      </c>
      <c r="Y51" s="50" t="s">
        <v>113</v>
      </c>
    </row>
    <row r="52" spans="2:25">
      <c r="B52" s="50" cm="1">
        <f t="array" ref="B52" xml:space="preserve"> INDEX(韻母表[韻序], MATCH(TRUE, EXACT($C52, 韻母表[十五音]), 0))</f>
        <v>27</v>
      </c>
      <c r="C52" s="50" t="s">
        <v>114</v>
      </c>
      <c r="D52" s="50" t="str" cm="1">
        <f t="array" ref="D52" xml:space="preserve"> IF( INDEX(韻母表[國際音標2], MATCH(TRUE, EXACT($C52, 韻母表[十五音]), 0))&lt;&gt;"",  INDEX(韻母表[國際音標2], MATCH(TRUE, EXACT($C52, 韻母表[十五音]), 0)),  INDEX(韻母表[國際音標], MATCH(TRUE, EXACT($C52, 韻母表[十五音]), 0)))</f>
        <v>u</v>
      </c>
      <c r="E52" s="50" t="str" cm="1">
        <f t="array" ref="E52" xml:space="preserve"> INDEX(韻母表[台羅拼音], MATCH(TRUE, EXACT($C52, 韻母表[十五音]), 0))</f>
        <v>u</v>
      </c>
      <c r="F52" s="53" t="s">
        <v>908</v>
      </c>
      <c r="G52" s="53"/>
      <c r="H52" s="53" t="s">
        <v>909</v>
      </c>
      <c r="I52" s="53" t="s">
        <v>906</v>
      </c>
      <c r="J52" s="53" t="s">
        <v>907</v>
      </c>
      <c r="K52" s="53" t="s">
        <v>912</v>
      </c>
      <c r="L52" s="53" t="s">
        <v>910</v>
      </c>
      <c r="M52" s="53" t="s">
        <v>913</v>
      </c>
      <c r="N52" s="53" t="s">
        <v>914</v>
      </c>
      <c r="O52" s="53" t="s">
        <v>905</v>
      </c>
      <c r="P52" s="53" t="s">
        <v>911</v>
      </c>
      <c r="Q52" s="53" t="s">
        <v>210</v>
      </c>
      <c r="R52" s="53" t="s">
        <v>902</v>
      </c>
      <c r="S52" s="53"/>
      <c r="T52" s="53" t="s">
        <v>903</v>
      </c>
      <c r="U52" s="53"/>
      <c r="V52" s="53" t="s">
        <v>915</v>
      </c>
      <c r="W52" s="53" t="s">
        <v>904</v>
      </c>
      <c r="X52" s="50" t="s">
        <v>210</v>
      </c>
      <c r="Y52" s="50" t="s">
        <v>114</v>
      </c>
    </row>
    <row r="53" spans="2:25">
      <c r="B53" s="50" cm="1">
        <f t="array" ref="B53" xml:space="preserve"> INDEX(韻母表[韻序], MATCH(TRUE, EXACT($C53, 韻母表[十五音]), 0))</f>
        <v>27</v>
      </c>
      <c r="C53" s="50" t="s">
        <v>115</v>
      </c>
      <c r="D53" s="50" t="str" cm="1">
        <f t="array" ref="D53" xml:space="preserve"> IF( INDEX(韻母表[國際音標2], MATCH(TRUE, EXACT($C53, 韻母表[十五音]), 0))&lt;&gt;"",  INDEX(韻母表[國際音標2], MATCH(TRUE, EXACT($C53, 韻母表[十五音]), 0)),  INDEX(韻母表[國際音標], MATCH(TRUE, EXACT($C53, 韻母表[十五音]), 0)))</f>
        <v>uʔ</v>
      </c>
      <c r="E53" s="50" t="str" cm="1">
        <f t="array" ref="E53" xml:space="preserve"> INDEX(韻母表[台羅拼音], MATCH(TRUE, EXACT($C53, 韻母表[十五音]), 0))</f>
        <v>uh</v>
      </c>
      <c r="F53" s="53"/>
      <c r="G53" s="53"/>
      <c r="H53" s="53" t="s">
        <v>1008</v>
      </c>
      <c r="I53" s="53"/>
      <c r="J53" s="53" t="s">
        <v>1007</v>
      </c>
      <c r="K53" s="53" t="s">
        <v>1010</v>
      </c>
      <c r="L53" s="53" t="s">
        <v>1009</v>
      </c>
      <c r="M53" s="53" t="s">
        <v>1011</v>
      </c>
      <c r="N53" s="53" t="s">
        <v>1012</v>
      </c>
      <c r="O53" s="53"/>
      <c r="P53" s="53"/>
      <c r="Q53" s="53" t="s">
        <v>211</v>
      </c>
      <c r="R53" s="53"/>
      <c r="S53" s="53"/>
      <c r="T53" s="53"/>
      <c r="U53" s="53"/>
      <c r="V53" s="53" t="s">
        <v>1013</v>
      </c>
      <c r="W53" s="53"/>
      <c r="X53" s="50" t="s">
        <v>211</v>
      </c>
      <c r="Y53" s="50" t="s">
        <v>115</v>
      </c>
    </row>
    <row r="54" spans="2:25">
      <c r="B54" s="50" cm="1">
        <f t="array" ref="B54" xml:space="preserve"> INDEX(韻母表[韻序], MATCH(TRUE, EXACT($C54, 韻母表[十五音]), 0))</f>
        <v>28</v>
      </c>
      <c r="C54" s="50" t="s">
        <v>116</v>
      </c>
      <c r="D54" s="50" t="str" cm="1">
        <f t="array" ref="D54" xml:space="preserve"> IF( INDEX(韻母表[國際音標2], MATCH(TRUE, EXACT($C54, 韻母表[十五音]), 0))&lt;&gt;"",  INDEX(韻母表[國際音標2], MATCH(TRUE, EXACT($C54, 韻母表[十五音]), 0)),  INDEX(韻母表[國際音標], MATCH(TRUE, EXACT($C54, 韻母表[十五音]), 0)))</f>
        <v>a</v>
      </c>
      <c r="E54" s="50" t="str" cm="1">
        <f t="array" ref="E54" xml:space="preserve"> INDEX(韻母表[台羅拼音], MATCH(TRUE, EXACT($C54, 韻母表[十五音]), 0))</f>
        <v>a</v>
      </c>
      <c r="F54" s="53" t="s">
        <v>333</v>
      </c>
      <c r="G54" s="53" t="s">
        <v>335</v>
      </c>
      <c r="H54" s="53" t="s">
        <v>337</v>
      </c>
      <c r="I54" s="53" t="s">
        <v>331</v>
      </c>
      <c r="J54" s="53" t="s">
        <v>332</v>
      </c>
      <c r="K54" s="53" t="s">
        <v>340</v>
      </c>
      <c r="L54" s="53" t="s">
        <v>338</v>
      </c>
      <c r="M54" s="53" t="s">
        <v>341</v>
      </c>
      <c r="N54" s="53" t="s">
        <v>342</v>
      </c>
      <c r="O54" s="53"/>
      <c r="P54" s="53" t="s">
        <v>339</v>
      </c>
      <c r="Q54" s="53" t="s">
        <v>212</v>
      </c>
      <c r="R54" s="53" t="s">
        <v>328</v>
      </c>
      <c r="S54" s="53" t="s">
        <v>334</v>
      </c>
      <c r="T54" s="53" t="s">
        <v>329</v>
      </c>
      <c r="U54" s="53" t="s">
        <v>336</v>
      </c>
      <c r="V54" s="53" t="s">
        <v>343</v>
      </c>
      <c r="W54" s="53" t="s">
        <v>330</v>
      </c>
      <c r="X54" s="50" t="s">
        <v>212</v>
      </c>
      <c r="Y54" s="50" t="s">
        <v>116</v>
      </c>
    </row>
    <row r="55" spans="2:25">
      <c r="B55" s="50" cm="1">
        <f t="array" ref="B55" xml:space="preserve"> INDEX(韻母表[韻序], MATCH(TRUE, EXACT($C55, 韻母表[十五音]), 0))</f>
        <v>28</v>
      </c>
      <c r="C55" s="50" t="s">
        <v>117</v>
      </c>
      <c r="D55" s="50" t="str" cm="1">
        <f t="array" ref="D55" xml:space="preserve"> IF( INDEX(韻母表[國際音標2], MATCH(TRUE, EXACT($C55, 韻母表[十五音]), 0))&lt;&gt;"",  INDEX(韻母表[國際音標2], MATCH(TRUE, EXACT($C55, 韻母表[十五音]), 0)),  INDEX(韻母表[國際音標], MATCH(TRUE, EXACT($C55, 韻母表[十五音]), 0)))</f>
        <v>aʔ</v>
      </c>
      <c r="E55" s="50" t="str" cm="1">
        <f t="array" ref="E55" xml:space="preserve"> INDEX(韻母表[台羅拼音], MATCH(TRUE, EXACT($C55, 韻母表[十五音]), 0))</f>
        <v>ah</v>
      </c>
      <c r="F55" s="53" t="s">
        <v>348</v>
      </c>
      <c r="G55" s="53" t="s">
        <v>349</v>
      </c>
      <c r="H55" s="53" t="s">
        <v>350</v>
      </c>
      <c r="I55" s="53" t="s">
        <v>346</v>
      </c>
      <c r="J55" s="53" t="s">
        <v>347</v>
      </c>
      <c r="K55" s="53" t="s">
        <v>353</v>
      </c>
      <c r="L55" s="53" t="s">
        <v>351</v>
      </c>
      <c r="M55" s="53" t="s">
        <v>354</v>
      </c>
      <c r="N55" s="53" t="s">
        <v>355</v>
      </c>
      <c r="O55" s="53"/>
      <c r="P55" s="53" t="s">
        <v>352</v>
      </c>
      <c r="Q55" s="53" t="s">
        <v>213</v>
      </c>
      <c r="R55" s="53" t="s">
        <v>344</v>
      </c>
      <c r="S55" s="53"/>
      <c r="T55" s="53"/>
      <c r="U55" s="53"/>
      <c r="V55" s="53" t="s">
        <v>356</v>
      </c>
      <c r="W55" s="53" t="s">
        <v>345</v>
      </c>
      <c r="X55" s="50" t="s">
        <v>213</v>
      </c>
      <c r="Y55" s="50" t="s">
        <v>117</v>
      </c>
    </row>
    <row r="56" spans="2:25">
      <c r="B56" s="50" cm="1">
        <f t="array" ref="B56" xml:space="preserve"> INDEX(韻母表[韻序], MATCH(TRUE, EXACT($C56, 韻母表[十五音]), 0))</f>
        <v>29</v>
      </c>
      <c r="C56" s="50" t="s">
        <v>118</v>
      </c>
      <c r="D56" s="50" t="str" cm="1">
        <f t="array" ref="D56" xml:space="preserve"> IF( INDEX(韻母表[國際音標2], MATCH(TRUE, EXACT($C56, 韻母表[十五音]), 0))&lt;&gt;"",  INDEX(韻母表[國際音標2], MATCH(TRUE, EXACT($C56, 韻母表[十五音]), 0)),  INDEX(韻母表[國際音標], MATCH(TRUE, EXACT($C56, 韻母表[十五音]), 0)))</f>
        <v>i</v>
      </c>
      <c r="E56" s="50" t="str" cm="1">
        <f t="array" ref="E56" xml:space="preserve"> INDEX(韻母表[台羅拼音], MATCH(TRUE, EXACT($C56, 韻母表[十五音]), 0))</f>
        <v>i</v>
      </c>
      <c r="F56" s="53" t="s">
        <v>530</v>
      </c>
      <c r="G56" s="53" t="s">
        <v>532</v>
      </c>
      <c r="H56" s="53" t="s">
        <v>533</v>
      </c>
      <c r="I56" s="53" t="s">
        <v>528</v>
      </c>
      <c r="J56" s="53" t="s">
        <v>529</v>
      </c>
      <c r="K56" s="53" t="s">
        <v>535</v>
      </c>
      <c r="L56" s="53" t="s">
        <v>534</v>
      </c>
      <c r="M56" s="53" t="s">
        <v>536</v>
      </c>
      <c r="N56" s="53" t="s">
        <v>55</v>
      </c>
      <c r="O56" s="53" t="s">
        <v>527</v>
      </c>
      <c r="P56" s="53" t="s">
        <v>59</v>
      </c>
      <c r="Q56" s="53" t="s">
        <v>214</v>
      </c>
      <c r="R56" s="53" t="s">
        <v>524</v>
      </c>
      <c r="S56" s="53" t="s">
        <v>531</v>
      </c>
      <c r="T56" s="53" t="s">
        <v>525</v>
      </c>
      <c r="U56" s="53"/>
      <c r="V56" s="53" t="s">
        <v>57</v>
      </c>
      <c r="W56" s="53" t="s">
        <v>526</v>
      </c>
      <c r="X56" s="50" t="s">
        <v>214</v>
      </c>
      <c r="Y56" s="50" t="s">
        <v>118</v>
      </c>
    </row>
    <row r="57" spans="2:25">
      <c r="B57" s="50" cm="1">
        <f t="array" ref="B57" xml:space="preserve"> INDEX(韻母表[韻序], MATCH(TRUE, EXACT($C57, 韻母表[十五音]), 0))</f>
        <v>29</v>
      </c>
      <c r="C57" s="50" t="s">
        <v>119</v>
      </c>
      <c r="D57" s="50" t="str" cm="1">
        <f t="array" ref="D57" xml:space="preserve"> IF( INDEX(韻母表[國際音標2], MATCH(TRUE, EXACT($C57, 韻母表[十五音]), 0))&lt;&gt;"",  INDEX(韻母表[國際音標2], MATCH(TRUE, EXACT($C57, 韻母表[十五音]), 0)),  INDEX(韻母表[國際音標], MATCH(TRUE, EXACT($C57, 韻母表[十五音]), 0)))</f>
        <v>iʔ</v>
      </c>
      <c r="E57" s="50" t="str" cm="1">
        <f t="array" ref="E57" xml:space="preserve"> INDEX(韻母表[台羅拼音], MATCH(TRUE, EXACT($C57, 韻母表[十五音]), 0))</f>
        <v>ih</v>
      </c>
      <c r="F57" s="53"/>
      <c r="G57" s="53" t="s">
        <v>659</v>
      </c>
      <c r="H57" s="53" t="s">
        <v>660</v>
      </c>
      <c r="I57" s="53"/>
      <c r="J57" s="53" t="s">
        <v>657</v>
      </c>
      <c r="K57" s="53" t="s">
        <v>663</v>
      </c>
      <c r="L57" s="53" t="s">
        <v>661</v>
      </c>
      <c r="M57" s="53" t="s">
        <v>664</v>
      </c>
      <c r="N57" s="53" t="s">
        <v>665</v>
      </c>
      <c r="O57" s="53"/>
      <c r="P57" s="53" t="s">
        <v>662</v>
      </c>
      <c r="Q57" s="53"/>
      <c r="R57" s="53" t="s">
        <v>656</v>
      </c>
      <c r="S57" s="53" t="s">
        <v>658</v>
      </c>
      <c r="T57" s="53"/>
      <c r="U57" s="53"/>
      <c r="V57" s="53" t="s">
        <v>666</v>
      </c>
      <c r="W57" s="53"/>
      <c r="X57" s="50" t="s">
        <v>215</v>
      </c>
      <c r="Y57" s="50" t="s">
        <v>119</v>
      </c>
    </row>
    <row r="58" spans="2:25">
      <c r="B58" s="50" cm="1">
        <f t="array" ref="B58" xml:space="preserve"> INDEX(韻母表[韻序], MATCH(TRUE, EXACT($C58, 韻母表[十五音]), 0))</f>
        <v>30</v>
      </c>
      <c r="C58" s="50" t="s">
        <v>120</v>
      </c>
      <c r="D58" s="50" t="str" cm="1">
        <f t="array" ref="D58" xml:space="preserve"> IF( INDEX(韻母表[國際音標2], MATCH(TRUE, EXACT($C58, 韻母表[十五音]), 0))&lt;&gt;"",  INDEX(韻母表[國際音標2], MATCH(TRUE, EXACT($C58, 韻母表[十五音]), 0)),  INDEX(韻母表[國際音標], MATCH(TRUE, EXACT($C58, 韻母表[十五音]), 0)))</f>
        <v>ɪu</v>
      </c>
      <c r="E58" s="50" t="str" cm="1">
        <f t="array" ref="E58" xml:space="preserve"> INDEX(韻母表[台羅拼音], MATCH(TRUE, EXACT($C58, 韻母表[十五音]), 0))</f>
        <v>iu</v>
      </c>
      <c r="F58" s="53" t="s">
        <v>795</v>
      </c>
      <c r="G58" s="53" t="s">
        <v>796</v>
      </c>
      <c r="H58" s="53" t="s">
        <v>797</v>
      </c>
      <c r="I58" s="53" t="s">
        <v>793</v>
      </c>
      <c r="J58" s="53" t="s">
        <v>794</v>
      </c>
      <c r="K58" s="53" t="s">
        <v>799</v>
      </c>
      <c r="L58" s="53"/>
      <c r="M58" s="53" t="s">
        <v>800</v>
      </c>
      <c r="N58" s="53" t="s">
        <v>801</v>
      </c>
      <c r="O58" s="53" t="s">
        <v>792</v>
      </c>
      <c r="P58" s="53" t="s">
        <v>798</v>
      </c>
      <c r="Q58" s="53" t="s">
        <v>216</v>
      </c>
      <c r="R58" s="53" t="s">
        <v>789</v>
      </c>
      <c r="S58" s="53"/>
      <c r="T58" s="53" t="s">
        <v>790</v>
      </c>
      <c r="U58" s="53"/>
      <c r="V58" s="53" t="s">
        <v>802</v>
      </c>
      <c r="W58" s="53" t="s">
        <v>791</v>
      </c>
      <c r="X58" s="50" t="s">
        <v>216</v>
      </c>
      <c r="Y58" s="50" t="s">
        <v>120</v>
      </c>
    </row>
    <row r="59" spans="2:25">
      <c r="B59" s="50" cm="1">
        <f t="array" ref="B59" xml:space="preserve"> INDEX(韻母表[韻序], MATCH(TRUE, EXACT($C59, 韻母表[十五音]), 0))</f>
        <v>31</v>
      </c>
      <c r="C59" s="50" t="s">
        <v>122</v>
      </c>
      <c r="D59" s="96" t="str" cm="1">
        <f t="array" ref="D59" xml:space="preserve"> IF( INDEX(韻母表[國際音標2], MATCH(TRUE, EXACT($C59, 韻母表[十五音]), 0))&lt;&gt;"",  INDEX(韻母表[國際音標2], MATCH(TRUE, EXACT($C59, 韻母表[十五音]), 0)),  INDEX(韻母表[國際音標], MATCH(TRUE, EXACT($C59, 韻母表[十五音]), 0)))</f>
        <v>ɛ̃</v>
      </c>
      <c r="E59" s="50" t="str" cm="1">
        <f t="array" ref="E59" xml:space="preserve"> INDEX(韻母表[台羅拼音], MATCH(TRUE, EXACT($C59, 韻母表[十五音]), 0))</f>
        <v>enn</v>
      </c>
      <c r="F59" s="53"/>
      <c r="G59" s="53"/>
      <c r="H59" s="53" t="s">
        <v>515</v>
      </c>
      <c r="I59" s="53" t="s">
        <v>513</v>
      </c>
      <c r="J59" s="53" t="s">
        <v>514</v>
      </c>
      <c r="K59" s="53" t="s">
        <v>518</v>
      </c>
      <c r="L59" s="53" t="s">
        <v>516</v>
      </c>
      <c r="M59" s="53" t="s">
        <v>519</v>
      </c>
      <c r="N59" s="53" t="s">
        <v>520</v>
      </c>
      <c r="O59" s="53"/>
      <c r="P59" s="53" t="s">
        <v>517</v>
      </c>
      <c r="Q59" s="53" t="s">
        <v>217</v>
      </c>
      <c r="R59" s="53"/>
      <c r="S59" s="53"/>
      <c r="T59" s="53"/>
      <c r="U59" s="53"/>
      <c r="V59" s="53" t="s">
        <v>521</v>
      </c>
      <c r="W59" s="53" t="s">
        <v>512</v>
      </c>
      <c r="X59" s="50" t="s">
        <v>217</v>
      </c>
      <c r="Y59" s="50" t="s">
        <v>122</v>
      </c>
    </row>
    <row r="60" spans="2:25">
      <c r="B60" s="50" cm="1">
        <f t="array" ref="B60" xml:space="preserve"> INDEX(韻母表[韻序], MATCH(TRUE, EXACT($C60, 韻母表[十五音]), 0))</f>
        <v>31</v>
      </c>
      <c r="C60" s="50" t="s">
        <v>123</v>
      </c>
      <c r="D60" s="96" t="str" cm="1">
        <f t="array" ref="D60" xml:space="preserve"> IF( INDEX(韻母表[國際音標2], MATCH(TRUE, EXACT($C60, 韻母表[十五音]), 0))&lt;&gt;"",  INDEX(韻母表[國際音標2], MATCH(TRUE, EXACT($C60, 韻母表[十五音]), 0)),  INDEX(韻母表[國際音標], MATCH(TRUE, EXACT($C60, 韻母表[十五音]), 0)))</f>
        <v>ɛ̃ʔ</v>
      </c>
      <c r="E60" s="50" t="str" cm="1">
        <f t="array" ref="E60" xml:space="preserve"> INDEX(韻母表[台羅拼音], MATCH(TRUE, EXACT($C60, 韻母表[十五音]), 0))</f>
        <v>ennh</v>
      </c>
      <c r="F60" s="53"/>
      <c r="G60" s="53"/>
      <c r="H60" s="53"/>
      <c r="I60" s="53"/>
      <c r="J60" s="53" t="s">
        <v>523</v>
      </c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 t="s">
        <v>522</v>
      </c>
      <c r="X60" s="50" t="s">
        <v>218</v>
      </c>
      <c r="Y60" s="50" t="s">
        <v>123</v>
      </c>
    </row>
    <row r="61" spans="2:25">
      <c r="B61" s="50" cm="1">
        <f t="array" ref="B61" xml:space="preserve"> INDEX(韻母表[韻序], MATCH(TRUE, EXACT($C61, 韻母表[十五音]), 0))</f>
        <v>33</v>
      </c>
      <c r="C61" s="50" t="s">
        <v>126</v>
      </c>
      <c r="D61" s="50" t="str" cm="1">
        <f t="array" ref="D61" xml:space="preserve"> IF( INDEX(韻母表[國際音標2], MATCH(TRUE, EXACT($C61, 韻母表[十五音]), 0))&lt;&gt;"",  INDEX(韻母表[國際音標2], MATCH(TRUE, EXACT($C61, 韻母表[十五音]), 0)),  INDEX(韻母表[國際音標], MATCH(TRUE, EXACT($C61, 韻母表[十五音]), 0)))</f>
        <v>ɪə</v>
      </c>
      <c r="E61" s="50" t="str" cm="1">
        <f t="array" ref="E61" xml:space="preserve"> INDEX(韻母表[台羅拼音], MATCH(TRUE, EXACT($C61, 韻母表[十五音]), 0))</f>
        <v>io</v>
      </c>
      <c r="F61" s="53" t="s">
        <v>731</v>
      </c>
      <c r="G61" s="53"/>
      <c r="H61" s="53" t="s">
        <v>732</v>
      </c>
      <c r="I61" s="53" t="s">
        <v>729</v>
      </c>
      <c r="J61" s="53" t="s">
        <v>730</v>
      </c>
      <c r="K61" s="53" t="s">
        <v>735</v>
      </c>
      <c r="L61" s="53" t="s">
        <v>733</v>
      </c>
      <c r="M61" s="53" t="s">
        <v>736</v>
      </c>
      <c r="N61" s="53" t="s">
        <v>737</v>
      </c>
      <c r="O61" s="53" t="s">
        <v>728</v>
      </c>
      <c r="P61" s="53" t="s">
        <v>734</v>
      </c>
      <c r="Q61" s="53" t="s">
        <v>220</v>
      </c>
      <c r="R61" s="53" t="s">
        <v>725</v>
      </c>
      <c r="S61" s="53"/>
      <c r="T61" s="53" t="s">
        <v>726</v>
      </c>
      <c r="U61" s="53"/>
      <c r="V61" s="53" t="s">
        <v>738</v>
      </c>
      <c r="W61" s="53" t="s">
        <v>727</v>
      </c>
      <c r="X61" s="50" t="s">
        <v>220</v>
      </c>
      <c r="Y61" s="50" t="s">
        <v>126</v>
      </c>
    </row>
    <row r="62" spans="2:25">
      <c r="B62" s="50" cm="1">
        <f t="array" ref="B62" xml:space="preserve"> INDEX(韻母表[韻序], MATCH(TRUE, EXACT($C62, 韻母表[十五音]), 0))</f>
        <v>33</v>
      </c>
      <c r="C62" s="50" t="s">
        <v>127</v>
      </c>
      <c r="D62" s="50" t="str" cm="1">
        <f t="array" ref="D62" xml:space="preserve"> IF( INDEX(韻母表[國際音標2], MATCH(TRUE, EXACT($C62, 韻母表[十五音]), 0))&lt;&gt;"",  INDEX(韻母表[國際音標2], MATCH(TRUE, EXACT($C62, 韻母表[十五音]), 0)),  INDEX(韻母表[國際音標], MATCH(TRUE, EXACT($C62, 韻母表[十五音]), 0)))</f>
        <v>ɪəʔ</v>
      </c>
      <c r="E62" s="50" t="str" cm="1">
        <f t="array" ref="E62" xml:space="preserve"> INDEX(韻母表[台羅拼音], MATCH(TRUE, EXACT($C62, 韻母表[十五音]), 0))</f>
        <v>ioh</v>
      </c>
      <c r="F62" s="53" t="s">
        <v>743</v>
      </c>
      <c r="G62" s="53"/>
      <c r="H62" s="53"/>
      <c r="I62" s="53" t="s">
        <v>741</v>
      </c>
      <c r="J62" s="53" t="s">
        <v>742</v>
      </c>
      <c r="K62" s="53" t="s">
        <v>745</v>
      </c>
      <c r="L62" s="53"/>
      <c r="M62" s="53"/>
      <c r="N62" s="53" t="s">
        <v>746</v>
      </c>
      <c r="O62" s="53"/>
      <c r="P62" s="53" t="s">
        <v>744</v>
      </c>
      <c r="Q62" s="53" t="s">
        <v>221</v>
      </c>
      <c r="R62" s="53"/>
      <c r="S62" s="53"/>
      <c r="T62" s="53" t="s">
        <v>739</v>
      </c>
      <c r="U62" s="53"/>
      <c r="V62" s="53" t="s">
        <v>747</v>
      </c>
      <c r="W62" s="53" t="s">
        <v>740</v>
      </c>
      <c r="X62" s="50" t="s">
        <v>221</v>
      </c>
      <c r="Y62" s="50" t="s">
        <v>127</v>
      </c>
    </row>
    <row r="63" spans="2:25">
      <c r="B63" s="50" cm="1">
        <f t="array" ref="B63" xml:space="preserve"> INDEX(韻母表[韻序], MATCH(TRUE, EXACT($C63, 韻母表[十五音]), 0))</f>
        <v>34</v>
      </c>
      <c r="C63" s="50" t="s">
        <v>128</v>
      </c>
      <c r="D63" s="50" t="str" cm="1">
        <f t="array" ref="D63" xml:space="preserve"> IF( INDEX(韻母表[國際音標2], MATCH(TRUE, EXACT($C63, 韻母表[十五音]), 0))&lt;&gt;"",  INDEX(韻母表[國際音標2], MATCH(TRUE, EXACT($C63, 韻母表[十五音]), 0)),  INDEX(韻母表[國際音標], MATCH(TRUE, EXACT($C63, 韻母表[十五音]), 0)))</f>
        <v>ĩ</v>
      </c>
      <c r="E63" s="50" t="str" cm="1">
        <f t="array" ref="E63" xml:space="preserve"> INDEX(韻母表[台羅拼音], MATCH(TRUE, EXACT($C63, 韻母表[十五音]), 0))</f>
        <v>inn</v>
      </c>
      <c r="F63" s="53"/>
      <c r="G63" s="53"/>
      <c r="H63" s="53"/>
      <c r="I63" s="53" t="s">
        <v>718</v>
      </c>
      <c r="J63" s="53" t="s">
        <v>719</v>
      </c>
      <c r="K63" s="53" t="s">
        <v>721</v>
      </c>
      <c r="L63" s="53"/>
      <c r="M63" s="53" t="s">
        <v>722</v>
      </c>
      <c r="N63" s="53" t="s">
        <v>723</v>
      </c>
      <c r="O63" s="53"/>
      <c r="P63" s="53" t="s">
        <v>720</v>
      </c>
      <c r="Q63" s="53" t="s">
        <v>222</v>
      </c>
      <c r="R63" s="53"/>
      <c r="S63" s="53"/>
      <c r="T63" s="53"/>
      <c r="U63" s="53"/>
      <c r="V63" s="53" t="s">
        <v>724</v>
      </c>
      <c r="W63" s="53" t="s">
        <v>717</v>
      </c>
      <c r="X63" s="50" t="s">
        <v>222</v>
      </c>
      <c r="Y63" s="50" t="s">
        <v>128</v>
      </c>
    </row>
    <row r="64" spans="2:25">
      <c r="B64" s="50" cm="1">
        <f t="array" ref="B64" xml:space="preserve"> INDEX(韻母表[韻序], MATCH(TRUE, EXACT($C64, 韻母表[十五音]), 0))</f>
        <v>36</v>
      </c>
      <c r="C64" s="50" t="s">
        <v>132</v>
      </c>
      <c r="D64" s="50" t="str" cm="1">
        <f t="array" ref="D64" xml:space="preserve"> IF( INDEX(韻母表[國際音標2], MATCH(TRUE, EXACT($C64, 韻母表[十五音]), 0))&lt;&gt;"",  INDEX(韻母表[國際音標2], MATCH(TRUE, EXACT($C64, 韻母表[十五音]), 0)),  INDEX(韻母表[國際音標], MATCH(TRUE, EXACT($C64, 韻母表[十五音]), 0)))</f>
        <v>ɪã</v>
      </c>
      <c r="E64" s="50" t="str" cm="1">
        <f t="array" ref="E64" xml:space="preserve"> INDEX(韻母表[台羅拼音], MATCH(TRUE, EXACT($C64, 韻母表[十五音]), 0))</f>
        <v>iann</v>
      </c>
      <c r="F64" s="53"/>
      <c r="G64" s="53"/>
      <c r="H64" s="53" t="s">
        <v>604</v>
      </c>
      <c r="I64" s="53" t="s">
        <v>603</v>
      </c>
      <c r="J64" s="53"/>
      <c r="K64" s="53" t="s">
        <v>606</v>
      </c>
      <c r="L64" s="53"/>
      <c r="M64" s="53" t="s">
        <v>607</v>
      </c>
      <c r="N64" s="53" t="s">
        <v>608</v>
      </c>
      <c r="O64" s="53"/>
      <c r="P64" s="53" t="s">
        <v>605</v>
      </c>
      <c r="Q64" s="53" t="s">
        <v>305</v>
      </c>
      <c r="R64" s="53"/>
      <c r="S64" s="53"/>
      <c r="T64" s="53"/>
      <c r="U64" s="53"/>
      <c r="V64" s="53" t="s">
        <v>609</v>
      </c>
      <c r="W64" s="53" t="s">
        <v>602</v>
      </c>
      <c r="X64" s="50" t="s">
        <v>305</v>
      </c>
      <c r="Y64" s="50" t="s">
        <v>132</v>
      </c>
    </row>
    <row r="65" spans="2:25">
      <c r="B65" s="50" cm="1">
        <f t="array" ref="B65" xml:space="preserve"> INDEX(韻母表[韻序], MATCH(TRUE, EXACT($C65, 韻母表[十五音]), 0))</f>
        <v>36</v>
      </c>
      <c r="C65" s="50" t="s">
        <v>133</v>
      </c>
      <c r="D65" s="50" t="str" cm="1">
        <f t="array" ref="D65" xml:space="preserve"> IF( INDEX(韻母表[國際音標2], MATCH(TRUE, EXACT($C65, 韻母表[十五音]), 0))&lt;&gt;"",  INDEX(韻母表[國際音標2], MATCH(TRUE, EXACT($C65, 韻母表[十五音]), 0)),  INDEX(韻母表[國際音標], MATCH(TRUE, EXACT($C65, 韻母表[十五音]), 0)))</f>
        <v>ɪãh</v>
      </c>
      <c r="E65" s="50" t="str" cm="1">
        <f t="array" ref="E65" xml:space="preserve"> INDEX(韻母表[台羅拼音], MATCH(TRUE, EXACT($C65, 韻母表[十五音]), 0))</f>
        <v>iannh</v>
      </c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 t="s">
        <v>610</v>
      </c>
      <c r="X65" s="50" t="s">
        <v>225</v>
      </c>
      <c r="Y65" s="50" t="s">
        <v>133</v>
      </c>
    </row>
    <row r="66" spans="2:25">
      <c r="B66" s="50" cm="1">
        <f t="array" ref="B66" xml:space="preserve"> INDEX(韻母表[韻序], MATCH(TRUE, EXACT($C66, 韻母表[十五音]), 0))</f>
        <v>37</v>
      </c>
      <c r="C66" s="50" t="s">
        <v>134</v>
      </c>
      <c r="D66" s="50" t="str" cm="1">
        <f t="array" ref="D66" xml:space="preserve"> IF( INDEX(韻母表[國際音標2], MATCH(TRUE, EXACT($C66, 韻母表[十五音]), 0))&lt;&gt;"",  INDEX(韻母表[國際音標2], MATCH(TRUE, EXACT($C66, 韻母表[十五音]), 0)),  INDEX(韻母表[國際音標], MATCH(TRUE, EXACT($C66, 韻母表[十五音]), 0)))</f>
        <v>uã</v>
      </c>
      <c r="E66" s="50" t="str" cm="1">
        <f t="array" ref="E66" xml:space="preserve"> INDEX(韻母表[台羅拼音], MATCH(TRUE, EXACT($C66, 韻母表[十五音]), 0))</f>
        <v>uann</v>
      </c>
      <c r="F66" s="53"/>
      <c r="G66" s="53"/>
      <c r="H66" s="53" t="s">
        <v>968</v>
      </c>
      <c r="I66" s="53" t="s">
        <v>966</v>
      </c>
      <c r="J66" s="53" t="s">
        <v>967</v>
      </c>
      <c r="K66" s="53" t="s">
        <v>971</v>
      </c>
      <c r="L66" s="53" t="s">
        <v>969</v>
      </c>
      <c r="M66" s="53" t="s">
        <v>972</v>
      </c>
      <c r="N66" s="53"/>
      <c r="O66" s="53"/>
      <c r="P66" s="53" t="s">
        <v>970</v>
      </c>
      <c r="Q66" s="53" t="s">
        <v>226</v>
      </c>
      <c r="R66" s="53"/>
      <c r="S66" s="53"/>
      <c r="T66" s="53"/>
      <c r="U66" s="53"/>
      <c r="V66" s="53" t="s">
        <v>973</v>
      </c>
      <c r="W66" s="53" t="s">
        <v>965</v>
      </c>
      <c r="X66" s="50" t="s">
        <v>226</v>
      </c>
      <c r="Y66" s="50" t="s">
        <v>134</v>
      </c>
    </row>
    <row r="67" spans="2:25">
      <c r="B67" s="50" cm="1">
        <f t="array" ref="B67" xml:space="preserve"> INDEX(韻母表[韻序], MATCH(TRUE, EXACT($C67, 韻母表[十五音]), 0))</f>
        <v>38</v>
      </c>
      <c r="C67" s="50" t="s">
        <v>136</v>
      </c>
      <c r="D67" s="50" t="str" cm="1">
        <f t="array" ref="D67" xml:space="preserve"> IF( INDEX(韻母表[國際音標2], MATCH(TRUE, EXACT($C67, 韻母表[十五音]), 0))&lt;&gt;"",  INDEX(韻母表[國際音標2], MATCH(TRUE, EXACT($C67, 韻母表[十五音]), 0)),  INDEX(韻母表[國際音標], MATCH(TRUE, EXACT($C67, 韻母表[十五音]), 0)))</f>
        <v>ŋ̍</v>
      </c>
      <c r="E67" s="50" t="str" cm="1">
        <f t="array" ref="E67" xml:space="preserve"> INDEX(韻母表[台羅拼音], MATCH(TRUE, EXACT($C67, 韻母表[十五音]), 0))</f>
        <v>ng</v>
      </c>
      <c r="F67" s="53"/>
      <c r="G67" s="53" t="s">
        <v>819</v>
      </c>
      <c r="H67" s="53" t="s">
        <v>820</v>
      </c>
      <c r="I67" s="53" t="s">
        <v>816</v>
      </c>
      <c r="J67" s="53" t="s">
        <v>817</v>
      </c>
      <c r="K67" s="53" t="s">
        <v>822</v>
      </c>
      <c r="L67" s="53"/>
      <c r="M67" s="53" t="s">
        <v>823</v>
      </c>
      <c r="N67" s="53" t="s">
        <v>824</v>
      </c>
      <c r="O67" s="53"/>
      <c r="P67" s="53" t="s">
        <v>821</v>
      </c>
      <c r="Q67" s="53" t="s">
        <v>52</v>
      </c>
      <c r="R67" s="53"/>
      <c r="S67" s="53" t="s">
        <v>818</v>
      </c>
      <c r="T67" s="53"/>
      <c r="U67" s="53"/>
      <c r="V67" s="53" t="s">
        <v>825</v>
      </c>
      <c r="W67" s="53" t="s">
        <v>815</v>
      </c>
      <c r="X67" s="50" t="s">
        <v>52</v>
      </c>
      <c r="Y67" s="50" t="s">
        <v>136</v>
      </c>
    </row>
    <row r="68" spans="2:25">
      <c r="B68" s="50" cm="1">
        <f t="array" ref="B68" xml:space="preserve"> INDEX(韻母表[韻序], MATCH(TRUE, EXACT($C68, 韻母表[十五音]), 0))</f>
        <v>38</v>
      </c>
      <c r="C68" s="50" t="s">
        <v>137</v>
      </c>
      <c r="D68" s="50" t="str" cm="1">
        <f t="array" ref="D68" xml:space="preserve"> IF( INDEX(韻母表[國際音標2], MATCH(TRUE, EXACT($C68, 韻母表[十五音]), 0))&lt;&gt;"",  INDEX(韻母表[國際音標2], MATCH(TRUE, EXACT($C68, 韻母表[十五音]), 0)),  INDEX(韻母表[國際音標], MATCH(TRUE, EXACT($C68, 韻母表[十五音]), 0)))</f>
        <v>ŋ̍h</v>
      </c>
      <c r="E68" s="50" t="str" cm="1">
        <f t="array" ref="E68" xml:space="preserve"> INDEX(韻母表[台羅拼音], MATCH(TRUE, EXACT($C68, 韻母表[十五音]), 0))</f>
        <v>ngh</v>
      </c>
      <c r="F68" s="53"/>
      <c r="G68" s="53"/>
      <c r="H68" s="53"/>
      <c r="I68" s="53"/>
      <c r="J68" s="53"/>
      <c r="K68" s="53"/>
      <c r="L68" s="53" t="s">
        <v>828</v>
      </c>
      <c r="M68" s="53"/>
      <c r="N68" s="53"/>
      <c r="O68" s="53"/>
      <c r="P68" s="53" t="s">
        <v>829</v>
      </c>
      <c r="Q68" s="53"/>
      <c r="R68" s="53"/>
      <c r="S68" s="53"/>
      <c r="T68" s="53"/>
      <c r="U68" s="53"/>
      <c r="V68" s="53" t="s">
        <v>830</v>
      </c>
      <c r="W68" s="53" t="s">
        <v>827</v>
      </c>
      <c r="X68" s="50" t="s">
        <v>826</v>
      </c>
      <c r="Y68" s="50" t="s">
        <v>137</v>
      </c>
    </row>
    <row r="69" spans="2:25">
      <c r="B69" s="50" cm="1">
        <f t="array" ref="B69" xml:space="preserve"> INDEX(韻母表[韻序], MATCH(TRUE, EXACT($C69, 韻母表[十五音]), 0))</f>
        <v>39</v>
      </c>
      <c r="C69" s="50" t="s">
        <v>139</v>
      </c>
      <c r="D69" s="50" t="str" cm="1">
        <f t="array" ref="D69" xml:space="preserve"> IF( INDEX(韻母表[國際音標2], MATCH(TRUE, EXACT($C69, 韻母表[十五音]), 0))&lt;&gt;"",  INDEX(韻母表[國際音標2], MATCH(TRUE, EXACT($C69, 韻母表[十五音]), 0)),  INDEX(韻母表[國際音標], MATCH(TRUE, EXACT($C69, 韻母表[十五音]), 0)))</f>
        <v>eʔ</v>
      </c>
      <c r="E69" s="50" t="str" cm="1">
        <f t="array" ref="E69" xml:space="preserve"> INDEX(韻母表[台羅拼音], MATCH(TRUE, EXACT($C69, 韻母表[十五音]), 0))</f>
        <v>eh</v>
      </c>
      <c r="F69" s="53" t="s">
        <v>502</v>
      </c>
      <c r="G69" s="53" t="s">
        <v>504</v>
      </c>
      <c r="H69" s="53" t="s">
        <v>506</v>
      </c>
      <c r="I69" s="53" t="s">
        <v>500</v>
      </c>
      <c r="J69" s="53" t="s">
        <v>501</v>
      </c>
      <c r="K69" s="53" t="s">
        <v>508</v>
      </c>
      <c r="L69" s="53"/>
      <c r="M69" s="53" t="s">
        <v>509</v>
      </c>
      <c r="N69" s="53" t="s">
        <v>510</v>
      </c>
      <c r="O69" s="53"/>
      <c r="P69" s="53" t="s">
        <v>507</v>
      </c>
      <c r="Q69" s="53" t="s">
        <v>227</v>
      </c>
      <c r="R69" s="53" t="s">
        <v>498</v>
      </c>
      <c r="S69" s="53" t="s">
        <v>503</v>
      </c>
      <c r="T69" s="53"/>
      <c r="U69" s="53" t="s">
        <v>505</v>
      </c>
      <c r="V69" s="53" t="s">
        <v>511</v>
      </c>
      <c r="W69" s="53" t="s">
        <v>499</v>
      </c>
      <c r="X69" s="50" t="s">
        <v>227</v>
      </c>
      <c r="Y69" s="50" t="s">
        <v>139</v>
      </c>
    </row>
    <row r="70" spans="2:25">
      <c r="B70" s="50" cm="1">
        <f t="array" ref="B70" xml:space="preserve"> INDEX(韻母表[韻序], MATCH(TRUE, EXACT($C70, 韻母表[十五音]), 0))</f>
        <v>40</v>
      </c>
      <c r="C70" s="50" t="s">
        <v>140</v>
      </c>
      <c r="D70" s="50" t="str" cm="1">
        <f t="array" ref="D70" xml:space="preserve"> IF( INDEX(韻母表[國際音標2], MATCH(TRUE, EXACT($C70, 韻母表[十五音]), 0))&lt;&gt;"",  INDEX(韻母表[國際音標2], MATCH(TRUE, EXACT($C70, 韻母表[十五音]), 0)),  INDEX(韻母表[國際音標], MATCH(TRUE, EXACT($C70, 韻母表[十五音]), 0)))</f>
        <v>ãɪ</v>
      </c>
      <c r="E70" s="50" t="str" cm="1">
        <f t="array" ref="E70" xml:space="preserve"> INDEX(韻母表[台羅拼音], MATCH(TRUE, EXACT($C70, 韻母表[十五音]), 0))</f>
        <v>ainn</v>
      </c>
      <c r="F70" s="53"/>
      <c r="G70" s="53"/>
      <c r="H70" s="53"/>
      <c r="I70" s="53" t="s">
        <v>374</v>
      </c>
      <c r="J70" s="53" t="s">
        <v>375</v>
      </c>
      <c r="K70" s="53" t="s">
        <v>377</v>
      </c>
      <c r="L70" s="53" t="s">
        <v>376</v>
      </c>
      <c r="M70" s="53"/>
      <c r="N70" s="53" t="s">
        <v>378</v>
      </c>
      <c r="O70" s="53"/>
      <c r="P70" s="53"/>
      <c r="Q70" s="53" t="s">
        <v>228</v>
      </c>
      <c r="R70" s="53"/>
      <c r="S70" s="53"/>
      <c r="T70" s="53"/>
      <c r="U70" s="53"/>
      <c r="V70" s="53"/>
      <c r="W70" s="53" t="s">
        <v>373</v>
      </c>
      <c r="X70" s="50" t="s">
        <v>228</v>
      </c>
      <c r="Y70" s="50" t="s">
        <v>140</v>
      </c>
    </row>
    <row r="71" spans="2:25">
      <c r="B71" s="50" cm="1">
        <f t="array" ref="B71" xml:space="preserve"> INDEX(韻母表[韻序], MATCH(TRUE, EXACT($C71, 韻母表[十五音]), 0))</f>
        <v>41</v>
      </c>
      <c r="C71" s="50" t="s">
        <v>142</v>
      </c>
      <c r="D71" s="96" t="str" cm="1">
        <f t="array" ref="D71" xml:space="preserve"> IF( INDEX(韻母表[國際音標2], MATCH(TRUE, EXACT($C71, 韻母表[十五音]), 0))&lt;&gt;"",  INDEX(韻母表[國際音標2], MATCH(TRUE, EXACT($C71, 韻母表[十五音]), 0)),  INDEX(韻母表[國際音標], MATCH(TRUE, EXACT($C71, 韻母表[十五音]), 0)))</f>
        <v>õu</v>
      </c>
      <c r="E71" s="50" t="str" cm="1">
        <f t="array" ref="E71" xml:space="preserve"> INDEX(韻母表[台羅拼音], MATCH(TRUE, EXACT($C71, 韻母表[十五音]), 0))</f>
        <v>onn</v>
      </c>
      <c r="F71" s="53"/>
      <c r="G71" s="53"/>
      <c r="H71" s="53"/>
      <c r="I71" s="53" t="s">
        <v>883</v>
      </c>
      <c r="J71" s="53"/>
      <c r="K71" s="53"/>
      <c r="L71" s="53"/>
      <c r="M71" s="53"/>
      <c r="N71" s="53"/>
      <c r="O71" s="53"/>
      <c r="P71" s="53"/>
      <c r="Q71" s="53" t="s">
        <v>229</v>
      </c>
      <c r="R71" s="53"/>
      <c r="S71" s="53"/>
      <c r="T71" s="53"/>
      <c r="U71" s="53"/>
      <c r="V71" s="53"/>
      <c r="W71" s="53" t="s">
        <v>882</v>
      </c>
      <c r="X71" s="50" t="s">
        <v>229</v>
      </c>
      <c r="Y71" s="50" t="s">
        <v>142</v>
      </c>
    </row>
    <row r="72" spans="2:25">
      <c r="B72" s="50" cm="1">
        <f t="array" ref="B72" xml:space="preserve"> INDEX(韻母表[韻序], MATCH(TRUE, EXACT($C72, 韻母表[十五音]), 0))</f>
        <v>42</v>
      </c>
      <c r="C72" s="50" t="s">
        <v>144</v>
      </c>
      <c r="D72" s="50" t="str" cm="1">
        <f t="array" ref="D72" xml:space="preserve"> IF( INDEX(韻母表[國際音標2], MATCH(TRUE, EXACT($C72, 韻母表[十五音]), 0))&lt;&gt;"",  INDEX(韻母表[國際音標2], MATCH(TRUE, EXACT($C72, 韻母表[十五音]), 0)),  INDEX(韻母表[國際音標], MATCH(TRUE, EXACT($C72, 韻母表[十五音]), 0)))</f>
        <v>m̩</v>
      </c>
      <c r="E72" s="50" t="str" cm="1">
        <f t="array" ref="E72" xml:space="preserve"> INDEX(韻母表[台羅拼音], MATCH(TRUE, EXACT($C72, 韻母表[十五音]), 0))</f>
        <v>m</v>
      </c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 t="s">
        <v>44</v>
      </c>
      <c r="R72" s="53"/>
      <c r="S72" s="53"/>
      <c r="T72" s="53"/>
      <c r="U72" s="53"/>
      <c r="V72" s="53"/>
      <c r="W72" s="53" t="s">
        <v>812</v>
      </c>
      <c r="X72" s="50" t="s">
        <v>44</v>
      </c>
      <c r="Y72" s="50" t="s">
        <v>144</v>
      </c>
    </row>
    <row r="73" spans="2:25">
      <c r="B73" s="50" cm="1">
        <f t="array" ref="B73" xml:space="preserve"> INDEX(韻母表[韻序], MATCH(TRUE, EXACT($C73, 韻母表[十五音]), 0))</f>
        <v>42</v>
      </c>
      <c r="C73" s="50" t="s">
        <v>145</v>
      </c>
      <c r="D73" s="50" t="str" cm="1">
        <f t="array" ref="D73" xml:space="preserve"> IF( INDEX(韻母表[國際音標2], MATCH(TRUE, EXACT($C73, 韻母表[十五音]), 0))&lt;&gt;"",  INDEX(韻母表[國際音標2], MATCH(TRUE, EXACT($C73, 韻母表[十五音]), 0)),  INDEX(韻母表[國際音標], MATCH(TRUE, EXACT($C73, 韻母表[十五音]), 0)))</f>
        <v>m̩h</v>
      </c>
      <c r="E73" s="50" t="str" cm="1">
        <f t="array" ref="E73" xml:space="preserve"> INDEX(韻母表[台羅拼音], MATCH(TRUE, EXACT($C73, 韻母表[十五音]), 0))</f>
        <v>mh</v>
      </c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 t="s">
        <v>814</v>
      </c>
      <c r="X73" s="50" t="s">
        <v>813</v>
      </c>
      <c r="Y73" s="50" t="s">
        <v>145</v>
      </c>
    </row>
    <row r="74" spans="2:25">
      <c r="B74" s="50" cm="1">
        <f t="array" ref="B74" xml:space="preserve"> INDEX(韻母表[韻序], MATCH(TRUE, EXACT($C74, 韻母表[十五音]), 0))</f>
        <v>43</v>
      </c>
      <c r="C74" s="50" t="s">
        <v>146</v>
      </c>
      <c r="D74" s="50" t="str" cm="1">
        <f t="array" ref="D74" xml:space="preserve"> IF( INDEX(韻母表[國際音標2], MATCH(TRUE, EXACT($C74, 韻母表[十五音]), 0))&lt;&gt;"",  INDEX(韻母表[國際音標2], MATCH(TRUE, EXACT($C74, 韻母表[十五音]), 0)),  INDEX(韻母表[國際音標], MATCH(TRUE, EXACT($C74, 韻母表[十五音]), 0)))</f>
        <v>uaŋ</v>
      </c>
      <c r="E74" s="50" t="str" cm="1">
        <f t="array" ref="E74" xml:space="preserve"> INDEX(韻母表[台羅拼音], MATCH(TRUE, EXACT($C74, 韻母表[十五音]), 0))</f>
        <v>uang</v>
      </c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 t="s">
        <v>230</v>
      </c>
      <c r="R74" s="53"/>
      <c r="S74" s="53"/>
      <c r="T74" s="53"/>
      <c r="U74" s="53"/>
      <c r="V74" s="53" t="s">
        <v>964</v>
      </c>
      <c r="W74" s="53"/>
      <c r="X74" s="50" t="s">
        <v>230</v>
      </c>
      <c r="Y74" s="50" t="s">
        <v>146</v>
      </c>
    </row>
    <row r="75" spans="2:25">
      <c r="B75" s="50" cm="1">
        <f t="array" ref="B75" xml:space="preserve"> INDEX(韻母表[韻序], MATCH(TRUE, EXACT($C75, 韻母表[十五音]), 0))</f>
        <v>44</v>
      </c>
      <c r="C75" s="50" t="s">
        <v>148</v>
      </c>
      <c r="D75" s="50" t="str" cm="1">
        <f t="array" ref="D75" xml:space="preserve"> IF( INDEX(韻母表[國際音標2], MATCH(TRUE, EXACT($C75, 韻母表[十五音]), 0))&lt;&gt;"",  INDEX(韻母表[國際音標2], MATCH(TRUE, EXACT($C75, 韻母表[十五音]), 0)),  INDEX(韻母表[國際音標], MATCH(TRUE, EXACT($C75, 韻母表[十五音]), 0)))</f>
        <v>uãi</v>
      </c>
      <c r="E75" s="50" t="str" cm="1">
        <f t="array" ref="E75" xml:space="preserve"> INDEX(韻母表[台羅拼音], MATCH(TRUE, EXACT($C75, 韻母表[十五音]), 0))</f>
        <v>uainn</v>
      </c>
      <c r="F75" s="53"/>
      <c r="G75" s="53"/>
      <c r="H75" s="53"/>
      <c r="I75" s="53" t="s">
        <v>948</v>
      </c>
      <c r="J75" s="53"/>
      <c r="K75" s="53"/>
      <c r="L75" s="53"/>
      <c r="M75" s="53"/>
      <c r="N75" s="53" t="s">
        <v>950</v>
      </c>
      <c r="O75" s="53"/>
      <c r="P75" s="53" t="s">
        <v>949</v>
      </c>
      <c r="Q75" s="53" t="s">
        <v>232</v>
      </c>
      <c r="R75" s="53"/>
      <c r="S75" s="53"/>
      <c r="T75" s="53"/>
      <c r="U75" s="53"/>
      <c r="V75" s="53"/>
      <c r="W75" s="53" t="s">
        <v>947</v>
      </c>
      <c r="X75" s="50" t="s">
        <v>232</v>
      </c>
      <c r="Y75" s="50" t="s">
        <v>148</v>
      </c>
    </row>
    <row r="76" spans="2:25">
      <c r="B76" s="50" cm="1">
        <f t="array" ref="B76" xml:space="preserve"> INDEX(韻母表[韻序], MATCH(TRUE, EXACT($C76, 韻母表[十五音]), 0))</f>
        <v>46</v>
      </c>
      <c r="C76" s="50" t="s">
        <v>152</v>
      </c>
      <c r="D76" s="50" t="str" cm="1">
        <f t="array" ref="D76" xml:space="preserve"> IF( INDEX(韻母表[國際音標2], MATCH(TRUE, EXACT($C76, 韻母表[十五音]), 0))&lt;&gt;"",  INDEX(韻母表[國際音標2], MATCH(TRUE, EXACT($C76, 韻母表[十五音]), 0)),  INDEX(韻母表[國際音標], MATCH(TRUE, EXACT($C76, 韻母表[十五音]), 0)))</f>
        <v>ɪãʊ</v>
      </c>
      <c r="E76" s="50" t="str" cm="1">
        <f t="array" ref="E76" xml:space="preserve"> INDEX(韻母表[台羅拼音], MATCH(TRUE, EXACT($C76, 韻母表[十五音]), 0))</f>
        <v>iaunn</v>
      </c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 t="s">
        <v>235</v>
      </c>
      <c r="R76" s="53"/>
      <c r="S76" s="53"/>
      <c r="T76" s="53"/>
      <c r="U76" s="53"/>
      <c r="V76" s="53"/>
      <c r="W76" s="53"/>
      <c r="X76" s="50" t="s">
        <v>235</v>
      </c>
      <c r="Y76" s="50" t="s">
        <v>152</v>
      </c>
    </row>
    <row r="77" spans="2:25">
      <c r="B77" s="50" cm="1">
        <f t="array" ref="B77" xml:space="preserve"> INDEX(韻母表[韻序], MATCH(TRUE, EXACT($C77, 韻母表[十五音]), 0))</f>
        <v>47</v>
      </c>
      <c r="C77" s="50" t="s">
        <v>154</v>
      </c>
      <c r="D77" s="50" t="str" cm="1">
        <f t="array" ref="D77" xml:space="preserve"> IF( INDEX(韻母表[國際音標2], MATCH(TRUE, EXACT($C77, 韻母表[十五音]), 0))&lt;&gt;"",  INDEX(韻母表[國際音標2], MATCH(TRUE, EXACT($C77, 韻母表[十五音]), 0)),  INDEX(韻母表[國際音標], MATCH(TRUE, EXACT($C77, 韻母表[十五音]), 0)))</f>
        <v>ɔm</v>
      </c>
      <c r="E77" s="50" t="str" cm="1">
        <f t="array" ref="E77" xml:space="preserve"> INDEX(韻母表[台羅拼音], MATCH(TRUE, EXACT($C77, 韻母表[十五音]), 0))</f>
        <v>om</v>
      </c>
      <c r="F77" s="53"/>
      <c r="G77" s="53"/>
      <c r="H77" s="53"/>
      <c r="I77" s="53"/>
      <c r="J77" s="53"/>
      <c r="K77" s="53" t="s">
        <v>868</v>
      </c>
      <c r="L77" s="53"/>
      <c r="M77" s="53"/>
      <c r="N77" s="53"/>
      <c r="O77" s="53"/>
      <c r="P77" s="53" t="s">
        <v>867</v>
      </c>
      <c r="Q77" s="53" t="s">
        <v>236</v>
      </c>
      <c r="R77" s="53"/>
      <c r="S77" s="53"/>
      <c r="T77" s="53"/>
      <c r="U77" s="53"/>
      <c r="V77" s="53"/>
      <c r="W77" s="53"/>
      <c r="X77" s="50" t="s">
        <v>236</v>
      </c>
      <c r="Y77" s="50" t="s">
        <v>154</v>
      </c>
    </row>
    <row r="78" spans="2:25">
      <c r="B78" s="50" cm="1">
        <f t="array" ref="B78" xml:space="preserve"> INDEX(韻母表[韻序], MATCH(TRUE, EXACT($C78, 韻母表[十五音]), 0))</f>
        <v>49</v>
      </c>
      <c r="C78" s="50" t="s">
        <v>159</v>
      </c>
      <c r="D78" s="96" t="str" cm="1">
        <f t="array" ref="D78" xml:space="preserve"> IF( INDEX(韻母表[國際音標2], MATCH(TRUE, EXACT($C78, 韻母表[十五音]), 0))&lt;&gt;"",  INDEX(韻母表[國際音標2], MATCH(TRUE, EXACT($C78, 韻母表[十五音]), 0)),  INDEX(韻母表[國際音標], MATCH(TRUE, EXACT($C78, 韻母表[十五音]), 0)))</f>
        <v>ɔ̃ʔ</v>
      </c>
      <c r="E78" s="50" t="str" cm="1">
        <f t="array" ref="E78" xml:space="preserve"> INDEX(韻母表[台羅拼音], MATCH(TRUE, EXACT($C78, 韻母表[十五音]), 0))</f>
        <v>onnh</v>
      </c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 t="s">
        <v>238</v>
      </c>
      <c r="R78" s="53"/>
      <c r="S78" s="53"/>
      <c r="T78" s="53"/>
      <c r="U78" s="53"/>
      <c r="V78" s="53"/>
      <c r="W78" s="53" t="s">
        <v>884</v>
      </c>
      <c r="X78" s="50" t="s">
        <v>238</v>
      </c>
      <c r="Y78" s="50" t="s">
        <v>159</v>
      </c>
    </row>
    <row r="79" spans="2:25">
      <c r="B79" s="50" cm="1">
        <f t="array" ref="B79" xml:space="preserve"> INDEX(韻母表[韻序], MATCH(TRUE, EXACT($C79, 韻母表[十五音]), 0))</f>
        <v>50</v>
      </c>
      <c r="C79" s="50" t="s">
        <v>160</v>
      </c>
      <c r="D79" s="50" t="str" cm="1">
        <f t="array" ref="D79" xml:space="preserve"> IF( INDEX(韻母表[國際音標2], MATCH(TRUE, EXACT($C79, 韻母表[十五音]), 0))&lt;&gt;"",  INDEX(韻母表[國際音標2], MATCH(TRUE, EXACT($C79, 韻母表[十五音]), 0)),  INDEX(韻母表[國際音標], MATCH(TRUE, EXACT($C79, 韻母表[十五音]), 0)))</f>
        <v>ɪũ</v>
      </c>
      <c r="E79" s="50" t="str" cm="1">
        <f t="array" ref="E79" xml:space="preserve"> INDEX(韻母表[台羅拼音], MATCH(TRUE, EXACT($C79, 韻母表[十五音]), 0))</f>
        <v>iunn</v>
      </c>
      <c r="F79" s="53"/>
      <c r="G79" s="53"/>
      <c r="H79" s="53"/>
      <c r="I79" s="53" t="s">
        <v>804</v>
      </c>
      <c r="J79" s="53" t="s">
        <v>805</v>
      </c>
      <c r="K79" s="53" t="s">
        <v>807</v>
      </c>
      <c r="L79" s="53"/>
      <c r="M79" s="53"/>
      <c r="N79" s="53" t="s">
        <v>808</v>
      </c>
      <c r="O79" s="53"/>
      <c r="P79" s="53" t="s">
        <v>806</v>
      </c>
      <c r="Q79" s="53" t="s">
        <v>239</v>
      </c>
      <c r="R79" s="53"/>
      <c r="S79" s="53"/>
      <c r="T79" s="53"/>
      <c r="U79" s="53"/>
      <c r="V79" s="53" t="s">
        <v>809</v>
      </c>
      <c r="W79" s="53" t="s">
        <v>803</v>
      </c>
      <c r="X79" s="50" t="s">
        <v>239</v>
      </c>
      <c r="Y79" s="50" t="s">
        <v>160</v>
      </c>
    </row>
    <row r="80" spans="2:25">
      <c r="B80" s="50" cm="1">
        <f t="array" ref="B80" xml:space="preserve"> INDEX(韻母表[韻序], MATCH(TRUE, EXACT($C80, 韻母表[十五音]), 0))</f>
        <v>50</v>
      </c>
      <c r="C80" s="50" t="s">
        <v>161</v>
      </c>
      <c r="D80" s="50" t="str" cm="1">
        <f t="array" ref="D80" xml:space="preserve"> IF( INDEX(韻母表[國際音標2], MATCH(TRUE, EXACT($C80, 韻母表[十五音]), 0))&lt;&gt;"",  INDEX(韻母表[國際音標2], MATCH(TRUE, EXACT($C80, 韻母表[十五音]), 0)),  INDEX(韻母表[國際音標], MATCH(TRUE, EXACT($C80, 韻母表[十五音]), 0)))</f>
        <v>ɪũʔ</v>
      </c>
      <c r="E80" s="50" t="str" cm="1">
        <f t="array" ref="E80" xml:space="preserve"> INDEX(韻母表[台羅拼音], MATCH(TRUE, EXACT($C80, 韻母表[十五音]), 0))</f>
        <v>iunnh</v>
      </c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 t="s">
        <v>810</v>
      </c>
      <c r="R80" s="53"/>
      <c r="S80" s="53"/>
      <c r="T80" s="53"/>
      <c r="U80" s="53"/>
      <c r="V80" s="53"/>
      <c r="W80" s="53" t="s">
        <v>811</v>
      </c>
      <c r="X80" s="50" t="s">
        <v>810</v>
      </c>
      <c r="Y80" s="50" t="s">
        <v>161</v>
      </c>
    </row>
    <row r="81" spans="2:25" ht="7.5" customHeight="1">
      <c r="B81" s="50"/>
      <c r="C81" s="50"/>
      <c r="D81" s="50"/>
      <c r="E81" s="50"/>
      <c r="X81" s="50"/>
      <c r="Y81" s="50"/>
    </row>
    <row r="82" spans="2:25">
      <c r="B82" s="50"/>
      <c r="C82" s="51"/>
      <c r="D82" s="51"/>
      <c r="E82" s="51"/>
      <c r="F82" s="49" t="s">
        <v>47</v>
      </c>
      <c r="G82" s="52" t="s">
        <v>48</v>
      </c>
      <c r="H82" s="49" t="s">
        <v>41</v>
      </c>
      <c r="I82" s="49" t="s">
        <v>49</v>
      </c>
      <c r="J82" s="49" t="s">
        <v>50</v>
      </c>
      <c r="K82" s="49" t="s">
        <v>45</v>
      </c>
      <c r="L82" s="49" t="s">
        <v>42</v>
      </c>
      <c r="M82" s="49" t="s">
        <v>46</v>
      </c>
      <c r="N82" s="49" t="s">
        <v>54</v>
      </c>
      <c r="O82" s="49" t="s">
        <v>60</v>
      </c>
      <c r="P82" s="49" t="s">
        <v>58</v>
      </c>
      <c r="Q82" s="49" t="s">
        <v>327</v>
      </c>
      <c r="R82" s="49" t="s">
        <v>43</v>
      </c>
      <c r="S82" s="52" t="s">
        <v>44</v>
      </c>
      <c r="T82" s="49" t="s">
        <v>51</v>
      </c>
      <c r="U82" s="52" t="s">
        <v>52</v>
      </c>
      <c r="V82" s="49" t="s">
        <v>56</v>
      </c>
      <c r="W82" s="49" t="s">
        <v>53</v>
      </c>
      <c r="X82" s="51"/>
      <c r="Y82" s="51"/>
    </row>
    <row r="83" spans="2:25">
      <c r="B83" s="50"/>
      <c r="C83" s="51"/>
      <c r="D83" s="51"/>
      <c r="E83" s="51"/>
      <c r="F83" s="49" t="str">
        <f xml:space="preserve"> _xlfn.XLOOKUP(F$4, 聲母表[台羅拼音], 聲母表[十五音])</f>
        <v>柳</v>
      </c>
      <c r="G83" s="52" t="str">
        <f xml:space="preserve"> _xlfn.XLOOKUP(G$4, 聲母表[台羅拼音], 聲母表[十五音])</f>
        <v>柳</v>
      </c>
      <c r="H83" s="49" t="str">
        <f xml:space="preserve"> _xlfn.XLOOKUP(H$4, 聲母表[台羅拼音], 聲母表[十五音])</f>
        <v>邊</v>
      </c>
      <c r="I83" s="49" t="str">
        <f xml:space="preserve"> _xlfn.XLOOKUP(I$4, 聲母表[台羅拼音], 聲母表[十五音])</f>
        <v>求</v>
      </c>
      <c r="J83" s="49" t="str">
        <f xml:space="preserve"> _xlfn.XLOOKUP(J$4, 聲母表[台羅拼音], 聲母表[十五音])</f>
        <v>去</v>
      </c>
      <c r="K83" s="49" t="str">
        <f xml:space="preserve"> _xlfn.XLOOKUP(K$4, 聲母表[台羅拼音], 聲母表[十五音])</f>
        <v>地</v>
      </c>
      <c r="L83" s="49" t="str">
        <f xml:space="preserve"> _xlfn.XLOOKUP(L$4, 聲母表[台羅拼音], 聲母表[十五音])</f>
        <v>頗</v>
      </c>
      <c r="M83" s="49" t="str">
        <f xml:space="preserve"> _xlfn.XLOOKUP(M$4, 聲母表[台羅拼音], 聲母表[十五音])</f>
        <v>他</v>
      </c>
      <c r="N83" s="49" t="str">
        <f xml:space="preserve"> _xlfn.XLOOKUP(N$4, 聲母表[台羅拼音], 聲母表[十五音])</f>
        <v>曾</v>
      </c>
      <c r="O83" s="49" t="str">
        <f xml:space="preserve"> _xlfn.XLOOKUP(O$4, 聲母表[台羅拼音], 聲母表[十五音])</f>
        <v>入</v>
      </c>
      <c r="P83" s="49" t="str">
        <f xml:space="preserve"> _xlfn.XLOOKUP(P$4, 聲母表[台羅拼音], 聲母表[十五音])</f>
        <v>時</v>
      </c>
      <c r="Q83" s="49" t="str">
        <f xml:space="preserve"> _xlfn.XLOOKUP(Q$4, 聲母表[台羅拼音], 聲母表[十五音])</f>
        <v>英</v>
      </c>
      <c r="R83" s="49" t="str">
        <f xml:space="preserve"> _xlfn.XLOOKUP(R$4, 聲母表[台羅拼音], 聲母表[十五音])</f>
        <v>門</v>
      </c>
      <c r="S83" s="52" t="str">
        <f xml:space="preserve"> _xlfn.XLOOKUP(S$4, 聲母表[台羅拼音], 聲母表[十五音])</f>
        <v>門</v>
      </c>
      <c r="T83" s="49" t="str">
        <f xml:space="preserve"> _xlfn.XLOOKUP(T$4, 聲母表[台羅拼音], 聲母表[十五音])</f>
        <v>語</v>
      </c>
      <c r="U83" s="52" t="str">
        <f xml:space="preserve"> _xlfn.XLOOKUP(U$4, 聲母表[台羅拼音], 聲母表[十五音])</f>
        <v>語</v>
      </c>
      <c r="V83" s="49" t="str">
        <f xml:space="preserve"> _xlfn.XLOOKUP(V$4, 聲母表[台羅拼音], 聲母表[十五音])</f>
        <v>出</v>
      </c>
      <c r="W83" s="49" t="str">
        <f xml:space="preserve"> _xlfn.XLOOKUP(W$4, 聲母表[台羅拼音], 聲母表[十五音])</f>
        <v>喜</v>
      </c>
      <c r="X83" s="51"/>
      <c r="Y83" s="51"/>
    </row>
  </sheetData>
  <sortState xmlns:xlrd2="http://schemas.microsoft.com/office/spreadsheetml/2017/richdata2" ref="B6:Y80">
    <sortCondition ref="B6:B80"/>
  </sortState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8C3BC-CB36-424E-93B2-C730D7C09840}">
  <dimension ref="A1:AA89"/>
  <sheetViews>
    <sheetView workbookViewId="0"/>
  </sheetViews>
  <sheetFormatPr defaultRowHeight="22.5" outlineLevelRow="1"/>
  <cols>
    <col min="1" max="1" width="1" style="41" customWidth="1"/>
    <col min="2" max="2" width="6" style="41" customWidth="1"/>
    <col min="3" max="3" width="9.625" style="41" customWidth="1"/>
    <col min="4" max="4" width="9" style="41" customWidth="1"/>
    <col min="5" max="6" width="9.625" style="41" customWidth="1"/>
    <col min="7" max="24" width="9" style="41"/>
    <col min="25" max="25" width="9.625" style="41" customWidth="1"/>
    <col min="26" max="26" width="9" style="41" customWidth="1"/>
    <col min="27" max="27" width="9.625" style="41" customWidth="1"/>
    <col min="28" max="16384" width="9" style="41"/>
  </cols>
  <sheetData>
    <row r="1" spans="1:27" ht="9" customHeight="1"/>
    <row r="2" spans="1:27">
      <c r="B2" s="50"/>
      <c r="C2" s="50"/>
      <c r="D2" s="50"/>
      <c r="E2" s="50"/>
      <c r="F2" s="50"/>
      <c r="G2" s="133">
        <v>1</v>
      </c>
      <c r="H2" s="133">
        <v>1</v>
      </c>
      <c r="I2" s="133">
        <f xml:space="preserve"> _xlfn.XLOOKUP(I$3, 聲母表[台羅拼音], 聲母表[序號])</f>
        <v>2</v>
      </c>
      <c r="J2" s="133">
        <v>3</v>
      </c>
      <c r="K2" s="133">
        <v>4</v>
      </c>
      <c r="L2" s="133">
        <v>5</v>
      </c>
      <c r="M2" s="133">
        <v>6</v>
      </c>
      <c r="N2" s="133">
        <f xml:space="preserve"> _xlfn.XLOOKUP(N$3, 聲母表[台羅拼音], 聲母表[序號])</f>
        <v>7</v>
      </c>
      <c r="O2" s="133">
        <v>8</v>
      </c>
      <c r="P2" s="133">
        <v>9</v>
      </c>
      <c r="Q2" s="133">
        <v>10</v>
      </c>
      <c r="R2" s="133">
        <v>11</v>
      </c>
      <c r="S2" s="133">
        <v>12</v>
      </c>
      <c r="T2" s="133">
        <v>12</v>
      </c>
      <c r="U2" s="133">
        <v>13</v>
      </c>
      <c r="V2" s="133">
        <f xml:space="preserve"> _xlfn.XLOOKUP(V$3, 聲母表[台羅拼音], 聲母表[序號])</f>
        <v>13</v>
      </c>
      <c r="W2" s="133">
        <v>14</v>
      </c>
      <c r="X2" s="133">
        <v>15</v>
      </c>
      <c r="Y2" s="50"/>
      <c r="Z2" s="50"/>
      <c r="AA2" s="50"/>
    </row>
    <row r="3" spans="1:27">
      <c r="B3" s="50"/>
      <c r="C3" s="50"/>
      <c r="D3" s="50"/>
      <c r="E3" s="50"/>
      <c r="F3" s="50"/>
      <c r="G3" s="137" t="s">
        <v>47</v>
      </c>
      <c r="H3" s="137" t="s">
        <v>48</v>
      </c>
      <c r="I3" s="137" t="s">
        <v>41</v>
      </c>
      <c r="J3" s="137" t="s">
        <v>49</v>
      </c>
      <c r="K3" s="137" t="s">
        <v>50</v>
      </c>
      <c r="L3" s="137" t="s">
        <v>45</v>
      </c>
      <c r="M3" s="137" t="s">
        <v>42</v>
      </c>
      <c r="N3" s="137" t="s">
        <v>46</v>
      </c>
      <c r="O3" s="137" t="s">
        <v>54</v>
      </c>
      <c r="P3" s="137" t="s">
        <v>60</v>
      </c>
      <c r="Q3" s="137" t="s">
        <v>58</v>
      </c>
      <c r="R3" s="137" t="s">
        <v>327</v>
      </c>
      <c r="S3" s="137" t="s">
        <v>43</v>
      </c>
      <c r="T3" s="137" t="s">
        <v>44</v>
      </c>
      <c r="U3" s="137" t="s">
        <v>51</v>
      </c>
      <c r="V3" s="137" t="s">
        <v>52</v>
      </c>
      <c r="W3" s="137" t="s">
        <v>56</v>
      </c>
      <c r="X3" s="137" t="s">
        <v>53</v>
      </c>
      <c r="Y3" s="50"/>
      <c r="Z3" s="50"/>
      <c r="AA3" s="50"/>
    </row>
    <row r="4" spans="1:27">
      <c r="A4" s="95"/>
      <c r="B4" s="103"/>
      <c r="C4" s="103"/>
      <c r="D4" s="103"/>
      <c r="E4" s="103"/>
      <c r="F4" s="103"/>
      <c r="G4" s="136" t="str">
        <f xml:space="preserve"> _xlfn.XLOOKUP(G$3, 聲母表[台羅拼音], 聲母表[方音符號])</f>
        <v>ㄌ</v>
      </c>
      <c r="H4" s="136" t="str">
        <f xml:space="preserve"> _xlfn.XLOOKUP(H$3, 聲母表[台羅拼音], 聲母表[方音符號])</f>
        <v>ㄋ</v>
      </c>
      <c r="I4" s="136" t="str">
        <f xml:space="preserve"> _xlfn.XLOOKUP(I$3, 聲母表[台羅拼音], 聲母表[方音符號])</f>
        <v>ㄅ</v>
      </c>
      <c r="J4" s="136" t="str">
        <f xml:space="preserve"> _xlfn.XLOOKUP(J$3, 聲母表[台羅拼音], 聲母表[方音符號])</f>
        <v>ㄍ</v>
      </c>
      <c r="K4" s="136" t="str">
        <f xml:space="preserve"> _xlfn.XLOOKUP(K$3, 聲母表[台羅拼音], 聲母表[方音符號])</f>
        <v>ㄎ</v>
      </c>
      <c r="L4" s="136" t="str">
        <f xml:space="preserve"> _xlfn.XLOOKUP(L$3, 聲母表[台羅拼音], 聲母表[方音符號])</f>
        <v>ㄉ</v>
      </c>
      <c r="M4" s="136" t="str">
        <f xml:space="preserve"> _xlfn.XLOOKUP(M$3, 聲母表[台羅拼音], 聲母表[方音符號])</f>
        <v>ㄆ</v>
      </c>
      <c r="N4" s="136" t="str">
        <f xml:space="preserve"> _xlfn.XLOOKUP(N$3, 聲母表[台羅拼音], 聲母表[方音符號])</f>
        <v>ㄊ</v>
      </c>
      <c r="O4" s="136" t="str">
        <f xml:space="preserve"> _xlfn.XLOOKUP(O$3, 聲母表[台羅拼音], 聲母表[方音符號])</f>
        <v>ㄗ</v>
      </c>
      <c r="P4" s="136" t="str">
        <f xml:space="preserve"> _xlfn.XLOOKUP(P$3, 聲母表[台羅拼音], 聲母表[方音符號])</f>
        <v>ㆡ</v>
      </c>
      <c r="Q4" s="136" t="str">
        <f xml:space="preserve"> _xlfn.XLOOKUP(Q$3, 聲母表[台羅拼音], 聲母表[方音符號])</f>
        <v>ㄙ</v>
      </c>
      <c r="R4" s="136"/>
      <c r="S4" s="136" t="str">
        <f xml:space="preserve"> _xlfn.XLOOKUP(S$3, 聲母表[台羅拼音], 聲母表[方音符號])</f>
        <v>ㆠ</v>
      </c>
      <c r="T4" s="136" t="str">
        <f xml:space="preserve"> _xlfn.XLOOKUP(T$3, 聲母表[台羅拼音], 聲母表[方音符號])</f>
        <v>ㄇ</v>
      </c>
      <c r="U4" s="136" t="str">
        <f xml:space="preserve"> _xlfn.XLOOKUP(U$3, 聲母表[台羅拼音], 聲母表[方音符號])</f>
        <v>ㆣ</v>
      </c>
      <c r="V4" s="136" t="str">
        <f xml:space="preserve"> _xlfn.XLOOKUP(V$3, 聲母表[台羅拼音], 聲母表[方音符號])</f>
        <v>ㄫ</v>
      </c>
      <c r="W4" s="136" t="str">
        <f xml:space="preserve"> _xlfn.XLOOKUP(W$3, 聲母表[台羅拼音], 聲母表[方音符號])</f>
        <v>ㄘ</v>
      </c>
      <c r="X4" s="136" t="str">
        <f xml:space="preserve"> _xlfn.XLOOKUP(X$3, 聲母表[台羅拼音], 聲母表[方音符號])</f>
        <v>ㄏ</v>
      </c>
      <c r="Y4" s="50"/>
      <c r="Z4" s="103"/>
      <c r="AA4" s="50"/>
    </row>
    <row r="5" spans="1:27" ht="7.5" customHeight="1">
      <c r="B5" s="140"/>
      <c r="C5" s="140"/>
      <c r="D5" s="140"/>
      <c r="E5" s="140"/>
      <c r="F5" s="140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35"/>
      <c r="Z5" s="50"/>
      <c r="AA5" s="50"/>
    </row>
    <row r="6" spans="1:27">
      <c r="B6" s="103" t="s">
        <v>1056</v>
      </c>
      <c r="C6" s="103" t="s">
        <v>1057</v>
      </c>
      <c r="D6" s="103" t="s">
        <v>40</v>
      </c>
      <c r="E6" s="134" t="s">
        <v>1557</v>
      </c>
      <c r="F6" s="103" t="s">
        <v>1391</v>
      </c>
      <c r="G6" s="49" t="str">
        <f xml:space="preserve"> _xlfn.XLOOKUP(G$3, 聲母表[台羅拼音], 聲母表[十五音])</f>
        <v>柳</v>
      </c>
      <c r="H6" s="52" t="str">
        <f xml:space="preserve"> _xlfn.XLOOKUP(H$3, 聲母表[台羅拼音], 聲母表[十五音])</f>
        <v>柳</v>
      </c>
      <c r="I6" s="49" t="str">
        <f xml:space="preserve"> _xlfn.XLOOKUP(I$3, 聲母表[台羅拼音], 聲母表[十五音])</f>
        <v>邊</v>
      </c>
      <c r="J6" s="49" t="str">
        <f xml:space="preserve"> _xlfn.XLOOKUP(J$3, 聲母表[台羅拼音], 聲母表[十五音])</f>
        <v>求</v>
      </c>
      <c r="K6" s="49" t="str">
        <f xml:space="preserve"> _xlfn.XLOOKUP(K$3, 聲母表[台羅拼音], 聲母表[十五音])</f>
        <v>去</v>
      </c>
      <c r="L6" s="49" t="str">
        <f xml:space="preserve"> _xlfn.XLOOKUP(L$3, 聲母表[台羅拼音], 聲母表[十五音])</f>
        <v>地</v>
      </c>
      <c r="M6" s="49" t="str">
        <f xml:space="preserve"> _xlfn.XLOOKUP(M$3, 聲母表[台羅拼音], 聲母表[十五音])</f>
        <v>頗</v>
      </c>
      <c r="N6" s="49" t="str">
        <f xml:space="preserve"> _xlfn.XLOOKUP(N$3, 聲母表[台羅拼音], 聲母表[十五音])</f>
        <v>他</v>
      </c>
      <c r="O6" s="49" t="str">
        <f xml:space="preserve"> _xlfn.XLOOKUP(O$3, 聲母表[台羅拼音], 聲母表[十五音])</f>
        <v>曾</v>
      </c>
      <c r="P6" s="49" t="str">
        <f xml:space="preserve"> _xlfn.XLOOKUP(P$3, 聲母表[台羅拼音], 聲母表[十五音])</f>
        <v>入</v>
      </c>
      <c r="Q6" s="49" t="str">
        <f xml:space="preserve"> _xlfn.XLOOKUP(Q$3, 聲母表[台羅拼音], 聲母表[十五音])</f>
        <v>時</v>
      </c>
      <c r="R6" s="49" t="str">
        <f xml:space="preserve"> _xlfn.XLOOKUP(R$3, 聲母表[台羅拼音], 聲母表[十五音])</f>
        <v>英</v>
      </c>
      <c r="S6" s="49" t="str">
        <f xml:space="preserve"> _xlfn.XLOOKUP(S$3, 聲母表[台羅拼音], 聲母表[十五音])</f>
        <v>門</v>
      </c>
      <c r="T6" s="52" t="str">
        <f xml:space="preserve"> _xlfn.XLOOKUP(T$3, 聲母表[台羅拼音], 聲母表[十五音])</f>
        <v>門</v>
      </c>
      <c r="U6" s="49" t="str">
        <f xml:space="preserve"> _xlfn.XLOOKUP(U$3, 聲母表[台羅拼音], 聲母表[十五音])</f>
        <v>語</v>
      </c>
      <c r="V6" s="52" t="str">
        <f xml:space="preserve"> _xlfn.XLOOKUP(V$3, 聲母表[台羅拼音], 聲母表[十五音])</f>
        <v>語</v>
      </c>
      <c r="W6" s="49" t="str">
        <f xml:space="preserve"> _xlfn.XLOOKUP(W$3, 聲母表[台羅拼音], 聲母表[十五音])</f>
        <v>出</v>
      </c>
      <c r="X6" s="49" t="str">
        <f xml:space="preserve"> _xlfn.XLOOKUP(X$3, 聲母表[台羅拼音], 聲母表[十五音])</f>
        <v>喜</v>
      </c>
      <c r="Y6" s="134" t="s">
        <v>1557</v>
      </c>
      <c r="Z6" s="103" t="s">
        <v>40</v>
      </c>
      <c r="AA6" s="50" t="s">
        <v>1390</v>
      </c>
    </row>
    <row r="7" spans="1:27">
      <c r="B7" s="132" cm="1">
        <f t="array" ref="B7" xml:space="preserve"> INDEX(韻母表[韻序], MATCH(TRUE, EXACT($F7, 韻母表[十五音]), 0))</f>
        <v>1</v>
      </c>
      <c r="C7" s="50" t="str" cm="1">
        <f t="array" ref="C7" xml:space="preserve"> IF( INDEX(韻母表[國際音標2], MATCH(TRUE, EXACT($F7, 韻母表[十五音]), 0))&lt;&gt;"",  INDEX(韻母表[國際音標2], MATCH(TRUE, EXACT($F7, 韻母表[十五音]), 0)),  INDEX(韻母表[國際音標], MATCH(TRUE, EXACT($F7, 韻母表[十五音]), 0)))</f>
        <v>un</v>
      </c>
      <c r="D7" s="50" t="str" cm="1">
        <f t="array" ref="D7" xml:space="preserve"> INDEX(韻母表[台羅拼音], MATCH(TRUE, EXACT($F7, 韻母表[十五音]), 0))</f>
        <v>un</v>
      </c>
      <c r="E7" s="135" t="str" cm="1">
        <f t="array" ref="E7" xml:space="preserve"> INDEX(韻母表[方音符號], MATCH(TRUE, EXACT($F7, 韻母表[十五音]), 0))</f>
        <v>ㄨㄣ</v>
      </c>
      <c r="F7" s="50" t="s">
        <v>62</v>
      </c>
      <c r="G7" s="53" t="str">
        <f xml:space="preserve"> IF(十五音音節表!F6&lt;&gt;"", _xlfn.CONCAT(G$4,$E7), "")</f>
        <v>ㄌㄨㄣ</v>
      </c>
      <c r="H7" s="53" t="str">
        <f xml:space="preserve"> IF(十五音音節表!G6&lt;&gt;"", _xlfn.CONCAT(H$4,$E7), "")</f>
        <v/>
      </c>
      <c r="I7" s="53" t="str">
        <f xml:space="preserve"> IF(十五音音節表!H6&lt;&gt;"", _xlfn.CONCAT(I$4,$E7), "")</f>
        <v>ㄅㄨㄣ</v>
      </c>
      <c r="J7" s="53" t="str">
        <f xml:space="preserve"> IF(十五音音節表!I6&lt;&gt;"", _xlfn.CONCAT(J$4,$E7), "")</f>
        <v>ㄍㄨㄣ</v>
      </c>
      <c r="K7" s="53" t="str">
        <f xml:space="preserve"> IF(十五音音節表!J6&lt;&gt;"", _xlfn.CONCAT(K$4,$E7), "")</f>
        <v>ㄎㄨㄣ</v>
      </c>
      <c r="L7" s="53" t="str">
        <f xml:space="preserve"> IF(十五音音節表!K6&lt;&gt;"", _xlfn.CONCAT(L$4,$E7), "")</f>
        <v>ㄉㄨㄣ</v>
      </c>
      <c r="M7" s="53" t="str">
        <f xml:space="preserve"> IF(十五音音節表!L6&lt;&gt;"", _xlfn.CONCAT(M$4,$E7), "")</f>
        <v>ㄆㄨㄣ</v>
      </c>
      <c r="N7" s="53" t="str">
        <f xml:space="preserve"> IF(十五音音節表!M6&lt;&gt;"", _xlfn.CONCAT(N$4,$E7), "")</f>
        <v>ㄊㄨㄣ</v>
      </c>
      <c r="O7" s="53" t="str">
        <f xml:space="preserve"> IF(十五音音節表!N6&lt;&gt;"", _xlfn.CONCAT(O$4,$E7), "")</f>
        <v>ㄗㄨㄣ</v>
      </c>
      <c r="P7" s="53" t="str">
        <f xml:space="preserve"> IF(十五音音節表!O6&lt;&gt;"", _xlfn.CONCAT(P$4,$E7), "")</f>
        <v>ㆡㄨㄣ</v>
      </c>
      <c r="Q7" s="53" t="str">
        <f xml:space="preserve"> IF(十五音音節表!P6&lt;&gt;"", _xlfn.CONCAT(Q$4,$E7), "")</f>
        <v>ㄙㄨㄣ</v>
      </c>
      <c r="R7" s="53" t="str">
        <f xml:space="preserve"> IF(十五音音節表!Q6&lt;&gt;"", _xlfn.CONCAT(R$4,$E7), "")</f>
        <v>ㄨㄣ</v>
      </c>
      <c r="S7" s="53" t="str">
        <f xml:space="preserve"> IF(十五音音節表!R6&lt;&gt;"", _xlfn.CONCAT(S$4,$E7), "")</f>
        <v>ㆠㄨㄣ</v>
      </c>
      <c r="T7" s="53" t="str">
        <f xml:space="preserve"> IF(十五音音節表!S6&lt;&gt;"", _xlfn.CONCAT(T$4,$E7), "")</f>
        <v/>
      </c>
      <c r="U7" s="53" t="str">
        <f xml:space="preserve"> IF(十五音音節表!T6&lt;&gt;"", _xlfn.CONCAT(U$4,$E7), "")</f>
        <v>ㆣㄨㄣ</v>
      </c>
      <c r="V7" s="53" t="str">
        <f xml:space="preserve"> IF(十五音音節表!U6&lt;&gt;"", _xlfn.CONCAT(V$4,$E7), "")</f>
        <v/>
      </c>
      <c r="W7" s="53" t="str">
        <f xml:space="preserve"> IF(十五音音節表!V6&lt;&gt;"", _xlfn.CONCAT(W$4,$E7), "")</f>
        <v>ㄘㄨㄣ</v>
      </c>
      <c r="X7" s="53" t="str">
        <f xml:space="preserve"> IF(十五音音節表!W6&lt;&gt;"", _xlfn.CONCAT(X$4,$E7), "")</f>
        <v>ㄏㄨㄣ</v>
      </c>
      <c r="Y7" s="135" t="s">
        <v>1066</v>
      </c>
      <c r="Z7" s="50" t="s">
        <v>162</v>
      </c>
      <c r="AA7" s="50" t="s">
        <v>62</v>
      </c>
    </row>
    <row r="8" spans="1:27" outlineLevel="1">
      <c r="B8" s="132" cm="1">
        <f t="array" ref="B8" xml:space="preserve"> INDEX(韻母表[韻序], MATCH(TRUE, EXACT($F8, 韻母表[十五音]), 0))</f>
        <v>1</v>
      </c>
      <c r="C8" s="50" t="str" cm="1">
        <f t="array" ref="C8" xml:space="preserve"> IF( INDEX(韻母表[國際音標2], MATCH(TRUE, EXACT($F8, 韻母表[十五音]), 0))&lt;&gt;"",  INDEX(韻母表[國際音標2], MATCH(TRUE, EXACT($F8, 韻母表[十五音]), 0)),  INDEX(韻母表[國際音標], MATCH(TRUE, EXACT($F8, 韻母表[十五音]), 0)))</f>
        <v>ut̚</v>
      </c>
      <c r="D8" s="50" t="str" cm="1">
        <f t="array" ref="D8" xml:space="preserve"> INDEX(韻母表[台羅拼音], MATCH(TRUE, EXACT($F8, 韻母表[十五音]), 0))</f>
        <v>ut</v>
      </c>
      <c r="E8" s="135" t="str" cm="1">
        <f t="array" ref="E8" xml:space="preserve"> INDEX(韻母表[方音符號], MATCH(TRUE, EXACT($F8, 韻母表[十五音]), 0))</f>
        <v>ㄨㆵ</v>
      </c>
      <c r="F8" s="50" t="s">
        <v>63</v>
      </c>
      <c r="G8" s="53" t="str">
        <f xml:space="preserve"> IF(十五音音節表!F7&lt;&gt;"", _xlfn.CONCAT(G$4,$E8), "")</f>
        <v>ㄌㄨㆵ</v>
      </c>
      <c r="H8" s="53" t="str">
        <f xml:space="preserve"> IF(十五音音節表!G7&lt;&gt;"", _xlfn.CONCAT(H$4,$E8), "")</f>
        <v/>
      </c>
      <c r="I8" s="53" t="str">
        <f xml:space="preserve"> IF(十五音音節表!H7&lt;&gt;"", _xlfn.CONCAT(I$4,$E8), "")</f>
        <v>ㄅㄨㆵ</v>
      </c>
      <c r="J8" s="53" t="str">
        <f xml:space="preserve"> IF(十五音音節表!I7&lt;&gt;"", _xlfn.CONCAT(J$4,$E8), "")</f>
        <v>ㄍㄨㆵ</v>
      </c>
      <c r="K8" s="53" t="str">
        <f xml:space="preserve"> IF(十五音音節表!J7&lt;&gt;"", _xlfn.CONCAT(K$4,$E8), "")</f>
        <v>ㄎㄨㆵ</v>
      </c>
      <c r="L8" s="53" t="str">
        <f xml:space="preserve"> IF(十五音音節表!K7&lt;&gt;"", _xlfn.CONCAT(L$4,$E8), "")</f>
        <v>ㄉㄨㆵ</v>
      </c>
      <c r="M8" s="53" t="str">
        <f xml:space="preserve"> IF(十五音音節表!L7&lt;&gt;"", _xlfn.CONCAT(M$4,$E8), "")</f>
        <v>ㄆㄨㆵ</v>
      </c>
      <c r="N8" s="53" t="str">
        <f xml:space="preserve"> IF(十五音音節表!M7&lt;&gt;"", _xlfn.CONCAT(N$4,$E8), "")</f>
        <v>ㄊㄨㆵ</v>
      </c>
      <c r="O8" s="53" t="str">
        <f xml:space="preserve"> IF(十五音音節表!N7&lt;&gt;"", _xlfn.CONCAT(O$4,$E8), "")</f>
        <v>ㄗㄨㆵ</v>
      </c>
      <c r="P8" s="53" t="str">
        <f xml:space="preserve"> IF(十五音音節表!O7&lt;&gt;"", _xlfn.CONCAT(P$4,$E8), "")</f>
        <v/>
      </c>
      <c r="Q8" s="53" t="str">
        <f xml:space="preserve"> IF(十五音音節表!P7&lt;&gt;"", _xlfn.CONCAT(Q$4,$E8), "")</f>
        <v>ㄙㄨㆵ</v>
      </c>
      <c r="R8" s="53" t="str">
        <f xml:space="preserve"> IF(十五音音節表!Q7&lt;&gt;"", _xlfn.CONCAT(R$4,$E8), "")</f>
        <v>ㄨㆵ</v>
      </c>
      <c r="S8" s="53" t="str">
        <f xml:space="preserve"> IF(十五音音節表!R7&lt;&gt;"", _xlfn.CONCAT(S$4,$E8), "")</f>
        <v>ㆠㄨㆵ</v>
      </c>
      <c r="T8" s="53" t="str">
        <f xml:space="preserve"> IF(十五音音節表!S7&lt;&gt;"", _xlfn.CONCAT(T$4,$E8), "")</f>
        <v/>
      </c>
      <c r="U8" s="53" t="str">
        <f xml:space="preserve"> IF(十五音音節表!T7&lt;&gt;"", _xlfn.CONCAT(U$4,$E8), "")</f>
        <v/>
      </c>
      <c r="V8" s="53" t="str">
        <f xml:space="preserve"> IF(十五音音節表!U7&lt;&gt;"", _xlfn.CONCAT(V$4,$E8), "")</f>
        <v/>
      </c>
      <c r="W8" s="53" t="str">
        <f xml:space="preserve"> IF(十五音音節表!V7&lt;&gt;"", _xlfn.CONCAT(W$4,$E8), "")</f>
        <v>ㄘㄨㆵ</v>
      </c>
      <c r="X8" s="53" t="str">
        <f xml:space="preserve"> IF(十五音音節表!W7&lt;&gt;"", _xlfn.CONCAT(X$4,$E8), "")</f>
        <v>ㄏㄨㆵ</v>
      </c>
      <c r="Y8" s="135" t="s">
        <v>1068</v>
      </c>
      <c r="Z8" s="50" t="s">
        <v>163</v>
      </c>
      <c r="AA8" s="50" t="s">
        <v>63</v>
      </c>
    </row>
    <row r="9" spans="1:27">
      <c r="B9" s="132" cm="1">
        <f t="array" ref="B9" xml:space="preserve"> INDEX(韻母表[韻序], MATCH(TRUE, EXACT($F9, 韻母表[十五音]), 0))</f>
        <v>2</v>
      </c>
      <c r="C9" s="50" t="str" cm="1">
        <f t="array" ref="C9" xml:space="preserve"> IF( INDEX(韻母表[國際音標2], MATCH(TRUE, EXACT($F9, 韻母表[十五音]), 0))&lt;&gt;"",  INDEX(韻母表[國際音標2], MATCH(TRUE, EXACT($F9, 韻母表[十五音]), 0)),  INDEX(韻母表[國際音標], MATCH(TRUE, EXACT($F9, 韻母表[十五音]), 0)))</f>
        <v>ɪan</v>
      </c>
      <c r="D9" s="50" t="str" cm="1">
        <f t="array" ref="D9" xml:space="preserve"> INDEX(韻母表[台羅拼音], MATCH(TRUE, EXACT($F9, 韻母表[十五音]), 0))</f>
        <v>ian</v>
      </c>
      <c r="E9" s="135" t="str" cm="1">
        <f t="array" ref="E9" xml:space="preserve"> INDEX(韻母表[方音符號], MATCH(TRUE, EXACT($F9, 韻母表[十五音]), 0))</f>
        <v>ㄧㄢ</v>
      </c>
      <c r="F9" s="50" t="s">
        <v>64</v>
      </c>
      <c r="G9" s="53" t="str">
        <f xml:space="preserve"> IF(十五音音節表!F8&lt;&gt;"", _xlfn.CONCAT(G$4,$E9), "")</f>
        <v>ㄌㄧㄢ</v>
      </c>
      <c r="H9" s="53" t="str">
        <f xml:space="preserve"> IF(十五音音節表!G8&lt;&gt;"", _xlfn.CONCAT(H$4,$E9), "")</f>
        <v/>
      </c>
      <c r="I9" s="53" t="str">
        <f xml:space="preserve"> IF(十五音音節表!H8&lt;&gt;"", _xlfn.CONCAT(I$4,$E9), "")</f>
        <v>ㄅㄧㄢ</v>
      </c>
      <c r="J9" s="53" t="str">
        <f xml:space="preserve"> IF(十五音音節表!I8&lt;&gt;"", _xlfn.CONCAT(J$4,$E9), "")</f>
        <v>ㄍㄧㄢ</v>
      </c>
      <c r="K9" s="53" t="str">
        <f xml:space="preserve"> IF(十五音音節表!J8&lt;&gt;"", _xlfn.CONCAT(K$4,$E9), "")</f>
        <v>ㄎㄧㄢ</v>
      </c>
      <c r="L9" s="53" t="str">
        <f xml:space="preserve"> IF(十五音音節表!K8&lt;&gt;"", _xlfn.CONCAT(L$4,$E9), "")</f>
        <v>ㄉㄧㄢ</v>
      </c>
      <c r="M9" s="53" t="str">
        <f xml:space="preserve"> IF(十五音音節表!L8&lt;&gt;"", _xlfn.CONCAT(M$4,$E9), "")</f>
        <v>ㄆㄧㄢ</v>
      </c>
      <c r="N9" s="53" t="str">
        <f xml:space="preserve"> IF(十五音音節表!M8&lt;&gt;"", _xlfn.CONCAT(N$4,$E9), "")</f>
        <v>ㄊㄧㄢ</v>
      </c>
      <c r="O9" s="53" t="str">
        <f xml:space="preserve"> IF(十五音音節表!N8&lt;&gt;"", _xlfn.CONCAT(O$4,$E9), "")</f>
        <v>ㄗㄧㄢ</v>
      </c>
      <c r="P9" s="53" t="str">
        <f xml:space="preserve"> IF(十五音音節表!O8&lt;&gt;"", _xlfn.CONCAT(P$4,$E9), "")</f>
        <v>ㆡㄧㄢ</v>
      </c>
      <c r="Q9" s="53" t="str">
        <f xml:space="preserve"> IF(十五音音節表!P8&lt;&gt;"", _xlfn.CONCAT(Q$4,$E9), "")</f>
        <v>ㄙㄧㄢ</v>
      </c>
      <c r="R9" s="53" t="str">
        <f xml:space="preserve"> IF(十五音音節表!Q8&lt;&gt;"", _xlfn.CONCAT(R$4,$E9), "")</f>
        <v>ㄧㄢ</v>
      </c>
      <c r="S9" s="53" t="str">
        <f xml:space="preserve"> IF(十五音音節表!R8&lt;&gt;"", _xlfn.CONCAT(S$4,$E9), "")</f>
        <v>ㆠㄧㄢ</v>
      </c>
      <c r="T9" s="53" t="str">
        <f xml:space="preserve"> IF(十五音音節表!S8&lt;&gt;"", _xlfn.CONCAT(T$4,$E9), "")</f>
        <v/>
      </c>
      <c r="U9" s="53" t="str">
        <f xml:space="preserve"> IF(十五音音節表!T8&lt;&gt;"", _xlfn.CONCAT(U$4,$E9), "")</f>
        <v>ㆣㄧㄢ</v>
      </c>
      <c r="V9" s="53" t="str">
        <f xml:space="preserve"> IF(十五音音節表!U8&lt;&gt;"", _xlfn.CONCAT(V$4,$E9), "")</f>
        <v/>
      </c>
      <c r="W9" s="53" t="str">
        <f xml:space="preserve"> IF(十五音音節表!V8&lt;&gt;"", _xlfn.CONCAT(W$4,$E9), "")</f>
        <v>ㄘㄧㄢ</v>
      </c>
      <c r="X9" s="53" t="str">
        <f xml:space="preserve"> IF(十五音音節表!W8&lt;&gt;"", _xlfn.CONCAT(X$4,$E9), "")</f>
        <v>ㄏㄧㄢ</v>
      </c>
      <c r="Y9" s="135" t="s">
        <v>1070</v>
      </c>
      <c r="Z9" s="50" t="s">
        <v>164</v>
      </c>
      <c r="AA9" s="50" t="s">
        <v>64</v>
      </c>
    </row>
    <row r="10" spans="1:27" outlineLevel="1">
      <c r="B10" s="132" cm="1">
        <f t="array" ref="B10" xml:space="preserve"> INDEX(韻母表[韻序], MATCH(TRUE, EXACT($F10, 韻母表[十五音]), 0))</f>
        <v>2</v>
      </c>
      <c r="C10" s="50" t="str" cm="1">
        <f t="array" ref="C10" xml:space="preserve"> IF( INDEX(韻母表[國際音標2], MATCH(TRUE, EXACT($F10, 韻母表[十五音]), 0))&lt;&gt;"",  INDEX(韻母表[國際音標2], MATCH(TRUE, EXACT($F10, 韻母表[十五音]), 0)),  INDEX(韻母表[國際音標], MATCH(TRUE, EXACT($F10, 韻母表[十五音]), 0)))</f>
        <v>ɪat̚</v>
      </c>
      <c r="D10" s="50" t="str" cm="1">
        <f t="array" ref="D10" xml:space="preserve"> INDEX(韻母表[台羅拼音], MATCH(TRUE, EXACT($F10, 韻母表[十五音]), 0))</f>
        <v>iat</v>
      </c>
      <c r="E10" s="135" t="str" cm="1">
        <f t="array" ref="E10" xml:space="preserve"> INDEX(韻母表[方音符號], MATCH(TRUE, EXACT($F10, 韻母表[十五音]), 0))</f>
        <v>ㄧㄚㆵ</v>
      </c>
      <c r="F10" s="50" t="s">
        <v>65</v>
      </c>
      <c r="G10" s="53" t="str">
        <f xml:space="preserve"> IF(十五音音節表!F9&lt;&gt;"", _xlfn.CONCAT(G$4,$E10), "")</f>
        <v>ㄌㄧㄚㆵ</v>
      </c>
      <c r="H10" s="53" t="str">
        <f xml:space="preserve"> IF(十五音音節表!G9&lt;&gt;"", _xlfn.CONCAT(H$4,$E10), "")</f>
        <v/>
      </c>
      <c r="I10" s="53" t="str">
        <f xml:space="preserve"> IF(十五音音節表!H9&lt;&gt;"", _xlfn.CONCAT(I$4,$E10), "")</f>
        <v>ㄅㄧㄚㆵ</v>
      </c>
      <c r="J10" s="53" t="str">
        <f xml:space="preserve"> IF(十五音音節表!I9&lt;&gt;"", _xlfn.CONCAT(J$4,$E10), "")</f>
        <v>ㄍㄧㄚㆵ</v>
      </c>
      <c r="K10" s="53" t="str">
        <f xml:space="preserve"> IF(十五音音節表!J9&lt;&gt;"", _xlfn.CONCAT(K$4,$E10), "")</f>
        <v>ㄎㄧㄚㆵ</v>
      </c>
      <c r="L10" s="53" t="str">
        <f xml:space="preserve"> IF(十五音音節表!K9&lt;&gt;"", _xlfn.CONCAT(L$4,$E10), "")</f>
        <v>ㄉㄧㄚㆵ</v>
      </c>
      <c r="M10" s="53" t="str">
        <f xml:space="preserve"> IF(十五音音節表!L9&lt;&gt;"", _xlfn.CONCAT(M$4,$E10), "")</f>
        <v>ㄆㄧㄚㆵ</v>
      </c>
      <c r="N10" s="53" t="str">
        <f xml:space="preserve"> IF(十五音音節表!M9&lt;&gt;"", _xlfn.CONCAT(N$4,$E10), "")</f>
        <v>ㄊㄧㄚㆵ</v>
      </c>
      <c r="O10" s="53" t="str">
        <f xml:space="preserve"> IF(十五音音節表!N9&lt;&gt;"", _xlfn.CONCAT(O$4,$E10), "")</f>
        <v>ㄗㄧㄚㆵ</v>
      </c>
      <c r="P10" s="53" t="str">
        <f xml:space="preserve"> IF(十五音音節表!O9&lt;&gt;"", _xlfn.CONCAT(P$4,$E10), "")</f>
        <v>ㆡㄧㄚㆵ</v>
      </c>
      <c r="Q10" s="53" t="str">
        <f xml:space="preserve"> IF(十五音音節表!P9&lt;&gt;"", _xlfn.CONCAT(Q$4,$E10), "")</f>
        <v>ㄙㄧㄚㆵ</v>
      </c>
      <c r="R10" s="53" t="str">
        <f xml:space="preserve"> IF(十五音音節表!Q9&lt;&gt;"", _xlfn.CONCAT(R$4,$E10), "")</f>
        <v>ㄧㄚㆵ</v>
      </c>
      <c r="S10" s="53" t="str">
        <f xml:space="preserve"> IF(十五音音節表!R9&lt;&gt;"", _xlfn.CONCAT(S$4,$E10), "")</f>
        <v>ㆠㄧㄚㆵ</v>
      </c>
      <c r="T10" s="53" t="str">
        <f xml:space="preserve"> IF(十五音音節表!S9&lt;&gt;"", _xlfn.CONCAT(T$4,$E10), "")</f>
        <v/>
      </c>
      <c r="U10" s="53" t="str">
        <f xml:space="preserve"> IF(十五音音節表!T9&lt;&gt;"", _xlfn.CONCAT(U$4,$E10), "")</f>
        <v>ㆣㄧㄚㆵ</v>
      </c>
      <c r="V10" s="53" t="str">
        <f xml:space="preserve"> IF(十五音音節表!U9&lt;&gt;"", _xlfn.CONCAT(V$4,$E10), "")</f>
        <v/>
      </c>
      <c r="W10" s="53" t="str">
        <f xml:space="preserve"> IF(十五音音節表!V9&lt;&gt;"", _xlfn.CONCAT(W$4,$E10), "")</f>
        <v>ㄘㄧㄚㆵ</v>
      </c>
      <c r="X10" s="53" t="str">
        <f xml:space="preserve"> IF(十五音音節表!W9&lt;&gt;"", _xlfn.CONCAT(X$4,$E10), "")</f>
        <v>ㄏㄧㄚㆵ</v>
      </c>
      <c r="Y10" s="135" t="s">
        <v>1071</v>
      </c>
      <c r="Z10" s="50" t="s">
        <v>165</v>
      </c>
      <c r="AA10" s="50" t="s">
        <v>65</v>
      </c>
    </row>
    <row r="11" spans="1:27">
      <c r="B11" s="132" cm="1">
        <f t="array" ref="B11" xml:space="preserve"> INDEX(韻母表[韻序], MATCH(TRUE, EXACT($F11, 韻母表[十五音]), 0))</f>
        <v>3</v>
      </c>
      <c r="C11" s="50" t="str" cm="1">
        <f t="array" ref="C11" xml:space="preserve"> IF( INDEX(韻母表[國際音標2], MATCH(TRUE, EXACT($F11, 韻母表[十五音]), 0))&lt;&gt;"",  INDEX(韻母表[國際音標2], MATCH(TRUE, EXACT($F11, 韻母表[十五音]), 0)),  INDEX(韻母表[國際音標], MATCH(TRUE, EXACT($F11, 韻母表[十五音]), 0)))</f>
        <v>im</v>
      </c>
      <c r="D11" s="50" t="str" cm="1">
        <f t="array" ref="D11" xml:space="preserve"> INDEX(韻母表[台羅拼音], MATCH(TRUE, EXACT($F11, 韻母表[十五音]), 0))</f>
        <v>im</v>
      </c>
      <c r="E11" s="135" t="str" cm="1">
        <f t="array" ref="E11" xml:space="preserve"> INDEX(韻母表[方音符號], MATCH(TRUE, EXACT($F11, 韻母表[十五音]), 0))</f>
        <v>ㄧㆬ</v>
      </c>
      <c r="F11" s="50" t="s">
        <v>66</v>
      </c>
      <c r="G11" s="53" t="str">
        <f xml:space="preserve"> IF(十五音音節表!F10&lt;&gt;"", _xlfn.CONCAT(G$4,$E11), "")</f>
        <v>ㄌㄧㆬ</v>
      </c>
      <c r="H11" s="53" t="str">
        <f xml:space="preserve"> IF(十五音音節表!G10&lt;&gt;"", _xlfn.CONCAT(H$4,$E11), "")</f>
        <v/>
      </c>
      <c r="I11" s="53" t="str">
        <f xml:space="preserve"> IF(十五音音節表!H10&lt;&gt;"", _xlfn.CONCAT(I$4,$E11), "")</f>
        <v/>
      </c>
      <c r="J11" s="53" t="str">
        <f xml:space="preserve"> IF(十五音音節表!I10&lt;&gt;"", _xlfn.CONCAT(J$4,$E11), "")</f>
        <v>ㄍㄧㆬ</v>
      </c>
      <c r="K11" s="53" t="str">
        <f xml:space="preserve"> IF(十五音音節表!J10&lt;&gt;"", _xlfn.CONCAT(K$4,$E11), "")</f>
        <v>ㄎㄧㆬ</v>
      </c>
      <c r="L11" s="53" t="str">
        <f xml:space="preserve"> IF(十五音音節表!K10&lt;&gt;"", _xlfn.CONCAT(L$4,$E11), "")</f>
        <v>ㄉㄧㆬ</v>
      </c>
      <c r="M11" s="53" t="str">
        <f xml:space="preserve"> IF(十五音音節表!L10&lt;&gt;"", _xlfn.CONCAT(M$4,$E11), "")</f>
        <v/>
      </c>
      <c r="N11" s="53" t="str">
        <f xml:space="preserve"> IF(十五音音節表!M10&lt;&gt;"", _xlfn.CONCAT(N$4,$E11), "")</f>
        <v>ㄊㄧㆬ</v>
      </c>
      <c r="O11" s="53" t="str">
        <f xml:space="preserve"> IF(十五音音節表!N10&lt;&gt;"", _xlfn.CONCAT(O$4,$E11), "")</f>
        <v>ㄗㄧㆬ</v>
      </c>
      <c r="P11" s="53" t="str">
        <f xml:space="preserve"> IF(十五音音節表!O10&lt;&gt;"", _xlfn.CONCAT(P$4,$E11), "")</f>
        <v>ㆡㄧㆬ</v>
      </c>
      <c r="Q11" s="53" t="str">
        <f xml:space="preserve"> IF(十五音音節表!P10&lt;&gt;"", _xlfn.CONCAT(Q$4,$E11), "")</f>
        <v>ㄙㄧㆬ</v>
      </c>
      <c r="R11" s="53" t="str">
        <f xml:space="preserve"> IF(十五音音節表!Q10&lt;&gt;"", _xlfn.CONCAT(R$4,$E11), "")</f>
        <v>ㄧㆬ</v>
      </c>
      <c r="S11" s="53" t="str">
        <f xml:space="preserve"> IF(十五音音節表!R10&lt;&gt;"", _xlfn.CONCAT(S$4,$E11), "")</f>
        <v/>
      </c>
      <c r="T11" s="53" t="str">
        <f xml:space="preserve"> IF(十五音音節表!S10&lt;&gt;"", _xlfn.CONCAT(T$4,$E11), "")</f>
        <v/>
      </c>
      <c r="U11" s="53" t="str">
        <f xml:space="preserve"> IF(十五音音節表!T10&lt;&gt;"", _xlfn.CONCAT(U$4,$E11), "")</f>
        <v>ㆣㄧㆬ</v>
      </c>
      <c r="V11" s="53" t="str">
        <f xml:space="preserve"> IF(十五音音節表!U10&lt;&gt;"", _xlfn.CONCAT(V$4,$E11), "")</f>
        <v/>
      </c>
      <c r="W11" s="53" t="str">
        <f xml:space="preserve"> IF(十五音音節表!V10&lt;&gt;"", _xlfn.CONCAT(W$4,$E11), "")</f>
        <v>ㄘㄧㆬ</v>
      </c>
      <c r="X11" s="53" t="str">
        <f xml:space="preserve"> IF(十五音音節表!W10&lt;&gt;"", _xlfn.CONCAT(X$4,$E11), "")</f>
        <v>ㄏㄧㆬ</v>
      </c>
      <c r="Y11" s="135" t="s">
        <v>1073</v>
      </c>
      <c r="Z11" s="50" t="s">
        <v>166</v>
      </c>
      <c r="AA11" s="50" t="s">
        <v>66</v>
      </c>
    </row>
    <row r="12" spans="1:27" outlineLevel="1">
      <c r="B12" s="132" cm="1">
        <f t="array" ref="B12" xml:space="preserve"> INDEX(韻母表[韻序], MATCH(TRUE, EXACT($F12, 韻母表[十五音]), 0))</f>
        <v>3</v>
      </c>
      <c r="C12" s="50" t="str" cm="1">
        <f t="array" ref="C12" xml:space="preserve"> IF( INDEX(韻母表[國際音標2], MATCH(TRUE, EXACT($F12, 韻母表[十五音]), 0))&lt;&gt;"",  INDEX(韻母表[國際音標2], MATCH(TRUE, EXACT($F12, 韻母表[十五音]), 0)),  INDEX(韻母表[國際音標], MATCH(TRUE, EXACT($F12, 韻母表[十五音]), 0)))</f>
        <v>ip̚</v>
      </c>
      <c r="D12" s="50" t="str" cm="1">
        <f t="array" ref="D12" xml:space="preserve"> INDEX(韻母表[台羅拼音], MATCH(TRUE, EXACT($F12, 韻母表[十五音]), 0))</f>
        <v>ip</v>
      </c>
      <c r="E12" s="135" t="str" cm="1">
        <f t="array" ref="E12" xml:space="preserve"> INDEX(韻母表[方音符號], MATCH(TRUE, EXACT($F12, 韻母表[十五音]), 0))</f>
        <v>一ㆴ</v>
      </c>
      <c r="F12" s="50" t="s">
        <v>67</v>
      </c>
      <c r="G12" s="53" t="str">
        <f xml:space="preserve"> IF(十五音音節表!F11&lt;&gt;"", _xlfn.CONCAT(G$4,$E12), "")</f>
        <v>ㄌ一ㆴ</v>
      </c>
      <c r="H12" s="53" t="str">
        <f xml:space="preserve"> IF(十五音音節表!G11&lt;&gt;"", _xlfn.CONCAT(H$4,$E12), "")</f>
        <v/>
      </c>
      <c r="I12" s="53" t="str">
        <f xml:space="preserve"> IF(十五音音節表!H11&lt;&gt;"", _xlfn.CONCAT(I$4,$E12), "")</f>
        <v/>
      </c>
      <c r="J12" s="53" t="str">
        <f xml:space="preserve"> IF(十五音音節表!I11&lt;&gt;"", _xlfn.CONCAT(J$4,$E12), "")</f>
        <v>ㄍ一ㆴ</v>
      </c>
      <c r="K12" s="53" t="str">
        <f xml:space="preserve"> IF(十五音音節表!J11&lt;&gt;"", _xlfn.CONCAT(K$4,$E12), "")</f>
        <v>ㄎ一ㆴ</v>
      </c>
      <c r="L12" s="53" t="str">
        <f xml:space="preserve"> IF(十五音音節表!K11&lt;&gt;"", _xlfn.CONCAT(L$4,$E12), "")</f>
        <v/>
      </c>
      <c r="M12" s="53" t="str">
        <f xml:space="preserve"> IF(十五音音節表!L11&lt;&gt;"", _xlfn.CONCAT(M$4,$E12), "")</f>
        <v/>
      </c>
      <c r="N12" s="53" t="str">
        <f xml:space="preserve"> IF(十五音音節表!M11&lt;&gt;"", _xlfn.CONCAT(N$4,$E12), "")</f>
        <v/>
      </c>
      <c r="O12" s="53" t="str">
        <f xml:space="preserve"> IF(十五音音節表!N11&lt;&gt;"", _xlfn.CONCAT(O$4,$E12), "")</f>
        <v>ㄗ一ㆴ</v>
      </c>
      <c r="P12" s="53" t="str">
        <f xml:space="preserve"> IF(十五音音節表!O11&lt;&gt;"", _xlfn.CONCAT(P$4,$E12), "")</f>
        <v>ㆡ一ㆴ</v>
      </c>
      <c r="Q12" s="53" t="str">
        <f xml:space="preserve"> IF(十五音音節表!P11&lt;&gt;"", _xlfn.CONCAT(Q$4,$E12), "")</f>
        <v>ㄙ一ㆴ</v>
      </c>
      <c r="R12" s="53" t="str">
        <f xml:space="preserve"> IF(十五音音節表!Q11&lt;&gt;"", _xlfn.CONCAT(R$4,$E12), "")</f>
        <v>一ㆴ</v>
      </c>
      <c r="S12" s="53" t="str">
        <f xml:space="preserve"> IF(十五音音節表!R11&lt;&gt;"", _xlfn.CONCAT(S$4,$E12), "")</f>
        <v/>
      </c>
      <c r="T12" s="53" t="str">
        <f xml:space="preserve"> IF(十五音音節表!S11&lt;&gt;"", _xlfn.CONCAT(T$4,$E12), "")</f>
        <v/>
      </c>
      <c r="U12" s="53" t="str">
        <f xml:space="preserve"> IF(十五音音節表!T11&lt;&gt;"", _xlfn.CONCAT(U$4,$E12), "")</f>
        <v/>
      </c>
      <c r="V12" s="53" t="str">
        <f xml:space="preserve"> IF(十五音音節表!U11&lt;&gt;"", _xlfn.CONCAT(V$4,$E12), "")</f>
        <v/>
      </c>
      <c r="W12" s="53" t="str">
        <f xml:space="preserve"> IF(十五音音節表!V11&lt;&gt;"", _xlfn.CONCAT(W$4,$E12), "")</f>
        <v>ㄘ一ㆴ</v>
      </c>
      <c r="X12" s="53" t="str">
        <f xml:space="preserve"> IF(十五音音節表!W11&lt;&gt;"", _xlfn.CONCAT(X$4,$E12), "")</f>
        <v>ㄏ一ㆴ</v>
      </c>
      <c r="Y12" s="135" t="s">
        <v>1076</v>
      </c>
      <c r="Z12" s="50" t="s">
        <v>167</v>
      </c>
      <c r="AA12" s="50" t="s">
        <v>67</v>
      </c>
    </row>
    <row r="13" spans="1:27">
      <c r="B13" s="132" cm="1">
        <f t="array" ref="B13" xml:space="preserve"> INDEX(韻母表[韻序], MATCH(TRUE, EXACT($F13, 韻母表[十五音]), 0))</f>
        <v>4</v>
      </c>
      <c r="C13" s="50" t="str" cm="1">
        <f t="array" ref="C13" xml:space="preserve"> IF( INDEX(韻母表[國際音標2], MATCH(TRUE, EXACT($F13, 韻母表[十五音]), 0))&lt;&gt;"",  INDEX(韻母表[國際音標2], MATCH(TRUE, EXACT($F13, 韻母表[十五音]), 0)),  INDEX(韻母表[國際音標], MATCH(TRUE, EXACT($F13, 韻母表[十五音]), 0)))</f>
        <v>ui</v>
      </c>
      <c r="D13" s="50" t="str" cm="1">
        <f t="array" ref="D13" xml:space="preserve"> INDEX(韻母表[台羅拼音], MATCH(TRUE, EXACT($F13, 韻母表[十五音]), 0))</f>
        <v>ui</v>
      </c>
      <c r="E13" s="135" t="str" cm="1">
        <f t="array" ref="E13" xml:space="preserve"> INDEX(韻母表[方音符號], MATCH(TRUE, EXACT($F13, 韻母表[十五音]), 0))</f>
        <v>ㄨㄧ</v>
      </c>
      <c r="F13" s="50" t="s">
        <v>68</v>
      </c>
      <c r="G13" s="53" t="str">
        <f xml:space="preserve"> IF(十五音音節表!F12&lt;&gt;"", _xlfn.CONCAT(G$4,$E13), "")</f>
        <v>ㄌㄨㄧ</v>
      </c>
      <c r="H13" s="53" t="str">
        <f xml:space="preserve"> IF(十五音音節表!G12&lt;&gt;"", _xlfn.CONCAT(H$4,$E13), "")</f>
        <v/>
      </c>
      <c r="I13" s="53" t="str">
        <f xml:space="preserve"> IF(十五音音節表!H12&lt;&gt;"", _xlfn.CONCAT(I$4,$E13), "")</f>
        <v>ㄅㄨㄧ</v>
      </c>
      <c r="J13" s="53" t="str">
        <f xml:space="preserve"> IF(十五音音節表!I12&lt;&gt;"", _xlfn.CONCAT(J$4,$E13), "")</f>
        <v>ㄍㄨㄧ</v>
      </c>
      <c r="K13" s="53" t="str">
        <f xml:space="preserve"> IF(十五音音節表!J12&lt;&gt;"", _xlfn.CONCAT(K$4,$E13), "")</f>
        <v>ㄎㄨㄧ</v>
      </c>
      <c r="L13" s="53" t="str">
        <f xml:space="preserve"> IF(十五音音節表!K12&lt;&gt;"", _xlfn.CONCAT(L$4,$E13), "")</f>
        <v>ㄉㄨㄧ</v>
      </c>
      <c r="M13" s="53" t="str">
        <f xml:space="preserve"> IF(十五音音節表!L12&lt;&gt;"", _xlfn.CONCAT(M$4,$E13), "")</f>
        <v>ㄆㄨㄧ</v>
      </c>
      <c r="N13" s="53" t="str">
        <f xml:space="preserve"> IF(十五音音節表!M12&lt;&gt;"", _xlfn.CONCAT(N$4,$E13), "")</f>
        <v>ㄊㄨㄧ</v>
      </c>
      <c r="O13" s="53" t="str">
        <f xml:space="preserve"> IF(十五音音節表!N12&lt;&gt;"", _xlfn.CONCAT(O$4,$E13), "")</f>
        <v>ㄗㄨㄧ</v>
      </c>
      <c r="P13" s="53" t="str">
        <f xml:space="preserve"> IF(十五音音節表!O12&lt;&gt;"", _xlfn.CONCAT(P$4,$E13), "")</f>
        <v/>
      </c>
      <c r="Q13" s="53" t="str">
        <f xml:space="preserve"> IF(十五音音節表!P12&lt;&gt;"", _xlfn.CONCAT(Q$4,$E13), "")</f>
        <v>ㄙㄨㄧ</v>
      </c>
      <c r="R13" s="53" t="str">
        <f xml:space="preserve"> IF(十五音音節表!Q12&lt;&gt;"", _xlfn.CONCAT(R$4,$E13), "")</f>
        <v>ㄨㄧ</v>
      </c>
      <c r="S13" s="53" t="str">
        <f xml:space="preserve"> IF(十五音音節表!R12&lt;&gt;"", _xlfn.CONCAT(S$4,$E13), "")</f>
        <v>ㆠㄨㄧ</v>
      </c>
      <c r="T13" s="53" t="str">
        <f xml:space="preserve"> IF(十五音音節表!S12&lt;&gt;"", _xlfn.CONCAT(T$4,$E13), "")</f>
        <v>ㄇㄨㄧ</v>
      </c>
      <c r="U13" s="53" t="str">
        <f xml:space="preserve"> IF(十五音音節表!T12&lt;&gt;"", _xlfn.CONCAT(U$4,$E13), "")</f>
        <v>ㆣㄨㄧ</v>
      </c>
      <c r="V13" s="53" t="str">
        <f xml:space="preserve"> IF(十五音音節表!U12&lt;&gt;"", _xlfn.CONCAT(V$4,$E13), "")</f>
        <v/>
      </c>
      <c r="W13" s="53" t="str">
        <f xml:space="preserve"> IF(十五音音節表!V12&lt;&gt;"", _xlfn.CONCAT(W$4,$E13), "")</f>
        <v>ㄘㄨㄧ</v>
      </c>
      <c r="X13" s="53" t="str">
        <f xml:space="preserve"> IF(十五音音節表!W12&lt;&gt;"", _xlfn.CONCAT(X$4,$E13), "")</f>
        <v>ㄏㄨㄧ</v>
      </c>
      <c r="Y13" s="135" t="s">
        <v>1078</v>
      </c>
      <c r="Z13" s="50" t="s">
        <v>168</v>
      </c>
      <c r="AA13" s="50" t="s">
        <v>68</v>
      </c>
    </row>
    <row r="14" spans="1:27">
      <c r="B14" s="132" cm="1">
        <f t="array" ref="B14" xml:space="preserve"> INDEX(韻母表[韻序], MATCH(TRUE, EXACT($F14, 韻母表[十五音]), 0))</f>
        <v>5</v>
      </c>
      <c r="C14" s="96" t="str" cm="1">
        <f t="array" ref="C14" xml:space="preserve"> IF( INDEX(韻母表[國際音標2], MATCH(TRUE, EXACT($F14, 韻母表[十五音]), 0))&lt;&gt;"",  INDEX(韻母表[國際音標2], MATCH(TRUE, EXACT($F14, 韻母表[十五音]), 0)),  INDEX(韻母表[國際音標], MATCH(TRUE, EXACT($F14, 韻母表[十五音]), 0)))</f>
        <v>ɛ</v>
      </c>
      <c r="D14" s="50" t="str" cm="1">
        <f t="array" ref="D14" xml:space="preserve"> INDEX(韻母表[台羅拼音], MATCH(TRUE, EXACT($F14, 韻母表[十五音]), 0))</f>
        <v>ee</v>
      </c>
      <c r="E14" s="135" t="str" cm="1">
        <f t="array" ref="E14" xml:space="preserve"> INDEX(韻母表[方音符號], MATCH(TRUE, EXACT($F14, 韻母表[十五音]), 0))</f>
        <v>ㄝ</v>
      </c>
      <c r="F14" s="138" t="s">
        <v>1564</v>
      </c>
      <c r="G14" s="139" t="str">
        <f xml:space="preserve"> IF(十五音音節表!F11&lt;&gt;"", _xlfn.CONCAT(G$4,$E14), "")</f>
        <v>ㄌㄝ</v>
      </c>
      <c r="H14" s="139" t="str">
        <f xml:space="preserve"> IF(十五音音節表!G11&lt;&gt;"", _xlfn.CONCAT(H$4,$E14), "")</f>
        <v/>
      </c>
      <c r="I14" s="139" t="str">
        <f xml:space="preserve"> IF(十五音音節表!H11&lt;&gt;"", _xlfn.CONCAT(I$4,$E14), "")</f>
        <v/>
      </c>
      <c r="J14" s="139" t="str">
        <f xml:space="preserve"> IF(十五音音節表!I11&lt;&gt;"", _xlfn.CONCAT(J$4,$E14), "")</f>
        <v>ㄍㄝ</v>
      </c>
      <c r="K14" s="139" t="str">
        <f xml:space="preserve"> IF(十五音音節表!J11&lt;&gt;"", _xlfn.CONCAT(K$4,$E14), "")</f>
        <v>ㄎㄝ</v>
      </c>
      <c r="L14" s="139" t="str">
        <f xml:space="preserve"> IF(十五音音節表!K11&lt;&gt;"", _xlfn.CONCAT(L$4,$E14), "")</f>
        <v/>
      </c>
      <c r="M14" s="139" t="str">
        <f xml:space="preserve"> IF(十五音音節表!L11&lt;&gt;"", _xlfn.CONCAT(M$4,$E14), "")</f>
        <v/>
      </c>
      <c r="N14" s="139" t="str">
        <f xml:space="preserve"> IF(十五音音節表!M11&lt;&gt;"", _xlfn.CONCAT(N$4,$E14), "")</f>
        <v/>
      </c>
      <c r="O14" s="139" t="str">
        <f xml:space="preserve"> IF(十五音音節表!N11&lt;&gt;"", _xlfn.CONCAT(O$4,$E14), "")</f>
        <v>ㄗㄝ</v>
      </c>
      <c r="P14" s="139" t="str">
        <f xml:space="preserve"> IF(十五音音節表!O11&lt;&gt;"", _xlfn.CONCAT(P$4,$E14), "")</f>
        <v>ㆡㄝ</v>
      </c>
      <c r="Q14" s="139" t="str">
        <f xml:space="preserve"> IF(十五音音節表!P11&lt;&gt;"", _xlfn.CONCAT(Q$4,$E14), "")</f>
        <v>ㄙㄝ</v>
      </c>
      <c r="R14" s="139" t="str">
        <f xml:space="preserve"> IF(十五音音節表!Q11&lt;&gt;"", _xlfn.CONCAT(R$4,$E14), "")</f>
        <v>ㄝ</v>
      </c>
      <c r="S14" s="139" t="str">
        <f xml:space="preserve"> IF(十五音音節表!R11&lt;&gt;"", _xlfn.CONCAT(S$4,$E14), "")</f>
        <v/>
      </c>
      <c r="T14" s="139" t="str">
        <f xml:space="preserve"> IF(十五音音節表!S11&lt;&gt;"", _xlfn.CONCAT(T$4,$E14), "")</f>
        <v/>
      </c>
      <c r="U14" s="139" t="str">
        <f xml:space="preserve"> IF(十五音音節表!T11&lt;&gt;"", _xlfn.CONCAT(U$4,$E14), "")</f>
        <v/>
      </c>
      <c r="V14" s="139" t="str">
        <f xml:space="preserve"> IF(十五音音節表!U11&lt;&gt;"", _xlfn.CONCAT(V$4,$E14), "")</f>
        <v/>
      </c>
      <c r="W14" s="139" t="str">
        <f xml:space="preserve"> IF(十五音音節表!V11&lt;&gt;"", _xlfn.CONCAT(W$4,$E14), "")</f>
        <v>ㄘㄝ</v>
      </c>
      <c r="X14" s="139" t="str">
        <f xml:space="preserve"> IF(十五音音節表!W11&lt;&gt;"", _xlfn.CONCAT(X$4,$E14), "")</f>
        <v>ㄏㄝ</v>
      </c>
      <c r="Y14" s="135" t="s">
        <v>1085</v>
      </c>
      <c r="Z14" s="50" t="s">
        <v>171</v>
      </c>
      <c r="AA14" s="50" t="s">
        <v>72</v>
      </c>
    </row>
    <row r="15" spans="1:27" outlineLevel="1">
      <c r="B15" s="132" cm="1">
        <f t="array" ref="B15" xml:space="preserve"> INDEX(韻母表[韻序], MATCH(TRUE, EXACT($F15, 韻母表[十五音]), 0))</f>
        <v>5</v>
      </c>
      <c r="C15" s="50" t="str" cm="1">
        <f t="array" ref="C15" xml:space="preserve"> IF( INDEX(韻母表[國際音標2], MATCH(TRUE, EXACT($F15, 韻母表[十五音]), 0))&lt;&gt;"",  INDEX(韻母表[國際音標2], MATCH(TRUE, EXACT($F15, 韻母表[十五音]), 0)),  INDEX(韻母表[國際音標], MATCH(TRUE, EXACT($F15, 韻母表[十五音]), 0)))</f>
        <v>ɛʔ</v>
      </c>
      <c r="D15" s="50" t="str" cm="1">
        <f t="array" ref="D15" xml:space="preserve"> INDEX(韻母表[台羅拼音], MATCH(TRUE, EXACT($F15, 韻母表[十五音]), 0))</f>
        <v>eeh</v>
      </c>
      <c r="E15" s="135" t="str" cm="1">
        <f t="array" ref="E15" xml:space="preserve"> INDEX(韻母表[方音符號], MATCH(TRUE, EXACT($F15, 韻母表[十五音]), 0))</f>
        <v>ㄝㆷ</v>
      </c>
      <c r="F15" s="138" t="s">
        <v>1565</v>
      </c>
      <c r="G15" s="139" t="str">
        <f xml:space="preserve"> IF(十五音音節表!F12&lt;&gt;"", _xlfn.CONCAT(G$4,$E15), "")</f>
        <v>ㄌㄝㆷ</v>
      </c>
      <c r="H15" s="139" t="str">
        <f xml:space="preserve"> IF(十五音音節表!G12&lt;&gt;"", _xlfn.CONCAT(H$4,$E15), "")</f>
        <v/>
      </c>
      <c r="I15" s="139" t="str">
        <f xml:space="preserve"> IF(十五音音節表!H12&lt;&gt;"", _xlfn.CONCAT(I$4,$E15), "")</f>
        <v>ㄅㄝㆷ</v>
      </c>
      <c r="J15" s="139" t="str">
        <f xml:space="preserve"> IF(十五音音節表!I12&lt;&gt;"", _xlfn.CONCAT(J$4,$E15), "")</f>
        <v>ㄍㄝㆷ</v>
      </c>
      <c r="K15" s="139" t="str">
        <f xml:space="preserve"> IF(十五音音節表!J12&lt;&gt;"", _xlfn.CONCAT(K$4,$E15), "")</f>
        <v>ㄎㄝㆷ</v>
      </c>
      <c r="L15" s="139" t="str">
        <f xml:space="preserve"> IF(十五音音節表!K12&lt;&gt;"", _xlfn.CONCAT(L$4,$E15), "")</f>
        <v>ㄉㄝㆷ</v>
      </c>
      <c r="M15" s="139" t="str">
        <f xml:space="preserve"> IF(十五音音節表!L12&lt;&gt;"", _xlfn.CONCAT(M$4,$E15), "")</f>
        <v>ㄆㄝㆷ</v>
      </c>
      <c r="N15" s="139" t="str">
        <f xml:space="preserve"> IF(十五音音節表!M12&lt;&gt;"", _xlfn.CONCAT(N$4,$E15), "")</f>
        <v>ㄊㄝㆷ</v>
      </c>
      <c r="O15" s="139" t="str">
        <f xml:space="preserve"> IF(十五音音節表!N12&lt;&gt;"", _xlfn.CONCAT(O$4,$E15), "")</f>
        <v>ㄗㄝㆷ</v>
      </c>
      <c r="P15" s="139" t="str">
        <f xml:space="preserve"> IF(十五音音節表!O12&lt;&gt;"", _xlfn.CONCAT(P$4,$E15), "")</f>
        <v/>
      </c>
      <c r="Q15" s="139" t="str">
        <f xml:space="preserve"> IF(十五音音節表!P12&lt;&gt;"", _xlfn.CONCAT(Q$4,$E15), "")</f>
        <v>ㄙㄝㆷ</v>
      </c>
      <c r="R15" s="139" t="str">
        <f xml:space="preserve"> IF(十五音音節表!Q12&lt;&gt;"", _xlfn.CONCAT(R$4,$E15), "")</f>
        <v>ㄝㆷ</v>
      </c>
      <c r="S15" s="139" t="str">
        <f xml:space="preserve"> IF(十五音音節表!R12&lt;&gt;"", _xlfn.CONCAT(S$4,$E15), "")</f>
        <v>ㆠㄝㆷ</v>
      </c>
      <c r="T15" s="139" t="str">
        <f xml:space="preserve"> IF(十五音音節表!S12&lt;&gt;"", _xlfn.CONCAT(T$4,$E15), "")</f>
        <v>ㄇㄝㆷ</v>
      </c>
      <c r="U15" s="139" t="str">
        <f xml:space="preserve"> IF(十五音音節表!T12&lt;&gt;"", _xlfn.CONCAT(U$4,$E15), "")</f>
        <v>ㆣㄝㆷ</v>
      </c>
      <c r="V15" s="139" t="str">
        <f xml:space="preserve"> IF(十五音音節表!U12&lt;&gt;"", _xlfn.CONCAT(V$4,$E15), "")</f>
        <v/>
      </c>
      <c r="W15" s="139" t="str">
        <f xml:space="preserve"> IF(十五音音節表!V12&lt;&gt;"", _xlfn.CONCAT(W$4,$E15), "")</f>
        <v>ㄘㄝㆷ</v>
      </c>
      <c r="X15" s="139" t="str">
        <f xml:space="preserve"> IF(十五音音節表!W12&lt;&gt;"", _xlfn.CONCAT(X$4,$E15), "")</f>
        <v>ㄏㄝㆷ</v>
      </c>
      <c r="Y15" s="135" t="s">
        <v>1087</v>
      </c>
      <c r="Z15" s="50" t="s">
        <v>172</v>
      </c>
      <c r="AA15" s="50" t="s">
        <v>73</v>
      </c>
    </row>
    <row r="16" spans="1:27">
      <c r="B16" s="132" cm="1">
        <f t="array" ref="B16" xml:space="preserve"> INDEX(韻母表[韻序], MATCH(TRUE, EXACT($F16, 韻母表[十五音]), 0))</f>
        <v>6</v>
      </c>
      <c r="C16" s="50" t="str" cm="1">
        <f t="array" ref="C16" xml:space="preserve"> IF( INDEX(韻母表[國際音標2], MATCH(TRUE, EXACT($F16, 韻母表[十五音]), 0))&lt;&gt;"",  INDEX(韻母表[國際音標2], MATCH(TRUE, EXACT($F16, 韻母表[十五音]), 0)),  INDEX(韻母表[國際音標], MATCH(TRUE, EXACT($F16, 韻母表[十五音]), 0)))</f>
        <v>an</v>
      </c>
      <c r="D16" s="50" t="str" cm="1">
        <f t="array" ref="D16" xml:space="preserve"> INDEX(韻母表[台羅拼音], MATCH(TRUE, EXACT($F16, 韻母表[十五音]), 0))</f>
        <v>an</v>
      </c>
      <c r="E16" s="135" t="str" cm="1">
        <f t="array" ref="E16" xml:space="preserve"> INDEX(韻母表[方音符號], MATCH(TRUE, EXACT($F16, 韻母表[十五音]), 0))</f>
        <v>ㄢ</v>
      </c>
      <c r="F16" s="50" t="s">
        <v>72</v>
      </c>
      <c r="G16" s="53" t="str">
        <f xml:space="preserve"> IF(十五音音節表!F13&lt;&gt;"", _xlfn.CONCAT(G$4,$E16), "")</f>
        <v>ㄌㄢ</v>
      </c>
      <c r="H16" s="53" t="str">
        <f xml:space="preserve"> IF(十五音音節表!G13&lt;&gt;"", _xlfn.CONCAT(H$4,$E16), "")</f>
        <v/>
      </c>
      <c r="I16" s="53" t="str">
        <f xml:space="preserve"> IF(十五音音節表!H13&lt;&gt;"", _xlfn.CONCAT(I$4,$E16), "")</f>
        <v>ㄅㄢ</v>
      </c>
      <c r="J16" s="53" t="str">
        <f xml:space="preserve"> IF(十五音音節表!I13&lt;&gt;"", _xlfn.CONCAT(J$4,$E16), "")</f>
        <v>ㄍㄢ</v>
      </c>
      <c r="K16" s="53" t="str">
        <f xml:space="preserve"> IF(十五音音節表!J13&lt;&gt;"", _xlfn.CONCAT(K$4,$E16), "")</f>
        <v>ㄎㄢ</v>
      </c>
      <c r="L16" s="53" t="str">
        <f xml:space="preserve"> IF(十五音音節表!K13&lt;&gt;"", _xlfn.CONCAT(L$4,$E16), "")</f>
        <v>ㄉㄢ</v>
      </c>
      <c r="M16" s="53" t="str">
        <f xml:space="preserve"> IF(十五音音節表!L13&lt;&gt;"", _xlfn.CONCAT(M$4,$E16), "")</f>
        <v>ㄆㄢ</v>
      </c>
      <c r="N16" s="53" t="str">
        <f xml:space="preserve"> IF(十五音音節表!M13&lt;&gt;"", _xlfn.CONCAT(N$4,$E16), "")</f>
        <v>ㄊㄢ</v>
      </c>
      <c r="O16" s="53" t="str">
        <f xml:space="preserve"> IF(十五音音節表!N13&lt;&gt;"", _xlfn.CONCAT(O$4,$E16), "")</f>
        <v>ㄗㄢ</v>
      </c>
      <c r="P16" s="53" t="str">
        <f xml:space="preserve"> IF(十五音音節表!O13&lt;&gt;"", _xlfn.CONCAT(P$4,$E16), "")</f>
        <v/>
      </c>
      <c r="Q16" s="53" t="str">
        <f xml:space="preserve"> IF(十五音音節表!P13&lt;&gt;"", _xlfn.CONCAT(Q$4,$E16), "")</f>
        <v>ㄙㄢ</v>
      </c>
      <c r="R16" s="53" t="str">
        <f xml:space="preserve"> IF(十五音音節表!Q13&lt;&gt;"", _xlfn.CONCAT(R$4,$E16), "")</f>
        <v>ㄢ</v>
      </c>
      <c r="S16" s="53" t="str">
        <f xml:space="preserve"> IF(十五音音節表!R13&lt;&gt;"", _xlfn.CONCAT(S$4,$E16), "")</f>
        <v>ㆠㄢ</v>
      </c>
      <c r="T16" s="53" t="str">
        <f xml:space="preserve"> IF(十五音音節表!S13&lt;&gt;"", _xlfn.CONCAT(T$4,$E16), "")</f>
        <v/>
      </c>
      <c r="U16" s="53" t="str">
        <f xml:space="preserve"> IF(十五音音節表!T13&lt;&gt;"", _xlfn.CONCAT(U$4,$E16), "")</f>
        <v>ㆣㄢ</v>
      </c>
      <c r="V16" s="53" t="str">
        <f xml:space="preserve"> IF(十五音音節表!U13&lt;&gt;"", _xlfn.CONCAT(V$4,$E16), "")</f>
        <v/>
      </c>
      <c r="W16" s="53" t="str">
        <f xml:space="preserve"> IF(十五音音節表!V13&lt;&gt;"", _xlfn.CONCAT(W$4,$E16), "")</f>
        <v>ㄘㄢ</v>
      </c>
      <c r="X16" s="53" t="str">
        <f xml:space="preserve"> IF(十五音音節表!W13&lt;&gt;"", _xlfn.CONCAT(X$4,$E16), "")</f>
        <v>ㄏㄢ</v>
      </c>
      <c r="Y16" s="135" t="s">
        <v>1085</v>
      </c>
      <c r="Z16" s="50" t="s">
        <v>171</v>
      </c>
      <c r="AA16" s="50" t="s">
        <v>72</v>
      </c>
    </row>
    <row r="17" spans="2:27" outlineLevel="1">
      <c r="B17" s="132" cm="1">
        <f t="array" ref="B17" xml:space="preserve"> INDEX(韻母表[韻序], MATCH(TRUE, EXACT($F17, 韻母表[十五音]), 0))</f>
        <v>6</v>
      </c>
      <c r="C17" s="50" t="str" cm="1">
        <f t="array" ref="C17" xml:space="preserve"> IF( INDEX(韻母表[國際音標2], MATCH(TRUE, EXACT($F17, 韻母表[十五音]), 0))&lt;&gt;"",  INDEX(韻母表[國際音標2], MATCH(TRUE, EXACT($F17, 韻母表[十五音]), 0)),  INDEX(韻母表[國際音標], MATCH(TRUE, EXACT($F17, 韻母表[十五音]), 0)))</f>
        <v>at̚</v>
      </c>
      <c r="D17" s="50" t="str" cm="1">
        <f t="array" ref="D17" xml:space="preserve"> INDEX(韻母表[台羅拼音], MATCH(TRUE, EXACT($F17, 韻母表[十五音]), 0))</f>
        <v>at</v>
      </c>
      <c r="E17" s="135" t="str" cm="1">
        <f t="array" ref="E17" xml:space="preserve"> INDEX(韻母表[方音符號], MATCH(TRUE, EXACT($F17, 韻母表[十五音]), 0))</f>
        <v>ㄚㆵ</v>
      </c>
      <c r="F17" s="50" t="s">
        <v>73</v>
      </c>
      <c r="G17" s="53" t="str">
        <f xml:space="preserve"> IF(十五音音節表!F14&lt;&gt;"", _xlfn.CONCAT(G$4,$E17), "")</f>
        <v>ㄌㄚㆵ</v>
      </c>
      <c r="H17" s="53" t="str">
        <f xml:space="preserve"> IF(十五音音節表!G14&lt;&gt;"", _xlfn.CONCAT(H$4,$E17), "")</f>
        <v/>
      </c>
      <c r="I17" s="53" t="str">
        <f xml:space="preserve"> IF(十五音音節表!H14&lt;&gt;"", _xlfn.CONCAT(I$4,$E17), "")</f>
        <v>ㄅㄚㆵ</v>
      </c>
      <c r="J17" s="53" t="str">
        <f xml:space="preserve"> IF(十五音音節表!I14&lt;&gt;"", _xlfn.CONCAT(J$4,$E17), "")</f>
        <v>ㄍㄚㆵ</v>
      </c>
      <c r="K17" s="53" t="str">
        <f xml:space="preserve"> IF(十五音音節表!J14&lt;&gt;"", _xlfn.CONCAT(K$4,$E17), "")</f>
        <v>ㄎㄚㆵ</v>
      </c>
      <c r="L17" s="53" t="str">
        <f xml:space="preserve"> IF(十五音音節表!K14&lt;&gt;"", _xlfn.CONCAT(L$4,$E17), "")</f>
        <v>ㄉㄚㆵ</v>
      </c>
      <c r="M17" s="53" t="str">
        <f xml:space="preserve"> IF(十五音音節表!L14&lt;&gt;"", _xlfn.CONCAT(M$4,$E17), "")</f>
        <v/>
      </c>
      <c r="N17" s="53" t="str">
        <f xml:space="preserve"> IF(十五音音節表!M14&lt;&gt;"", _xlfn.CONCAT(N$4,$E17), "")</f>
        <v>ㄊㄚㆵ</v>
      </c>
      <c r="O17" s="53" t="str">
        <f xml:space="preserve"> IF(十五音音節表!N14&lt;&gt;"", _xlfn.CONCAT(O$4,$E17), "")</f>
        <v>ㄗㄚㆵ</v>
      </c>
      <c r="P17" s="53" t="str">
        <f xml:space="preserve"> IF(十五音音節表!O14&lt;&gt;"", _xlfn.CONCAT(P$4,$E17), "")</f>
        <v/>
      </c>
      <c r="Q17" s="53" t="str">
        <f xml:space="preserve"> IF(十五音音節表!P14&lt;&gt;"", _xlfn.CONCAT(Q$4,$E17), "")</f>
        <v>ㄙㄚㆵ</v>
      </c>
      <c r="R17" s="53" t="str">
        <f xml:space="preserve"> IF(十五音音節表!Q14&lt;&gt;"", _xlfn.CONCAT(R$4,$E17), "")</f>
        <v>ㄚㆵ</v>
      </c>
      <c r="S17" s="53" t="str">
        <f xml:space="preserve"> IF(十五音音節表!R14&lt;&gt;"", _xlfn.CONCAT(S$4,$E17), "")</f>
        <v>ㆠㄚㆵ</v>
      </c>
      <c r="T17" s="53" t="str">
        <f xml:space="preserve"> IF(十五音音節表!S14&lt;&gt;"", _xlfn.CONCAT(T$4,$E17), "")</f>
        <v/>
      </c>
      <c r="U17" s="53" t="str">
        <f xml:space="preserve"> IF(十五音音節表!T14&lt;&gt;"", _xlfn.CONCAT(U$4,$E17), "")</f>
        <v/>
      </c>
      <c r="V17" s="53" t="str">
        <f xml:space="preserve"> IF(十五音音節表!U14&lt;&gt;"", _xlfn.CONCAT(V$4,$E17), "")</f>
        <v/>
      </c>
      <c r="W17" s="53" t="str">
        <f xml:space="preserve"> IF(十五音音節表!V14&lt;&gt;"", _xlfn.CONCAT(W$4,$E17), "")</f>
        <v>ㄘㄚㆵ</v>
      </c>
      <c r="X17" s="53" t="str">
        <f xml:space="preserve"> IF(十五音音節表!W14&lt;&gt;"", _xlfn.CONCAT(X$4,$E17), "")</f>
        <v>ㄏㄚㆵ</v>
      </c>
      <c r="Y17" s="135" t="s">
        <v>1087</v>
      </c>
      <c r="Z17" s="50" t="s">
        <v>172</v>
      </c>
      <c r="AA17" s="50" t="s">
        <v>73</v>
      </c>
    </row>
    <row r="18" spans="2:27">
      <c r="B18" s="132" cm="1">
        <f t="array" ref="B18" xml:space="preserve"> INDEX(韻母表[韻序], MATCH(TRUE, EXACT($F18, 韻母表[十五音]), 0))</f>
        <v>7</v>
      </c>
      <c r="C18" s="50" t="str" cm="1">
        <f t="array" ref="C18" xml:space="preserve"> IF( INDEX(韻母表[國際音標2], MATCH(TRUE, EXACT($F18, 韻母表[十五音]), 0))&lt;&gt;"",  INDEX(韻母表[國際音標2], MATCH(TRUE, EXACT($F18, 韻母表[十五音]), 0)),  INDEX(韻母表[國際音標], MATCH(TRUE, EXACT($F18, 韻母表[十五音]), 0)))</f>
        <v>ɔŋ</v>
      </c>
      <c r="D18" s="50" t="str" cm="1">
        <f t="array" ref="D18" xml:space="preserve"> INDEX(韻母表[台羅拼音], MATCH(TRUE, EXACT($F18, 韻母表[十五音]), 0))</f>
        <v>ong</v>
      </c>
      <c r="E18" s="135" t="str" cm="1">
        <f t="array" ref="E18" xml:space="preserve"> INDEX(韻母表[方音符號], MATCH(TRUE, EXACT($F18, 韻母表[十五音]), 0))</f>
        <v>ㆲ</v>
      </c>
      <c r="F18" s="50" t="s">
        <v>74</v>
      </c>
      <c r="G18" s="53" t="str">
        <f xml:space="preserve"> IF(十五音音節表!F15&lt;&gt;"", _xlfn.CONCAT(G$4,$E18), "")</f>
        <v>ㄌㆲ</v>
      </c>
      <c r="H18" s="53" t="str">
        <f xml:space="preserve"> IF(十五音音節表!G15&lt;&gt;"", _xlfn.CONCAT(H$4,$E18), "")</f>
        <v/>
      </c>
      <c r="I18" s="53" t="str">
        <f xml:space="preserve"> IF(十五音音節表!H15&lt;&gt;"", _xlfn.CONCAT(I$4,$E18), "")</f>
        <v>ㄅㆲ</v>
      </c>
      <c r="J18" s="53" t="str">
        <f xml:space="preserve"> IF(十五音音節表!I15&lt;&gt;"", _xlfn.CONCAT(J$4,$E18), "")</f>
        <v>ㄍㆲ</v>
      </c>
      <c r="K18" s="53" t="str">
        <f xml:space="preserve"> IF(十五音音節表!J15&lt;&gt;"", _xlfn.CONCAT(K$4,$E18), "")</f>
        <v>ㄎㆲ</v>
      </c>
      <c r="L18" s="53" t="str">
        <f xml:space="preserve"> IF(十五音音節表!K15&lt;&gt;"", _xlfn.CONCAT(L$4,$E18), "")</f>
        <v>ㄉㆲ</v>
      </c>
      <c r="M18" s="53" t="str">
        <f xml:space="preserve"> IF(十五音音節表!L15&lt;&gt;"", _xlfn.CONCAT(M$4,$E18), "")</f>
        <v>ㄆㆲ</v>
      </c>
      <c r="N18" s="53" t="str">
        <f xml:space="preserve"> IF(十五音音節表!M15&lt;&gt;"", _xlfn.CONCAT(N$4,$E18), "")</f>
        <v>ㄊㆲ</v>
      </c>
      <c r="O18" s="53" t="str">
        <f xml:space="preserve"> IF(十五音音節表!N15&lt;&gt;"", _xlfn.CONCAT(O$4,$E18), "")</f>
        <v>ㄗㆲ</v>
      </c>
      <c r="P18" s="53" t="str">
        <f xml:space="preserve"> IF(十五音音節表!O15&lt;&gt;"", _xlfn.CONCAT(P$4,$E18), "")</f>
        <v/>
      </c>
      <c r="Q18" s="53" t="str">
        <f xml:space="preserve"> IF(十五音音節表!P15&lt;&gt;"", _xlfn.CONCAT(Q$4,$E18), "")</f>
        <v>ㄙㆲ</v>
      </c>
      <c r="R18" s="53" t="str">
        <f xml:space="preserve"> IF(十五音音節表!Q15&lt;&gt;"", _xlfn.CONCAT(R$4,$E18), "")</f>
        <v>ㆲ</v>
      </c>
      <c r="S18" s="53" t="str">
        <f xml:space="preserve"> IF(十五音音節表!R15&lt;&gt;"", _xlfn.CONCAT(S$4,$E18), "")</f>
        <v>ㆠㆲ</v>
      </c>
      <c r="T18" s="53" t="str">
        <f xml:space="preserve"> IF(十五音音節表!S15&lt;&gt;"", _xlfn.CONCAT(T$4,$E18), "")</f>
        <v/>
      </c>
      <c r="U18" s="53" t="str">
        <f xml:space="preserve"> IF(十五音音節表!T15&lt;&gt;"", _xlfn.CONCAT(U$4,$E18), "")</f>
        <v>ㆣㆲ</v>
      </c>
      <c r="V18" s="53" t="str">
        <f xml:space="preserve"> IF(十五音音節表!U15&lt;&gt;"", _xlfn.CONCAT(V$4,$E18), "")</f>
        <v/>
      </c>
      <c r="W18" s="53" t="str">
        <f xml:space="preserve"> IF(十五音音節表!V15&lt;&gt;"", _xlfn.CONCAT(W$4,$E18), "")</f>
        <v>ㄘㆲ</v>
      </c>
      <c r="X18" s="53" t="str">
        <f xml:space="preserve"> IF(十五音音節表!W15&lt;&gt;"", _xlfn.CONCAT(X$4,$E18), "")</f>
        <v>ㄏㆲ</v>
      </c>
      <c r="Y18" s="135" t="s">
        <v>1089</v>
      </c>
      <c r="Z18" s="50" t="s">
        <v>173</v>
      </c>
      <c r="AA18" s="50" t="s">
        <v>74</v>
      </c>
    </row>
    <row r="19" spans="2:27" outlineLevel="1">
      <c r="B19" s="132" cm="1">
        <f t="array" ref="B19" xml:space="preserve"> INDEX(韻母表[韻序], MATCH(TRUE, EXACT($F19, 韻母表[十五音]), 0))</f>
        <v>7</v>
      </c>
      <c r="C19" s="50" t="str" cm="1">
        <f t="array" ref="C19" xml:space="preserve"> IF( INDEX(韻母表[國際音標2], MATCH(TRUE, EXACT($F19, 韻母表[十五音]), 0))&lt;&gt;"",  INDEX(韻母表[國際音標2], MATCH(TRUE, EXACT($F19, 韻母表[十五音]), 0)),  INDEX(韻母表[國際音標], MATCH(TRUE, EXACT($F19, 韻母表[十五音]), 0)))</f>
        <v>ɔk̚</v>
      </c>
      <c r="D19" s="50" t="str" cm="1">
        <f t="array" ref="D19" xml:space="preserve"> INDEX(韻母表[台羅拼音], MATCH(TRUE, EXACT($F19, 韻母表[十五音]), 0))</f>
        <v>ok</v>
      </c>
      <c r="E19" s="135" t="str" cm="1">
        <f t="array" ref="E19" xml:space="preserve"> INDEX(韻母表[方音符號], MATCH(TRUE, EXACT($F19, 韻母表[十五音]), 0))</f>
        <v>ㆦㆻ</v>
      </c>
      <c r="F19" s="50" t="s">
        <v>75</v>
      </c>
      <c r="G19" s="53" t="str">
        <f xml:space="preserve"> IF(十五音音節表!F16&lt;&gt;"", _xlfn.CONCAT(G$4,$E19), "")</f>
        <v>ㄌㆦㆻ</v>
      </c>
      <c r="H19" s="53" t="str">
        <f xml:space="preserve"> IF(十五音音節表!G16&lt;&gt;"", _xlfn.CONCAT(H$4,$E19), "")</f>
        <v/>
      </c>
      <c r="I19" s="53" t="str">
        <f xml:space="preserve"> IF(十五音音節表!H16&lt;&gt;"", _xlfn.CONCAT(I$4,$E19), "")</f>
        <v>ㄅㆦㆻ</v>
      </c>
      <c r="J19" s="53" t="str">
        <f xml:space="preserve"> IF(十五音音節表!I16&lt;&gt;"", _xlfn.CONCAT(J$4,$E19), "")</f>
        <v>ㄍㆦㆻ</v>
      </c>
      <c r="K19" s="53" t="str">
        <f xml:space="preserve"> IF(十五音音節表!J16&lt;&gt;"", _xlfn.CONCAT(K$4,$E19), "")</f>
        <v>ㄎㆦㆻ</v>
      </c>
      <c r="L19" s="53" t="str">
        <f xml:space="preserve"> IF(十五音音節表!K16&lt;&gt;"", _xlfn.CONCAT(L$4,$E19), "")</f>
        <v>ㄉㆦㆻ</v>
      </c>
      <c r="M19" s="53" t="str">
        <f xml:space="preserve"> IF(十五音音節表!L16&lt;&gt;"", _xlfn.CONCAT(M$4,$E19), "")</f>
        <v>ㄆㆦㆻ</v>
      </c>
      <c r="N19" s="53" t="str">
        <f xml:space="preserve"> IF(十五音音節表!M16&lt;&gt;"", _xlfn.CONCAT(N$4,$E19), "")</f>
        <v>ㄊㆦㆻ</v>
      </c>
      <c r="O19" s="53" t="str">
        <f xml:space="preserve"> IF(十五音音節表!N16&lt;&gt;"", _xlfn.CONCAT(O$4,$E19), "")</f>
        <v>ㄗㆦㆻ</v>
      </c>
      <c r="P19" s="53" t="str">
        <f xml:space="preserve"> IF(十五音音節表!O16&lt;&gt;"", _xlfn.CONCAT(P$4,$E19), "")</f>
        <v/>
      </c>
      <c r="Q19" s="53" t="str">
        <f xml:space="preserve"> IF(十五音音節表!P16&lt;&gt;"", _xlfn.CONCAT(Q$4,$E19), "")</f>
        <v>ㄙㆦㆻ</v>
      </c>
      <c r="R19" s="53" t="str">
        <f xml:space="preserve"> IF(十五音音節表!Q16&lt;&gt;"", _xlfn.CONCAT(R$4,$E19), "")</f>
        <v>ㆦㆻ</v>
      </c>
      <c r="S19" s="53" t="str">
        <f xml:space="preserve"> IF(十五音音節表!R16&lt;&gt;"", _xlfn.CONCAT(S$4,$E19), "")</f>
        <v>ㆠㆦㆻ</v>
      </c>
      <c r="T19" s="53" t="str">
        <f xml:space="preserve"> IF(十五音音節表!S16&lt;&gt;"", _xlfn.CONCAT(T$4,$E19), "")</f>
        <v/>
      </c>
      <c r="U19" s="53" t="str">
        <f xml:space="preserve"> IF(十五音音節表!T16&lt;&gt;"", _xlfn.CONCAT(U$4,$E19), "")</f>
        <v>ㆣㆦㆻ</v>
      </c>
      <c r="V19" s="53" t="str">
        <f xml:space="preserve"> IF(十五音音節表!U16&lt;&gt;"", _xlfn.CONCAT(V$4,$E19), "")</f>
        <v/>
      </c>
      <c r="W19" s="53" t="str">
        <f xml:space="preserve"> IF(十五音音節表!V16&lt;&gt;"", _xlfn.CONCAT(W$4,$E19), "")</f>
        <v>ㄘㆦㆻ</v>
      </c>
      <c r="X19" s="53" t="str">
        <f xml:space="preserve"> IF(十五音音節表!W16&lt;&gt;"", _xlfn.CONCAT(X$4,$E19), "")</f>
        <v>ㄏㆦㆻ</v>
      </c>
      <c r="Y19" s="135" t="s">
        <v>1091</v>
      </c>
      <c r="Z19" s="50" t="s">
        <v>174</v>
      </c>
      <c r="AA19" s="50" t="s">
        <v>75</v>
      </c>
    </row>
    <row r="20" spans="2:27">
      <c r="B20" s="132" cm="1">
        <f t="array" ref="B20" xml:space="preserve"> INDEX(韻母表[韻序], MATCH(TRUE, EXACT($F20, 韻母表[十五音]), 0))</f>
        <v>8</v>
      </c>
      <c r="C20" s="50" t="str" cm="1">
        <f t="array" ref="C20" xml:space="preserve"> IF( INDEX(韻母表[國際音標2], MATCH(TRUE, EXACT($F20, 韻母表[十五音]), 0))&lt;&gt;"",  INDEX(韻母表[國際音標2], MATCH(TRUE, EXACT($F20, 韻母表[十五音]), 0)),  INDEX(韻母表[國際音標], MATCH(TRUE, EXACT($F20, 韻母表[十五音]), 0)))</f>
        <v>uai</v>
      </c>
      <c r="D20" s="50" t="str" cm="1">
        <f t="array" ref="D20" xml:space="preserve"> INDEX(韻母表[台羅拼音], MATCH(TRUE, EXACT($F20, 韻母表[十五音]), 0))</f>
        <v>uai</v>
      </c>
      <c r="E20" s="135" t="str" cm="1">
        <f t="array" ref="E20" xml:space="preserve"> INDEX(韻母表[方音符號], MATCH(TRUE, EXACT($F20, 韻母表[十五音]), 0))</f>
        <v>ㄨㄞ</v>
      </c>
      <c r="F20" s="50" t="s">
        <v>76</v>
      </c>
      <c r="G20" s="53" t="str">
        <f xml:space="preserve"> IF(十五音音節表!F17&lt;&gt;"", _xlfn.CONCAT(G$4,$E20), "")</f>
        <v/>
      </c>
      <c r="H20" s="53" t="str">
        <f xml:space="preserve"> IF(十五音音節表!G17&lt;&gt;"", _xlfn.CONCAT(H$4,$E20), "")</f>
        <v/>
      </c>
      <c r="I20" s="53" t="str">
        <f xml:space="preserve"> IF(十五音音節表!H17&lt;&gt;"", _xlfn.CONCAT(I$4,$E20), "")</f>
        <v/>
      </c>
      <c r="J20" s="53" t="str">
        <f xml:space="preserve"> IF(十五音音節表!I17&lt;&gt;"", _xlfn.CONCAT(J$4,$E20), "")</f>
        <v>ㄍㄨㄞ</v>
      </c>
      <c r="K20" s="53" t="str">
        <f xml:space="preserve"> IF(十五音音節表!J17&lt;&gt;"", _xlfn.CONCAT(K$4,$E20), "")</f>
        <v>ㄎㄨㄞ</v>
      </c>
      <c r="L20" s="53" t="str">
        <f xml:space="preserve"> IF(十五音音節表!K17&lt;&gt;"", _xlfn.CONCAT(L$4,$E20), "")</f>
        <v/>
      </c>
      <c r="M20" s="53" t="str">
        <f xml:space="preserve"> IF(十五音音節表!L17&lt;&gt;"", _xlfn.CONCAT(M$4,$E20), "")</f>
        <v/>
      </c>
      <c r="N20" s="53" t="str">
        <f xml:space="preserve"> IF(十五音音節表!M17&lt;&gt;"", _xlfn.CONCAT(N$4,$E20), "")</f>
        <v/>
      </c>
      <c r="O20" s="53" t="str">
        <f xml:space="preserve"> IF(十五音音節表!N17&lt;&gt;"", _xlfn.CONCAT(O$4,$E20), "")</f>
        <v/>
      </c>
      <c r="P20" s="53" t="str">
        <f xml:space="preserve"> IF(十五音音節表!O17&lt;&gt;"", _xlfn.CONCAT(P$4,$E20), "")</f>
        <v/>
      </c>
      <c r="Q20" s="53" t="str">
        <f xml:space="preserve"> IF(十五音音節表!P17&lt;&gt;"", _xlfn.CONCAT(Q$4,$E20), "")</f>
        <v>ㄙㄨㄞ</v>
      </c>
      <c r="R20" s="53" t="str">
        <f xml:space="preserve"> IF(十五音音節表!Q17&lt;&gt;"", _xlfn.CONCAT(R$4,$E20), "")</f>
        <v>ㄨㄞ</v>
      </c>
      <c r="S20" s="53" t="str">
        <f xml:space="preserve"> IF(十五音音節表!R17&lt;&gt;"", _xlfn.CONCAT(S$4,$E20), "")</f>
        <v/>
      </c>
      <c r="T20" s="53" t="str">
        <f xml:space="preserve"> IF(十五音音節表!S17&lt;&gt;"", _xlfn.CONCAT(T$4,$E20), "")</f>
        <v/>
      </c>
      <c r="U20" s="53" t="str">
        <f xml:space="preserve"> IF(十五音音節表!T17&lt;&gt;"", _xlfn.CONCAT(U$4,$E20), "")</f>
        <v/>
      </c>
      <c r="V20" s="53" t="str">
        <f xml:space="preserve"> IF(十五音音節表!U17&lt;&gt;"", _xlfn.CONCAT(V$4,$E20), "")</f>
        <v/>
      </c>
      <c r="W20" s="53" t="str">
        <f xml:space="preserve"> IF(十五音音節表!V17&lt;&gt;"", _xlfn.CONCAT(W$4,$E20), "")</f>
        <v/>
      </c>
      <c r="X20" s="53" t="str">
        <f xml:space="preserve"> IF(十五音音節表!W17&lt;&gt;"", _xlfn.CONCAT(X$4,$E20), "")</f>
        <v>ㄏㄨㄞ</v>
      </c>
      <c r="Y20" s="135" t="s">
        <v>1094</v>
      </c>
      <c r="Z20" s="50" t="s">
        <v>175</v>
      </c>
      <c r="AA20" s="50" t="s">
        <v>76</v>
      </c>
    </row>
    <row r="21" spans="2:27">
      <c r="B21" s="132" cm="1">
        <f t="array" ref="B21" xml:space="preserve"> INDEX(韻母表[韻序], MATCH(TRUE, EXACT($F21, 韻母表[十五音]), 0))</f>
        <v>9</v>
      </c>
      <c r="C21" s="96" t="str" cm="1">
        <f t="array" ref="C21" xml:space="preserve"> IF( INDEX(韻母表[國際音標2], MATCH(TRUE, EXACT($F21, 韻母表[十五音]), 0))&lt;&gt;"",  INDEX(韻母表[國際音標2], MATCH(TRUE, EXACT($F21, 韻母表[十五音]), 0)),  INDEX(韻母表[國際音標], MATCH(TRUE, EXACT($F21, 韻母表[十五音]), 0)))</f>
        <v>ɛŋ</v>
      </c>
      <c r="D21" s="50" t="str" cm="1">
        <f t="array" ref="D21" xml:space="preserve"> INDEX(韻母表[台羅拼音], MATCH(TRUE, EXACT($F21, 韻母表[十五音]), 0))</f>
        <v>ing</v>
      </c>
      <c r="E21" s="135" t="str" cm="1">
        <f t="array" ref="E21" xml:space="preserve"> INDEX(韻母表[方音符號], MATCH(TRUE, EXACT($F21, 韻母表[十五音]), 0))</f>
        <v>ㄧㄥ</v>
      </c>
      <c r="F21" s="50" t="s">
        <v>78</v>
      </c>
      <c r="G21" s="53" t="str">
        <f xml:space="preserve"> IF(十五音音節表!F18&lt;&gt;"", _xlfn.CONCAT(G$4,$E21), "")</f>
        <v>ㄌㄧㄥ</v>
      </c>
      <c r="H21" s="53" t="str">
        <f xml:space="preserve"> IF(十五音音節表!G18&lt;&gt;"", _xlfn.CONCAT(H$4,$E21), "")</f>
        <v/>
      </c>
      <c r="I21" s="53" t="str">
        <f xml:space="preserve"> IF(十五音音節表!H18&lt;&gt;"", _xlfn.CONCAT(I$4,$E21), "")</f>
        <v>ㄅㄧㄥ</v>
      </c>
      <c r="J21" s="53" t="str">
        <f xml:space="preserve"> IF(十五音音節表!I18&lt;&gt;"", _xlfn.CONCAT(J$4,$E21), "")</f>
        <v>ㄍㄧㄥ</v>
      </c>
      <c r="K21" s="53" t="str">
        <f xml:space="preserve"> IF(十五音音節表!J18&lt;&gt;"", _xlfn.CONCAT(K$4,$E21), "")</f>
        <v>ㄎㄧㄥ</v>
      </c>
      <c r="L21" s="53" t="str">
        <f xml:space="preserve"> IF(十五音音節表!K18&lt;&gt;"", _xlfn.CONCAT(L$4,$E21), "")</f>
        <v>ㄉㄧㄥ</v>
      </c>
      <c r="M21" s="53" t="str">
        <f xml:space="preserve"> IF(十五音音節表!L18&lt;&gt;"", _xlfn.CONCAT(M$4,$E21), "")</f>
        <v>ㄆㄧㄥ</v>
      </c>
      <c r="N21" s="53" t="str">
        <f xml:space="preserve"> IF(十五音音節表!M18&lt;&gt;"", _xlfn.CONCAT(N$4,$E21), "")</f>
        <v>ㄊㄧㄥ</v>
      </c>
      <c r="O21" s="53" t="str">
        <f xml:space="preserve"> IF(十五音音節表!N18&lt;&gt;"", _xlfn.CONCAT(O$4,$E21), "")</f>
        <v>ㄗㄧㄥ</v>
      </c>
      <c r="P21" s="53" t="str">
        <f xml:space="preserve"> IF(十五音音節表!O18&lt;&gt;"", _xlfn.CONCAT(P$4,$E21), "")</f>
        <v/>
      </c>
      <c r="Q21" s="53" t="str">
        <f xml:space="preserve"> IF(十五音音節表!P18&lt;&gt;"", _xlfn.CONCAT(Q$4,$E21), "")</f>
        <v>ㄙㄧㄥ</v>
      </c>
      <c r="R21" s="53" t="str">
        <f xml:space="preserve"> IF(十五音音節表!Q18&lt;&gt;"", _xlfn.CONCAT(R$4,$E21), "")</f>
        <v>ㄧㄥ</v>
      </c>
      <c r="S21" s="53" t="str">
        <f xml:space="preserve"> IF(十五音音節表!R18&lt;&gt;"", _xlfn.CONCAT(S$4,$E21), "")</f>
        <v>ㆠㄧㄥ</v>
      </c>
      <c r="T21" s="53" t="str">
        <f xml:space="preserve"> IF(十五音音節表!S18&lt;&gt;"", _xlfn.CONCAT(T$4,$E21), "")</f>
        <v/>
      </c>
      <c r="U21" s="53" t="str">
        <f xml:space="preserve"> IF(十五音音節表!T18&lt;&gt;"", _xlfn.CONCAT(U$4,$E21), "")</f>
        <v>ㆣㄧㄥ</v>
      </c>
      <c r="V21" s="53" t="str">
        <f xml:space="preserve"> IF(十五音音節表!U18&lt;&gt;"", _xlfn.CONCAT(V$4,$E21), "")</f>
        <v/>
      </c>
      <c r="W21" s="53" t="str">
        <f xml:space="preserve"> IF(十五音音節表!V18&lt;&gt;"", _xlfn.CONCAT(W$4,$E21), "")</f>
        <v>ㄘㄧㄥ</v>
      </c>
      <c r="X21" s="53" t="str">
        <f xml:space="preserve"> IF(十五音音節表!W18&lt;&gt;"", _xlfn.CONCAT(X$4,$E21), "")</f>
        <v>ㄏㄧㄥ</v>
      </c>
      <c r="Y21" s="135" t="s">
        <v>1558</v>
      </c>
      <c r="Z21" s="50" t="s">
        <v>177</v>
      </c>
      <c r="AA21" s="50" t="s">
        <v>78</v>
      </c>
    </row>
    <row r="22" spans="2:27" outlineLevel="1">
      <c r="B22" s="132" cm="1">
        <f t="array" ref="B22" xml:space="preserve"> INDEX(韻母表[韻序], MATCH(TRUE, EXACT($F22, 韻母表[十五音]), 0))</f>
        <v>9</v>
      </c>
      <c r="C22" s="96" t="str" cm="1">
        <f t="array" ref="C22" xml:space="preserve"> IF( INDEX(韻母表[國際音標2], MATCH(TRUE, EXACT($F22, 韻母表[十五音]), 0))&lt;&gt;"",  INDEX(韻母表[國際音標2], MATCH(TRUE, EXACT($F22, 韻母表[十五音]), 0)),  INDEX(韻母表[國際音標], MATCH(TRUE, EXACT($F22, 韻母表[十五音]), 0)))</f>
        <v>ɛk</v>
      </c>
      <c r="D22" s="50" t="str" cm="1">
        <f t="array" ref="D22" xml:space="preserve"> INDEX(韻母表[台羅拼音], MATCH(TRUE, EXACT($F22, 韻母表[十五音]), 0))</f>
        <v>ik</v>
      </c>
      <c r="E22" s="135" t="str" cm="1">
        <f t="array" ref="E22" xml:space="preserve"> INDEX(韻母表[方音符號], MATCH(TRUE, EXACT($F22, 韻母表[十五音]), 0))</f>
        <v>ㄧㆻ</v>
      </c>
      <c r="F22" s="50" t="s">
        <v>79</v>
      </c>
      <c r="G22" s="53" t="str">
        <f xml:space="preserve"> IF(十五音音節表!F19&lt;&gt;"", _xlfn.CONCAT(G$4,$E22), "")</f>
        <v>ㄌㄧㆻ</v>
      </c>
      <c r="H22" s="53" t="str">
        <f xml:space="preserve"> IF(十五音音節表!G19&lt;&gt;"", _xlfn.CONCAT(H$4,$E22), "")</f>
        <v/>
      </c>
      <c r="I22" s="53" t="str">
        <f xml:space="preserve"> IF(十五音音節表!H19&lt;&gt;"", _xlfn.CONCAT(I$4,$E22), "")</f>
        <v>ㄅㄧㆻ</v>
      </c>
      <c r="J22" s="53" t="str">
        <f xml:space="preserve"> IF(十五音音節表!I19&lt;&gt;"", _xlfn.CONCAT(J$4,$E22), "")</f>
        <v>ㄍㄧㆻ</v>
      </c>
      <c r="K22" s="53" t="str">
        <f xml:space="preserve"> IF(十五音音節表!J19&lt;&gt;"", _xlfn.CONCAT(K$4,$E22), "")</f>
        <v/>
      </c>
      <c r="L22" s="53" t="str">
        <f xml:space="preserve"> IF(十五音音節表!K19&lt;&gt;"", _xlfn.CONCAT(L$4,$E22), "")</f>
        <v>ㄉㄧㆻ</v>
      </c>
      <c r="M22" s="53" t="str">
        <f xml:space="preserve"> IF(十五音音節表!L19&lt;&gt;"", _xlfn.CONCAT(M$4,$E22), "")</f>
        <v>ㄆㄧㆻ</v>
      </c>
      <c r="N22" s="53" t="str">
        <f xml:space="preserve"> IF(十五音音節表!M19&lt;&gt;"", _xlfn.CONCAT(N$4,$E22), "")</f>
        <v>ㄊㄧㆻ</v>
      </c>
      <c r="O22" s="53" t="str">
        <f xml:space="preserve"> IF(十五音音節表!N19&lt;&gt;"", _xlfn.CONCAT(O$4,$E22), "")</f>
        <v>ㄗㄧㆻ</v>
      </c>
      <c r="P22" s="53" t="str">
        <f xml:space="preserve"> IF(十五音音節表!O19&lt;&gt;"", _xlfn.CONCAT(P$4,$E22), "")</f>
        <v/>
      </c>
      <c r="Q22" s="53" t="str">
        <f xml:space="preserve"> IF(十五音音節表!P19&lt;&gt;"", _xlfn.CONCAT(Q$4,$E22), "")</f>
        <v>ㄙㄧㆻ</v>
      </c>
      <c r="R22" s="53" t="str">
        <f xml:space="preserve"> IF(十五音音節表!Q19&lt;&gt;"", _xlfn.CONCAT(R$4,$E22), "")</f>
        <v>ㄧㆻ</v>
      </c>
      <c r="S22" s="53" t="str">
        <f xml:space="preserve"> IF(十五音音節表!R19&lt;&gt;"", _xlfn.CONCAT(S$4,$E22), "")</f>
        <v>ㆠㄧㆻ</v>
      </c>
      <c r="T22" s="53" t="str">
        <f xml:space="preserve"> IF(十五音音節表!S19&lt;&gt;"", _xlfn.CONCAT(T$4,$E22), "")</f>
        <v/>
      </c>
      <c r="U22" s="53" t="str">
        <f xml:space="preserve"> IF(十五音音節表!T19&lt;&gt;"", _xlfn.CONCAT(U$4,$E22), "")</f>
        <v>ㆣㄧㆻ</v>
      </c>
      <c r="V22" s="53" t="str">
        <f xml:space="preserve"> IF(十五音音節表!U19&lt;&gt;"", _xlfn.CONCAT(V$4,$E22), "")</f>
        <v/>
      </c>
      <c r="W22" s="53" t="str">
        <f xml:space="preserve"> IF(十五音音節表!V19&lt;&gt;"", _xlfn.CONCAT(W$4,$E22), "")</f>
        <v>ㄘㄧㆻ</v>
      </c>
      <c r="X22" s="53" t="str">
        <f xml:space="preserve"> IF(十五音音節表!W19&lt;&gt;"", _xlfn.CONCAT(X$4,$E22), "")</f>
        <v>ㄏㄧㆻ</v>
      </c>
      <c r="Y22" s="135" t="s">
        <v>1559</v>
      </c>
      <c r="Z22" s="50" t="s">
        <v>178</v>
      </c>
      <c r="AA22" s="50" t="s">
        <v>79</v>
      </c>
    </row>
    <row r="23" spans="2:27">
      <c r="B23" s="132" cm="1">
        <f t="array" ref="B23" xml:space="preserve"> INDEX(韻母表[韻序], MATCH(TRUE, EXACT($F23, 韻母表[十五音]), 0))</f>
        <v>10</v>
      </c>
      <c r="C23" s="50" t="str" cm="1">
        <f t="array" ref="C23" xml:space="preserve"> IF( INDEX(韻母表[國際音標2], MATCH(TRUE, EXACT($F23, 韻母表[十五音]), 0))&lt;&gt;"",  INDEX(韻母表[國際音標2], MATCH(TRUE, EXACT($F23, 韻母表[十五音]), 0)),  INDEX(韻母表[國際音標], MATCH(TRUE, EXACT($F23, 韻母表[十五音]), 0)))</f>
        <v>uan</v>
      </c>
      <c r="D23" s="50" t="str" cm="1">
        <f t="array" ref="D23" xml:space="preserve"> INDEX(韻母表[台羅拼音], MATCH(TRUE, EXACT($F23, 韻母表[十五音]), 0))</f>
        <v>uan</v>
      </c>
      <c r="E23" s="135" t="str" cm="1">
        <f t="array" ref="E23" xml:space="preserve"> INDEX(韻母表[方音符號], MATCH(TRUE, EXACT($F23, 韻母表[十五音]), 0))</f>
        <v>ㄨㄢ</v>
      </c>
      <c r="F23" s="50" t="s">
        <v>80</v>
      </c>
      <c r="G23" s="53" t="str">
        <f xml:space="preserve"> IF(十五音音節表!F20&lt;&gt;"", _xlfn.CONCAT(G$4,$E23), "")</f>
        <v>ㄌㄨㄢ</v>
      </c>
      <c r="H23" s="53" t="str">
        <f xml:space="preserve"> IF(十五音音節表!G20&lt;&gt;"", _xlfn.CONCAT(H$4,$E23), "")</f>
        <v/>
      </c>
      <c r="I23" s="53" t="str">
        <f xml:space="preserve"> IF(十五音音節表!H20&lt;&gt;"", _xlfn.CONCAT(I$4,$E23), "")</f>
        <v>ㄅㄨㄢ</v>
      </c>
      <c r="J23" s="53" t="str">
        <f xml:space="preserve"> IF(十五音音節表!I20&lt;&gt;"", _xlfn.CONCAT(J$4,$E23), "")</f>
        <v>ㄍㄨㄢ</v>
      </c>
      <c r="K23" s="53" t="str">
        <f xml:space="preserve"> IF(十五音音節表!J20&lt;&gt;"", _xlfn.CONCAT(K$4,$E23), "")</f>
        <v>ㄎㄨㄢ</v>
      </c>
      <c r="L23" s="53" t="str">
        <f xml:space="preserve"> IF(十五音音節表!K20&lt;&gt;"", _xlfn.CONCAT(L$4,$E23), "")</f>
        <v>ㄉㄨㄢ</v>
      </c>
      <c r="M23" s="53" t="str">
        <f xml:space="preserve"> IF(十五音音節表!L20&lt;&gt;"", _xlfn.CONCAT(M$4,$E23), "")</f>
        <v>ㄆㄨㄢ</v>
      </c>
      <c r="N23" s="53" t="str">
        <f xml:space="preserve"> IF(十五音音節表!M20&lt;&gt;"", _xlfn.CONCAT(N$4,$E23), "")</f>
        <v>ㄊㄨㄢ</v>
      </c>
      <c r="O23" s="53" t="str">
        <f xml:space="preserve"> IF(十五音音節表!N20&lt;&gt;"", _xlfn.CONCAT(O$4,$E23), "")</f>
        <v>ㄗㄨㄢ</v>
      </c>
      <c r="P23" s="53" t="str">
        <f xml:space="preserve"> IF(十五音音節表!O20&lt;&gt;"", _xlfn.CONCAT(P$4,$E23), "")</f>
        <v/>
      </c>
      <c r="Q23" s="53" t="str">
        <f xml:space="preserve"> IF(十五音音節表!P20&lt;&gt;"", _xlfn.CONCAT(Q$4,$E23), "")</f>
        <v>ㄙㄨㄢ</v>
      </c>
      <c r="R23" s="53" t="str">
        <f xml:space="preserve"> IF(十五音音節表!Q20&lt;&gt;"", _xlfn.CONCAT(R$4,$E23), "")</f>
        <v>ㄨㄢ</v>
      </c>
      <c r="S23" s="53" t="str">
        <f xml:space="preserve"> IF(十五音音節表!R20&lt;&gt;"", _xlfn.CONCAT(S$4,$E23), "")</f>
        <v>ㆠㄨㄢ</v>
      </c>
      <c r="T23" s="53" t="str">
        <f xml:space="preserve"> IF(十五音音節表!S20&lt;&gt;"", _xlfn.CONCAT(T$4,$E23), "")</f>
        <v/>
      </c>
      <c r="U23" s="53" t="str">
        <f xml:space="preserve"> IF(十五音音節表!T20&lt;&gt;"", _xlfn.CONCAT(U$4,$E23), "")</f>
        <v>ㆣㄨㄢ</v>
      </c>
      <c r="V23" s="53" t="str">
        <f xml:space="preserve"> IF(十五音音節表!U20&lt;&gt;"", _xlfn.CONCAT(V$4,$E23), "")</f>
        <v/>
      </c>
      <c r="W23" s="53" t="str">
        <f xml:space="preserve"> IF(十五音音節表!V20&lt;&gt;"", _xlfn.CONCAT(W$4,$E23), "")</f>
        <v>ㄘㄨㄢ</v>
      </c>
      <c r="X23" s="53" t="str">
        <f xml:space="preserve"> IF(十五音音節表!W20&lt;&gt;"", _xlfn.CONCAT(X$4,$E23), "")</f>
        <v>ㄏㄨㄢ</v>
      </c>
      <c r="Y23" s="135" t="s">
        <v>1102</v>
      </c>
      <c r="Z23" s="50" t="s">
        <v>179</v>
      </c>
      <c r="AA23" s="50" t="s">
        <v>80</v>
      </c>
    </row>
    <row r="24" spans="2:27" outlineLevel="1">
      <c r="B24" s="132" cm="1">
        <f t="array" ref="B24" xml:space="preserve"> INDEX(韻母表[韻序], MATCH(TRUE, EXACT($F24, 韻母表[十五音]), 0))</f>
        <v>10</v>
      </c>
      <c r="C24" s="50" t="str" cm="1">
        <f t="array" ref="C24" xml:space="preserve"> IF( INDEX(韻母表[國際音標2], MATCH(TRUE, EXACT($F24, 韻母表[十五音]), 0))&lt;&gt;"",  INDEX(韻母表[國際音標2], MATCH(TRUE, EXACT($F24, 韻母表[十五音]), 0)),  INDEX(韻母表[國際音標], MATCH(TRUE, EXACT($F24, 韻母表[十五音]), 0)))</f>
        <v>uat̚</v>
      </c>
      <c r="D24" s="50" t="str" cm="1">
        <f t="array" ref="D24" xml:space="preserve"> INDEX(韻母表[台羅拼音], MATCH(TRUE, EXACT($F24, 韻母表[十五音]), 0))</f>
        <v>uat</v>
      </c>
      <c r="E24" s="135" t="str" cm="1">
        <f t="array" ref="E24" xml:space="preserve"> INDEX(韻母表[方音符號], MATCH(TRUE, EXACT($F24, 韻母表[十五音]), 0))</f>
        <v>ㄨㄚㆵ</v>
      </c>
      <c r="F24" s="50" t="s">
        <v>81</v>
      </c>
      <c r="G24" s="53" t="str">
        <f xml:space="preserve"> IF(十五音音節表!F21&lt;&gt;"", _xlfn.CONCAT(G$4,$E24), "")</f>
        <v>ㄌㄨㄚㆵ</v>
      </c>
      <c r="H24" s="53" t="str">
        <f xml:space="preserve"> IF(十五音音節表!G21&lt;&gt;"", _xlfn.CONCAT(H$4,$E24), "")</f>
        <v/>
      </c>
      <c r="I24" s="53" t="str">
        <f xml:space="preserve"> IF(十五音音節表!H21&lt;&gt;"", _xlfn.CONCAT(I$4,$E24), "")</f>
        <v>ㄅㄨㄚㆵ</v>
      </c>
      <c r="J24" s="53" t="str">
        <f xml:space="preserve"> IF(十五音音節表!I21&lt;&gt;"", _xlfn.CONCAT(J$4,$E24), "")</f>
        <v>ㄍㄨㄚㆵ</v>
      </c>
      <c r="K24" s="53" t="str">
        <f xml:space="preserve"> IF(十五音音節表!J21&lt;&gt;"", _xlfn.CONCAT(K$4,$E24), "")</f>
        <v>ㄎㄨㄚㆵ</v>
      </c>
      <c r="L24" s="53" t="str">
        <f xml:space="preserve"> IF(十五音音節表!K21&lt;&gt;"", _xlfn.CONCAT(L$4,$E24), "")</f>
        <v>ㄉㄨㄚㆵ</v>
      </c>
      <c r="M24" s="53" t="str">
        <f xml:space="preserve"> IF(十五音音節表!L21&lt;&gt;"", _xlfn.CONCAT(M$4,$E24), "")</f>
        <v>ㄆㄨㄚㆵ</v>
      </c>
      <c r="N24" s="53" t="str">
        <f xml:space="preserve"> IF(十五音音節表!M21&lt;&gt;"", _xlfn.CONCAT(N$4,$E24), "")</f>
        <v>ㄊㄨㄚㆵ</v>
      </c>
      <c r="O24" s="53" t="str">
        <f xml:space="preserve"> IF(十五音音節表!N21&lt;&gt;"", _xlfn.CONCAT(O$4,$E24), "")</f>
        <v>ㄗㄨㄚㆵ</v>
      </c>
      <c r="P24" s="53" t="str">
        <f xml:space="preserve"> IF(十五音音節表!O21&lt;&gt;"", _xlfn.CONCAT(P$4,$E24), "")</f>
        <v/>
      </c>
      <c r="Q24" s="53" t="str">
        <f xml:space="preserve"> IF(十五音音節表!P21&lt;&gt;"", _xlfn.CONCAT(Q$4,$E24), "")</f>
        <v>ㄙㄨㄚㆵ</v>
      </c>
      <c r="R24" s="53" t="str">
        <f xml:space="preserve"> IF(十五音音節表!Q21&lt;&gt;"", _xlfn.CONCAT(R$4,$E24), "")</f>
        <v>ㄨㄚㆵ</v>
      </c>
      <c r="S24" s="53" t="str">
        <f xml:space="preserve"> IF(十五音音節表!R21&lt;&gt;"", _xlfn.CONCAT(S$4,$E24), "")</f>
        <v>ㆠㄨㄚㆵ</v>
      </c>
      <c r="T24" s="53" t="str">
        <f xml:space="preserve"> IF(十五音音節表!S21&lt;&gt;"", _xlfn.CONCAT(T$4,$E24), "")</f>
        <v/>
      </c>
      <c r="U24" s="53" t="str">
        <f xml:space="preserve"> IF(十五音音節表!T21&lt;&gt;"", _xlfn.CONCAT(U$4,$E24), "")</f>
        <v>ㆣㄨㄚㆵ</v>
      </c>
      <c r="V24" s="53" t="str">
        <f xml:space="preserve"> IF(十五音音節表!U21&lt;&gt;"", _xlfn.CONCAT(V$4,$E24), "")</f>
        <v/>
      </c>
      <c r="W24" s="53" t="str">
        <f xml:space="preserve"> IF(十五音音節表!V21&lt;&gt;"", _xlfn.CONCAT(W$4,$E24), "")</f>
        <v/>
      </c>
      <c r="X24" s="53" t="str">
        <f xml:space="preserve"> IF(十五音音節表!W21&lt;&gt;"", _xlfn.CONCAT(X$4,$E24), "")</f>
        <v>ㄏㄨㄚㆵ</v>
      </c>
      <c r="Y24" s="135" t="s">
        <v>1105</v>
      </c>
      <c r="Z24" s="50" t="s">
        <v>180</v>
      </c>
      <c r="AA24" s="50" t="s">
        <v>81</v>
      </c>
    </row>
    <row r="25" spans="2:27">
      <c r="B25" s="132" cm="1">
        <f t="array" ref="B25" xml:space="preserve"> INDEX(韻母表[韻序], MATCH(TRUE, EXACT($F25, 韻母表[十五音]), 0))</f>
        <v>11</v>
      </c>
      <c r="C25" s="96" t="str" cm="1">
        <f t="array" ref="C25" xml:space="preserve"> IF( INDEX(韻母表[國際音標2], MATCH(TRUE, EXACT($F25, 韻母表[十五音]), 0))&lt;&gt;"",  INDEX(韻母表[國際音標2], MATCH(TRUE, EXACT($F25, 韻母表[十五音]), 0)),  INDEX(韻母表[國際音標], MATCH(TRUE, EXACT($F25, 韻母表[十五音]), 0)))</f>
        <v>ou</v>
      </c>
      <c r="D25" s="50" t="str" cm="1">
        <f t="array" ref="D25" xml:space="preserve"> INDEX(韻母表[台羅拼音], MATCH(TRUE, EXACT($F25, 韻母表[十五音]), 0))</f>
        <v>oo</v>
      </c>
      <c r="E25" s="135" t="str" cm="1">
        <f t="array" ref="E25" xml:space="preserve"> INDEX(韻母表[方音符號], MATCH(TRUE, EXACT($F25, 韻母表[十五音]), 0))</f>
        <v>ㆦ</v>
      </c>
      <c r="F25" s="50" t="s">
        <v>82</v>
      </c>
      <c r="G25" s="53" t="str">
        <f xml:space="preserve"> IF(十五音音節表!F22&lt;&gt;"", _xlfn.CONCAT(G$4,$E25), "")</f>
        <v>ㄌㆦ</v>
      </c>
      <c r="H25" s="53" t="str">
        <f xml:space="preserve"> IF(十五音音節表!G22&lt;&gt;"", _xlfn.CONCAT(H$4,$E25), "")</f>
        <v>ㄋㆦ</v>
      </c>
      <c r="I25" s="53" t="str">
        <f xml:space="preserve"> IF(十五音音節表!H22&lt;&gt;"", _xlfn.CONCAT(I$4,$E25), "")</f>
        <v>ㄅㆦ</v>
      </c>
      <c r="J25" s="53" t="str">
        <f xml:space="preserve"> IF(十五音音節表!I22&lt;&gt;"", _xlfn.CONCAT(J$4,$E25), "")</f>
        <v>ㄍㆦ</v>
      </c>
      <c r="K25" s="53" t="str">
        <f xml:space="preserve"> IF(十五音音節表!J22&lt;&gt;"", _xlfn.CONCAT(K$4,$E25), "")</f>
        <v>ㄎㆦ</v>
      </c>
      <c r="L25" s="53" t="str">
        <f xml:space="preserve"> IF(十五音音節表!K22&lt;&gt;"", _xlfn.CONCAT(L$4,$E25), "")</f>
        <v>ㄉㆦ</v>
      </c>
      <c r="M25" s="53" t="str">
        <f xml:space="preserve"> IF(十五音音節表!L22&lt;&gt;"", _xlfn.CONCAT(M$4,$E25), "")</f>
        <v>ㄆㆦ</v>
      </c>
      <c r="N25" s="53" t="str">
        <f xml:space="preserve"> IF(十五音音節表!M22&lt;&gt;"", _xlfn.CONCAT(N$4,$E25), "")</f>
        <v>ㄊㆦ</v>
      </c>
      <c r="O25" s="53" t="str">
        <f xml:space="preserve"> IF(十五音音節表!N22&lt;&gt;"", _xlfn.CONCAT(O$4,$E25), "")</f>
        <v>ㄗㆦ</v>
      </c>
      <c r="P25" s="53" t="str">
        <f xml:space="preserve"> IF(十五音音節表!O22&lt;&gt;"", _xlfn.CONCAT(P$4,$E25), "")</f>
        <v/>
      </c>
      <c r="Q25" s="53" t="str">
        <f xml:space="preserve"> IF(十五音音節表!P22&lt;&gt;"", _xlfn.CONCAT(Q$4,$E25), "")</f>
        <v>ㄙㆦ</v>
      </c>
      <c r="R25" s="53" t="str">
        <f xml:space="preserve"> IF(十五音音節表!Q22&lt;&gt;"", _xlfn.CONCAT(R$4,$E25), "")</f>
        <v>ㆦ</v>
      </c>
      <c r="S25" s="53" t="str">
        <f xml:space="preserve"> IF(十五音音節表!R22&lt;&gt;"", _xlfn.CONCAT(S$4,$E25), "")</f>
        <v>ㆠㆦ</v>
      </c>
      <c r="T25" s="53" t="str">
        <f xml:space="preserve"> IF(十五音音節表!S22&lt;&gt;"", _xlfn.CONCAT(T$4,$E25), "")</f>
        <v>ㄇㆦ</v>
      </c>
      <c r="U25" s="53" t="str">
        <f xml:space="preserve"> IF(十五音音節表!T22&lt;&gt;"", _xlfn.CONCAT(U$4,$E25), "")</f>
        <v>ㆣㆦ</v>
      </c>
      <c r="V25" s="53" t="str">
        <f xml:space="preserve"> IF(十五音音節表!U22&lt;&gt;"", _xlfn.CONCAT(V$4,$E25), "")</f>
        <v>ㄫㆦ</v>
      </c>
      <c r="W25" s="53" t="str">
        <f xml:space="preserve"> IF(十五音音節表!V22&lt;&gt;"", _xlfn.CONCAT(W$4,$E25), "")</f>
        <v>ㄘㆦ</v>
      </c>
      <c r="X25" s="53" t="str">
        <f xml:space="preserve"> IF(十五音音節表!W22&lt;&gt;"", _xlfn.CONCAT(X$4,$E25), "")</f>
        <v>ㄏㆦ</v>
      </c>
      <c r="Y25" s="135" t="s">
        <v>1109</v>
      </c>
      <c r="Z25" s="50" t="s">
        <v>181</v>
      </c>
      <c r="AA25" s="50" t="s">
        <v>82</v>
      </c>
    </row>
    <row r="26" spans="2:27" outlineLevel="1">
      <c r="B26" s="132" cm="1">
        <f t="array" ref="B26" xml:space="preserve"> INDEX(韻母表[韻序], MATCH(TRUE, EXACT($F26, 韻母表[十五音]), 0))</f>
        <v>11</v>
      </c>
      <c r="C26" s="50" t="str" cm="1">
        <f t="array" ref="C26" xml:space="preserve"> IF( INDEX(韻母表[國際音標2], MATCH(TRUE, EXACT($F26, 韻母表[十五音]), 0))&lt;&gt;"",  INDEX(韻母表[國際音標2], MATCH(TRUE, EXACT($F26, 韻母表[十五音]), 0)),  INDEX(韻母表[國際音標], MATCH(TRUE, EXACT($F26, 韻母表[十五音]), 0)))</f>
        <v>ɔh</v>
      </c>
      <c r="D26" s="50" t="str" cm="1">
        <f t="array" ref="D26" xml:space="preserve"> INDEX(韻母表[台羅拼音], MATCH(TRUE, EXACT($F26, 韻母表[十五音]), 0))</f>
        <v>ooh</v>
      </c>
      <c r="E26" s="135" t="str" cm="1">
        <f t="array" ref="E26" xml:space="preserve"> INDEX(韻母表[方音符號], MATCH(TRUE, EXACT($F26, 韻母表[十五音]), 0))</f>
        <v>ㆦㆷ</v>
      </c>
      <c r="F26" s="50" t="s">
        <v>83</v>
      </c>
      <c r="G26" s="53" t="str">
        <f xml:space="preserve"> IF(十五音音節表!F23&lt;&gt;"", _xlfn.CONCAT(G$4,$E26), "")</f>
        <v/>
      </c>
      <c r="H26" s="53" t="str">
        <f xml:space="preserve"> IF(十五音音節表!G23&lt;&gt;"", _xlfn.CONCAT(H$4,$E26), "")</f>
        <v/>
      </c>
      <c r="I26" s="53" t="str">
        <f xml:space="preserve"> IF(十五音音節表!H23&lt;&gt;"", _xlfn.CONCAT(I$4,$E26), "")</f>
        <v/>
      </c>
      <c r="J26" s="53" t="str">
        <f xml:space="preserve"> IF(十五音音節表!I23&lt;&gt;"", _xlfn.CONCAT(J$4,$E26), "")</f>
        <v/>
      </c>
      <c r="K26" s="53" t="str">
        <f xml:space="preserve"> IF(十五音音節表!J23&lt;&gt;"", _xlfn.CONCAT(K$4,$E26), "")</f>
        <v/>
      </c>
      <c r="L26" s="53" t="str">
        <f xml:space="preserve"> IF(十五音音節表!K23&lt;&gt;"", _xlfn.CONCAT(L$4,$E26), "")</f>
        <v/>
      </c>
      <c r="M26" s="53" t="str">
        <f xml:space="preserve"> IF(十五音音節表!L23&lt;&gt;"", _xlfn.CONCAT(M$4,$E26), "")</f>
        <v/>
      </c>
      <c r="N26" s="53" t="str">
        <f xml:space="preserve"> IF(十五音音節表!M23&lt;&gt;"", _xlfn.CONCAT(N$4,$E26), "")</f>
        <v/>
      </c>
      <c r="O26" s="53" t="str">
        <f xml:space="preserve"> IF(十五音音節表!N23&lt;&gt;"", _xlfn.CONCAT(O$4,$E26), "")</f>
        <v/>
      </c>
      <c r="P26" s="53" t="str">
        <f xml:space="preserve"> IF(十五音音節表!O23&lt;&gt;"", _xlfn.CONCAT(P$4,$E26), "")</f>
        <v/>
      </c>
      <c r="Q26" s="53" t="str">
        <f xml:space="preserve"> IF(十五音音節表!P23&lt;&gt;"", _xlfn.CONCAT(Q$4,$E26), "")</f>
        <v/>
      </c>
      <c r="R26" s="53" t="str">
        <f xml:space="preserve"> IF(十五音音節表!Q23&lt;&gt;"", _xlfn.CONCAT(R$4,$E26), "")</f>
        <v/>
      </c>
      <c r="S26" s="53" t="str">
        <f xml:space="preserve"> IF(十五音音節表!R23&lt;&gt;"", _xlfn.CONCAT(S$4,$E26), "")</f>
        <v/>
      </c>
      <c r="T26" s="53" t="str">
        <f xml:space="preserve"> IF(十五音音節表!S23&lt;&gt;"", _xlfn.CONCAT(T$4,$E26), "")</f>
        <v>ㄇㆦㆷ</v>
      </c>
      <c r="U26" s="53" t="str">
        <f xml:space="preserve"> IF(十五音音節表!T23&lt;&gt;"", _xlfn.CONCAT(U$4,$E26), "")</f>
        <v/>
      </c>
      <c r="V26" s="53" t="str">
        <f xml:space="preserve"> IF(十五音音節表!U23&lt;&gt;"", _xlfn.CONCAT(V$4,$E26), "")</f>
        <v/>
      </c>
      <c r="W26" s="53" t="str">
        <f xml:space="preserve"> IF(十五音音節表!V23&lt;&gt;"", _xlfn.CONCAT(W$4,$E26), "")</f>
        <v/>
      </c>
      <c r="X26" s="53" t="str">
        <f xml:space="preserve"> IF(十五音音節表!W23&lt;&gt;"", _xlfn.CONCAT(X$4,$E26), "")</f>
        <v/>
      </c>
      <c r="Y26" s="135" t="s">
        <v>1560</v>
      </c>
      <c r="Z26" s="50" t="s">
        <v>253</v>
      </c>
      <c r="AA26" s="50" t="s">
        <v>83</v>
      </c>
    </row>
    <row r="27" spans="2:27">
      <c r="B27" s="132" cm="1">
        <f t="array" ref="B27" xml:space="preserve"> INDEX(韻母表[韻序], MATCH(TRUE, EXACT($F27, 韻母表[十五音]), 0))</f>
        <v>12</v>
      </c>
      <c r="C27" s="50" t="str" cm="1">
        <f t="array" ref="C27" xml:space="preserve"> IF( INDEX(韻母表[國際音標2], MATCH(TRUE, EXACT($F27, 韻母表[十五音]), 0))&lt;&gt;"",  INDEX(韻母表[國際音標2], MATCH(TRUE, EXACT($F27, 韻母表[十五音]), 0)),  INDEX(韻母表[國際音標], MATCH(TRUE, EXACT($F27, 韻母表[十五音]), 0)))</f>
        <v>ɪaʊ</v>
      </c>
      <c r="D27" s="50" t="str" cm="1">
        <f t="array" ref="D27" xml:space="preserve"> INDEX(韻母表[台羅拼音], MATCH(TRUE, EXACT($F27, 韻母表[十五音]), 0))</f>
        <v>iau</v>
      </c>
      <c r="E27" s="135" t="str" cm="1">
        <f t="array" ref="E27" xml:space="preserve"> INDEX(韻母表[方音符號], MATCH(TRUE, EXACT($F27, 韻母表[十五音]), 0))</f>
        <v>ㄧㄠ</v>
      </c>
      <c r="F27" s="50" t="s">
        <v>84</v>
      </c>
      <c r="G27" s="53" t="str">
        <f xml:space="preserve"> IF(十五音音節表!F24&lt;&gt;"", _xlfn.CONCAT(G$4,$E27), "")</f>
        <v>ㄌㄧㄠ</v>
      </c>
      <c r="H27" s="53" t="str">
        <f xml:space="preserve"> IF(十五音音節表!G24&lt;&gt;"", _xlfn.CONCAT(H$4,$E27), "")</f>
        <v>ㄋㄧㄠ</v>
      </c>
      <c r="I27" s="53" t="str">
        <f xml:space="preserve"> IF(十五音音節表!H24&lt;&gt;"", _xlfn.CONCAT(I$4,$E27), "")</f>
        <v>ㄅㄧㄠ</v>
      </c>
      <c r="J27" s="53" t="str">
        <f xml:space="preserve"> IF(十五音音節表!I24&lt;&gt;"", _xlfn.CONCAT(J$4,$E27), "")</f>
        <v>ㄍㄧㄠ</v>
      </c>
      <c r="K27" s="53" t="str">
        <f xml:space="preserve"> IF(十五音音節表!J24&lt;&gt;"", _xlfn.CONCAT(K$4,$E27), "")</f>
        <v>ㄎㄧㄠ</v>
      </c>
      <c r="L27" s="53" t="str">
        <f xml:space="preserve"> IF(十五音音節表!K24&lt;&gt;"", _xlfn.CONCAT(L$4,$E27), "")</f>
        <v>ㄉㄧㄠ</v>
      </c>
      <c r="M27" s="53" t="str">
        <f xml:space="preserve"> IF(十五音音節表!L24&lt;&gt;"", _xlfn.CONCAT(M$4,$E27), "")</f>
        <v>ㄆㄧㄠ</v>
      </c>
      <c r="N27" s="53" t="str">
        <f xml:space="preserve"> IF(十五音音節表!M24&lt;&gt;"", _xlfn.CONCAT(N$4,$E27), "")</f>
        <v>ㄊㄧㄠ</v>
      </c>
      <c r="O27" s="53" t="str">
        <f xml:space="preserve"> IF(十五音音節表!N24&lt;&gt;"", _xlfn.CONCAT(O$4,$E27), "")</f>
        <v>ㄗㄧㄠ</v>
      </c>
      <c r="P27" s="53" t="str">
        <f xml:space="preserve"> IF(十五音音節表!O24&lt;&gt;"", _xlfn.CONCAT(P$4,$E27), "")</f>
        <v>ㆡㄧㄠ</v>
      </c>
      <c r="Q27" s="53" t="str">
        <f xml:space="preserve"> IF(十五音音節表!P24&lt;&gt;"", _xlfn.CONCAT(Q$4,$E27), "")</f>
        <v>ㄙㄧㄠ</v>
      </c>
      <c r="R27" s="53" t="str">
        <f xml:space="preserve"> IF(十五音音節表!Q24&lt;&gt;"", _xlfn.CONCAT(R$4,$E27), "")</f>
        <v>ㄧㄠ</v>
      </c>
      <c r="S27" s="53" t="str">
        <f xml:space="preserve"> IF(十五音音節表!R24&lt;&gt;"", _xlfn.CONCAT(S$4,$E27), "")</f>
        <v>ㆠㄧㄠ</v>
      </c>
      <c r="T27" s="53" t="str">
        <f xml:space="preserve"> IF(十五音音節表!S24&lt;&gt;"", _xlfn.CONCAT(T$4,$E27), "")</f>
        <v>ㄇㄧㄠ</v>
      </c>
      <c r="U27" s="53" t="str">
        <f xml:space="preserve"> IF(十五音音節表!T24&lt;&gt;"", _xlfn.CONCAT(U$4,$E27), "")</f>
        <v>ㆣㄧㄠ</v>
      </c>
      <c r="V27" s="53" t="str">
        <f xml:space="preserve"> IF(十五音音節表!U24&lt;&gt;"", _xlfn.CONCAT(V$4,$E27), "")</f>
        <v>ㄫㄧㄠ</v>
      </c>
      <c r="W27" s="53" t="str">
        <f xml:space="preserve"> IF(十五音音節表!V24&lt;&gt;"", _xlfn.CONCAT(W$4,$E27), "")</f>
        <v>ㄘㄧㄠ</v>
      </c>
      <c r="X27" s="53" t="str">
        <f xml:space="preserve"> IF(十五音音節表!W24&lt;&gt;"", _xlfn.CONCAT(X$4,$E27), "")</f>
        <v>ㄏㄧㄠ</v>
      </c>
      <c r="Y27" s="135" t="s">
        <v>1112</v>
      </c>
      <c r="Z27" s="50" t="s">
        <v>182</v>
      </c>
      <c r="AA27" s="50" t="s">
        <v>84</v>
      </c>
    </row>
    <row r="28" spans="2:27" outlineLevel="1">
      <c r="B28" s="132" cm="1">
        <f t="array" ref="B28" xml:space="preserve"> INDEX(韻母表[韻序], MATCH(TRUE, EXACT($F28, 韻母表[十五音]), 0))</f>
        <v>12</v>
      </c>
      <c r="C28" s="50" t="str" cm="1">
        <f t="array" ref="C28" xml:space="preserve"> IF( INDEX(韻母表[國際音標2], MATCH(TRUE, EXACT($F28, 韻母表[十五音]), 0))&lt;&gt;"",  INDEX(韻母表[國際音標2], MATCH(TRUE, EXACT($F28, 韻母表[十五音]), 0)),  INDEX(韻母表[國際音標], MATCH(TRUE, EXACT($F28, 韻母表[十五音]), 0)))</f>
        <v>ɪaʊʔ</v>
      </c>
      <c r="D28" s="50" t="str" cm="1">
        <f t="array" ref="D28" xml:space="preserve"> INDEX(韻母表[台羅拼音], MATCH(TRUE, EXACT($F28, 韻母表[十五音]), 0))</f>
        <v>iauh</v>
      </c>
      <c r="E28" s="135" t="str" cm="1">
        <f t="array" ref="E28" xml:space="preserve"> INDEX(韻母表[方音符號], MATCH(TRUE, EXACT($F28, 韻母表[十五音]), 0))</f>
        <v>ㄧㄠㆷ</v>
      </c>
      <c r="F28" s="50" t="s">
        <v>85</v>
      </c>
      <c r="G28" s="53" t="str">
        <f xml:space="preserve"> IF(十五音音節表!F25&lt;&gt;"", _xlfn.CONCAT(G$4,$E28), "")</f>
        <v/>
      </c>
      <c r="H28" s="53" t="str">
        <f xml:space="preserve"> IF(十五音音節表!G25&lt;&gt;"", _xlfn.CONCAT(H$4,$E28), "")</f>
        <v/>
      </c>
      <c r="I28" s="53" t="str">
        <f xml:space="preserve"> IF(十五音音節表!H25&lt;&gt;"", _xlfn.CONCAT(I$4,$E28), "")</f>
        <v/>
      </c>
      <c r="J28" s="53" t="str">
        <f xml:space="preserve"> IF(十五音音節表!I25&lt;&gt;"", _xlfn.CONCAT(J$4,$E28), "")</f>
        <v/>
      </c>
      <c r="K28" s="53" t="str">
        <f xml:space="preserve"> IF(十五音音節表!J25&lt;&gt;"", _xlfn.CONCAT(K$4,$E28), "")</f>
        <v>ㄎㄧㄠㆷ</v>
      </c>
      <c r="L28" s="53" t="str">
        <f xml:space="preserve"> IF(十五音音節表!K25&lt;&gt;"", _xlfn.CONCAT(L$4,$E28), "")</f>
        <v/>
      </c>
      <c r="M28" s="53" t="str">
        <f xml:space="preserve"> IF(十五音音節表!L25&lt;&gt;"", _xlfn.CONCAT(M$4,$E28), "")</f>
        <v/>
      </c>
      <c r="N28" s="53" t="str">
        <f xml:space="preserve"> IF(十五音音節表!M25&lt;&gt;"", _xlfn.CONCAT(N$4,$E28), "")</f>
        <v/>
      </c>
      <c r="O28" s="53" t="str">
        <f xml:space="preserve"> IF(十五音音節表!N25&lt;&gt;"", _xlfn.CONCAT(O$4,$E28), "")</f>
        <v/>
      </c>
      <c r="P28" s="53" t="str">
        <f xml:space="preserve"> IF(十五音音節表!O25&lt;&gt;"", _xlfn.CONCAT(P$4,$E28), "")</f>
        <v/>
      </c>
      <c r="Q28" s="53" t="str">
        <f xml:space="preserve"> IF(十五音音節表!P25&lt;&gt;"", _xlfn.CONCAT(Q$4,$E28), "")</f>
        <v/>
      </c>
      <c r="R28" s="53" t="str">
        <f xml:space="preserve"> IF(十五音音節表!Q25&lt;&gt;"", _xlfn.CONCAT(R$4,$E28), "")</f>
        <v/>
      </c>
      <c r="S28" s="53" t="str">
        <f xml:space="preserve"> IF(十五音音節表!R25&lt;&gt;"", _xlfn.CONCAT(S$4,$E28), "")</f>
        <v/>
      </c>
      <c r="T28" s="53" t="str">
        <f xml:space="preserve"> IF(十五音音節表!S25&lt;&gt;"", _xlfn.CONCAT(T$4,$E28), "")</f>
        <v/>
      </c>
      <c r="U28" s="53" t="str">
        <f xml:space="preserve"> IF(十五音音節表!T25&lt;&gt;"", _xlfn.CONCAT(U$4,$E28), "")</f>
        <v/>
      </c>
      <c r="V28" s="53" t="str">
        <f xml:space="preserve"> IF(十五音音節表!U25&lt;&gt;"", _xlfn.CONCAT(V$4,$E28), "")</f>
        <v>ㄫㄧㄠㆷ</v>
      </c>
      <c r="W28" s="53" t="str">
        <f xml:space="preserve"> IF(十五音音節表!V25&lt;&gt;"", _xlfn.CONCAT(W$4,$E28), "")</f>
        <v/>
      </c>
      <c r="X28" s="53" t="str">
        <f xml:space="preserve"> IF(十五音音節表!W25&lt;&gt;"", _xlfn.CONCAT(X$4,$E28), "")</f>
        <v>ㄏㄧㄠㆷ</v>
      </c>
      <c r="Y28" s="135" t="s">
        <v>1114</v>
      </c>
      <c r="Z28" s="50" t="s">
        <v>183</v>
      </c>
      <c r="AA28" s="50" t="s">
        <v>85</v>
      </c>
    </row>
    <row r="29" spans="2:27">
      <c r="B29" s="132" cm="1">
        <f t="array" ref="B29" xml:space="preserve"> INDEX(韻母表[韻序], MATCH(TRUE, EXACT($F29, 韻母表[十五音]), 0))</f>
        <v>13</v>
      </c>
      <c r="C29" s="96" t="str" cm="1">
        <f t="array" ref="C29" xml:space="preserve"> IF( INDEX(韻母表[國際音標2], MATCH(TRUE, EXACT($F29, 韻母表[十五音]), 0))&lt;&gt;"",  INDEX(韻母表[國際音標2], MATCH(TRUE, EXACT($F29, 韻母表[十五音]), 0)),  INDEX(韻母表[國際音標], MATCH(TRUE, EXACT($F29, 韻母表[十五音]), 0)))</f>
        <v>ei</v>
      </c>
      <c r="D29" s="50" t="str" cm="1">
        <f t="array" ref="D29" xml:space="preserve"> INDEX(韻母表[台羅拼音], MATCH(TRUE, EXACT($F29, 韻母表[十五音]), 0))</f>
        <v>e</v>
      </c>
      <c r="E29" s="135" t="str" cm="1">
        <f t="array" ref="E29" xml:space="preserve"> INDEX(韻母表[方音符號], MATCH(TRUE, EXACT($F29, 韻母表[十五音]), 0))</f>
        <v>ㆤ</v>
      </c>
      <c r="F29" s="50" t="s">
        <v>86</v>
      </c>
      <c r="G29" s="53" t="str">
        <f xml:space="preserve"> IF(十五音音節表!F26&lt;&gt;"", _xlfn.CONCAT(G$4,$E29), "")</f>
        <v>ㄌㆤ</v>
      </c>
      <c r="H29" s="53" t="str">
        <f xml:space="preserve"> IF(十五音音節表!G26&lt;&gt;"", _xlfn.CONCAT(H$4,$E29), "")</f>
        <v>ㄋㆤ</v>
      </c>
      <c r="I29" s="53" t="str">
        <f xml:space="preserve"> IF(十五音音節表!H26&lt;&gt;"", _xlfn.CONCAT(I$4,$E29), "")</f>
        <v>ㄅㆤ</v>
      </c>
      <c r="J29" s="53" t="str">
        <f xml:space="preserve"> IF(十五音音節表!I26&lt;&gt;"", _xlfn.CONCAT(J$4,$E29), "")</f>
        <v>ㄍㆤ</v>
      </c>
      <c r="K29" s="53" t="str">
        <f xml:space="preserve"> IF(十五音音節表!J26&lt;&gt;"", _xlfn.CONCAT(K$4,$E29), "")</f>
        <v>ㄎㆤ</v>
      </c>
      <c r="L29" s="53" t="str">
        <f xml:space="preserve"> IF(十五音音節表!K26&lt;&gt;"", _xlfn.CONCAT(L$4,$E29), "")</f>
        <v>ㄉㆤ</v>
      </c>
      <c r="M29" s="53" t="str">
        <f xml:space="preserve"> IF(十五音音節表!L26&lt;&gt;"", _xlfn.CONCAT(M$4,$E29), "")</f>
        <v>ㄆㆤ</v>
      </c>
      <c r="N29" s="53" t="str">
        <f xml:space="preserve"> IF(十五音音節表!M26&lt;&gt;"", _xlfn.CONCAT(N$4,$E29), "")</f>
        <v>ㄊㆤ</v>
      </c>
      <c r="O29" s="53" t="str">
        <f xml:space="preserve"> IF(十五音音節表!N26&lt;&gt;"", _xlfn.CONCAT(O$4,$E29), "")</f>
        <v>ㄗㆤ</v>
      </c>
      <c r="P29" s="53" t="str">
        <f xml:space="preserve"> IF(十五音音節表!O26&lt;&gt;"", _xlfn.CONCAT(P$4,$E29), "")</f>
        <v/>
      </c>
      <c r="Q29" s="53" t="str">
        <f xml:space="preserve"> IF(十五音音節表!P26&lt;&gt;"", _xlfn.CONCAT(Q$4,$E29), "")</f>
        <v>ㄙㆤ</v>
      </c>
      <c r="R29" s="53" t="str">
        <f xml:space="preserve"> IF(十五音音節表!Q26&lt;&gt;"", _xlfn.CONCAT(R$4,$E29), "")</f>
        <v>ㆤ</v>
      </c>
      <c r="S29" s="53" t="str">
        <f xml:space="preserve"> IF(十五音音節表!R26&lt;&gt;"", _xlfn.CONCAT(S$4,$E29), "")</f>
        <v>ㆠㆤ</v>
      </c>
      <c r="T29" s="53" t="str">
        <f xml:space="preserve"> IF(十五音音節表!S26&lt;&gt;"", _xlfn.CONCAT(T$4,$E29), "")</f>
        <v>ㄇㆤ</v>
      </c>
      <c r="U29" s="53" t="str">
        <f xml:space="preserve"> IF(十五音音節表!T26&lt;&gt;"", _xlfn.CONCAT(U$4,$E29), "")</f>
        <v>ㆣㆤ</v>
      </c>
      <c r="V29" s="53" t="str">
        <f xml:space="preserve"> IF(十五音音節表!U26&lt;&gt;"", _xlfn.CONCAT(V$4,$E29), "")</f>
        <v>ㄫㆤ</v>
      </c>
      <c r="W29" s="53" t="str">
        <f xml:space="preserve"> IF(十五音音節表!V26&lt;&gt;"", _xlfn.CONCAT(W$4,$E29), "")</f>
        <v>ㄘㆤ</v>
      </c>
      <c r="X29" s="53" t="str">
        <f xml:space="preserve"> IF(十五音音節表!W26&lt;&gt;"", _xlfn.CONCAT(X$4,$E29), "")</f>
        <v>ㄏㆤ</v>
      </c>
      <c r="Y29" s="135" t="s">
        <v>1117</v>
      </c>
      <c r="Z29" s="50" t="s">
        <v>184</v>
      </c>
      <c r="AA29" s="50" t="s">
        <v>86</v>
      </c>
    </row>
    <row r="30" spans="2:27">
      <c r="B30" s="132" cm="1">
        <f t="array" ref="B30" xml:space="preserve"> INDEX(韻母表[韻序], MATCH(TRUE, EXACT($F30, 韻母表[十五音]), 0))</f>
        <v>14</v>
      </c>
      <c r="C30" s="50" t="str" cm="1">
        <f t="array" ref="C30" xml:space="preserve"> IF( INDEX(韻母表[國際音標2], MATCH(TRUE, EXACT($F30, 韻母表[十五音]), 0))&lt;&gt;"",  INDEX(韻母表[國際音標2], MATCH(TRUE, EXACT($F30, 韻母表[十五音]), 0)),  INDEX(韻母表[國際音標], MATCH(TRUE, EXACT($F30, 韻母表[十五音]), 0)))</f>
        <v>ɪɔŋ</v>
      </c>
      <c r="D30" s="50" t="str" cm="1">
        <f t="array" ref="D30" xml:space="preserve"> INDEX(韻母表[台羅拼音], MATCH(TRUE, EXACT($F30, 韻母表[十五音]), 0))</f>
        <v>iong</v>
      </c>
      <c r="E30" s="135" t="str" cm="1">
        <f t="array" ref="E30" xml:space="preserve"> INDEX(韻母表[方音符號], MATCH(TRUE, EXACT($F30, 韻母表[十五音]), 0))</f>
        <v>ㄧㆲ</v>
      </c>
      <c r="F30" s="50" t="s">
        <v>88</v>
      </c>
      <c r="G30" s="53" t="str">
        <f xml:space="preserve"> IF(十五音音節表!F27&lt;&gt;"", _xlfn.CONCAT(G$4,$E30), "")</f>
        <v>ㄌㄧㆲ</v>
      </c>
      <c r="H30" s="53" t="str">
        <f xml:space="preserve"> IF(十五音音節表!G27&lt;&gt;"", _xlfn.CONCAT(H$4,$E30), "")</f>
        <v/>
      </c>
      <c r="I30" s="53" t="str">
        <f xml:space="preserve"> IF(十五音音節表!H27&lt;&gt;"", _xlfn.CONCAT(I$4,$E30), "")</f>
        <v/>
      </c>
      <c r="J30" s="53" t="str">
        <f xml:space="preserve"> IF(十五音音節表!I27&lt;&gt;"", _xlfn.CONCAT(J$4,$E30), "")</f>
        <v>ㄍㄧㆲ</v>
      </c>
      <c r="K30" s="53" t="str">
        <f xml:space="preserve"> IF(十五音音節表!J27&lt;&gt;"", _xlfn.CONCAT(K$4,$E30), "")</f>
        <v>ㄎㄧㆲ</v>
      </c>
      <c r="L30" s="53" t="str">
        <f xml:space="preserve"> IF(十五音音節表!K27&lt;&gt;"", _xlfn.CONCAT(L$4,$E30), "")</f>
        <v>ㄉㄧㆲ</v>
      </c>
      <c r="M30" s="53" t="str">
        <f xml:space="preserve"> IF(十五音音節表!L27&lt;&gt;"", _xlfn.CONCAT(M$4,$E30), "")</f>
        <v/>
      </c>
      <c r="N30" s="53" t="str">
        <f xml:space="preserve"> IF(十五音音節表!M27&lt;&gt;"", _xlfn.CONCAT(N$4,$E30), "")</f>
        <v>ㄊㄧㆲ</v>
      </c>
      <c r="O30" s="53" t="str">
        <f xml:space="preserve"> IF(十五音音節表!N27&lt;&gt;"", _xlfn.CONCAT(O$4,$E30), "")</f>
        <v>ㄗㄧㆲ</v>
      </c>
      <c r="P30" s="53" t="str">
        <f xml:space="preserve"> IF(十五音音節表!O27&lt;&gt;"", _xlfn.CONCAT(P$4,$E30), "")</f>
        <v>ㆡㄧㆲ</v>
      </c>
      <c r="Q30" s="53" t="str">
        <f xml:space="preserve"> IF(十五音音節表!P27&lt;&gt;"", _xlfn.CONCAT(Q$4,$E30), "")</f>
        <v>ㄙㄧㆲ</v>
      </c>
      <c r="R30" s="53" t="str">
        <f xml:space="preserve"> IF(十五音音節表!Q27&lt;&gt;"", _xlfn.CONCAT(R$4,$E30), "")</f>
        <v>ㄧㆲ</v>
      </c>
      <c r="S30" s="53" t="str">
        <f xml:space="preserve"> IF(十五音音節表!R27&lt;&gt;"", _xlfn.CONCAT(S$4,$E30), "")</f>
        <v/>
      </c>
      <c r="T30" s="53" t="str">
        <f xml:space="preserve"> IF(十五音音節表!S27&lt;&gt;"", _xlfn.CONCAT(T$4,$E30), "")</f>
        <v/>
      </c>
      <c r="U30" s="53" t="str">
        <f xml:space="preserve"> IF(十五音音節表!T27&lt;&gt;"", _xlfn.CONCAT(U$4,$E30), "")</f>
        <v>ㆣㄧㆲ</v>
      </c>
      <c r="V30" s="53" t="str">
        <f xml:space="preserve"> IF(十五音音節表!U27&lt;&gt;"", _xlfn.CONCAT(V$4,$E30), "")</f>
        <v/>
      </c>
      <c r="W30" s="53" t="str">
        <f xml:space="preserve"> IF(十五音音節表!V27&lt;&gt;"", _xlfn.CONCAT(W$4,$E30), "")</f>
        <v>ㄘㄧㆲ</v>
      </c>
      <c r="X30" s="53" t="str">
        <f xml:space="preserve"> IF(十五音音節表!W27&lt;&gt;"", _xlfn.CONCAT(X$4,$E30), "")</f>
        <v>ㄏㄧㆲ</v>
      </c>
      <c r="Y30" s="135" t="s">
        <v>1118</v>
      </c>
      <c r="Z30" s="50" t="s">
        <v>185</v>
      </c>
      <c r="AA30" s="50" t="s">
        <v>88</v>
      </c>
    </row>
    <row r="31" spans="2:27" outlineLevel="1">
      <c r="B31" s="132" cm="1">
        <f t="array" ref="B31" xml:space="preserve"> INDEX(韻母表[韻序], MATCH(TRUE, EXACT($F31, 韻母表[十五音]), 0))</f>
        <v>14</v>
      </c>
      <c r="C31" s="50" t="str" cm="1">
        <f t="array" ref="C31" xml:space="preserve"> IF( INDEX(韻母表[國際音標2], MATCH(TRUE, EXACT($F31, 韻母表[十五音]), 0))&lt;&gt;"",  INDEX(韻母表[國際音標2], MATCH(TRUE, EXACT($F31, 韻母表[十五音]), 0)),  INDEX(韻母表[國際音標], MATCH(TRUE, EXACT($F31, 韻母表[十五音]), 0)))</f>
        <v>ɪɔk̚</v>
      </c>
      <c r="D31" s="50" t="str" cm="1">
        <f t="array" ref="D31" xml:space="preserve"> INDEX(韻母表[台羅拼音], MATCH(TRUE, EXACT($F31, 韻母表[十五音]), 0))</f>
        <v>iok</v>
      </c>
      <c r="E31" s="135" t="str" cm="1">
        <f t="array" ref="E31" xml:space="preserve"> INDEX(韻母表[方音符號], MATCH(TRUE, EXACT($F31, 韻母表[十五音]), 0))</f>
        <v>ㄧㆦㆻ</v>
      </c>
      <c r="F31" s="50" t="s">
        <v>89</v>
      </c>
      <c r="G31" s="53" t="str">
        <f xml:space="preserve"> IF(十五音音節表!F28&lt;&gt;"", _xlfn.CONCAT(G$4,$E31), "")</f>
        <v>ㄌㄧㆦㆻ</v>
      </c>
      <c r="H31" s="53" t="str">
        <f xml:space="preserve"> IF(十五音音節表!G28&lt;&gt;"", _xlfn.CONCAT(H$4,$E31), "")</f>
        <v/>
      </c>
      <c r="I31" s="53" t="str">
        <f xml:space="preserve"> IF(十五音音節表!H28&lt;&gt;"", _xlfn.CONCAT(I$4,$E31), "")</f>
        <v/>
      </c>
      <c r="J31" s="53" t="str">
        <f xml:space="preserve"> IF(十五音音節表!I28&lt;&gt;"", _xlfn.CONCAT(J$4,$E31), "")</f>
        <v>ㄍㄧㆦㆻ</v>
      </c>
      <c r="K31" s="53" t="str">
        <f xml:space="preserve"> IF(十五音音節表!J28&lt;&gt;"", _xlfn.CONCAT(K$4,$E31), "")</f>
        <v>ㄎㄧㆦㆻ</v>
      </c>
      <c r="L31" s="53" t="str">
        <f xml:space="preserve"> IF(十五音音節表!K28&lt;&gt;"", _xlfn.CONCAT(L$4,$E31), "")</f>
        <v>ㄉㄧㆦㆻ</v>
      </c>
      <c r="M31" s="53" t="str">
        <f xml:space="preserve"> IF(十五音音節表!L28&lt;&gt;"", _xlfn.CONCAT(M$4,$E31), "")</f>
        <v/>
      </c>
      <c r="N31" s="53" t="str">
        <f xml:space="preserve"> IF(十五音音節表!M28&lt;&gt;"", _xlfn.CONCAT(N$4,$E31), "")</f>
        <v>ㄊㄧㆦㆻ</v>
      </c>
      <c r="O31" s="53" t="str">
        <f xml:space="preserve"> IF(十五音音節表!N28&lt;&gt;"", _xlfn.CONCAT(O$4,$E31), "")</f>
        <v>ㄗㄧㆦㆻ</v>
      </c>
      <c r="P31" s="53" t="str">
        <f xml:space="preserve"> IF(十五音音節表!O28&lt;&gt;"", _xlfn.CONCAT(P$4,$E31), "")</f>
        <v>ㆡㄧㆦㆻ</v>
      </c>
      <c r="Q31" s="53" t="str">
        <f xml:space="preserve"> IF(十五音音節表!P28&lt;&gt;"", _xlfn.CONCAT(Q$4,$E31), "")</f>
        <v>ㄙㄧㆦㆻ</v>
      </c>
      <c r="R31" s="53" t="str">
        <f xml:space="preserve"> IF(十五音音節表!Q28&lt;&gt;"", _xlfn.CONCAT(R$4,$E31), "")</f>
        <v>ㄧㆦㆻ</v>
      </c>
      <c r="S31" s="53" t="str">
        <f xml:space="preserve"> IF(十五音音節表!R28&lt;&gt;"", _xlfn.CONCAT(S$4,$E31), "")</f>
        <v/>
      </c>
      <c r="T31" s="53" t="str">
        <f xml:space="preserve"> IF(十五音音節表!S28&lt;&gt;"", _xlfn.CONCAT(T$4,$E31), "")</f>
        <v/>
      </c>
      <c r="U31" s="53" t="str">
        <f xml:space="preserve"> IF(十五音音節表!T28&lt;&gt;"", _xlfn.CONCAT(U$4,$E31), "")</f>
        <v>ㆣㄧㆦㆻ</v>
      </c>
      <c r="V31" s="53" t="str">
        <f xml:space="preserve"> IF(十五音音節表!U28&lt;&gt;"", _xlfn.CONCAT(V$4,$E31), "")</f>
        <v/>
      </c>
      <c r="W31" s="53" t="str">
        <f xml:space="preserve"> IF(十五音音節表!V28&lt;&gt;"", _xlfn.CONCAT(W$4,$E31), "")</f>
        <v>ㄘㄧㆦㆻ</v>
      </c>
      <c r="X31" s="53" t="str">
        <f xml:space="preserve"> IF(十五音音節表!W28&lt;&gt;"", _xlfn.CONCAT(X$4,$E31), "")</f>
        <v>ㄏㄧㆦㆻ</v>
      </c>
      <c r="Y31" s="135" t="s">
        <v>1121</v>
      </c>
      <c r="Z31" s="50" t="s">
        <v>186</v>
      </c>
      <c r="AA31" s="50" t="s">
        <v>89</v>
      </c>
    </row>
    <row r="32" spans="2:27">
      <c r="B32" s="132" cm="1">
        <f t="array" ref="B32" xml:space="preserve"> INDEX(韻母表[韻序], MATCH(TRUE, EXACT($F32, 韻母表[十五音]), 0))</f>
        <v>15</v>
      </c>
      <c r="C32" s="50" t="str" cm="1">
        <f t="array" ref="C32" xml:space="preserve"> IF( INDEX(韻母表[國際音標2], MATCH(TRUE, EXACT($F32, 韻母表[十五音]), 0))&lt;&gt;"",  INDEX(韻母表[國際音標2], MATCH(TRUE, EXACT($F32, 韻母表[十五音]), 0)),  INDEX(韻母表[國際音標], MATCH(TRUE, EXACT($F32, 韻母表[十五音]), 0)))</f>
        <v>ə</v>
      </c>
      <c r="D32" s="50" t="str" cm="1">
        <f t="array" ref="D32" xml:space="preserve"> INDEX(韻母表[台羅拼音], MATCH(TRUE, EXACT($F32, 韻母表[十五音]), 0))</f>
        <v>o</v>
      </c>
      <c r="E32" s="135" t="str" cm="1">
        <f t="array" ref="E32" xml:space="preserve"> INDEX(韻母表[方音符號], MATCH(TRUE, EXACT($F32, 韻母表[十五音]), 0))</f>
        <v>ㄜ</v>
      </c>
      <c r="F32" s="50" t="s">
        <v>90</v>
      </c>
      <c r="G32" s="53" t="str">
        <f xml:space="preserve"> IF(十五音音節表!F29&lt;&gt;"", _xlfn.CONCAT(G$4,$E32), "")</f>
        <v>ㄌㄜ</v>
      </c>
      <c r="H32" s="53" t="str">
        <f xml:space="preserve"> IF(十五音音節表!G29&lt;&gt;"", _xlfn.CONCAT(H$4,$E32), "")</f>
        <v/>
      </c>
      <c r="I32" s="53" t="str">
        <f xml:space="preserve"> IF(十五音音節表!H29&lt;&gt;"", _xlfn.CONCAT(I$4,$E32), "")</f>
        <v>ㄅㄜ</v>
      </c>
      <c r="J32" s="53" t="str">
        <f xml:space="preserve"> IF(十五音音節表!I29&lt;&gt;"", _xlfn.CONCAT(J$4,$E32), "")</f>
        <v>ㄍㄜ</v>
      </c>
      <c r="K32" s="53" t="str">
        <f xml:space="preserve"> IF(十五音音節表!J29&lt;&gt;"", _xlfn.CONCAT(K$4,$E32), "")</f>
        <v>ㄎㄜ</v>
      </c>
      <c r="L32" s="53" t="str">
        <f xml:space="preserve"> IF(十五音音節表!K29&lt;&gt;"", _xlfn.CONCAT(L$4,$E32), "")</f>
        <v>ㄉㄜ</v>
      </c>
      <c r="M32" s="53" t="str">
        <f xml:space="preserve"> IF(十五音音節表!L29&lt;&gt;"", _xlfn.CONCAT(M$4,$E32), "")</f>
        <v>ㄆㄜ</v>
      </c>
      <c r="N32" s="53" t="str">
        <f xml:space="preserve"> IF(十五音音節表!M29&lt;&gt;"", _xlfn.CONCAT(N$4,$E32), "")</f>
        <v>ㄊㄜ</v>
      </c>
      <c r="O32" s="53" t="str">
        <f xml:space="preserve"> IF(十五音音節表!N29&lt;&gt;"", _xlfn.CONCAT(O$4,$E32), "")</f>
        <v>ㄗㄜ</v>
      </c>
      <c r="P32" s="53" t="str">
        <f xml:space="preserve"> IF(十五音音節表!O29&lt;&gt;"", _xlfn.CONCAT(P$4,$E32), "")</f>
        <v/>
      </c>
      <c r="Q32" s="53" t="str">
        <f xml:space="preserve"> IF(十五音音節表!P29&lt;&gt;"", _xlfn.CONCAT(Q$4,$E32), "")</f>
        <v>ㄙㄜ</v>
      </c>
      <c r="R32" s="53" t="str">
        <f xml:space="preserve"> IF(十五音音節表!Q29&lt;&gt;"", _xlfn.CONCAT(R$4,$E32), "")</f>
        <v>ㄜ</v>
      </c>
      <c r="S32" s="53" t="str">
        <f xml:space="preserve"> IF(十五音音節表!R29&lt;&gt;"", _xlfn.CONCAT(S$4,$E32), "")</f>
        <v>ㆠㄜ</v>
      </c>
      <c r="T32" s="53" t="str">
        <f xml:space="preserve"> IF(十五音音節表!S29&lt;&gt;"", _xlfn.CONCAT(T$4,$E32), "")</f>
        <v/>
      </c>
      <c r="U32" s="53" t="str">
        <f xml:space="preserve"> IF(十五音音節表!T29&lt;&gt;"", _xlfn.CONCAT(U$4,$E32), "")</f>
        <v>ㆣㄜ</v>
      </c>
      <c r="V32" s="53" t="str">
        <f xml:space="preserve"> IF(十五音音節表!U29&lt;&gt;"", _xlfn.CONCAT(V$4,$E32), "")</f>
        <v/>
      </c>
      <c r="W32" s="53" t="str">
        <f xml:space="preserve"> IF(十五音音節表!V29&lt;&gt;"", _xlfn.CONCAT(W$4,$E32), "")</f>
        <v>ㄘㄜ</v>
      </c>
      <c r="X32" s="53" t="str">
        <f xml:space="preserve"> IF(十五音音節表!W29&lt;&gt;"", _xlfn.CONCAT(X$4,$E32), "")</f>
        <v>ㄏㄜ</v>
      </c>
      <c r="Y32" s="135" t="s">
        <v>1125</v>
      </c>
      <c r="Z32" s="50" t="s">
        <v>187</v>
      </c>
      <c r="AA32" s="50" t="s">
        <v>90</v>
      </c>
    </row>
    <row r="33" spans="2:27" outlineLevel="1">
      <c r="B33" s="132" cm="1">
        <f t="array" ref="B33" xml:space="preserve"> INDEX(韻母表[韻序], MATCH(TRUE, EXACT($F33, 韻母表[十五音]), 0))</f>
        <v>15</v>
      </c>
      <c r="C33" s="50" t="str" cm="1">
        <f t="array" ref="C33" xml:space="preserve"> IF( INDEX(韻母表[國際音標2], MATCH(TRUE, EXACT($F33, 韻母表[十五音]), 0))&lt;&gt;"",  INDEX(韻母表[國際音標2], MATCH(TRUE, EXACT($F33, 韻母表[十五音]), 0)),  INDEX(韻母表[國際音標], MATCH(TRUE, EXACT($F33, 韻母表[十五音]), 0)))</f>
        <v>əʔ</v>
      </c>
      <c r="D33" s="50" t="str" cm="1">
        <f t="array" ref="D33" xml:space="preserve"> INDEX(韻母表[台羅拼音], MATCH(TRUE, EXACT($F33, 韻母表[十五音]), 0))</f>
        <v>oh</v>
      </c>
      <c r="E33" s="135" t="str" cm="1">
        <f t="array" ref="E33" xml:space="preserve"> INDEX(韻母表[方音符號], MATCH(TRUE, EXACT($F33, 韻母表[十五音]), 0))</f>
        <v>ㄜㆷ</v>
      </c>
      <c r="F33" s="50" t="s">
        <v>91</v>
      </c>
      <c r="G33" s="53" t="str">
        <f xml:space="preserve"> IF(十五音音節表!F30&lt;&gt;"", _xlfn.CONCAT(G$4,$E33), "")</f>
        <v>ㄌㄜㆷ</v>
      </c>
      <c r="H33" s="53" t="str">
        <f xml:space="preserve"> IF(十五音音節表!G30&lt;&gt;"", _xlfn.CONCAT(H$4,$E33), "")</f>
        <v/>
      </c>
      <c r="I33" s="53" t="str">
        <f xml:space="preserve"> IF(十五音音節表!H30&lt;&gt;"", _xlfn.CONCAT(I$4,$E33), "")</f>
        <v>ㄅㄜㆷ</v>
      </c>
      <c r="J33" s="53" t="str">
        <f xml:space="preserve"> IF(十五音音節表!I30&lt;&gt;"", _xlfn.CONCAT(J$4,$E33), "")</f>
        <v>ㄍㄜㆷ</v>
      </c>
      <c r="K33" s="53" t="str">
        <f xml:space="preserve"> IF(十五音音節表!J30&lt;&gt;"", _xlfn.CONCAT(K$4,$E33), "")</f>
        <v/>
      </c>
      <c r="L33" s="53" t="str">
        <f xml:space="preserve"> IF(十五音音節表!K30&lt;&gt;"", _xlfn.CONCAT(L$4,$E33), "")</f>
        <v>ㄉㄜㆷ</v>
      </c>
      <c r="M33" s="53" t="str">
        <f xml:space="preserve"> IF(十五音音節表!L30&lt;&gt;"", _xlfn.CONCAT(M$4,$E33), "")</f>
        <v>ㄆㄜㆷ</v>
      </c>
      <c r="N33" s="53" t="str">
        <f xml:space="preserve"> IF(十五音音節表!M30&lt;&gt;"", _xlfn.CONCAT(N$4,$E33), "")</f>
        <v>ㄊㄜㆷ</v>
      </c>
      <c r="O33" s="53" t="str">
        <f xml:space="preserve"> IF(十五音音節表!N30&lt;&gt;"", _xlfn.CONCAT(O$4,$E33), "")</f>
        <v>ㄗㄜㆷ</v>
      </c>
      <c r="P33" s="53" t="str">
        <f xml:space="preserve"> IF(十五音音節表!O30&lt;&gt;"", _xlfn.CONCAT(P$4,$E33), "")</f>
        <v/>
      </c>
      <c r="Q33" s="53" t="str">
        <f xml:space="preserve"> IF(十五音音節表!P30&lt;&gt;"", _xlfn.CONCAT(Q$4,$E33), "")</f>
        <v>ㄙㄜㆷ</v>
      </c>
      <c r="R33" s="53" t="str">
        <f xml:space="preserve"> IF(十五音音節表!Q30&lt;&gt;"", _xlfn.CONCAT(R$4,$E33), "")</f>
        <v>ㄜㆷ</v>
      </c>
      <c r="S33" s="53" t="str">
        <f xml:space="preserve"> IF(十五音音節表!R30&lt;&gt;"", _xlfn.CONCAT(S$4,$E33), "")</f>
        <v/>
      </c>
      <c r="T33" s="53" t="str">
        <f xml:space="preserve"> IF(十五音音節表!S30&lt;&gt;"", _xlfn.CONCAT(T$4,$E33), "")</f>
        <v/>
      </c>
      <c r="U33" s="53" t="str">
        <f xml:space="preserve"> IF(十五音音節表!T30&lt;&gt;"", _xlfn.CONCAT(U$4,$E33), "")</f>
        <v/>
      </c>
      <c r="V33" s="53" t="str">
        <f xml:space="preserve"> IF(十五音音節表!U30&lt;&gt;"", _xlfn.CONCAT(V$4,$E33), "")</f>
        <v/>
      </c>
      <c r="W33" s="53" t="str">
        <f xml:space="preserve"> IF(十五音音節表!V30&lt;&gt;"", _xlfn.CONCAT(W$4,$E33), "")</f>
        <v>ㄘㄜㆷ</v>
      </c>
      <c r="X33" s="53" t="str">
        <f xml:space="preserve"> IF(十五音音節表!W30&lt;&gt;"", _xlfn.CONCAT(X$4,$E33), "")</f>
        <v>ㄏㄜㆷ</v>
      </c>
      <c r="Y33" s="135" t="s">
        <v>1128</v>
      </c>
      <c r="Z33" s="50" t="s">
        <v>188</v>
      </c>
      <c r="AA33" s="50" t="s">
        <v>91</v>
      </c>
    </row>
    <row r="34" spans="2:27">
      <c r="B34" s="132" cm="1">
        <f t="array" ref="B34" xml:space="preserve"> INDEX(韻母表[韻序], MATCH(TRUE, EXACT($F34, 韻母表[十五音]), 0))</f>
        <v>16</v>
      </c>
      <c r="C34" s="50" t="str" cm="1">
        <f t="array" ref="C34" xml:space="preserve"> IF( INDEX(韻母表[國際音標2], MATCH(TRUE, EXACT($F34, 韻母表[十五音]), 0))&lt;&gt;"",  INDEX(韻母表[國際音標2], MATCH(TRUE, EXACT($F34, 韻母表[十五音]), 0)),  INDEX(韻母表[國際音標], MATCH(TRUE, EXACT($F34, 韻母表[十五音]), 0)))</f>
        <v>aɪ</v>
      </c>
      <c r="D34" s="50" t="str" cm="1">
        <f t="array" ref="D34" xml:space="preserve"> INDEX(韻母表[台羅拼音], MATCH(TRUE, EXACT($F34, 韻母表[十五音]), 0))</f>
        <v>ai</v>
      </c>
      <c r="E34" s="135" t="str" cm="1">
        <f t="array" ref="E34" xml:space="preserve"> INDEX(韻母表[方音符號], MATCH(TRUE, EXACT($F34, 韻母表[十五音]), 0))</f>
        <v>ㄞ</v>
      </c>
      <c r="F34" s="50" t="s">
        <v>92</v>
      </c>
      <c r="G34" s="53" t="str">
        <f xml:space="preserve"> IF(十五音音節表!F31&lt;&gt;"", _xlfn.CONCAT(G$4,$E34), "")</f>
        <v>ㄌㄞ</v>
      </c>
      <c r="H34" s="53" t="str">
        <f xml:space="preserve"> IF(十五音音節表!G31&lt;&gt;"", _xlfn.CONCAT(H$4,$E34), "")</f>
        <v>ㄋㄞ</v>
      </c>
      <c r="I34" s="53" t="str">
        <f xml:space="preserve"> IF(十五音音節表!H31&lt;&gt;"", _xlfn.CONCAT(I$4,$E34), "")</f>
        <v>ㄅㄞ</v>
      </c>
      <c r="J34" s="53" t="str">
        <f xml:space="preserve"> IF(十五音音節表!I31&lt;&gt;"", _xlfn.CONCAT(J$4,$E34), "")</f>
        <v>ㄍㄞ</v>
      </c>
      <c r="K34" s="53" t="str">
        <f xml:space="preserve"> IF(十五音音節表!J31&lt;&gt;"", _xlfn.CONCAT(K$4,$E34), "")</f>
        <v>ㄎㄞ</v>
      </c>
      <c r="L34" s="53" t="str">
        <f xml:space="preserve"> IF(十五音音節表!K31&lt;&gt;"", _xlfn.CONCAT(L$4,$E34), "")</f>
        <v>ㄉㄞ</v>
      </c>
      <c r="M34" s="53" t="str">
        <f xml:space="preserve"> IF(十五音音節表!L31&lt;&gt;"", _xlfn.CONCAT(M$4,$E34), "")</f>
        <v>ㄆㄞ</v>
      </c>
      <c r="N34" s="53" t="str">
        <f xml:space="preserve"> IF(十五音音節表!M31&lt;&gt;"", _xlfn.CONCAT(N$4,$E34), "")</f>
        <v>ㄊㄞ</v>
      </c>
      <c r="O34" s="53" t="str">
        <f xml:space="preserve"> IF(十五音音節表!N31&lt;&gt;"", _xlfn.CONCAT(O$4,$E34), "")</f>
        <v>ㄗㄞ</v>
      </c>
      <c r="P34" s="53" t="str">
        <f xml:space="preserve"> IF(十五音音節表!O31&lt;&gt;"", _xlfn.CONCAT(P$4,$E34), "")</f>
        <v/>
      </c>
      <c r="Q34" s="53" t="str">
        <f xml:space="preserve"> IF(十五音音節表!P31&lt;&gt;"", _xlfn.CONCAT(Q$4,$E34), "")</f>
        <v>ㄙㄞ</v>
      </c>
      <c r="R34" s="53" t="str">
        <f xml:space="preserve"> IF(十五音音節表!Q31&lt;&gt;"", _xlfn.CONCAT(R$4,$E34), "")</f>
        <v>ㄞ</v>
      </c>
      <c r="S34" s="53" t="str">
        <f xml:space="preserve"> IF(十五音音節表!R31&lt;&gt;"", _xlfn.CONCAT(S$4,$E34), "")</f>
        <v>ㆠㄞ</v>
      </c>
      <c r="T34" s="53" t="str">
        <f xml:space="preserve"> IF(十五音音節表!S31&lt;&gt;"", _xlfn.CONCAT(T$4,$E34), "")</f>
        <v>ㄇㄞ</v>
      </c>
      <c r="U34" s="53" t="str">
        <f xml:space="preserve"> IF(十五音音節表!T31&lt;&gt;"", _xlfn.CONCAT(U$4,$E34), "")</f>
        <v>ㆣㄞ</v>
      </c>
      <c r="V34" s="53" t="str">
        <f xml:space="preserve"> IF(十五音音節表!U31&lt;&gt;"", _xlfn.CONCAT(V$4,$E34), "")</f>
        <v>ㄫㄞ</v>
      </c>
      <c r="W34" s="53" t="str">
        <f xml:space="preserve"> IF(十五音音節表!V31&lt;&gt;"", _xlfn.CONCAT(W$4,$E34), "")</f>
        <v>ㄘㄞ</v>
      </c>
      <c r="X34" s="53" t="str">
        <f xml:space="preserve"> IF(十五音音節表!W31&lt;&gt;"", _xlfn.CONCAT(X$4,$E34), "")</f>
        <v>ㄏㄞ</v>
      </c>
      <c r="Y34" s="135" t="s">
        <v>1130</v>
      </c>
      <c r="Z34" s="50" t="s">
        <v>189</v>
      </c>
      <c r="AA34" s="50" t="s">
        <v>92</v>
      </c>
    </row>
    <row r="35" spans="2:27">
      <c r="B35" s="132" cm="1">
        <f t="array" ref="B35" xml:space="preserve"> INDEX(韻母表[韻序], MATCH(TRUE, EXACT($F35, 韻母表[十五音]), 0))</f>
        <v>17</v>
      </c>
      <c r="C35" s="50" t="str" cm="1">
        <f t="array" ref="C35" xml:space="preserve"> IF( INDEX(韻母表[國際音標2], MATCH(TRUE, EXACT($F35, 韻母表[十五音]), 0))&lt;&gt;"",  INDEX(韻母表[國際音標2], MATCH(TRUE, EXACT($F35, 韻母表[十五音]), 0)),  INDEX(韻母表[國際音標], MATCH(TRUE, EXACT($F35, 韻母表[十五音]), 0)))</f>
        <v>in</v>
      </c>
      <c r="D35" s="50" t="str" cm="1">
        <f t="array" ref="D35" xml:space="preserve"> INDEX(韻母表[台羅拼音], MATCH(TRUE, EXACT($F35, 韻母表[十五音]), 0))</f>
        <v>in</v>
      </c>
      <c r="E35" s="135" t="str" cm="1">
        <f t="array" ref="E35" xml:space="preserve"> INDEX(韻母表[方音符號], MATCH(TRUE, EXACT($F35, 韻母表[十五音]), 0))</f>
        <v>ㄧㄣ</v>
      </c>
      <c r="F35" s="50" t="s">
        <v>94</v>
      </c>
      <c r="G35" s="53" t="str">
        <f xml:space="preserve"> IF(十五音音節表!F32&lt;&gt;"", _xlfn.CONCAT(G$4,$E35), "")</f>
        <v>ㄌㄧㄣ</v>
      </c>
      <c r="H35" s="53" t="str">
        <f xml:space="preserve"> IF(十五音音節表!G32&lt;&gt;"", _xlfn.CONCAT(H$4,$E35), "")</f>
        <v/>
      </c>
      <c r="I35" s="53" t="str">
        <f xml:space="preserve"> IF(十五音音節表!H32&lt;&gt;"", _xlfn.CONCAT(I$4,$E35), "")</f>
        <v>ㄅㄧㄣ</v>
      </c>
      <c r="J35" s="53" t="str">
        <f xml:space="preserve"> IF(十五音音節表!I32&lt;&gt;"", _xlfn.CONCAT(J$4,$E35), "")</f>
        <v>ㄍㄧㄣ</v>
      </c>
      <c r="K35" s="53" t="str">
        <f xml:space="preserve"> IF(十五音音節表!J32&lt;&gt;"", _xlfn.CONCAT(K$4,$E35), "")</f>
        <v>ㄎㄧㄣ</v>
      </c>
      <c r="L35" s="53" t="str">
        <f xml:space="preserve"> IF(十五音音節表!K32&lt;&gt;"", _xlfn.CONCAT(L$4,$E35), "")</f>
        <v>ㄉㄧㄣ</v>
      </c>
      <c r="M35" s="53" t="str">
        <f xml:space="preserve"> IF(十五音音節表!L32&lt;&gt;"", _xlfn.CONCAT(M$4,$E35), "")</f>
        <v>ㄆㄧㄣ</v>
      </c>
      <c r="N35" s="53" t="str">
        <f xml:space="preserve"> IF(十五音音節表!M32&lt;&gt;"", _xlfn.CONCAT(N$4,$E35), "")</f>
        <v>ㄊㄧㄣ</v>
      </c>
      <c r="O35" s="53" t="str">
        <f xml:space="preserve"> IF(十五音音節表!N32&lt;&gt;"", _xlfn.CONCAT(O$4,$E35), "")</f>
        <v>ㄗㄧㄣ</v>
      </c>
      <c r="P35" s="53" t="str">
        <f xml:space="preserve"> IF(十五音音節表!O32&lt;&gt;"", _xlfn.CONCAT(P$4,$E35), "")</f>
        <v>ㆡㄧㄣ</v>
      </c>
      <c r="Q35" s="53" t="str">
        <f xml:space="preserve"> IF(十五音音節表!P32&lt;&gt;"", _xlfn.CONCAT(Q$4,$E35), "")</f>
        <v>ㄙㄧㄣ</v>
      </c>
      <c r="R35" s="53" t="str">
        <f xml:space="preserve"> IF(十五音音節表!Q32&lt;&gt;"", _xlfn.CONCAT(R$4,$E35), "")</f>
        <v>ㄧㄣ</v>
      </c>
      <c r="S35" s="53" t="str">
        <f xml:space="preserve"> IF(十五音音節表!R32&lt;&gt;"", _xlfn.CONCAT(S$4,$E35), "")</f>
        <v>ㆠㄧㄣ</v>
      </c>
      <c r="T35" s="53" t="str">
        <f xml:space="preserve"> IF(十五音音節表!S32&lt;&gt;"", _xlfn.CONCAT(T$4,$E35), "")</f>
        <v/>
      </c>
      <c r="U35" s="53" t="str">
        <f xml:space="preserve"> IF(十五音音節表!T32&lt;&gt;"", _xlfn.CONCAT(U$4,$E35), "")</f>
        <v>ㆣㄧㄣ</v>
      </c>
      <c r="V35" s="53" t="str">
        <f xml:space="preserve"> IF(十五音音節表!U32&lt;&gt;"", _xlfn.CONCAT(V$4,$E35), "")</f>
        <v/>
      </c>
      <c r="W35" s="53" t="str">
        <f xml:space="preserve"> IF(十五音音節表!V32&lt;&gt;"", _xlfn.CONCAT(W$4,$E35), "")</f>
        <v>ㄘㄧㄣ</v>
      </c>
      <c r="X35" s="53" t="str">
        <f xml:space="preserve"> IF(十五音音節表!W32&lt;&gt;"", _xlfn.CONCAT(X$4,$E35), "")</f>
        <v>ㄏㄧㄣ</v>
      </c>
      <c r="Y35" s="135" t="s">
        <v>1131</v>
      </c>
      <c r="Z35" s="50" t="s">
        <v>190</v>
      </c>
      <c r="AA35" s="50" t="s">
        <v>94</v>
      </c>
    </row>
    <row r="36" spans="2:27" outlineLevel="1">
      <c r="B36" s="132" cm="1">
        <f t="array" ref="B36" xml:space="preserve"> INDEX(韻母表[韻序], MATCH(TRUE, EXACT($F36, 韻母表[十五音]), 0))</f>
        <v>17</v>
      </c>
      <c r="C36" s="50" t="str" cm="1">
        <f t="array" ref="C36" xml:space="preserve"> IF( INDEX(韻母表[國際音標2], MATCH(TRUE, EXACT($F36, 韻母表[十五音]), 0))&lt;&gt;"",  INDEX(韻母表[國際音標2], MATCH(TRUE, EXACT($F36, 韻母表[十五音]), 0)),  INDEX(韻母表[國際音標], MATCH(TRUE, EXACT($F36, 韻母表[十五音]), 0)))</f>
        <v>it̚</v>
      </c>
      <c r="D36" s="50" t="str" cm="1">
        <f t="array" ref="D36" xml:space="preserve"> INDEX(韻母表[台羅拼音], MATCH(TRUE, EXACT($F36, 韻母表[十五音]), 0))</f>
        <v>it</v>
      </c>
      <c r="E36" s="135" t="str" cm="1">
        <f t="array" ref="E36" xml:space="preserve"> INDEX(韻母表[方音符號], MATCH(TRUE, EXACT($F36, 韻母表[十五音]), 0))</f>
        <v>ㄧㆵ</v>
      </c>
      <c r="F36" s="50" t="s">
        <v>95</v>
      </c>
      <c r="G36" s="53" t="str">
        <f xml:space="preserve"> IF(十五音音節表!F33&lt;&gt;"", _xlfn.CONCAT(G$4,$E36), "")</f>
        <v/>
      </c>
      <c r="H36" s="53" t="str">
        <f xml:space="preserve"> IF(十五音音節表!G33&lt;&gt;"", _xlfn.CONCAT(H$4,$E36), "")</f>
        <v/>
      </c>
      <c r="I36" s="53" t="str">
        <f xml:space="preserve"> IF(十五音音節表!H33&lt;&gt;"", _xlfn.CONCAT(I$4,$E36), "")</f>
        <v>ㄅㄧㆵ</v>
      </c>
      <c r="J36" s="53" t="str">
        <f xml:space="preserve"> IF(十五音音節表!I33&lt;&gt;"", _xlfn.CONCAT(J$4,$E36), "")</f>
        <v>ㄍㄧㆵ</v>
      </c>
      <c r="K36" s="53" t="str">
        <f xml:space="preserve"> IF(十五音音節表!J33&lt;&gt;"", _xlfn.CONCAT(K$4,$E36), "")</f>
        <v>ㄎㄧㆵ</v>
      </c>
      <c r="L36" s="53" t="str">
        <f xml:space="preserve"> IF(十五音音節表!K33&lt;&gt;"", _xlfn.CONCAT(L$4,$E36), "")</f>
        <v>ㄉㄧㆵ</v>
      </c>
      <c r="M36" s="53" t="str">
        <f xml:space="preserve"> IF(十五音音節表!L33&lt;&gt;"", _xlfn.CONCAT(M$4,$E36), "")</f>
        <v>ㄆㄧㆵ</v>
      </c>
      <c r="N36" s="53" t="str">
        <f xml:space="preserve"> IF(十五音音節表!M33&lt;&gt;"", _xlfn.CONCAT(N$4,$E36), "")</f>
        <v/>
      </c>
      <c r="O36" s="53" t="str">
        <f xml:space="preserve"> IF(十五音音節表!N33&lt;&gt;"", _xlfn.CONCAT(O$4,$E36), "")</f>
        <v>ㄗㄧㆵ</v>
      </c>
      <c r="P36" s="53" t="str">
        <f xml:space="preserve"> IF(十五音音節表!O33&lt;&gt;"", _xlfn.CONCAT(P$4,$E36), "")</f>
        <v>ㆡㄧㆵ</v>
      </c>
      <c r="Q36" s="53" t="str">
        <f xml:space="preserve"> IF(十五音音節表!P33&lt;&gt;"", _xlfn.CONCAT(Q$4,$E36), "")</f>
        <v>ㄙㄧㆵ</v>
      </c>
      <c r="R36" s="53" t="str">
        <f xml:space="preserve"> IF(十五音音節表!Q33&lt;&gt;"", _xlfn.CONCAT(R$4,$E36), "")</f>
        <v>ㄧㆵ</v>
      </c>
      <c r="S36" s="53" t="str">
        <f xml:space="preserve"> IF(十五音音節表!R33&lt;&gt;"", _xlfn.CONCAT(S$4,$E36), "")</f>
        <v>ㆠㄧㆵ</v>
      </c>
      <c r="T36" s="53" t="str">
        <f xml:space="preserve"> IF(十五音音節表!S33&lt;&gt;"", _xlfn.CONCAT(T$4,$E36), "")</f>
        <v/>
      </c>
      <c r="U36" s="53" t="str">
        <f xml:space="preserve"> IF(十五音音節表!T33&lt;&gt;"", _xlfn.CONCAT(U$4,$E36), "")</f>
        <v/>
      </c>
      <c r="V36" s="53" t="str">
        <f xml:space="preserve"> IF(十五音音節表!U33&lt;&gt;"", _xlfn.CONCAT(V$4,$E36), "")</f>
        <v/>
      </c>
      <c r="W36" s="53" t="str">
        <f xml:space="preserve"> IF(十五音音節表!V33&lt;&gt;"", _xlfn.CONCAT(W$4,$E36), "")</f>
        <v>ㄘㄧㆵ</v>
      </c>
      <c r="X36" s="53" t="str">
        <f xml:space="preserve"> IF(十五音音節表!W33&lt;&gt;"", _xlfn.CONCAT(X$4,$E36), "")</f>
        <v>ㄏㄧㆵ</v>
      </c>
      <c r="Y36" s="135" t="s">
        <v>1133</v>
      </c>
      <c r="Z36" s="50" t="s">
        <v>191</v>
      </c>
      <c r="AA36" s="50" t="s">
        <v>95</v>
      </c>
    </row>
    <row r="37" spans="2:27">
      <c r="B37" s="132" cm="1">
        <f t="array" ref="B37" xml:space="preserve"> INDEX(韻母表[韻序], MATCH(TRUE, EXACT($F37, 韻母表[十五音]), 0))</f>
        <v>18</v>
      </c>
      <c r="C37" s="50" t="str" cm="1">
        <f t="array" ref="C37" xml:space="preserve"> IF( INDEX(韻母表[國際音標2], MATCH(TRUE, EXACT($F37, 韻母表[十五音]), 0))&lt;&gt;"",  INDEX(韻母表[國際音標2], MATCH(TRUE, EXACT($F37, 韻母表[十五音]), 0)),  INDEX(韻母表[國際音標], MATCH(TRUE, EXACT($F37, 韻母表[十五音]), 0)))</f>
        <v>ɪaŋ</v>
      </c>
      <c r="D37" s="50" t="str" cm="1">
        <f t="array" ref="D37" xml:space="preserve"> INDEX(韻母表[台羅拼音], MATCH(TRUE, EXACT($F37, 韻母表[十五音]), 0))</f>
        <v>iang</v>
      </c>
      <c r="E37" s="135" t="str" cm="1">
        <f t="array" ref="E37" xml:space="preserve"> INDEX(韻母表[方音符號], MATCH(TRUE, EXACT($F37, 韻母表[十五音]), 0))</f>
        <v>ㄧㄤ</v>
      </c>
      <c r="F37" s="50" t="s">
        <v>96</v>
      </c>
      <c r="G37" s="53" t="str">
        <f xml:space="preserve"> IF(十五音音節表!F34&lt;&gt;"", _xlfn.CONCAT(G$4,$E37), "")</f>
        <v>ㄌㄧㄤ</v>
      </c>
      <c r="H37" s="53" t="str">
        <f xml:space="preserve"> IF(十五音音節表!G34&lt;&gt;"", _xlfn.CONCAT(H$4,$E37), "")</f>
        <v/>
      </c>
      <c r="I37" s="53" t="str">
        <f xml:space="preserve"> IF(十五音音節表!H34&lt;&gt;"", _xlfn.CONCAT(I$4,$E37), "")</f>
        <v>ㄅㄧㄤ</v>
      </c>
      <c r="J37" s="53" t="str">
        <f xml:space="preserve"> IF(十五音音節表!I34&lt;&gt;"", _xlfn.CONCAT(J$4,$E37), "")</f>
        <v/>
      </c>
      <c r="K37" s="53" t="str">
        <f xml:space="preserve"> IF(十五音音節表!J34&lt;&gt;"", _xlfn.CONCAT(K$4,$E37), "")</f>
        <v>ㄎㄧㄤ</v>
      </c>
      <c r="L37" s="53" t="str">
        <f xml:space="preserve"> IF(十五音音節表!K34&lt;&gt;"", _xlfn.CONCAT(L$4,$E37), "")</f>
        <v/>
      </c>
      <c r="M37" s="53" t="str">
        <f xml:space="preserve"> IF(十五音音節表!L34&lt;&gt;"", _xlfn.CONCAT(M$4,$E37), "")</f>
        <v>ㄆㄧㄤ</v>
      </c>
      <c r="N37" s="53" t="str">
        <f xml:space="preserve"> IF(十五音音節表!M34&lt;&gt;"", _xlfn.CONCAT(N$4,$E37), "")</f>
        <v/>
      </c>
      <c r="O37" s="53" t="str">
        <f xml:space="preserve"> IF(十五音音節表!N34&lt;&gt;"", _xlfn.CONCAT(O$4,$E37), "")</f>
        <v>ㄗㄧㄤ</v>
      </c>
      <c r="P37" s="53" t="str">
        <f xml:space="preserve"> IF(十五音音節表!O34&lt;&gt;"", _xlfn.CONCAT(P$4,$E37), "")</f>
        <v>ㆡㄧㄤ</v>
      </c>
      <c r="Q37" s="53" t="str">
        <f xml:space="preserve"> IF(十五音音節表!P34&lt;&gt;"", _xlfn.CONCAT(Q$4,$E37), "")</f>
        <v>ㄙㄧㄤ</v>
      </c>
      <c r="R37" s="53" t="str">
        <f xml:space="preserve"> IF(十五音音節表!Q34&lt;&gt;"", _xlfn.CONCAT(R$4,$E37), "")</f>
        <v>ㄧㄤ</v>
      </c>
      <c r="S37" s="53" t="str">
        <f xml:space="preserve"> IF(十五音音節表!R34&lt;&gt;"", _xlfn.CONCAT(S$4,$E37), "")</f>
        <v/>
      </c>
      <c r="T37" s="53" t="str">
        <f xml:space="preserve"> IF(十五音音節表!S34&lt;&gt;"", _xlfn.CONCAT(T$4,$E37), "")</f>
        <v/>
      </c>
      <c r="U37" s="53" t="str">
        <f xml:space="preserve"> IF(十五音音節表!T34&lt;&gt;"", _xlfn.CONCAT(U$4,$E37), "")</f>
        <v>ㆣㄧㄤ</v>
      </c>
      <c r="V37" s="53" t="str">
        <f xml:space="preserve"> IF(十五音音節表!U34&lt;&gt;"", _xlfn.CONCAT(V$4,$E37), "")</f>
        <v/>
      </c>
      <c r="W37" s="53" t="str">
        <f xml:space="preserve"> IF(十五音音節表!V34&lt;&gt;"", _xlfn.CONCAT(W$4,$E37), "")</f>
        <v>ㄘㄧㄤ</v>
      </c>
      <c r="X37" s="53" t="str">
        <f xml:space="preserve"> IF(十五音音節表!W34&lt;&gt;"", _xlfn.CONCAT(X$4,$E37), "")</f>
        <v>ㄏㄧㄤ</v>
      </c>
      <c r="Y37" s="135" t="s">
        <v>1135</v>
      </c>
      <c r="Z37" s="50" t="s">
        <v>192</v>
      </c>
      <c r="AA37" s="50" t="s">
        <v>96</v>
      </c>
    </row>
    <row r="38" spans="2:27" outlineLevel="1">
      <c r="B38" s="132" cm="1">
        <f t="array" ref="B38" xml:space="preserve"> INDEX(韻母表[韻序], MATCH(TRUE, EXACT($F38, 韻母表[十五音]), 0))</f>
        <v>18</v>
      </c>
      <c r="C38" s="50" t="str" cm="1">
        <f t="array" ref="C38" xml:space="preserve"> IF( INDEX(韻母表[國際音標2], MATCH(TRUE, EXACT($F38, 韻母表[十五音]), 0))&lt;&gt;"",  INDEX(韻母表[國際音標2], MATCH(TRUE, EXACT($F38, 韻母表[十五音]), 0)),  INDEX(韻母表[國際音標], MATCH(TRUE, EXACT($F38, 韻母表[十五音]), 0)))</f>
        <v>ɪak̚</v>
      </c>
      <c r="D38" s="50" t="str" cm="1">
        <f t="array" ref="D38" xml:space="preserve"> INDEX(韻母表[台羅拼音], MATCH(TRUE, EXACT($F38, 韻母表[十五音]), 0))</f>
        <v>iak</v>
      </c>
      <c r="E38" s="135" t="str" cm="1">
        <f t="array" ref="E38" xml:space="preserve"> INDEX(韻母表[方音符號], MATCH(TRUE, EXACT($F38, 韻母表[十五音]), 0))</f>
        <v>ㄧㄚㆻ</v>
      </c>
      <c r="F38" s="50" t="s">
        <v>97</v>
      </c>
      <c r="G38" s="53" t="str">
        <f xml:space="preserve"> IF(十五音音節表!F35&lt;&gt;"", _xlfn.CONCAT(G$4,$E38), "")</f>
        <v/>
      </c>
      <c r="H38" s="53" t="str">
        <f xml:space="preserve"> IF(十五音音節表!G35&lt;&gt;"", _xlfn.CONCAT(H$4,$E38), "")</f>
        <v/>
      </c>
      <c r="I38" s="53" t="str">
        <f xml:space="preserve"> IF(十五音音節表!H35&lt;&gt;"", _xlfn.CONCAT(I$4,$E38), "")</f>
        <v>ㄅㄧㄚㆻ</v>
      </c>
      <c r="J38" s="53" t="str">
        <f xml:space="preserve"> IF(十五音音節表!I35&lt;&gt;"", _xlfn.CONCAT(J$4,$E38), "")</f>
        <v/>
      </c>
      <c r="K38" s="53" t="str">
        <f xml:space="preserve"> IF(十五音音節表!J35&lt;&gt;"", _xlfn.CONCAT(K$4,$E38), "")</f>
        <v>ㄎㄧㄚㆻ</v>
      </c>
      <c r="L38" s="53" t="str">
        <f xml:space="preserve"> IF(十五音音節表!K35&lt;&gt;"", _xlfn.CONCAT(L$4,$E38), "")</f>
        <v>ㄉㄧㄚㆻ</v>
      </c>
      <c r="M38" s="53" t="str">
        <f xml:space="preserve"> IF(十五音音節表!L35&lt;&gt;"", _xlfn.CONCAT(M$4,$E38), "")</f>
        <v>ㄆㄧㄚㆻ</v>
      </c>
      <c r="N38" s="53" t="str">
        <f xml:space="preserve"> IF(十五音音節表!M35&lt;&gt;"", _xlfn.CONCAT(N$4,$E38), "")</f>
        <v/>
      </c>
      <c r="O38" s="53" t="str">
        <f xml:space="preserve"> IF(十五音音節表!N35&lt;&gt;"", _xlfn.CONCAT(O$4,$E38), "")</f>
        <v/>
      </c>
      <c r="P38" s="53" t="str">
        <f xml:space="preserve"> IF(十五音音節表!O35&lt;&gt;"", _xlfn.CONCAT(P$4,$E38), "")</f>
        <v/>
      </c>
      <c r="Q38" s="53" t="str">
        <f xml:space="preserve"> IF(十五音音節表!P35&lt;&gt;"", _xlfn.CONCAT(Q$4,$E38), "")</f>
        <v>ㄙㄧㄚㆻ</v>
      </c>
      <c r="R38" s="53" t="str">
        <f xml:space="preserve"> IF(十五音音節表!Q35&lt;&gt;"", _xlfn.CONCAT(R$4,$E38), "")</f>
        <v/>
      </c>
      <c r="S38" s="53" t="str">
        <f xml:space="preserve"> IF(十五音音節表!R35&lt;&gt;"", _xlfn.CONCAT(S$4,$E38), "")</f>
        <v/>
      </c>
      <c r="T38" s="53" t="str">
        <f xml:space="preserve"> IF(十五音音節表!S35&lt;&gt;"", _xlfn.CONCAT(T$4,$E38), "")</f>
        <v/>
      </c>
      <c r="U38" s="53" t="str">
        <f xml:space="preserve"> IF(十五音音節表!T35&lt;&gt;"", _xlfn.CONCAT(U$4,$E38), "")</f>
        <v/>
      </c>
      <c r="V38" s="53" t="str">
        <f xml:space="preserve"> IF(十五音音節表!U35&lt;&gt;"", _xlfn.CONCAT(V$4,$E38), "")</f>
        <v/>
      </c>
      <c r="W38" s="53" t="str">
        <f xml:space="preserve"> IF(十五音音節表!V35&lt;&gt;"", _xlfn.CONCAT(W$4,$E38), "")</f>
        <v>ㄘㄧㄚㆻ</v>
      </c>
      <c r="X38" s="53" t="str">
        <f xml:space="preserve"> IF(十五音音節表!W35&lt;&gt;"", _xlfn.CONCAT(X$4,$E38), "")</f>
        <v/>
      </c>
      <c r="Y38" s="135" t="s">
        <v>1136</v>
      </c>
      <c r="Z38" s="50" t="s">
        <v>193</v>
      </c>
      <c r="AA38" s="50" t="s">
        <v>97</v>
      </c>
    </row>
    <row r="39" spans="2:27">
      <c r="B39" s="132" cm="1">
        <f t="array" ref="B39" xml:space="preserve"> INDEX(韻母表[韻序], MATCH(TRUE, EXACT($F39, 韻母表[十五音]), 0))</f>
        <v>19</v>
      </c>
      <c r="C39" s="50" t="str" cm="1">
        <f t="array" ref="C39" xml:space="preserve"> IF( INDEX(韻母表[國際音標2], MATCH(TRUE, EXACT($F39, 韻母表[十五音]), 0))&lt;&gt;"",  INDEX(韻母表[國際音標2], MATCH(TRUE, EXACT($F39, 韻母表[十五音]), 0)),  INDEX(韻母表[國際音標], MATCH(TRUE, EXACT($F39, 韻母表[十五音]), 0)))</f>
        <v>am</v>
      </c>
      <c r="D39" s="50" t="str" cm="1">
        <f t="array" ref="D39" xml:space="preserve"> INDEX(韻母表[台羅拼音], MATCH(TRUE, EXACT($F39, 韻母表[十五音]), 0))</f>
        <v>am</v>
      </c>
      <c r="E39" s="135" t="str" cm="1">
        <f t="array" ref="E39" xml:space="preserve"> INDEX(韻母表[方音符號], MATCH(TRUE, EXACT($F39, 韻母表[十五音]), 0))</f>
        <v>ㆰ</v>
      </c>
      <c r="F39" s="50" t="s">
        <v>98</v>
      </c>
      <c r="G39" s="53" t="str">
        <f xml:space="preserve"> IF(十五音音節表!F36&lt;&gt;"", _xlfn.CONCAT(G$4,$E39), "")</f>
        <v>ㄌㆰ</v>
      </c>
      <c r="H39" s="53" t="str">
        <f xml:space="preserve"> IF(十五音音節表!G36&lt;&gt;"", _xlfn.CONCAT(H$4,$E39), "")</f>
        <v/>
      </c>
      <c r="I39" s="53" t="str">
        <f xml:space="preserve"> IF(十五音音節表!H36&lt;&gt;"", _xlfn.CONCAT(I$4,$E39), "")</f>
        <v/>
      </c>
      <c r="J39" s="53" t="str">
        <f xml:space="preserve"> IF(十五音音節表!I36&lt;&gt;"", _xlfn.CONCAT(J$4,$E39), "")</f>
        <v>ㄍㆰ</v>
      </c>
      <c r="K39" s="53" t="str">
        <f xml:space="preserve"> IF(十五音音節表!J36&lt;&gt;"", _xlfn.CONCAT(K$4,$E39), "")</f>
        <v>ㄎㆰ</v>
      </c>
      <c r="L39" s="53" t="str">
        <f xml:space="preserve"> IF(十五音音節表!K36&lt;&gt;"", _xlfn.CONCAT(L$4,$E39), "")</f>
        <v>ㄉㆰ</v>
      </c>
      <c r="M39" s="53" t="str">
        <f xml:space="preserve"> IF(十五音音節表!L36&lt;&gt;"", _xlfn.CONCAT(M$4,$E39), "")</f>
        <v/>
      </c>
      <c r="N39" s="53" t="str">
        <f xml:space="preserve"> IF(十五音音節表!M36&lt;&gt;"", _xlfn.CONCAT(N$4,$E39), "")</f>
        <v>ㄊㆰ</v>
      </c>
      <c r="O39" s="53" t="str">
        <f xml:space="preserve"> IF(十五音音節表!N36&lt;&gt;"", _xlfn.CONCAT(O$4,$E39), "")</f>
        <v>ㄗㆰ</v>
      </c>
      <c r="P39" s="53" t="str">
        <f xml:space="preserve"> IF(十五音音節表!O36&lt;&gt;"", _xlfn.CONCAT(P$4,$E39), "")</f>
        <v/>
      </c>
      <c r="Q39" s="53" t="str">
        <f xml:space="preserve"> IF(十五音音節表!P36&lt;&gt;"", _xlfn.CONCAT(Q$4,$E39), "")</f>
        <v>ㄙㆰ</v>
      </c>
      <c r="R39" s="53" t="str">
        <f xml:space="preserve"> IF(十五音音節表!Q36&lt;&gt;"", _xlfn.CONCAT(R$4,$E39), "")</f>
        <v>ㆰ</v>
      </c>
      <c r="S39" s="53" t="str">
        <f xml:space="preserve"> IF(十五音音節表!R36&lt;&gt;"", _xlfn.CONCAT(S$4,$E39), "")</f>
        <v/>
      </c>
      <c r="T39" s="53" t="str">
        <f xml:space="preserve"> IF(十五音音節表!S36&lt;&gt;"", _xlfn.CONCAT(T$4,$E39), "")</f>
        <v/>
      </c>
      <c r="U39" s="53" t="str">
        <f xml:space="preserve"> IF(十五音音節表!T36&lt;&gt;"", _xlfn.CONCAT(U$4,$E39), "")</f>
        <v>ㆣㆰ</v>
      </c>
      <c r="V39" s="53" t="str">
        <f xml:space="preserve"> IF(十五音音節表!U36&lt;&gt;"", _xlfn.CONCAT(V$4,$E39), "")</f>
        <v/>
      </c>
      <c r="W39" s="53" t="str">
        <f xml:space="preserve"> IF(十五音音節表!V36&lt;&gt;"", _xlfn.CONCAT(W$4,$E39), "")</f>
        <v>ㄘㆰ</v>
      </c>
      <c r="X39" s="53" t="str">
        <f xml:space="preserve"> IF(十五音音節表!W36&lt;&gt;"", _xlfn.CONCAT(X$4,$E39), "")</f>
        <v>ㄏㆰ</v>
      </c>
      <c r="Y39" s="135" t="s">
        <v>1138</v>
      </c>
      <c r="Z39" s="50" t="s">
        <v>194</v>
      </c>
      <c r="AA39" s="50" t="s">
        <v>98</v>
      </c>
    </row>
    <row r="40" spans="2:27" outlineLevel="1">
      <c r="B40" s="132" cm="1">
        <f t="array" ref="B40" xml:space="preserve"> INDEX(韻母表[韻序], MATCH(TRUE, EXACT($F40, 韻母表[十五音]), 0))</f>
        <v>19</v>
      </c>
      <c r="C40" s="50" t="str" cm="1">
        <f t="array" ref="C40" xml:space="preserve"> IF( INDEX(韻母表[國際音標2], MATCH(TRUE, EXACT($F40, 韻母表[十五音]), 0))&lt;&gt;"",  INDEX(韻母表[國際音標2], MATCH(TRUE, EXACT($F40, 韻母表[十五音]), 0)),  INDEX(韻母表[國際音標], MATCH(TRUE, EXACT($F40, 韻母表[十五音]), 0)))</f>
        <v>ap̚</v>
      </c>
      <c r="D40" s="50" t="str" cm="1">
        <f t="array" ref="D40" xml:space="preserve"> INDEX(韻母表[台羅拼音], MATCH(TRUE, EXACT($F40, 韻母表[十五音]), 0))</f>
        <v>ap</v>
      </c>
      <c r="E40" s="135" t="str" cm="1">
        <f t="array" ref="E40" xml:space="preserve"> INDEX(韻母表[方音符號], MATCH(TRUE, EXACT($F40, 韻母表[十五音]), 0))</f>
        <v>ㄚㆴ</v>
      </c>
      <c r="F40" s="50" t="s">
        <v>99</v>
      </c>
      <c r="G40" s="53" t="str">
        <f xml:space="preserve"> IF(十五音音節表!F37&lt;&gt;"", _xlfn.CONCAT(G$4,$E40), "")</f>
        <v>ㄌㄚㆴ</v>
      </c>
      <c r="H40" s="53" t="str">
        <f xml:space="preserve"> IF(十五音音節表!G37&lt;&gt;"", _xlfn.CONCAT(H$4,$E40), "")</f>
        <v/>
      </c>
      <c r="I40" s="53" t="str">
        <f xml:space="preserve"> IF(十五音音節表!H37&lt;&gt;"", _xlfn.CONCAT(I$4,$E40), "")</f>
        <v/>
      </c>
      <c r="J40" s="53" t="str">
        <f xml:space="preserve"> IF(十五音音節表!I37&lt;&gt;"", _xlfn.CONCAT(J$4,$E40), "")</f>
        <v>ㄍㄚㆴ</v>
      </c>
      <c r="K40" s="53" t="str">
        <f xml:space="preserve"> IF(十五音音節表!J37&lt;&gt;"", _xlfn.CONCAT(K$4,$E40), "")</f>
        <v>ㄎㄚㆴ</v>
      </c>
      <c r="L40" s="53" t="str">
        <f xml:space="preserve"> IF(十五音音節表!K37&lt;&gt;"", _xlfn.CONCAT(L$4,$E40), "")</f>
        <v>ㄉㄚㆴ</v>
      </c>
      <c r="M40" s="53" t="str">
        <f xml:space="preserve"> IF(十五音音節表!L37&lt;&gt;"", _xlfn.CONCAT(M$4,$E40), "")</f>
        <v/>
      </c>
      <c r="N40" s="53" t="str">
        <f xml:space="preserve"> IF(十五音音節表!M37&lt;&gt;"", _xlfn.CONCAT(N$4,$E40), "")</f>
        <v>ㄊㄚㆴ</v>
      </c>
      <c r="O40" s="53" t="str">
        <f xml:space="preserve"> IF(十五音音節表!N37&lt;&gt;"", _xlfn.CONCAT(O$4,$E40), "")</f>
        <v>ㄗㄚㆴ</v>
      </c>
      <c r="P40" s="53" t="str">
        <f xml:space="preserve"> IF(十五音音節表!O37&lt;&gt;"", _xlfn.CONCAT(P$4,$E40), "")</f>
        <v/>
      </c>
      <c r="Q40" s="53" t="str">
        <f xml:space="preserve"> IF(十五音音節表!P37&lt;&gt;"", _xlfn.CONCAT(Q$4,$E40), "")</f>
        <v>ㄙㄚㆴ</v>
      </c>
      <c r="R40" s="53" t="str">
        <f xml:space="preserve"> IF(十五音音節表!Q37&lt;&gt;"", _xlfn.CONCAT(R$4,$E40), "")</f>
        <v>ㄚㆴ</v>
      </c>
      <c r="S40" s="53" t="str">
        <f xml:space="preserve"> IF(十五音音節表!R37&lt;&gt;"", _xlfn.CONCAT(S$4,$E40), "")</f>
        <v/>
      </c>
      <c r="T40" s="53" t="str">
        <f xml:space="preserve"> IF(十五音音節表!S37&lt;&gt;"", _xlfn.CONCAT(T$4,$E40), "")</f>
        <v/>
      </c>
      <c r="U40" s="53" t="str">
        <f xml:space="preserve"> IF(十五音音節表!T37&lt;&gt;"", _xlfn.CONCAT(U$4,$E40), "")</f>
        <v/>
      </c>
      <c r="V40" s="53" t="str">
        <f xml:space="preserve"> IF(十五音音節表!U37&lt;&gt;"", _xlfn.CONCAT(V$4,$E40), "")</f>
        <v/>
      </c>
      <c r="W40" s="53" t="str">
        <f xml:space="preserve"> IF(十五音音節表!V37&lt;&gt;"", _xlfn.CONCAT(W$4,$E40), "")</f>
        <v>ㄘㄚㆴ</v>
      </c>
      <c r="X40" s="53" t="str">
        <f xml:space="preserve"> IF(十五音音節表!W37&lt;&gt;"", _xlfn.CONCAT(X$4,$E40), "")</f>
        <v>ㄏㄚㆴ</v>
      </c>
      <c r="Y40" s="135" t="s">
        <v>1141</v>
      </c>
      <c r="Z40" s="50" t="s">
        <v>195</v>
      </c>
      <c r="AA40" s="50" t="s">
        <v>99</v>
      </c>
    </row>
    <row r="41" spans="2:27">
      <c r="B41" s="132" cm="1">
        <f t="array" ref="B41" xml:space="preserve"> INDEX(韻母表[韻序], MATCH(TRUE, EXACT($F41, 韻母表[十五音]), 0))</f>
        <v>20</v>
      </c>
      <c r="C41" s="50" t="str" cm="1">
        <f t="array" ref="C41" xml:space="preserve"> IF( INDEX(韻母表[國際音標2], MATCH(TRUE, EXACT($F41, 韻母表[十五音]), 0))&lt;&gt;"",  INDEX(韻母表[國際音標2], MATCH(TRUE, EXACT($F41, 韻母表[十五音]), 0)),  INDEX(韻母表[國際音標], MATCH(TRUE, EXACT($F41, 韻母表[十五音]), 0)))</f>
        <v>ua</v>
      </c>
      <c r="D41" s="50" t="str" cm="1">
        <f t="array" ref="D41" xml:space="preserve"> INDEX(韻母表[台羅拼音], MATCH(TRUE, EXACT($F41, 韻母表[十五音]), 0))</f>
        <v>ua</v>
      </c>
      <c r="E41" s="135" t="str" cm="1">
        <f t="array" ref="E41" xml:space="preserve"> INDEX(韻母表[方音符號], MATCH(TRUE, EXACT($F41, 韻母表[十五音]), 0))</f>
        <v>ㄨㄚ</v>
      </c>
      <c r="F41" s="50" t="s">
        <v>100</v>
      </c>
      <c r="G41" s="53" t="str">
        <f xml:space="preserve"> IF(十五音音節表!F38&lt;&gt;"", _xlfn.CONCAT(G$4,$E41), "")</f>
        <v>ㄌㄨㄚ</v>
      </c>
      <c r="H41" s="53" t="str">
        <f xml:space="preserve"> IF(十五音音節表!G38&lt;&gt;"", _xlfn.CONCAT(H$4,$E41), "")</f>
        <v>ㄋㄨㄚ</v>
      </c>
      <c r="I41" s="53" t="str">
        <f xml:space="preserve"> IF(十五音音節表!H38&lt;&gt;"", _xlfn.CONCAT(I$4,$E41), "")</f>
        <v>ㄅㄨㄚ</v>
      </c>
      <c r="J41" s="53" t="str">
        <f xml:space="preserve"> IF(十五音音節表!I38&lt;&gt;"", _xlfn.CONCAT(J$4,$E41), "")</f>
        <v>ㄍㄨㄚ</v>
      </c>
      <c r="K41" s="53" t="str">
        <f xml:space="preserve"> IF(十五音音節表!J38&lt;&gt;"", _xlfn.CONCAT(K$4,$E41), "")</f>
        <v>ㄎㄨㄚ</v>
      </c>
      <c r="L41" s="53" t="str">
        <f xml:space="preserve"> IF(十五音音節表!K38&lt;&gt;"", _xlfn.CONCAT(L$4,$E41), "")</f>
        <v>ㄉㄨㄚ</v>
      </c>
      <c r="M41" s="53" t="str">
        <f xml:space="preserve"> IF(十五音音節表!L38&lt;&gt;"", _xlfn.CONCAT(M$4,$E41), "")</f>
        <v>ㄆㄨㄚ</v>
      </c>
      <c r="N41" s="53" t="str">
        <f xml:space="preserve"> IF(十五音音節表!M38&lt;&gt;"", _xlfn.CONCAT(N$4,$E41), "")</f>
        <v>ㄊㄨㄚ</v>
      </c>
      <c r="O41" s="53" t="str">
        <f xml:space="preserve"> IF(十五音音節表!N38&lt;&gt;"", _xlfn.CONCAT(O$4,$E41), "")</f>
        <v>ㄗㄨㄚ</v>
      </c>
      <c r="P41" s="53" t="str">
        <f xml:space="preserve"> IF(十五音音節表!O38&lt;&gt;"", _xlfn.CONCAT(P$4,$E41), "")</f>
        <v/>
      </c>
      <c r="Q41" s="53" t="str">
        <f xml:space="preserve"> IF(十五音音節表!P38&lt;&gt;"", _xlfn.CONCAT(Q$4,$E41), "")</f>
        <v>ㄙㄨㄚ</v>
      </c>
      <c r="R41" s="53" t="str">
        <f xml:space="preserve"> IF(十五音音節表!Q38&lt;&gt;"", _xlfn.CONCAT(R$4,$E41), "")</f>
        <v>ㄨㄚ</v>
      </c>
      <c r="S41" s="53" t="str">
        <f xml:space="preserve"> IF(十五音音節表!R38&lt;&gt;"", _xlfn.CONCAT(S$4,$E41), "")</f>
        <v>ㆠㄨㄚ</v>
      </c>
      <c r="T41" s="53" t="str">
        <f xml:space="preserve"> IF(十五音音節表!S38&lt;&gt;"", _xlfn.CONCAT(T$4,$E41), "")</f>
        <v>ㄇㄨㄚ</v>
      </c>
      <c r="U41" s="53" t="str">
        <f xml:space="preserve"> IF(十五音音節表!T38&lt;&gt;"", _xlfn.CONCAT(U$4,$E41), "")</f>
        <v>ㆣㄨㄚ</v>
      </c>
      <c r="V41" s="53" t="str">
        <f xml:space="preserve"> IF(十五音音節表!U38&lt;&gt;"", _xlfn.CONCAT(V$4,$E41), "")</f>
        <v/>
      </c>
      <c r="W41" s="53" t="str">
        <f xml:space="preserve"> IF(十五音音節表!V38&lt;&gt;"", _xlfn.CONCAT(W$4,$E41), "")</f>
        <v>ㄘㄨㄚ</v>
      </c>
      <c r="X41" s="53" t="str">
        <f xml:space="preserve"> IF(十五音音節表!W38&lt;&gt;"", _xlfn.CONCAT(X$4,$E41), "")</f>
        <v>ㄏㄨㄚ</v>
      </c>
      <c r="Y41" s="135" t="s">
        <v>1144</v>
      </c>
      <c r="Z41" s="50" t="s">
        <v>196</v>
      </c>
      <c r="AA41" s="50" t="s">
        <v>100</v>
      </c>
    </row>
    <row r="42" spans="2:27" outlineLevel="1">
      <c r="B42" s="132" cm="1">
        <f t="array" ref="B42" xml:space="preserve"> INDEX(韻母表[韻序], MATCH(TRUE, EXACT($F42, 韻母表[十五音]), 0))</f>
        <v>20</v>
      </c>
      <c r="C42" s="50" t="str" cm="1">
        <f t="array" ref="C42" xml:space="preserve"> IF( INDEX(韻母表[國際音標2], MATCH(TRUE, EXACT($F42, 韻母表[十五音]), 0))&lt;&gt;"",  INDEX(韻母表[國際音標2], MATCH(TRUE, EXACT($F42, 韻母表[十五音]), 0)),  INDEX(韻母表[國際音標], MATCH(TRUE, EXACT($F42, 韻母表[十五音]), 0)))</f>
        <v>uaʔ</v>
      </c>
      <c r="D42" s="50" t="str" cm="1">
        <f t="array" ref="D42" xml:space="preserve"> INDEX(韻母表[台羅拼音], MATCH(TRUE, EXACT($F42, 韻母表[十五音]), 0))</f>
        <v>uah</v>
      </c>
      <c r="E42" s="135" t="str" cm="1">
        <f t="array" ref="E42" xml:space="preserve"> INDEX(韻母表[方音符號], MATCH(TRUE, EXACT($F42, 韻母表[十五音]), 0))</f>
        <v>ㄨㄚㆷ</v>
      </c>
      <c r="F42" s="50" t="s">
        <v>101</v>
      </c>
      <c r="G42" s="53" t="str">
        <f xml:space="preserve"> IF(十五音音節表!F39&lt;&gt;"", _xlfn.CONCAT(G$4,$E42), "")</f>
        <v>ㄌㄨㄚㆷ</v>
      </c>
      <c r="H42" s="53" t="str">
        <f xml:space="preserve"> IF(十五音音節表!G39&lt;&gt;"", _xlfn.CONCAT(H$4,$E42), "")</f>
        <v/>
      </c>
      <c r="I42" s="53" t="str">
        <f xml:space="preserve"> IF(十五音音節表!H39&lt;&gt;"", _xlfn.CONCAT(I$4,$E42), "")</f>
        <v>ㄅㄨㄚㆷ</v>
      </c>
      <c r="J42" s="53" t="str">
        <f xml:space="preserve"> IF(十五音音節表!I39&lt;&gt;"", _xlfn.CONCAT(J$4,$E42), "")</f>
        <v>ㄍㄨㄚㆷ</v>
      </c>
      <c r="K42" s="53" t="str">
        <f xml:space="preserve"> IF(十五音音節表!J39&lt;&gt;"", _xlfn.CONCAT(K$4,$E42), "")</f>
        <v>ㄎㄨㄚㆷ</v>
      </c>
      <c r="L42" s="53" t="str">
        <f xml:space="preserve"> IF(十五音音節表!K39&lt;&gt;"", _xlfn.CONCAT(L$4,$E42), "")</f>
        <v/>
      </c>
      <c r="M42" s="53" t="str">
        <f xml:space="preserve"> IF(十五音音節表!L39&lt;&gt;"", _xlfn.CONCAT(M$4,$E42), "")</f>
        <v>ㄆㄨㄚㆷ</v>
      </c>
      <c r="N42" s="53" t="str">
        <f xml:space="preserve"> IF(十五音音節表!M39&lt;&gt;"", _xlfn.CONCAT(N$4,$E42), "")</f>
        <v>ㄊㄨㄚㆷ</v>
      </c>
      <c r="O42" s="53" t="str">
        <f xml:space="preserve"> IF(十五音音節表!N39&lt;&gt;"", _xlfn.CONCAT(O$4,$E42), "")</f>
        <v>ㄗㄨㄚㆷ</v>
      </c>
      <c r="P42" s="53" t="str">
        <f xml:space="preserve"> IF(十五音音節表!O39&lt;&gt;"", _xlfn.CONCAT(P$4,$E42), "")</f>
        <v>ㆡㄨㄚㆷ</v>
      </c>
      <c r="Q42" s="53" t="str">
        <f xml:space="preserve"> IF(十五音音節表!P39&lt;&gt;"", _xlfn.CONCAT(Q$4,$E42), "")</f>
        <v>ㄙㄨㄚㆷ</v>
      </c>
      <c r="R42" s="53" t="str">
        <f xml:space="preserve"> IF(十五音音節表!Q39&lt;&gt;"", _xlfn.CONCAT(R$4,$E42), "")</f>
        <v>ㄨㄚㆷ</v>
      </c>
      <c r="S42" s="53" t="str">
        <f xml:space="preserve"> IF(十五音音節表!R39&lt;&gt;"", _xlfn.CONCAT(S$4,$E42), "")</f>
        <v>ㆠㄨㄚㆷ</v>
      </c>
      <c r="T42" s="53" t="str">
        <f xml:space="preserve"> IF(十五音音節表!S39&lt;&gt;"", _xlfn.CONCAT(T$4,$E42), "")</f>
        <v/>
      </c>
      <c r="U42" s="53" t="str">
        <f xml:space="preserve"> IF(十五音音節表!T39&lt;&gt;"", _xlfn.CONCAT(U$4,$E42), "")</f>
        <v/>
      </c>
      <c r="V42" s="53" t="str">
        <f xml:space="preserve"> IF(十五音音節表!U39&lt;&gt;"", _xlfn.CONCAT(V$4,$E42), "")</f>
        <v/>
      </c>
      <c r="W42" s="53" t="str">
        <f xml:space="preserve"> IF(十五音音節表!V39&lt;&gt;"", _xlfn.CONCAT(W$4,$E42), "")</f>
        <v>ㄘㄨㄚㆷ</v>
      </c>
      <c r="X42" s="53" t="str">
        <f xml:space="preserve"> IF(十五音音節表!W39&lt;&gt;"", _xlfn.CONCAT(X$4,$E42), "")</f>
        <v>ㄏㄨㄚㆷ</v>
      </c>
      <c r="Y42" s="135" t="s">
        <v>1147</v>
      </c>
      <c r="Z42" s="50" t="s">
        <v>197</v>
      </c>
      <c r="AA42" s="50" t="s">
        <v>101</v>
      </c>
    </row>
    <row r="43" spans="2:27">
      <c r="B43" s="132" cm="1">
        <f t="array" ref="B43" xml:space="preserve"> INDEX(韻母表[韻序], MATCH(TRUE, EXACT($F43, 韻母表[十五音]), 0))</f>
        <v>21</v>
      </c>
      <c r="C43" s="50" t="str" cm="1">
        <f t="array" ref="C43" xml:space="preserve"> IF( INDEX(韻母表[國際音標2], MATCH(TRUE, EXACT($F43, 韻母表[十五音]), 0))&lt;&gt;"",  INDEX(韻母表[國際音標2], MATCH(TRUE, EXACT($F43, 韻母表[十五音]), 0)),  INDEX(韻母表[國際音標], MATCH(TRUE, EXACT($F43, 韻母表[十五音]), 0)))</f>
        <v>aŋ</v>
      </c>
      <c r="D43" s="50" t="str" cm="1">
        <f t="array" ref="D43" xml:space="preserve"> INDEX(韻母表[台羅拼音], MATCH(TRUE, EXACT($F43, 韻母表[十五音]), 0))</f>
        <v>ang</v>
      </c>
      <c r="E43" s="135" t="str" cm="1">
        <f t="array" ref="E43" xml:space="preserve"> INDEX(韻母表[方音符號], MATCH(TRUE, EXACT($F43, 韻母表[十五音]), 0))</f>
        <v>ㄤ</v>
      </c>
      <c r="F43" s="50" t="s">
        <v>102</v>
      </c>
      <c r="G43" s="53" t="str">
        <f xml:space="preserve"> IF(十五音音節表!F40&lt;&gt;"", _xlfn.CONCAT(G$4,$E43), "")</f>
        <v>ㄌㄤ</v>
      </c>
      <c r="H43" s="53" t="str">
        <f xml:space="preserve"> IF(十五音音節表!G40&lt;&gt;"", _xlfn.CONCAT(H$4,$E43), "")</f>
        <v/>
      </c>
      <c r="I43" s="53" t="str">
        <f xml:space="preserve"> IF(十五音音節表!H40&lt;&gt;"", _xlfn.CONCAT(I$4,$E43), "")</f>
        <v>ㄅㄤ</v>
      </c>
      <c r="J43" s="53" t="str">
        <f xml:space="preserve"> IF(十五音音節表!I40&lt;&gt;"", _xlfn.CONCAT(J$4,$E43), "")</f>
        <v>ㄍㄤ</v>
      </c>
      <c r="K43" s="53" t="str">
        <f xml:space="preserve"> IF(十五音音節表!J40&lt;&gt;"", _xlfn.CONCAT(K$4,$E43), "")</f>
        <v>ㄎㄤ</v>
      </c>
      <c r="L43" s="53" t="str">
        <f xml:space="preserve"> IF(十五音音節表!K40&lt;&gt;"", _xlfn.CONCAT(L$4,$E43), "")</f>
        <v>ㄉㄤ</v>
      </c>
      <c r="M43" s="53" t="str">
        <f xml:space="preserve"> IF(十五音音節表!L40&lt;&gt;"", _xlfn.CONCAT(M$4,$E43), "")</f>
        <v>ㄆㄤ</v>
      </c>
      <c r="N43" s="53" t="str">
        <f xml:space="preserve"> IF(十五音音節表!M40&lt;&gt;"", _xlfn.CONCAT(N$4,$E43), "")</f>
        <v>ㄊㄤ</v>
      </c>
      <c r="O43" s="53" t="str">
        <f xml:space="preserve"> IF(十五音音節表!N40&lt;&gt;"", _xlfn.CONCAT(O$4,$E43), "")</f>
        <v>ㄗㄤ</v>
      </c>
      <c r="P43" s="53" t="str">
        <f xml:space="preserve"> IF(十五音音節表!O40&lt;&gt;"", _xlfn.CONCAT(P$4,$E43), "")</f>
        <v/>
      </c>
      <c r="Q43" s="53" t="str">
        <f xml:space="preserve"> IF(十五音音節表!P40&lt;&gt;"", _xlfn.CONCAT(Q$4,$E43), "")</f>
        <v>ㄙㄤ</v>
      </c>
      <c r="R43" s="53" t="str">
        <f xml:space="preserve"> IF(十五音音節表!Q40&lt;&gt;"", _xlfn.CONCAT(R$4,$E43), "")</f>
        <v>ㄤ</v>
      </c>
      <c r="S43" s="53" t="str">
        <f xml:space="preserve"> IF(十五音音節表!R40&lt;&gt;"", _xlfn.CONCAT(S$4,$E43), "")</f>
        <v>ㆠㄤ</v>
      </c>
      <c r="T43" s="53" t="str">
        <f xml:space="preserve"> IF(十五音音節表!S40&lt;&gt;"", _xlfn.CONCAT(T$4,$E43), "")</f>
        <v/>
      </c>
      <c r="U43" s="53" t="str">
        <f xml:space="preserve"> IF(十五音音節表!T40&lt;&gt;"", _xlfn.CONCAT(U$4,$E43), "")</f>
        <v>ㆣㄤ</v>
      </c>
      <c r="V43" s="53" t="str">
        <f xml:space="preserve"> IF(十五音音節表!U40&lt;&gt;"", _xlfn.CONCAT(V$4,$E43), "")</f>
        <v/>
      </c>
      <c r="W43" s="53" t="str">
        <f xml:space="preserve"> IF(十五音音節表!V40&lt;&gt;"", _xlfn.CONCAT(W$4,$E43), "")</f>
        <v>ㄘㄤ</v>
      </c>
      <c r="X43" s="53" t="str">
        <f xml:space="preserve"> IF(十五音音節表!W40&lt;&gt;"", _xlfn.CONCAT(X$4,$E43), "")</f>
        <v>ㄏㄤ</v>
      </c>
      <c r="Y43" s="135" t="s">
        <v>1149</v>
      </c>
      <c r="Z43" s="50" t="s">
        <v>198</v>
      </c>
      <c r="AA43" s="50" t="s">
        <v>102</v>
      </c>
    </row>
    <row r="44" spans="2:27" outlineLevel="1">
      <c r="B44" s="132" cm="1">
        <f t="array" ref="B44" xml:space="preserve"> INDEX(韻母表[韻序], MATCH(TRUE, EXACT($F44, 韻母表[十五音]), 0))</f>
        <v>21</v>
      </c>
      <c r="C44" s="50" t="str" cm="1">
        <f t="array" ref="C44" xml:space="preserve"> IF( INDEX(韻母表[國際音標2], MATCH(TRUE, EXACT($F44, 韻母表[十五音]), 0))&lt;&gt;"",  INDEX(韻母表[國際音標2], MATCH(TRUE, EXACT($F44, 韻母表[十五音]), 0)),  INDEX(韻母表[國際音標], MATCH(TRUE, EXACT($F44, 韻母表[十五音]), 0)))</f>
        <v>ak̚</v>
      </c>
      <c r="D44" s="50" t="str" cm="1">
        <f t="array" ref="D44" xml:space="preserve"> INDEX(韻母表[台羅拼音], MATCH(TRUE, EXACT($F44, 韻母表[十五音]), 0))</f>
        <v>ak</v>
      </c>
      <c r="E44" s="135" t="str" cm="1">
        <f t="array" ref="E44" xml:space="preserve"> INDEX(韻母表[方音符號], MATCH(TRUE, EXACT($F44, 韻母表[十五音]), 0))</f>
        <v>ㄚㆻ</v>
      </c>
      <c r="F44" s="50" t="s">
        <v>103</v>
      </c>
      <c r="G44" s="53" t="str">
        <f xml:space="preserve"> IF(十五音音節表!F41&lt;&gt;"", _xlfn.CONCAT(G$4,$E44), "")</f>
        <v>ㄌㄚㆻ</v>
      </c>
      <c r="H44" s="53" t="str">
        <f xml:space="preserve"> IF(十五音音節表!G41&lt;&gt;"", _xlfn.CONCAT(H$4,$E44), "")</f>
        <v/>
      </c>
      <c r="I44" s="53" t="str">
        <f xml:space="preserve"> IF(十五音音節表!H41&lt;&gt;"", _xlfn.CONCAT(I$4,$E44), "")</f>
        <v>ㄅㄚㆻ</v>
      </c>
      <c r="J44" s="53" t="str">
        <f xml:space="preserve"> IF(十五音音節表!I41&lt;&gt;"", _xlfn.CONCAT(J$4,$E44), "")</f>
        <v>ㄍㄚㆻ</v>
      </c>
      <c r="K44" s="53" t="str">
        <f xml:space="preserve"> IF(十五音音節表!J41&lt;&gt;"", _xlfn.CONCAT(K$4,$E44), "")</f>
        <v>ㄎㄚㆻ</v>
      </c>
      <c r="L44" s="53" t="str">
        <f xml:space="preserve"> IF(十五音音節表!K41&lt;&gt;"", _xlfn.CONCAT(L$4,$E44), "")</f>
        <v>ㄉㄚㆻ</v>
      </c>
      <c r="M44" s="53" t="str">
        <f xml:space="preserve"> IF(十五音音節表!L41&lt;&gt;"", _xlfn.CONCAT(M$4,$E44), "")</f>
        <v>ㄆㄚㆻ</v>
      </c>
      <c r="N44" s="53" t="str">
        <f xml:space="preserve"> IF(十五音音節表!M41&lt;&gt;"", _xlfn.CONCAT(N$4,$E44), "")</f>
        <v>ㄊㄚㆻ</v>
      </c>
      <c r="O44" s="53" t="str">
        <f xml:space="preserve"> IF(十五音音節表!N41&lt;&gt;"", _xlfn.CONCAT(O$4,$E44), "")</f>
        <v>ㄗㄚㆻ</v>
      </c>
      <c r="P44" s="53" t="str">
        <f xml:space="preserve"> IF(十五音音節表!O41&lt;&gt;"", _xlfn.CONCAT(P$4,$E44), "")</f>
        <v/>
      </c>
      <c r="Q44" s="53" t="str">
        <f xml:space="preserve"> IF(十五音音節表!P41&lt;&gt;"", _xlfn.CONCAT(Q$4,$E44), "")</f>
        <v>ㄙㄚㆻ</v>
      </c>
      <c r="R44" s="53" t="str">
        <f xml:space="preserve"> IF(十五音音節表!Q41&lt;&gt;"", _xlfn.CONCAT(R$4,$E44), "")</f>
        <v>ㄚㆻ</v>
      </c>
      <c r="S44" s="53" t="str">
        <f xml:space="preserve"> IF(十五音音節表!R41&lt;&gt;"", _xlfn.CONCAT(S$4,$E44), "")</f>
        <v>ㆠㄚㆻ</v>
      </c>
      <c r="T44" s="53" t="str">
        <f xml:space="preserve"> IF(十五音音節表!S41&lt;&gt;"", _xlfn.CONCAT(T$4,$E44), "")</f>
        <v/>
      </c>
      <c r="U44" s="53" t="str">
        <f xml:space="preserve"> IF(十五音音節表!T41&lt;&gt;"", _xlfn.CONCAT(U$4,$E44), "")</f>
        <v>ㆣㄚㆻ</v>
      </c>
      <c r="V44" s="53" t="str">
        <f xml:space="preserve"> IF(十五音音節表!U41&lt;&gt;"", _xlfn.CONCAT(V$4,$E44), "")</f>
        <v/>
      </c>
      <c r="W44" s="53" t="str">
        <f xml:space="preserve"> IF(十五音音節表!V41&lt;&gt;"", _xlfn.CONCAT(W$4,$E44), "")</f>
        <v>ㄘㄚㆻ</v>
      </c>
      <c r="X44" s="53" t="str">
        <f xml:space="preserve"> IF(十五音音節表!W41&lt;&gt;"", _xlfn.CONCAT(X$4,$E44), "")</f>
        <v>ㄏㄚㆻ</v>
      </c>
      <c r="Y44" s="135" t="s">
        <v>1151</v>
      </c>
      <c r="Z44" s="50" t="s">
        <v>199</v>
      </c>
      <c r="AA44" s="50" t="s">
        <v>103</v>
      </c>
    </row>
    <row r="45" spans="2:27">
      <c r="B45" s="132" cm="1">
        <f t="array" ref="B45" xml:space="preserve"> INDEX(韻母表[韻序], MATCH(TRUE, EXACT($F45, 韻母表[十五音]), 0))</f>
        <v>22</v>
      </c>
      <c r="C45" s="50" t="str" cm="1">
        <f t="array" ref="C45" xml:space="preserve"> IF( INDEX(韻母表[國際音標2], MATCH(TRUE, EXACT($F45, 韻母表[十五音]), 0))&lt;&gt;"",  INDEX(韻母表[國際音標2], MATCH(TRUE, EXACT($F45, 韻母表[十五音]), 0)),  INDEX(韻母表[國際音標], MATCH(TRUE, EXACT($F45, 韻母表[十五音]), 0)))</f>
        <v>ɪam</v>
      </c>
      <c r="D45" s="50" t="str" cm="1">
        <f t="array" ref="D45" xml:space="preserve"> INDEX(韻母表[台羅拼音], MATCH(TRUE, EXACT($F45, 韻母表[十五音]), 0))</f>
        <v>iam</v>
      </c>
      <c r="E45" s="135" t="str" cm="1">
        <f t="array" ref="E45" xml:space="preserve"> INDEX(韻母表[方音符號], MATCH(TRUE, EXACT($F45, 韻母表[十五音]), 0))</f>
        <v>ㄧㆰ</v>
      </c>
      <c r="F45" s="50" t="s">
        <v>104</v>
      </c>
      <c r="G45" s="53" t="str">
        <f xml:space="preserve"> IF(十五音音節表!F42&lt;&gt;"", _xlfn.CONCAT(G$4,$E45), "")</f>
        <v>ㄌㄧㆰ</v>
      </c>
      <c r="H45" s="53" t="str">
        <f xml:space="preserve"> IF(十五音音節表!G42&lt;&gt;"", _xlfn.CONCAT(H$4,$E45), "")</f>
        <v/>
      </c>
      <c r="I45" s="53" t="str">
        <f xml:space="preserve"> IF(十五音音節表!H42&lt;&gt;"", _xlfn.CONCAT(I$4,$E45), "")</f>
        <v/>
      </c>
      <c r="J45" s="53" t="str">
        <f xml:space="preserve"> IF(十五音音節表!I42&lt;&gt;"", _xlfn.CONCAT(J$4,$E45), "")</f>
        <v>ㄍㄧㆰ</v>
      </c>
      <c r="K45" s="53" t="str">
        <f xml:space="preserve"> IF(十五音音節表!J42&lt;&gt;"", _xlfn.CONCAT(K$4,$E45), "")</f>
        <v>ㄎㄧㆰ</v>
      </c>
      <c r="L45" s="53" t="str">
        <f xml:space="preserve"> IF(十五音音節表!K42&lt;&gt;"", _xlfn.CONCAT(L$4,$E45), "")</f>
        <v>ㄉㄧㆰ</v>
      </c>
      <c r="M45" s="53" t="str">
        <f xml:space="preserve"> IF(十五音音節表!L42&lt;&gt;"", _xlfn.CONCAT(M$4,$E45), "")</f>
        <v/>
      </c>
      <c r="N45" s="53" t="str">
        <f xml:space="preserve"> IF(十五音音節表!M42&lt;&gt;"", _xlfn.CONCAT(N$4,$E45), "")</f>
        <v>ㄊㄧㆰ</v>
      </c>
      <c r="O45" s="53" t="str">
        <f xml:space="preserve"> IF(十五音音節表!N42&lt;&gt;"", _xlfn.CONCAT(O$4,$E45), "")</f>
        <v>ㄗㄧㆰ</v>
      </c>
      <c r="P45" s="53" t="str">
        <f xml:space="preserve"> IF(十五音音節表!O42&lt;&gt;"", _xlfn.CONCAT(P$4,$E45), "")</f>
        <v>ㆡㄧㆰ</v>
      </c>
      <c r="Q45" s="53" t="str">
        <f xml:space="preserve"> IF(十五音音節表!P42&lt;&gt;"", _xlfn.CONCAT(Q$4,$E45), "")</f>
        <v>ㄙㄧㆰ</v>
      </c>
      <c r="R45" s="53" t="str">
        <f xml:space="preserve"> IF(十五音音節表!Q42&lt;&gt;"", _xlfn.CONCAT(R$4,$E45), "")</f>
        <v>ㄧㆰ</v>
      </c>
      <c r="S45" s="53" t="str">
        <f xml:space="preserve"> IF(十五音音節表!R42&lt;&gt;"", _xlfn.CONCAT(S$4,$E45), "")</f>
        <v/>
      </c>
      <c r="T45" s="53" t="str">
        <f xml:space="preserve"> IF(十五音音節表!S42&lt;&gt;"", _xlfn.CONCAT(T$4,$E45), "")</f>
        <v/>
      </c>
      <c r="U45" s="53" t="str">
        <f xml:space="preserve"> IF(十五音音節表!T42&lt;&gt;"", _xlfn.CONCAT(U$4,$E45), "")</f>
        <v>ㆣㄧㆰ</v>
      </c>
      <c r="V45" s="53" t="str">
        <f xml:space="preserve"> IF(十五音音節表!U42&lt;&gt;"", _xlfn.CONCAT(V$4,$E45), "")</f>
        <v/>
      </c>
      <c r="W45" s="53" t="str">
        <f xml:space="preserve"> IF(十五音音節表!V42&lt;&gt;"", _xlfn.CONCAT(W$4,$E45), "")</f>
        <v>ㄘㄧㆰ</v>
      </c>
      <c r="X45" s="53" t="str">
        <f xml:space="preserve"> IF(十五音音節表!W42&lt;&gt;"", _xlfn.CONCAT(X$4,$E45), "")</f>
        <v>ㄏㄧㆰ</v>
      </c>
      <c r="Y45" s="135" t="s">
        <v>1153</v>
      </c>
      <c r="Z45" s="50" t="s">
        <v>200</v>
      </c>
      <c r="AA45" s="50" t="s">
        <v>104</v>
      </c>
    </row>
    <row r="46" spans="2:27" outlineLevel="1">
      <c r="B46" s="132" cm="1">
        <f t="array" ref="B46" xml:space="preserve"> INDEX(韻母表[韻序], MATCH(TRUE, EXACT($F46, 韻母表[十五音]), 0))</f>
        <v>22</v>
      </c>
      <c r="C46" s="50" t="str" cm="1">
        <f t="array" ref="C46" xml:space="preserve"> IF( INDEX(韻母表[國際音標2], MATCH(TRUE, EXACT($F46, 韻母表[十五音]), 0))&lt;&gt;"",  INDEX(韻母表[國際音標2], MATCH(TRUE, EXACT($F46, 韻母表[十五音]), 0)),  INDEX(韻母表[國際音標], MATCH(TRUE, EXACT($F46, 韻母表[十五音]), 0)))</f>
        <v>ɪap̚</v>
      </c>
      <c r="D46" s="50" t="str" cm="1">
        <f t="array" ref="D46" xml:space="preserve"> INDEX(韻母表[台羅拼音], MATCH(TRUE, EXACT($F46, 韻母表[十五音]), 0))</f>
        <v>iap</v>
      </c>
      <c r="E46" s="135" t="str" cm="1">
        <f t="array" ref="E46" xml:space="preserve"> INDEX(韻母表[方音符號], MATCH(TRUE, EXACT($F46, 韻母表[十五音]), 0))</f>
        <v>ㄧㄚㆴ</v>
      </c>
      <c r="F46" s="50" t="s">
        <v>105</v>
      </c>
      <c r="G46" s="53" t="str">
        <f xml:space="preserve"> IF(十五音音節表!F43&lt;&gt;"", _xlfn.CONCAT(G$4,$E46), "")</f>
        <v>ㄌㄧㄚㆴ</v>
      </c>
      <c r="H46" s="53" t="str">
        <f xml:space="preserve"> IF(十五音音節表!G43&lt;&gt;"", _xlfn.CONCAT(H$4,$E46), "")</f>
        <v/>
      </c>
      <c r="I46" s="53" t="str">
        <f xml:space="preserve"> IF(十五音音節表!H43&lt;&gt;"", _xlfn.CONCAT(I$4,$E46), "")</f>
        <v/>
      </c>
      <c r="J46" s="53" t="str">
        <f xml:space="preserve"> IF(十五音音節表!I43&lt;&gt;"", _xlfn.CONCAT(J$4,$E46), "")</f>
        <v>ㄍㄧㄚㆴ</v>
      </c>
      <c r="K46" s="53" t="str">
        <f xml:space="preserve"> IF(十五音音節表!J43&lt;&gt;"", _xlfn.CONCAT(K$4,$E46), "")</f>
        <v>ㄎㄧㄚㆴ</v>
      </c>
      <c r="L46" s="53" t="str">
        <f xml:space="preserve"> IF(十五音音節表!K43&lt;&gt;"", _xlfn.CONCAT(L$4,$E46), "")</f>
        <v>ㄉㄧㄚㆴ</v>
      </c>
      <c r="M46" s="53" t="str">
        <f xml:space="preserve"> IF(十五音音節表!L43&lt;&gt;"", _xlfn.CONCAT(M$4,$E46), "")</f>
        <v/>
      </c>
      <c r="N46" s="53" t="str">
        <f xml:space="preserve"> IF(十五音音節表!M43&lt;&gt;"", _xlfn.CONCAT(N$4,$E46), "")</f>
        <v>ㄊㄧㄚㆴ</v>
      </c>
      <c r="O46" s="53" t="str">
        <f xml:space="preserve"> IF(十五音音節表!N43&lt;&gt;"", _xlfn.CONCAT(O$4,$E46), "")</f>
        <v>ㄗㄧㄚㆴ</v>
      </c>
      <c r="P46" s="53" t="str">
        <f xml:space="preserve"> IF(十五音音節表!O43&lt;&gt;"", _xlfn.CONCAT(P$4,$E46), "")</f>
        <v>ㆡㄧㄚㆴ</v>
      </c>
      <c r="Q46" s="53" t="str">
        <f xml:space="preserve"> IF(十五音音節表!P43&lt;&gt;"", _xlfn.CONCAT(Q$4,$E46), "")</f>
        <v>ㄙㄧㄚㆴ</v>
      </c>
      <c r="R46" s="53" t="str">
        <f xml:space="preserve"> IF(十五音音節表!Q43&lt;&gt;"", _xlfn.CONCAT(R$4,$E46), "")</f>
        <v>ㄧㄚㆴ</v>
      </c>
      <c r="S46" s="53" t="str">
        <f xml:space="preserve"> IF(十五音音節表!R43&lt;&gt;"", _xlfn.CONCAT(S$4,$E46), "")</f>
        <v/>
      </c>
      <c r="T46" s="53" t="str">
        <f xml:space="preserve"> IF(十五音音節表!S43&lt;&gt;"", _xlfn.CONCAT(T$4,$E46), "")</f>
        <v/>
      </c>
      <c r="U46" s="53" t="str">
        <f xml:space="preserve"> IF(十五音音節表!T43&lt;&gt;"", _xlfn.CONCAT(U$4,$E46), "")</f>
        <v>ㆣㄧㄚㆴ</v>
      </c>
      <c r="V46" s="53" t="str">
        <f xml:space="preserve"> IF(十五音音節表!U43&lt;&gt;"", _xlfn.CONCAT(V$4,$E46), "")</f>
        <v/>
      </c>
      <c r="W46" s="53" t="str">
        <f xml:space="preserve"> IF(十五音音節表!V43&lt;&gt;"", _xlfn.CONCAT(W$4,$E46), "")</f>
        <v>ㄘㄧㄚㆴ</v>
      </c>
      <c r="X46" s="53" t="str">
        <f xml:space="preserve"> IF(十五音音節表!W43&lt;&gt;"", _xlfn.CONCAT(X$4,$E46), "")</f>
        <v>ㄏㄧㄚㆴ</v>
      </c>
      <c r="Y46" s="135" t="s">
        <v>1155</v>
      </c>
      <c r="Z46" s="50" t="s">
        <v>201</v>
      </c>
      <c r="AA46" s="50" t="s">
        <v>105</v>
      </c>
    </row>
    <row r="47" spans="2:27">
      <c r="B47" s="132" cm="1">
        <f t="array" ref="B47" xml:space="preserve"> INDEX(韻母表[韻序], MATCH(TRUE, EXACT($F47, 韻母表[十五音]), 0))</f>
        <v>23</v>
      </c>
      <c r="C47" s="50" t="str" cm="1">
        <f t="array" ref="C47" xml:space="preserve"> IF( INDEX(韻母表[國際音標2], MATCH(TRUE, EXACT($F47, 韻母表[十五音]), 0))&lt;&gt;"",  INDEX(韻母表[國際音標2], MATCH(TRUE, EXACT($F47, 韻母表[十五音]), 0)),  INDEX(韻母表[國際音標], MATCH(TRUE, EXACT($F47, 韻母表[十五音]), 0)))</f>
        <v>aʊ</v>
      </c>
      <c r="D47" s="50" t="str" cm="1">
        <f t="array" ref="D47" xml:space="preserve"> INDEX(韻母表[台羅拼音], MATCH(TRUE, EXACT($F47, 韻母表[十五音]), 0))</f>
        <v>au</v>
      </c>
      <c r="E47" s="135" t="str" cm="1">
        <f t="array" ref="E47" xml:space="preserve"> INDEX(韻母表[方音符號], MATCH(TRUE, EXACT($F47, 韻母表[十五音]), 0))</f>
        <v>ㄠ</v>
      </c>
      <c r="F47" s="50" t="s">
        <v>106</v>
      </c>
      <c r="G47" s="53" t="str">
        <f xml:space="preserve"> IF(十五音音節表!F44&lt;&gt;"", _xlfn.CONCAT(G$4,$E47), "")</f>
        <v>ㄌㄠ</v>
      </c>
      <c r="H47" s="53" t="str">
        <f xml:space="preserve"> IF(十五音音節表!G44&lt;&gt;"", _xlfn.CONCAT(H$4,$E47), "")</f>
        <v>ㄋㄠ</v>
      </c>
      <c r="I47" s="53" t="str">
        <f xml:space="preserve"> IF(十五音音節表!H44&lt;&gt;"", _xlfn.CONCAT(I$4,$E47), "")</f>
        <v>ㄅㄠ</v>
      </c>
      <c r="J47" s="53" t="str">
        <f xml:space="preserve"> IF(十五音音節表!I44&lt;&gt;"", _xlfn.CONCAT(J$4,$E47), "")</f>
        <v>ㄍㄠ</v>
      </c>
      <c r="K47" s="53" t="str">
        <f xml:space="preserve"> IF(十五音音節表!J44&lt;&gt;"", _xlfn.CONCAT(K$4,$E47), "")</f>
        <v>ㄎㄠ</v>
      </c>
      <c r="L47" s="53" t="str">
        <f xml:space="preserve"> IF(十五音音節表!K44&lt;&gt;"", _xlfn.CONCAT(L$4,$E47), "")</f>
        <v>ㄉㄠ</v>
      </c>
      <c r="M47" s="53" t="str">
        <f xml:space="preserve"> IF(十五音音節表!L44&lt;&gt;"", _xlfn.CONCAT(M$4,$E47), "")</f>
        <v>ㄆㄠ</v>
      </c>
      <c r="N47" s="53" t="str">
        <f xml:space="preserve"> IF(十五音音節表!M44&lt;&gt;"", _xlfn.CONCAT(N$4,$E47), "")</f>
        <v>ㄊㄠ</v>
      </c>
      <c r="O47" s="53" t="str">
        <f xml:space="preserve"> IF(十五音音節表!N44&lt;&gt;"", _xlfn.CONCAT(O$4,$E47), "")</f>
        <v>ㄗㄠ</v>
      </c>
      <c r="P47" s="53" t="str">
        <f xml:space="preserve"> IF(十五音音節表!O44&lt;&gt;"", _xlfn.CONCAT(P$4,$E47), "")</f>
        <v/>
      </c>
      <c r="Q47" s="53" t="str">
        <f xml:space="preserve"> IF(十五音音節表!P44&lt;&gt;"", _xlfn.CONCAT(Q$4,$E47), "")</f>
        <v>ㄙㄠ</v>
      </c>
      <c r="R47" s="53" t="str">
        <f xml:space="preserve"> IF(十五音音節表!Q44&lt;&gt;"", _xlfn.CONCAT(R$4,$E47), "")</f>
        <v>ㄠ</v>
      </c>
      <c r="S47" s="53" t="str">
        <f xml:space="preserve"> IF(十五音音節表!R44&lt;&gt;"", _xlfn.CONCAT(S$4,$E47), "")</f>
        <v>ㆠㄠ</v>
      </c>
      <c r="T47" s="53" t="str">
        <f xml:space="preserve"> IF(十五音音節表!S44&lt;&gt;"", _xlfn.CONCAT(T$4,$E47), "")</f>
        <v>ㄇㄠ</v>
      </c>
      <c r="U47" s="53" t="str">
        <f xml:space="preserve"> IF(十五音音節表!T44&lt;&gt;"", _xlfn.CONCAT(U$4,$E47), "")</f>
        <v>ㆣㄠ</v>
      </c>
      <c r="V47" s="53" t="str">
        <f xml:space="preserve"> IF(十五音音節表!U44&lt;&gt;"", _xlfn.CONCAT(V$4,$E47), "")</f>
        <v>ㄫㄠ</v>
      </c>
      <c r="W47" s="53" t="str">
        <f xml:space="preserve"> IF(十五音音節表!V44&lt;&gt;"", _xlfn.CONCAT(W$4,$E47), "")</f>
        <v>ㄘㄠ</v>
      </c>
      <c r="X47" s="53" t="str">
        <f xml:space="preserve"> IF(十五音音節表!W44&lt;&gt;"", _xlfn.CONCAT(X$4,$E47), "")</f>
        <v>ㄏㄠ</v>
      </c>
      <c r="Y47" s="135" t="s">
        <v>1158</v>
      </c>
      <c r="Z47" s="50" t="s">
        <v>202</v>
      </c>
      <c r="AA47" s="50" t="s">
        <v>106</v>
      </c>
    </row>
    <row r="48" spans="2:27" outlineLevel="1">
      <c r="B48" s="132" cm="1">
        <f t="array" ref="B48" xml:space="preserve"> INDEX(韻母表[韻序], MATCH(TRUE, EXACT($F48, 韻母表[十五音]), 0))</f>
        <v>23</v>
      </c>
      <c r="C48" s="50" t="str" cm="1">
        <f t="array" ref="C48" xml:space="preserve"> IF( INDEX(韻母表[國際音標2], MATCH(TRUE, EXACT($F48, 韻母表[十五音]), 0))&lt;&gt;"",  INDEX(韻母表[國際音標2], MATCH(TRUE, EXACT($F48, 韻母表[十五音]), 0)),  INDEX(韻母表[國際音標], MATCH(TRUE, EXACT($F48, 韻母表[十五音]), 0)))</f>
        <v>auʔ</v>
      </c>
      <c r="D48" s="50" t="str" cm="1">
        <f t="array" ref="D48" xml:space="preserve"> INDEX(韻母表[台羅拼音], MATCH(TRUE, EXACT($F48, 韻母表[十五音]), 0))</f>
        <v>auh</v>
      </c>
      <c r="E48" s="135" t="str" cm="1">
        <f t="array" ref="E48" xml:space="preserve"> INDEX(韻母表[方音符號], MATCH(TRUE, EXACT($F48, 韻母表[十五音]), 0))</f>
        <v>ㄠㆷ</v>
      </c>
      <c r="F48" s="50" t="s">
        <v>107</v>
      </c>
      <c r="G48" s="53" t="str">
        <f xml:space="preserve"> IF(十五音音節表!F45&lt;&gt;"", _xlfn.CONCAT(G$4,$E48), "")</f>
        <v>ㄌㄠㆷ</v>
      </c>
      <c r="H48" s="53" t="str">
        <f xml:space="preserve"> IF(十五音音節表!G45&lt;&gt;"", _xlfn.CONCAT(H$4,$E48), "")</f>
        <v>ㄋㄠㆷ</v>
      </c>
      <c r="I48" s="53" t="str">
        <f xml:space="preserve"> IF(十五音音節表!H45&lt;&gt;"", _xlfn.CONCAT(I$4,$E48), "")</f>
        <v/>
      </c>
      <c r="J48" s="53" t="str">
        <f xml:space="preserve"> IF(十五音音節表!I45&lt;&gt;"", _xlfn.CONCAT(J$4,$E48), "")</f>
        <v>ㄍㄠㆷ</v>
      </c>
      <c r="K48" s="53" t="str">
        <f xml:space="preserve"> IF(十五音音節表!J45&lt;&gt;"", _xlfn.CONCAT(K$4,$E48), "")</f>
        <v/>
      </c>
      <c r="L48" s="53" t="str">
        <f xml:space="preserve"> IF(十五音音節表!K45&lt;&gt;"", _xlfn.CONCAT(L$4,$E48), "")</f>
        <v>ㄉㄠㆷ</v>
      </c>
      <c r="M48" s="53" t="str">
        <f xml:space="preserve"> IF(十五音音節表!L45&lt;&gt;"", _xlfn.CONCAT(M$4,$E48), "")</f>
        <v>ㄆㄠㆷ</v>
      </c>
      <c r="N48" s="53" t="str">
        <f xml:space="preserve"> IF(十五音音節表!M45&lt;&gt;"", _xlfn.CONCAT(N$4,$E48), "")</f>
        <v/>
      </c>
      <c r="O48" s="53" t="str">
        <f xml:space="preserve"> IF(十五音音節表!N45&lt;&gt;"", _xlfn.CONCAT(O$4,$E48), "")</f>
        <v/>
      </c>
      <c r="P48" s="53" t="str">
        <f xml:space="preserve"> IF(十五音音節表!O45&lt;&gt;"", _xlfn.CONCAT(P$4,$E48), "")</f>
        <v/>
      </c>
      <c r="Q48" s="53" t="str">
        <f xml:space="preserve"> IF(十五音音節表!P45&lt;&gt;"", _xlfn.CONCAT(Q$4,$E48), "")</f>
        <v/>
      </c>
      <c r="R48" s="53" t="str">
        <f xml:space="preserve"> IF(十五音音節表!Q45&lt;&gt;"", _xlfn.CONCAT(R$4,$E48), "")</f>
        <v/>
      </c>
      <c r="S48" s="53" t="str">
        <f xml:space="preserve"> IF(十五音音節表!R45&lt;&gt;"", _xlfn.CONCAT(S$4,$E48), "")</f>
        <v/>
      </c>
      <c r="T48" s="53" t="str">
        <f xml:space="preserve"> IF(十五音音節表!S45&lt;&gt;"", _xlfn.CONCAT(T$4,$E48), "")</f>
        <v>ㄇㄠㆷ</v>
      </c>
      <c r="U48" s="53" t="str">
        <f xml:space="preserve"> IF(十五音音節表!T45&lt;&gt;"", _xlfn.CONCAT(U$4,$E48), "")</f>
        <v/>
      </c>
      <c r="V48" s="53" t="str">
        <f xml:space="preserve"> IF(十五音音節表!U45&lt;&gt;"", _xlfn.CONCAT(V$4,$E48), "")</f>
        <v/>
      </c>
      <c r="W48" s="53" t="str">
        <f xml:space="preserve"> IF(十五音音節表!V45&lt;&gt;"", _xlfn.CONCAT(W$4,$E48), "")</f>
        <v>ㄘㄠㆷ</v>
      </c>
      <c r="X48" s="53" t="str">
        <f xml:space="preserve"> IF(十五音音節表!W45&lt;&gt;"", _xlfn.CONCAT(X$4,$E48), "")</f>
        <v/>
      </c>
      <c r="Y48" s="135" t="s">
        <v>1161</v>
      </c>
      <c r="Z48" s="50" t="s">
        <v>203</v>
      </c>
      <c r="AA48" s="50" t="s">
        <v>107</v>
      </c>
    </row>
    <row r="49" spans="2:27">
      <c r="B49" s="132" cm="1">
        <f t="array" ref="B49" xml:space="preserve"> INDEX(韻母表[韻序], MATCH(TRUE, EXACT($F49, 韻母表[十五音]), 0))</f>
        <v>24</v>
      </c>
      <c r="C49" s="50" t="str" cm="1">
        <f t="array" ref="C49" xml:space="preserve"> IF( INDEX(韻母表[國際音標2], MATCH(TRUE, EXACT($F49, 韻母表[十五音]), 0))&lt;&gt;"",  INDEX(韻母表[國際音標2], MATCH(TRUE, EXACT($F49, 韻母表[十五音]), 0)),  INDEX(韻母表[國際音標], MATCH(TRUE, EXACT($F49, 韻母表[十五音]), 0)))</f>
        <v>ɪa</v>
      </c>
      <c r="D49" s="50" t="str" cm="1">
        <f t="array" ref="D49" xml:space="preserve"> INDEX(韻母表[台羅拼音], MATCH(TRUE, EXACT($F49, 韻母表[十五音]), 0))</f>
        <v>ia</v>
      </c>
      <c r="E49" s="135" t="str" cm="1">
        <f t="array" ref="E49" xml:space="preserve"> INDEX(韻母表[方音符號], MATCH(TRUE, EXACT($F49, 韻母表[十五音]), 0))</f>
        <v>ㄧㄚ</v>
      </c>
      <c r="F49" s="50" t="s">
        <v>108</v>
      </c>
      <c r="G49" s="53" t="str">
        <f xml:space="preserve"> IF(十五音音節表!F46&lt;&gt;"", _xlfn.CONCAT(G$4,$E49), "")</f>
        <v/>
      </c>
      <c r="H49" s="53" t="str">
        <f xml:space="preserve"> IF(十五音音節表!G46&lt;&gt;"", _xlfn.CONCAT(H$4,$E49), "")</f>
        <v>ㄋㄧㄚ</v>
      </c>
      <c r="I49" s="53" t="str">
        <f xml:space="preserve"> IF(十五音音節表!H46&lt;&gt;"", _xlfn.CONCAT(I$4,$E49), "")</f>
        <v/>
      </c>
      <c r="J49" s="53" t="str">
        <f xml:space="preserve"> IF(十五音音節表!I46&lt;&gt;"", _xlfn.CONCAT(J$4,$E49), "")</f>
        <v>ㄍㄧㄚ</v>
      </c>
      <c r="K49" s="53" t="str">
        <f xml:space="preserve"> IF(十五音音節表!J46&lt;&gt;"", _xlfn.CONCAT(K$4,$E49), "")</f>
        <v>ㄎㄧㄚ</v>
      </c>
      <c r="L49" s="53" t="str">
        <f xml:space="preserve"> IF(十五音音節表!K46&lt;&gt;"", _xlfn.CONCAT(L$4,$E49), "")</f>
        <v>ㄉㄧㄚ</v>
      </c>
      <c r="M49" s="53" t="str">
        <f xml:space="preserve"> IF(十五音音節表!L46&lt;&gt;"", _xlfn.CONCAT(M$4,$E49), "")</f>
        <v/>
      </c>
      <c r="N49" s="53" t="str">
        <f xml:space="preserve"> IF(十五音音節表!M46&lt;&gt;"", _xlfn.CONCAT(N$4,$E49), "")</f>
        <v/>
      </c>
      <c r="O49" s="53" t="str">
        <f xml:space="preserve"> IF(十五音音節表!N46&lt;&gt;"", _xlfn.CONCAT(O$4,$E49), "")</f>
        <v>ㄗㄧㄚ</v>
      </c>
      <c r="P49" s="53" t="str">
        <f xml:space="preserve"> IF(十五音音節表!O46&lt;&gt;"", _xlfn.CONCAT(P$4,$E49), "")</f>
        <v>ㆡㄧㄚ</v>
      </c>
      <c r="Q49" s="53" t="str">
        <f xml:space="preserve"> IF(十五音音節表!P46&lt;&gt;"", _xlfn.CONCAT(Q$4,$E49), "")</f>
        <v>ㄙㄧㄚ</v>
      </c>
      <c r="R49" s="53" t="str">
        <f xml:space="preserve"> IF(十五音音節表!Q46&lt;&gt;"", _xlfn.CONCAT(R$4,$E49), "")</f>
        <v>ㄧㄚ</v>
      </c>
      <c r="S49" s="53" t="str">
        <f xml:space="preserve"> IF(十五音音節表!R46&lt;&gt;"", _xlfn.CONCAT(S$4,$E49), "")</f>
        <v/>
      </c>
      <c r="T49" s="53" t="str">
        <f xml:space="preserve"> IF(十五音音節表!S46&lt;&gt;"", _xlfn.CONCAT(T$4,$E49), "")</f>
        <v>ㄇㄧㄚ</v>
      </c>
      <c r="U49" s="53" t="str">
        <f xml:space="preserve"> IF(十五音音節表!T46&lt;&gt;"", _xlfn.CONCAT(U$4,$E49), "")</f>
        <v>ㆣㄧㄚ</v>
      </c>
      <c r="V49" s="53" t="str">
        <f xml:space="preserve"> IF(十五音音節表!U46&lt;&gt;"", _xlfn.CONCAT(V$4,$E49), "")</f>
        <v>ㄫㄧㄚ</v>
      </c>
      <c r="W49" s="53" t="str">
        <f xml:space="preserve"> IF(十五音音節表!V46&lt;&gt;"", _xlfn.CONCAT(W$4,$E49), "")</f>
        <v>ㄘㄧㄚ</v>
      </c>
      <c r="X49" s="53" t="str">
        <f xml:space="preserve"> IF(十五音音節表!W46&lt;&gt;"", _xlfn.CONCAT(X$4,$E49), "")</f>
        <v>ㄏㄧㄚ</v>
      </c>
      <c r="Y49" s="135" t="s">
        <v>1163</v>
      </c>
      <c r="Z49" s="50" t="s">
        <v>204</v>
      </c>
      <c r="AA49" s="50" t="s">
        <v>108</v>
      </c>
    </row>
    <row r="50" spans="2:27" outlineLevel="1">
      <c r="B50" s="132" cm="1">
        <f t="array" ref="B50" xml:space="preserve"> INDEX(韻母表[韻序], MATCH(TRUE, EXACT($F50, 韻母表[十五音]), 0))</f>
        <v>24</v>
      </c>
      <c r="C50" s="50" t="str" cm="1">
        <f t="array" ref="C50" xml:space="preserve"> IF( INDEX(韻母表[國際音標2], MATCH(TRUE, EXACT($F50, 韻母表[十五音]), 0))&lt;&gt;"",  INDEX(韻母表[國際音標2], MATCH(TRUE, EXACT($F50, 韻母表[十五音]), 0)),  INDEX(韻母表[國際音標], MATCH(TRUE, EXACT($F50, 韻母表[十五音]), 0)))</f>
        <v>ɪaʔ</v>
      </c>
      <c r="D50" s="50" t="str" cm="1">
        <f t="array" ref="D50" xml:space="preserve"> INDEX(韻母表[台羅拼音], MATCH(TRUE, EXACT($F50, 韻母表[十五音]), 0))</f>
        <v>iah</v>
      </c>
      <c r="E50" s="135" t="str" cm="1">
        <f t="array" ref="E50" xml:space="preserve"> INDEX(韻母表[方音符號], MATCH(TRUE, EXACT($F50, 韻母表[十五音]), 0))</f>
        <v>ㄧㄚㆷ</v>
      </c>
      <c r="F50" s="50" t="s">
        <v>109</v>
      </c>
      <c r="G50" s="53" t="str">
        <f xml:space="preserve"> IF(十五音音節表!F47&lt;&gt;"", _xlfn.CONCAT(G$4,$E50), "")</f>
        <v>ㄌㄧㄚㆷ</v>
      </c>
      <c r="H50" s="53" t="str">
        <f xml:space="preserve"> IF(十五音音節表!G47&lt;&gt;"", _xlfn.CONCAT(H$4,$E50), "")</f>
        <v/>
      </c>
      <c r="I50" s="53" t="str">
        <f xml:space="preserve"> IF(十五音音節表!H47&lt;&gt;"", _xlfn.CONCAT(I$4,$E50), "")</f>
        <v>ㄅㄧㄚㆷ</v>
      </c>
      <c r="J50" s="53" t="str">
        <f xml:space="preserve"> IF(十五音音節表!I47&lt;&gt;"", _xlfn.CONCAT(J$4,$E50), "")</f>
        <v>ㄍㄧㄚㆷ</v>
      </c>
      <c r="K50" s="53" t="str">
        <f xml:space="preserve"> IF(十五音音節表!J47&lt;&gt;"", _xlfn.CONCAT(K$4,$E50), "")</f>
        <v>ㄎㄧㄚㆷ</v>
      </c>
      <c r="L50" s="53" t="str">
        <f xml:space="preserve"> IF(十五音音節表!K47&lt;&gt;"", _xlfn.CONCAT(L$4,$E50), "")</f>
        <v>ㄉㄧㄚㆷ</v>
      </c>
      <c r="M50" s="53" t="str">
        <f xml:space="preserve"> IF(十五音音節表!L47&lt;&gt;"", _xlfn.CONCAT(M$4,$E50), "")</f>
        <v>ㄆㄧㄚㆷ</v>
      </c>
      <c r="N50" s="53" t="str">
        <f xml:space="preserve"> IF(十五音音節表!M47&lt;&gt;"", _xlfn.CONCAT(N$4,$E50), "")</f>
        <v>ㄊㄧㄚㆷ</v>
      </c>
      <c r="O50" s="53" t="str">
        <f xml:space="preserve"> IF(十五音音節表!N47&lt;&gt;"", _xlfn.CONCAT(O$4,$E50), "")</f>
        <v>ㄗㄧㄚㆷ</v>
      </c>
      <c r="P50" s="53" t="str">
        <f xml:space="preserve"> IF(十五音音節表!O47&lt;&gt;"", _xlfn.CONCAT(P$4,$E50), "")</f>
        <v/>
      </c>
      <c r="Q50" s="53" t="str">
        <f xml:space="preserve"> IF(十五音音節表!P47&lt;&gt;"", _xlfn.CONCAT(Q$4,$E50), "")</f>
        <v>ㄙㄧㄚㆷ</v>
      </c>
      <c r="R50" s="53" t="str">
        <f xml:space="preserve"> IF(十五音音節表!Q47&lt;&gt;"", _xlfn.CONCAT(R$4,$E50), "")</f>
        <v>ㄧㄚㆷ</v>
      </c>
      <c r="S50" s="53" t="str">
        <f xml:space="preserve"> IF(十五音音節表!R47&lt;&gt;"", _xlfn.CONCAT(S$4,$E50), "")</f>
        <v/>
      </c>
      <c r="T50" s="53" t="str">
        <f xml:space="preserve"> IF(十五音音節表!S47&lt;&gt;"", _xlfn.CONCAT(T$4,$E50), "")</f>
        <v/>
      </c>
      <c r="U50" s="53" t="str">
        <f xml:space="preserve"> IF(十五音音節表!T47&lt;&gt;"", _xlfn.CONCAT(U$4,$E50), "")</f>
        <v>ㆣㄧㄚㆷ</v>
      </c>
      <c r="V50" s="53" t="str">
        <f xml:space="preserve"> IF(十五音音節表!U47&lt;&gt;"", _xlfn.CONCAT(V$4,$E50), "")</f>
        <v/>
      </c>
      <c r="W50" s="53" t="str">
        <f xml:space="preserve"> IF(十五音音節表!V47&lt;&gt;"", _xlfn.CONCAT(W$4,$E50), "")</f>
        <v>ㄘㄧㄚㆷ</v>
      </c>
      <c r="X50" s="53" t="str">
        <f xml:space="preserve"> IF(十五音音節表!W47&lt;&gt;"", _xlfn.CONCAT(X$4,$E50), "")</f>
        <v>ㄏㄧㄚㆷ</v>
      </c>
      <c r="Y50" s="135" t="s">
        <v>1164</v>
      </c>
      <c r="Z50" s="50" t="s">
        <v>205</v>
      </c>
      <c r="AA50" s="50" t="s">
        <v>109</v>
      </c>
    </row>
    <row r="51" spans="2:27">
      <c r="B51" s="132" cm="1">
        <f t="array" ref="B51" xml:space="preserve"> INDEX(韻母表[韻序], MATCH(TRUE, EXACT($F51, 韻母表[十五音]), 0))</f>
        <v>25</v>
      </c>
      <c r="C51" s="96" t="str" cm="1">
        <f t="array" ref="C51" xml:space="preserve"> IF( INDEX(韻母表[國際音標2], MATCH(TRUE, EXACT($F51, 韻母表[十五音]), 0))&lt;&gt;"",  INDEX(韻母表[國際音標2], MATCH(TRUE, EXACT($F51, 韻母表[十五音]), 0)),  INDEX(韻母表[國際音標], MATCH(TRUE, EXACT($F51, 韻母表[十五音]), 0)))</f>
        <v>uei</v>
      </c>
      <c r="D51" s="50" t="str" cm="1">
        <f t="array" ref="D51" xml:space="preserve"> INDEX(韻母表[台羅拼音], MATCH(TRUE, EXACT($F51, 韻母表[十五音]), 0))</f>
        <v>ue</v>
      </c>
      <c r="E51" s="135" t="str" cm="1">
        <f t="array" ref="E51" xml:space="preserve"> INDEX(韻母表[方音符號], MATCH(TRUE, EXACT($F51, 韻母表[十五音]), 0))</f>
        <v>ㄨㆤ</v>
      </c>
      <c r="F51" s="50" t="s">
        <v>110</v>
      </c>
      <c r="G51" s="53" t="str">
        <f xml:space="preserve"> IF(十五音音節表!F48&lt;&gt;"", _xlfn.CONCAT(G$4,$E51), "")</f>
        <v>ㄌㄨㆤ</v>
      </c>
      <c r="H51" s="53" t="str">
        <f xml:space="preserve"> IF(十五音音節表!G48&lt;&gt;"", _xlfn.CONCAT(H$4,$E51), "")</f>
        <v/>
      </c>
      <c r="I51" s="53" t="str">
        <f xml:space="preserve"> IF(十五音音節表!H48&lt;&gt;"", _xlfn.CONCAT(I$4,$E51), "")</f>
        <v>ㄅㄨㆤ</v>
      </c>
      <c r="J51" s="53" t="str">
        <f xml:space="preserve"> IF(十五音音節表!I48&lt;&gt;"", _xlfn.CONCAT(J$4,$E51), "")</f>
        <v>ㄍㄨㆤ</v>
      </c>
      <c r="K51" s="53" t="str">
        <f xml:space="preserve"> IF(十五音音節表!J48&lt;&gt;"", _xlfn.CONCAT(K$4,$E51), "")</f>
        <v>ㄎㄨㆤ</v>
      </c>
      <c r="L51" s="53" t="str">
        <f xml:space="preserve"> IF(十五音音節表!K48&lt;&gt;"", _xlfn.CONCAT(L$4,$E51), "")</f>
        <v>ㄉㄨㆤ</v>
      </c>
      <c r="M51" s="53" t="str">
        <f xml:space="preserve"> IF(十五音音節表!L48&lt;&gt;"", _xlfn.CONCAT(M$4,$E51), "")</f>
        <v>ㄆㄨㆤ</v>
      </c>
      <c r="N51" s="53" t="str">
        <f xml:space="preserve"> IF(十五音音節表!M48&lt;&gt;"", _xlfn.CONCAT(N$4,$E51), "")</f>
        <v/>
      </c>
      <c r="O51" s="53" t="str">
        <f xml:space="preserve"> IF(十五音音節表!N48&lt;&gt;"", _xlfn.CONCAT(O$4,$E51), "")</f>
        <v>ㄗㄨㆤ</v>
      </c>
      <c r="P51" s="53" t="str">
        <f xml:space="preserve"> IF(十五音音節表!O48&lt;&gt;"", _xlfn.CONCAT(P$4,$E51), "")</f>
        <v>ㆡㄨㆤ</v>
      </c>
      <c r="Q51" s="53" t="str">
        <f xml:space="preserve"> IF(十五音音節表!P48&lt;&gt;"", _xlfn.CONCAT(Q$4,$E51), "")</f>
        <v>ㄙㄨㆤ</v>
      </c>
      <c r="R51" s="53" t="str">
        <f xml:space="preserve"> IF(十五音音節表!Q48&lt;&gt;"", _xlfn.CONCAT(R$4,$E51), "")</f>
        <v>ㄨㆤ</v>
      </c>
      <c r="S51" s="53" t="str">
        <f xml:space="preserve"> IF(十五音音節表!R48&lt;&gt;"", _xlfn.CONCAT(S$4,$E51), "")</f>
        <v>ㆠㄨㆤ</v>
      </c>
      <c r="T51" s="53" t="str">
        <f xml:space="preserve"> IF(十五音音節表!S48&lt;&gt;"", _xlfn.CONCAT(T$4,$E51), "")</f>
        <v/>
      </c>
      <c r="U51" s="53" t="str">
        <f xml:space="preserve"> IF(十五音音節表!T48&lt;&gt;"", _xlfn.CONCAT(U$4,$E51), "")</f>
        <v>ㆣㄨㆤ</v>
      </c>
      <c r="V51" s="53" t="str">
        <f xml:space="preserve"> IF(十五音音節表!U48&lt;&gt;"", _xlfn.CONCAT(V$4,$E51), "")</f>
        <v/>
      </c>
      <c r="W51" s="53" t="str">
        <f xml:space="preserve"> IF(十五音音節表!V48&lt;&gt;"", _xlfn.CONCAT(W$4,$E51), "")</f>
        <v>ㄘㄨㆤ</v>
      </c>
      <c r="X51" s="53" t="str">
        <f xml:space="preserve"> IF(十五音音節表!W48&lt;&gt;"", _xlfn.CONCAT(X$4,$E51), "")</f>
        <v>ㄏㄨㆤ</v>
      </c>
      <c r="Y51" s="135" t="s">
        <v>1167</v>
      </c>
      <c r="Z51" s="50" t="s">
        <v>206</v>
      </c>
      <c r="AA51" s="50" t="s">
        <v>110</v>
      </c>
    </row>
    <row r="52" spans="2:27" outlineLevel="1">
      <c r="B52" s="132" cm="1">
        <f t="array" ref="B52" xml:space="preserve"> INDEX(韻母表[韻序], MATCH(TRUE, EXACT($F52, 韻母表[十五音]), 0))</f>
        <v>25</v>
      </c>
      <c r="C52" s="96" t="str" cm="1">
        <f t="array" ref="C52" xml:space="preserve"> IF( INDEX(韻母表[國際音標2], MATCH(TRUE, EXACT($F52, 韻母表[十五音]), 0))&lt;&gt;"",  INDEX(韻母表[國際音標2], MATCH(TRUE, EXACT($F52, 韻母表[十五音]), 0)),  INDEX(韻母表[國際音標], MATCH(TRUE, EXACT($F52, 韻母表[十五音]), 0)))</f>
        <v>ueiʔ</v>
      </c>
      <c r="D52" s="50" t="str" cm="1">
        <f t="array" ref="D52" xml:space="preserve"> INDEX(韻母表[台羅拼音], MATCH(TRUE, EXACT($F52, 韻母表[十五音]), 0))</f>
        <v>ueh</v>
      </c>
      <c r="E52" s="135" t="str" cm="1">
        <f t="array" ref="E52" xml:space="preserve"> INDEX(韻母表[方音符號], MATCH(TRUE, EXACT($F52, 韻母表[十五音]), 0))</f>
        <v>ㄨㆤㆷ</v>
      </c>
      <c r="F52" s="50" t="s">
        <v>111</v>
      </c>
      <c r="G52" s="53" t="str">
        <f xml:space="preserve"> IF(十五音音節表!F49&lt;&gt;"", _xlfn.CONCAT(G$4,$E52), "")</f>
        <v/>
      </c>
      <c r="H52" s="53" t="str">
        <f xml:space="preserve"> IF(十五音音節表!G49&lt;&gt;"", _xlfn.CONCAT(H$4,$E52), "")</f>
        <v/>
      </c>
      <c r="I52" s="53" t="str">
        <f xml:space="preserve"> IF(十五音音節表!H49&lt;&gt;"", _xlfn.CONCAT(I$4,$E52), "")</f>
        <v>ㄅㄨㆤㆷ</v>
      </c>
      <c r="J52" s="53" t="str">
        <f xml:space="preserve"> IF(十五音音節表!I49&lt;&gt;"", _xlfn.CONCAT(J$4,$E52), "")</f>
        <v>ㄍㄨㆤㆷ</v>
      </c>
      <c r="K52" s="53" t="str">
        <f xml:space="preserve"> IF(十五音音節表!J49&lt;&gt;"", _xlfn.CONCAT(K$4,$E52), "")</f>
        <v>ㄎㄨㆤㆷ</v>
      </c>
      <c r="L52" s="53" t="str">
        <f xml:space="preserve"> IF(十五音音節表!K49&lt;&gt;"", _xlfn.CONCAT(L$4,$E52), "")</f>
        <v/>
      </c>
      <c r="M52" s="53" t="str">
        <f xml:space="preserve"> IF(十五音音節表!L49&lt;&gt;"", _xlfn.CONCAT(M$4,$E52), "")</f>
        <v>ㄆㄨㆤㆷ</v>
      </c>
      <c r="N52" s="53" t="str">
        <f xml:space="preserve"> IF(十五音音節表!M49&lt;&gt;"", _xlfn.CONCAT(N$4,$E52), "")</f>
        <v/>
      </c>
      <c r="O52" s="53" t="str">
        <f xml:space="preserve"> IF(十五音音節表!N49&lt;&gt;"", _xlfn.CONCAT(O$4,$E52), "")</f>
        <v/>
      </c>
      <c r="P52" s="53" t="str">
        <f xml:space="preserve"> IF(十五音音節表!O49&lt;&gt;"", _xlfn.CONCAT(P$4,$E52), "")</f>
        <v/>
      </c>
      <c r="Q52" s="53" t="str">
        <f xml:space="preserve"> IF(十五音音節表!P49&lt;&gt;"", _xlfn.CONCAT(Q$4,$E52), "")</f>
        <v>ㄙㄨㆤㆷ</v>
      </c>
      <c r="R52" s="53" t="str">
        <f xml:space="preserve"> IF(十五音音節表!Q49&lt;&gt;"", _xlfn.CONCAT(R$4,$E52), "")</f>
        <v>ㄨㆤㆷ</v>
      </c>
      <c r="S52" s="53" t="str">
        <f xml:space="preserve"> IF(十五音音節表!R49&lt;&gt;"", _xlfn.CONCAT(S$4,$E52), "")</f>
        <v>ㆠㄨㆤㆷ</v>
      </c>
      <c r="T52" s="53" t="str">
        <f xml:space="preserve"> IF(十五音音節表!S49&lt;&gt;"", _xlfn.CONCAT(T$4,$E52), "")</f>
        <v/>
      </c>
      <c r="U52" s="53" t="str">
        <f xml:space="preserve"> IF(十五音音節表!T49&lt;&gt;"", _xlfn.CONCAT(U$4,$E52), "")</f>
        <v>ㆣㄨㆤㆷ</v>
      </c>
      <c r="V52" s="53" t="str">
        <f xml:space="preserve"> IF(十五音音節表!U49&lt;&gt;"", _xlfn.CONCAT(V$4,$E52), "")</f>
        <v/>
      </c>
      <c r="W52" s="53" t="str">
        <f xml:space="preserve"> IF(十五音音節表!V49&lt;&gt;"", _xlfn.CONCAT(W$4,$E52), "")</f>
        <v/>
      </c>
      <c r="X52" s="53" t="str">
        <f xml:space="preserve"> IF(十五音音節表!W49&lt;&gt;"", _xlfn.CONCAT(X$4,$E52), "")</f>
        <v>ㄏㄨㆤㆷ</v>
      </c>
      <c r="Y52" s="135" t="s">
        <v>1170</v>
      </c>
      <c r="Z52" s="50" t="s">
        <v>207</v>
      </c>
      <c r="AA52" s="50" t="s">
        <v>111</v>
      </c>
    </row>
    <row r="53" spans="2:27">
      <c r="B53" s="132" cm="1">
        <f t="array" ref="B53" xml:space="preserve"> INDEX(韻母表[韻序], MATCH(TRUE, EXACT($F53, 韻母表[十五音]), 0))</f>
        <v>26</v>
      </c>
      <c r="C53" s="50" t="str" cm="1">
        <f t="array" ref="C53" xml:space="preserve"> IF( INDEX(韻母表[國際音標2], MATCH(TRUE, EXACT($F53, 韻母表[十五音]), 0))&lt;&gt;"",  INDEX(韻母表[國際音標2], MATCH(TRUE, EXACT($F53, 韻母表[十五音]), 0)),  INDEX(韻母表[國際音標], MATCH(TRUE, EXACT($F53, 韻母表[十五音]), 0)))</f>
        <v>ã</v>
      </c>
      <c r="D53" s="50" t="str" cm="1">
        <f t="array" ref="D53" xml:space="preserve"> INDEX(韻母表[台羅拼音], MATCH(TRUE, EXACT($F53, 韻母表[十五音]), 0))</f>
        <v>ann</v>
      </c>
      <c r="E53" s="135" t="str" cm="1">
        <f t="array" ref="E53" xml:space="preserve"> INDEX(韻母表[方音符號], MATCH(TRUE, EXACT($F53, 韻母表[十五音]), 0))</f>
        <v>ㆩ</v>
      </c>
      <c r="F53" s="50" t="s">
        <v>112</v>
      </c>
      <c r="G53" s="53" t="str">
        <f xml:space="preserve"> IF(十五音音節表!F50&lt;&gt;"", _xlfn.CONCAT(G$4,$E53), "")</f>
        <v/>
      </c>
      <c r="H53" s="53" t="str">
        <f xml:space="preserve"> IF(十五音音節表!G50&lt;&gt;"", _xlfn.CONCAT(H$4,$E53), "")</f>
        <v/>
      </c>
      <c r="I53" s="53" t="str">
        <f xml:space="preserve"> IF(十五音音節表!H50&lt;&gt;"", _xlfn.CONCAT(I$4,$E53), "")</f>
        <v/>
      </c>
      <c r="J53" s="53" t="str">
        <f xml:space="preserve"> IF(十五音音節表!I50&lt;&gt;"", _xlfn.CONCAT(J$4,$E53), "")</f>
        <v>ㄍㆩ</v>
      </c>
      <c r="K53" s="53" t="str">
        <f xml:space="preserve"> IF(十五音音節表!J50&lt;&gt;"", _xlfn.CONCAT(K$4,$E53), "")</f>
        <v>ㄎㆩ</v>
      </c>
      <c r="L53" s="53" t="str">
        <f xml:space="preserve"> IF(十五音音節表!K50&lt;&gt;"", _xlfn.CONCAT(L$4,$E53), "")</f>
        <v>ㄉㆩ</v>
      </c>
      <c r="M53" s="53" t="str">
        <f xml:space="preserve"> IF(十五音音節表!L50&lt;&gt;"", _xlfn.CONCAT(M$4,$E53), "")</f>
        <v>ㄆㆩ</v>
      </c>
      <c r="N53" s="53" t="str">
        <f xml:space="preserve"> IF(十五音音節表!M50&lt;&gt;"", _xlfn.CONCAT(N$4,$E53), "")</f>
        <v>ㄊㆩ</v>
      </c>
      <c r="O53" s="53" t="str">
        <f xml:space="preserve"> IF(十五音音節表!N50&lt;&gt;"", _xlfn.CONCAT(O$4,$E53), "")</f>
        <v>ㄗㆩ</v>
      </c>
      <c r="P53" s="53" t="str">
        <f xml:space="preserve"> IF(十五音音節表!O50&lt;&gt;"", _xlfn.CONCAT(P$4,$E53), "")</f>
        <v/>
      </c>
      <c r="Q53" s="53" t="str">
        <f xml:space="preserve"> IF(十五音音節表!P50&lt;&gt;"", _xlfn.CONCAT(Q$4,$E53), "")</f>
        <v>ㄙㆩ</v>
      </c>
      <c r="R53" s="53" t="str">
        <f xml:space="preserve"> IF(十五音音節表!Q50&lt;&gt;"", _xlfn.CONCAT(R$4,$E53), "")</f>
        <v>ㆩ</v>
      </c>
      <c r="S53" s="53" t="str">
        <f xml:space="preserve"> IF(十五音音節表!R50&lt;&gt;"", _xlfn.CONCAT(S$4,$E53), "")</f>
        <v/>
      </c>
      <c r="T53" s="53" t="str">
        <f xml:space="preserve"> IF(十五音音節表!S50&lt;&gt;"", _xlfn.CONCAT(T$4,$E53), "")</f>
        <v/>
      </c>
      <c r="U53" s="53" t="str">
        <f xml:space="preserve"> IF(十五音音節表!T50&lt;&gt;"", _xlfn.CONCAT(U$4,$E53), "")</f>
        <v/>
      </c>
      <c r="V53" s="53" t="str">
        <f xml:space="preserve"> IF(十五音音節表!U50&lt;&gt;"", _xlfn.CONCAT(V$4,$E53), "")</f>
        <v/>
      </c>
      <c r="W53" s="53" t="str">
        <f xml:space="preserve"> IF(十五音音節表!V50&lt;&gt;"", _xlfn.CONCAT(W$4,$E53), "")</f>
        <v>ㄘㆩ</v>
      </c>
      <c r="X53" s="53" t="str">
        <f xml:space="preserve"> IF(十五音音節表!W50&lt;&gt;"", _xlfn.CONCAT(X$4,$E53), "")</f>
        <v>ㄏㆩ</v>
      </c>
      <c r="Y53" s="135" t="s">
        <v>1174</v>
      </c>
      <c r="Z53" s="50" t="s">
        <v>208</v>
      </c>
      <c r="AA53" s="50" t="s">
        <v>112</v>
      </c>
    </row>
    <row r="54" spans="2:27" outlineLevel="1">
      <c r="B54" s="132" cm="1">
        <f t="array" ref="B54" xml:space="preserve"> INDEX(韻母表[韻序], MATCH(TRUE, EXACT($F54, 韻母表[十五音]), 0))</f>
        <v>26</v>
      </c>
      <c r="C54" s="50" t="str" cm="1">
        <f t="array" ref="C54" xml:space="preserve"> IF( INDEX(韻母表[國際音標2], MATCH(TRUE, EXACT($F54, 韻母表[十五音]), 0))&lt;&gt;"",  INDEX(韻母表[國際音標2], MATCH(TRUE, EXACT($F54, 韻母表[十五音]), 0)),  INDEX(韻母表[國際音標], MATCH(TRUE, EXACT($F54, 韻母表[十五音]), 0)))</f>
        <v>ãʔ</v>
      </c>
      <c r="D54" s="50" t="str" cm="1">
        <f t="array" ref="D54" xml:space="preserve"> INDEX(韻母表[台羅拼音], MATCH(TRUE, EXACT($F54, 韻母表[十五音]), 0))</f>
        <v>annh</v>
      </c>
      <c r="E54" s="135" t="str" cm="1">
        <f t="array" ref="E54" xml:space="preserve"> INDEX(韻母表[方音符號], MATCH(TRUE, EXACT($F54, 韻母表[十五音]), 0))</f>
        <v>ㆩㆷ</v>
      </c>
      <c r="F54" s="50" t="s">
        <v>113</v>
      </c>
      <c r="G54" s="53" t="str">
        <f xml:space="preserve"> IF(十五音音節表!F51&lt;&gt;"", _xlfn.CONCAT(G$4,$E54), "")</f>
        <v/>
      </c>
      <c r="H54" s="53" t="str">
        <f xml:space="preserve"> IF(十五音音節表!G51&lt;&gt;"", _xlfn.CONCAT(H$4,$E54), "")</f>
        <v/>
      </c>
      <c r="I54" s="53" t="str">
        <f xml:space="preserve"> IF(十五音音節表!H51&lt;&gt;"", _xlfn.CONCAT(I$4,$E54), "")</f>
        <v/>
      </c>
      <c r="J54" s="53" t="str">
        <f xml:space="preserve"> IF(十五音音節表!I51&lt;&gt;"", _xlfn.CONCAT(J$4,$E54), "")</f>
        <v/>
      </c>
      <c r="K54" s="53" t="str">
        <f xml:space="preserve"> IF(十五音音節表!J51&lt;&gt;"", _xlfn.CONCAT(K$4,$E54), "")</f>
        <v/>
      </c>
      <c r="L54" s="53" t="str">
        <f xml:space="preserve"> IF(十五音音節表!K51&lt;&gt;"", _xlfn.CONCAT(L$4,$E54), "")</f>
        <v/>
      </c>
      <c r="M54" s="53" t="str">
        <f xml:space="preserve"> IF(十五音音節表!L51&lt;&gt;"", _xlfn.CONCAT(M$4,$E54), "")</f>
        <v/>
      </c>
      <c r="N54" s="53" t="str">
        <f xml:space="preserve"> IF(十五音音節表!M51&lt;&gt;"", _xlfn.CONCAT(N$4,$E54), "")</f>
        <v/>
      </c>
      <c r="O54" s="53" t="str">
        <f xml:space="preserve"> IF(十五音音節表!N51&lt;&gt;"", _xlfn.CONCAT(O$4,$E54), "")</f>
        <v/>
      </c>
      <c r="P54" s="53" t="str">
        <f xml:space="preserve"> IF(十五音音節表!O51&lt;&gt;"", _xlfn.CONCAT(P$4,$E54), "")</f>
        <v/>
      </c>
      <c r="Q54" s="53" t="str">
        <f xml:space="preserve"> IF(十五音音節表!P51&lt;&gt;"", _xlfn.CONCAT(Q$4,$E54), "")</f>
        <v>ㄙㆩㆷ</v>
      </c>
      <c r="R54" s="53" t="str">
        <f xml:space="preserve"> IF(十五音音節表!Q51&lt;&gt;"", _xlfn.CONCAT(R$4,$E54), "")</f>
        <v/>
      </c>
      <c r="S54" s="53" t="str">
        <f xml:space="preserve"> IF(十五音音節表!R51&lt;&gt;"", _xlfn.CONCAT(S$4,$E54), "")</f>
        <v/>
      </c>
      <c r="T54" s="53" t="str">
        <f xml:space="preserve"> IF(十五音音節表!S51&lt;&gt;"", _xlfn.CONCAT(T$4,$E54), "")</f>
        <v/>
      </c>
      <c r="U54" s="53" t="str">
        <f xml:space="preserve"> IF(十五音音節表!T51&lt;&gt;"", _xlfn.CONCAT(U$4,$E54), "")</f>
        <v/>
      </c>
      <c r="V54" s="53" t="str">
        <f xml:space="preserve"> IF(十五音音節表!U51&lt;&gt;"", _xlfn.CONCAT(V$4,$E54), "")</f>
        <v/>
      </c>
      <c r="W54" s="53" t="str">
        <f xml:space="preserve"> IF(十五音音節表!V51&lt;&gt;"", _xlfn.CONCAT(W$4,$E54), "")</f>
        <v/>
      </c>
      <c r="X54" s="53" t="str">
        <f xml:space="preserve"> IF(十五音音節表!W51&lt;&gt;"", _xlfn.CONCAT(X$4,$E54), "")</f>
        <v>ㄏㆩㆷ</v>
      </c>
      <c r="Y54" s="135" t="s">
        <v>1178</v>
      </c>
      <c r="Z54" s="50" t="s">
        <v>209</v>
      </c>
      <c r="AA54" s="50" t="s">
        <v>113</v>
      </c>
    </row>
    <row r="55" spans="2:27">
      <c r="B55" s="132" cm="1">
        <f t="array" ref="B55" xml:space="preserve"> INDEX(韻母表[韻序], MATCH(TRUE, EXACT($F55, 韻母表[十五音]), 0))</f>
        <v>27</v>
      </c>
      <c r="C55" s="50" t="str" cm="1">
        <f t="array" ref="C55" xml:space="preserve"> IF( INDEX(韻母表[國際音標2], MATCH(TRUE, EXACT($F55, 韻母表[十五音]), 0))&lt;&gt;"",  INDEX(韻母表[國際音標2], MATCH(TRUE, EXACT($F55, 韻母表[十五音]), 0)),  INDEX(韻母表[國際音標], MATCH(TRUE, EXACT($F55, 韻母表[十五音]), 0)))</f>
        <v>u</v>
      </c>
      <c r="D55" s="50" t="str" cm="1">
        <f t="array" ref="D55" xml:space="preserve"> INDEX(韻母表[台羅拼音], MATCH(TRUE, EXACT($F55, 韻母表[十五音]), 0))</f>
        <v>u</v>
      </c>
      <c r="E55" s="135" t="str" cm="1">
        <f t="array" ref="E55" xml:space="preserve"> INDEX(韻母表[方音符號], MATCH(TRUE, EXACT($F55, 韻母表[十五音]), 0))</f>
        <v>ㄨ</v>
      </c>
      <c r="F55" s="50" t="s">
        <v>114</v>
      </c>
      <c r="G55" s="53" t="str">
        <f xml:space="preserve"> IF(十五音音節表!F52&lt;&gt;"", _xlfn.CONCAT(G$4,$E55), "")</f>
        <v>ㄌㄨ</v>
      </c>
      <c r="H55" s="53" t="str">
        <f xml:space="preserve"> IF(十五音音節表!G52&lt;&gt;"", _xlfn.CONCAT(H$4,$E55), "")</f>
        <v/>
      </c>
      <c r="I55" s="53" t="str">
        <f xml:space="preserve"> IF(十五音音節表!H52&lt;&gt;"", _xlfn.CONCAT(I$4,$E55), "")</f>
        <v>ㄅㄨ</v>
      </c>
      <c r="J55" s="53" t="str">
        <f xml:space="preserve"> IF(十五音音節表!I52&lt;&gt;"", _xlfn.CONCAT(J$4,$E55), "")</f>
        <v>ㄍㄨ</v>
      </c>
      <c r="K55" s="53" t="str">
        <f xml:space="preserve"> IF(十五音音節表!J52&lt;&gt;"", _xlfn.CONCAT(K$4,$E55), "")</f>
        <v>ㄎㄨ</v>
      </c>
      <c r="L55" s="53" t="str">
        <f xml:space="preserve"> IF(十五音音節表!K52&lt;&gt;"", _xlfn.CONCAT(L$4,$E55), "")</f>
        <v>ㄉㄨ</v>
      </c>
      <c r="M55" s="53" t="str">
        <f xml:space="preserve"> IF(十五音音節表!L52&lt;&gt;"", _xlfn.CONCAT(M$4,$E55), "")</f>
        <v>ㄆㄨ</v>
      </c>
      <c r="N55" s="53" t="str">
        <f xml:space="preserve"> IF(十五音音節表!M52&lt;&gt;"", _xlfn.CONCAT(N$4,$E55), "")</f>
        <v>ㄊㄨ</v>
      </c>
      <c r="O55" s="53" t="str">
        <f xml:space="preserve"> IF(十五音音節表!N52&lt;&gt;"", _xlfn.CONCAT(O$4,$E55), "")</f>
        <v>ㄗㄨ</v>
      </c>
      <c r="P55" s="53" t="str">
        <f xml:space="preserve"> IF(十五音音節表!O52&lt;&gt;"", _xlfn.CONCAT(P$4,$E55), "")</f>
        <v>ㆡㄨ</v>
      </c>
      <c r="Q55" s="53" t="str">
        <f xml:space="preserve"> IF(十五音音節表!P52&lt;&gt;"", _xlfn.CONCAT(Q$4,$E55), "")</f>
        <v>ㄙㄨ</v>
      </c>
      <c r="R55" s="53" t="str">
        <f xml:space="preserve"> IF(十五音音節表!Q52&lt;&gt;"", _xlfn.CONCAT(R$4,$E55), "")</f>
        <v>ㄨ</v>
      </c>
      <c r="S55" s="53" t="str">
        <f xml:space="preserve"> IF(十五音音節表!R52&lt;&gt;"", _xlfn.CONCAT(S$4,$E55), "")</f>
        <v>ㆠㄨ</v>
      </c>
      <c r="T55" s="53" t="str">
        <f xml:space="preserve"> IF(十五音音節表!S52&lt;&gt;"", _xlfn.CONCAT(T$4,$E55), "")</f>
        <v/>
      </c>
      <c r="U55" s="53" t="str">
        <f xml:space="preserve"> IF(十五音音節表!T52&lt;&gt;"", _xlfn.CONCAT(U$4,$E55), "")</f>
        <v>ㆣㄨ</v>
      </c>
      <c r="V55" s="53" t="str">
        <f xml:space="preserve"> IF(十五音音節表!U52&lt;&gt;"", _xlfn.CONCAT(V$4,$E55), "")</f>
        <v/>
      </c>
      <c r="W55" s="53" t="str">
        <f xml:space="preserve"> IF(十五音音節表!V52&lt;&gt;"", _xlfn.CONCAT(W$4,$E55), "")</f>
        <v>ㄘㄨ</v>
      </c>
      <c r="X55" s="53" t="str">
        <f xml:space="preserve"> IF(十五音音節表!W52&lt;&gt;"", _xlfn.CONCAT(X$4,$E55), "")</f>
        <v>ㄏㄨ</v>
      </c>
      <c r="Y55" s="135" t="s">
        <v>1180</v>
      </c>
      <c r="Z55" s="50" t="s">
        <v>210</v>
      </c>
      <c r="AA55" s="50" t="s">
        <v>114</v>
      </c>
    </row>
    <row r="56" spans="2:27" outlineLevel="1">
      <c r="B56" s="132" cm="1">
        <f t="array" ref="B56" xml:space="preserve"> INDEX(韻母表[韻序], MATCH(TRUE, EXACT($F56, 韻母表[十五音]), 0))</f>
        <v>27</v>
      </c>
      <c r="C56" s="50" t="str" cm="1">
        <f t="array" ref="C56" xml:space="preserve"> IF( INDEX(韻母表[國際音標2], MATCH(TRUE, EXACT($F56, 韻母表[十五音]), 0))&lt;&gt;"",  INDEX(韻母表[國際音標2], MATCH(TRUE, EXACT($F56, 韻母表[十五音]), 0)),  INDEX(韻母表[國際音標], MATCH(TRUE, EXACT($F56, 韻母表[十五音]), 0)))</f>
        <v>uʔ</v>
      </c>
      <c r="D56" s="50" t="str" cm="1">
        <f t="array" ref="D56" xml:space="preserve"> INDEX(韻母表[台羅拼音], MATCH(TRUE, EXACT($F56, 韻母表[十五音]), 0))</f>
        <v>uh</v>
      </c>
      <c r="E56" s="135" t="str" cm="1">
        <f t="array" ref="E56" xml:space="preserve"> INDEX(韻母表[方音符號], MATCH(TRUE, EXACT($F56, 韻母表[十五音]), 0))</f>
        <v>ㄨㆷ</v>
      </c>
      <c r="F56" s="50" t="s">
        <v>115</v>
      </c>
      <c r="G56" s="53" t="str">
        <f xml:space="preserve"> IF(十五音音節表!F53&lt;&gt;"", _xlfn.CONCAT(G$4,$E56), "")</f>
        <v/>
      </c>
      <c r="H56" s="53" t="str">
        <f xml:space="preserve"> IF(十五音音節表!G53&lt;&gt;"", _xlfn.CONCAT(H$4,$E56), "")</f>
        <v/>
      </c>
      <c r="I56" s="53" t="str">
        <f xml:space="preserve"> IF(十五音音節表!H53&lt;&gt;"", _xlfn.CONCAT(I$4,$E56), "")</f>
        <v>ㄅㄨㆷ</v>
      </c>
      <c r="J56" s="53" t="str">
        <f xml:space="preserve"> IF(十五音音節表!I53&lt;&gt;"", _xlfn.CONCAT(J$4,$E56), "")</f>
        <v/>
      </c>
      <c r="K56" s="53" t="str">
        <f xml:space="preserve"> IF(十五音音節表!J53&lt;&gt;"", _xlfn.CONCAT(K$4,$E56), "")</f>
        <v>ㄎㄨㆷ</v>
      </c>
      <c r="L56" s="53" t="str">
        <f xml:space="preserve"> IF(十五音音節表!K53&lt;&gt;"", _xlfn.CONCAT(L$4,$E56), "")</f>
        <v>ㄉㄨㆷ</v>
      </c>
      <c r="M56" s="53" t="str">
        <f xml:space="preserve"> IF(十五音音節表!L53&lt;&gt;"", _xlfn.CONCAT(M$4,$E56), "")</f>
        <v>ㄆㄨㆷ</v>
      </c>
      <c r="N56" s="53" t="str">
        <f xml:space="preserve"> IF(十五音音節表!M53&lt;&gt;"", _xlfn.CONCAT(N$4,$E56), "")</f>
        <v>ㄊㄨㆷ</v>
      </c>
      <c r="O56" s="53" t="str">
        <f xml:space="preserve"> IF(十五音音節表!N53&lt;&gt;"", _xlfn.CONCAT(O$4,$E56), "")</f>
        <v>ㄗㄨㆷ</v>
      </c>
      <c r="P56" s="53" t="str">
        <f xml:space="preserve"> IF(十五音音節表!O53&lt;&gt;"", _xlfn.CONCAT(P$4,$E56), "")</f>
        <v/>
      </c>
      <c r="Q56" s="53" t="str">
        <f xml:space="preserve"> IF(十五音音節表!P53&lt;&gt;"", _xlfn.CONCAT(Q$4,$E56), "")</f>
        <v/>
      </c>
      <c r="R56" s="53" t="str">
        <f xml:space="preserve"> IF(十五音音節表!Q53&lt;&gt;"", _xlfn.CONCAT(R$4,$E56), "")</f>
        <v>ㄨㆷ</v>
      </c>
      <c r="S56" s="53" t="str">
        <f xml:space="preserve"> IF(十五音音節表!R53&lt;&gt;"", _xlfn.CONCAT(S$4,$E56), "")</f>
        <v/>
      </c>
      <c r="T56" s="53" t="str">
        <f xml:space="preserve"> IF(十五音音節表!S53&lt;&gt;"", _xlfn.CONCAT(T$4,$E56), "")</f>
        <v/>
      </c>
      <c r="U56" s="53" t="str">
        <f xml:space="preserve"> IF(十五音音節表!T53&lt;&gt;"", _xlfn.CONCAT(U$4,$E56), "")</f>
        <v/>
      </c>
      <c r="V56" s="53" t="str">
        <f xml:space="preserve"> IF(十五音音節表!U53&lt;&gt;"", _xlfn.CONCAT(V$4,$E56), "")</f>
        <v/>
      </c>
      <c r="W56" s="53" t="str">
        <f xml:space="preserve"> IF(十五音音節表!V53&lt;&gt;"", _xlfn.CONCAT(W$4,$E56), "")</f>
        <v>ㄘㄨㆷ</v>
      </c>
      <c r="X56" s="53" t="str">
        <f xml:space="preserve"> IF(十五音音節表!W53&lt;&gt;"", _xlfn.CONCAT(X$4,$E56), "")</f>
        <v/>
      </c>
      <c r="Y56" s="135" t="s">
        <v>1182</v>
      </c>
      <c r="Z56" s="50" t="s">
        <v>211</v>
      </c>
      <c r="AA56" s="50" t="s">
        <v>115</v>
      </c>
    </row>
    <row r="57" spans="2:27">
      <c r="B57" s="132" cm="1">
        <f t="array" ref="B57" xml:space="preserve"> INDEX(韻母表[韻序], MATCH(TRUE, EXACT($F57, 韻母表[十五音]), 0))</f>
        <v>28</v>
      </c>
      <c r="C57" s="50" t="str" cm="1">
        <f t="array" ref="C57" xml:space="preserve"> IF( INDEX(韻母表[國際音標2], MATCH(TRUE, EXACT($F57, 韻母表[十五音]), 0))&lt;&gt;"",  INDEX(韻母表[國際音標2], MATCH(TRUE, EXACT($F57, 韻母表[十五音]), 0)),  INDEX(韻母表[國際音標], MATCH(TRUE, EXACT($F57, 韻母表[十五音]), 0)))</f>
        <v>a</v>
      </c>
      <c r="D57" s="50" t="str" cm="1">
        <f t="array" ref="D57" xml:space="preserve"> INDEX(韻母表[台羅拼音], MATCH(TRUE, EXACT($F57, 韻母表[十五音]), 0))</f>
        <v>a</v>
      </c>
      <c r="E57" s="135" t="str" cm="1">
        <f t="array" ref="E57" xml:space="preserve"> INDEX(韻母表[方音符號], MATCH(TRUE, EXACT($F57, 韻母表[十五音]), 0))</f>
        <v>ㄚ</v>
      </c>
      <c r="F57" s="50" t="s">
        <v>116</v>
      </c>
      <c r="G57" s="53" t="str">
        <f xml:space="preserve"> IF(十五音音節表!F54&lt;&gt;"", _xlfn.CONCAT(G$4,$E57), "")</f>
        <v>ㄌㄚ</v>
      </c>
      <c r="H57" s="53" t="str">
        <f xml:space="preserve"> IF(十五音音節表!G54&lt;&gt;"", _xlfn.CONCAT(H$4,$E57), "")</f>
        <v>ㄋㄚ</v>
      </c>
      <c r="I57" s="53" t="str">
        <f xml:space="preserve"> IF(十五音音節表!H54&lt;&gt;"", _xlfn.CONCAT(I$4,$E57), "")</f>
        <v>ㄅㄚ</v>
      </c>
      <c r="J57" s="53" t="str">
        <f xml:space="preserve"> IF(十五音音節表!I54&lt;&gt;"", _xlfn.CONCAT(J$4,$E57), "")</f>
        <v>ㄍㄚ</v>
      </c>
      <c r="K57" s="53" t="str">
        <f xml:space="preserve"> IF(十五音音節表!J54&lt;&gt;"", _xlfn.CONCAT(K$4,$E57), "")</f>
        <v>ㄎㄚ</v>
      </c>
      <c r="L57" s="53" t="str">
        <f xml:space="preserve"> IF(十五音音節表!K54&lt;&gt;"", _xlfn.CONCAT(L$4,$E57), "")</f>
        <v>ㄉㄚ</v>
      </c>
      <c r="M57" s="53" t="str">
        <f xml:space="preserve"> IF(十五音音節表!L54&lt;&gt;"", _xlfn.CONCAT(M$4,$E57), "")</f>
        <v>ㄆㄚ</v>
      </c>
      <c r="N57" s="53" t="str">
        <f xml:space="preserve"> IF(十五音音節表!M54&lt;&gt;"", _xlfn.CONCAT(N$4,$E57), "")</f>
        <v>ㄊㄚ</v>
      </c>
      <c r="O57" s="53" t="str">
        <f xml:space="preserve"> IF(十五音音節表!N54&lt;&gt;"", _xlfn.CONCAT(O$4,$E57), "")</f>
        <v>ㄗㄚ</v>
      </c>
      <c r="P57" s="53" t="str">
        <f xml:space="preserve"> IF(十五音音節表!O54&lt;&gt;"", _xlfn.CONCAT(P$4,$E57), "")</f>
        <v/>
      </c>
      <c r="Q57" s="53" t="str">
        <f xml:space="preserve"> IF(十五音音節表!P54&lt;&gt;"", _xlfn.CONCAT(Q$4,$E57), "")</f>
        <v>ㄙㄚ</v>
      </c>
      <c r="R57" s="53" t="str">
        <f xml:space="preserve"> IF(十五音音節表!Q54&lt;&gt;"", _xlfn.CONCAT(R$4,$E57), "")</f>
        <v>ㄚ</v>
      </c>
      <c r="S57" s="53" t="str">
        <f xml:space="preserve"> IF(十五音音節表!R54&lt;&gt;"", _xlfn.CONCAT(S$4,$E57), "")</f>
        <v>ㆠㄚ</v>
      </c>
      <c r="T57" s="53" t="str">
        <f xml:space="preserve"> IF(十五音音節表!S54&lt;&gt;"", _xlfn.CONCAT(T$4,$E57), "")</f>
        <v>ㄇㄚ</v>
      </c>
      <c r="U57" s="53" t="str">
        <f xml:space="preserve"> IF(十五音音節表!T54&lt;&gt;"", _xlfn.CONCAT(U$4,$E57), "")</f>
        <v>ㆣㄚ</v>
      </c>
      <c r="V57" s="53" t="str">
        <f xml:space="preserve"> IF(十五音音節表!U54&lt;&gt;"", _xlfn.CONCAT(V$4,$E57), "")</f>
        <v>ㄫㄚ</v>
      </c>
      <c r="W57" s="53" t="str">
        <f xml:space="preserve"> IF(十五音音節表!V54&lt;&gt;"", _xlfn.CONCAT(W$4,$E57), "")</f>
        <v>ㄘㄚ</v>
      </c>
      <c r="X57" s="53" t="str">
        <f xml:space="preserve"> IF(十五音音節表!W54&lt;&gt;"", _xlfn.CONCAT(X$4,$E57), "")</f>
        <v>ㄏㄚ</v>
      </c>
      <c r="Y57" s="135" t="s">
        <v>1184</v>
      </c>
      <c r="Z57" s="50" t="s">
        <v>212</v>
      </c>
      <c r="AA57" s="50" t="s">
        <v>116</v>
      </c>
    </row>
    <row r="58" spans="2:27" outlineLevel="1">
      <c r="B58" s="132" cm="1">
        <f t="array" ref="B58" xml:space="preserve"> INDEX(韻母表[韻序], MATCH(TRUE, EXACT($F58, 韻母表[十五音]), 0))</f>
        <v>28</v>
      </c>
      <c r="C58" s="50" t="str" cm="1">
        <f t="array" ref="C58" xml:space="preserve"> IF( INDEX(韻母表[國際音標2], MATCH(TRUE, EXACT($F58, 韻母表[十五音]), 0))&lt;&gt;"",  INDEX(韻母表[國際音標2], MATCH(TRUE, EXACT($F58, 韻母表[十五音]), 0)),  INDEX(韻母表[國際音標], MATCH(TRUE, EXACT($F58, 韻母表[十五音]), 0)))</f>
        <v>aʔ</v>
      </c>
      <c r="D58" s="50" t="str" cm="1">
        <f t="array" ref="D58" xml:space="preserve"> INDEX(韻母表[台羅拼音], MATCH(TRUE, EXACT($F58, 韻母表[十五音]), 0))</f>
        <v>ah</v>
      </c>
      <c r="E58" s="135" t="str" cm="1">
        <f t="array" ref="E58" xml:space="preserve"> INDEX(韻母表[方音符號], MATCH(TRUE, EXACT($F58, 韻母表[十五音]), 0))</f>
        <v>ㄚㆷ</v>
      </c>
      <c r="F58" s="50" t="s">
        <v>117</v>
      </c>
      <c r="G58" s="53" t="str">
        <f xml:space="preserve"> IF(十五音音節表!F55&lt;&gt;"", _xlfn.CONCAT(G$4,$E58), "")</f>
        <v>ㄌㄚㆷ</v>
      </c>
      <c r="H58" s="53" t="str">
        <f xml:space="preserve"> IF(十五音音節表!G55&lt;&gt;"", _xlfn.CONCAT(H$4,$E58), "")</f>
        <v>ㄋㄚㆷ</v>
      </c>
      <c r="I58" s="53" t="str">
        <f xml:space="preserve"> IF(十五音音節表!H55&lt;&gt;"", _xlfn.CONCAT(I$4,$E58), "")</f>
        <v>ㄅㄚㆷ</v>
      </c>
      <c r="J58" s="53" t="str">
        <f xml:space="preserve"> IF(十五音音節表!I55&lt;&gt;"", _xlfn.CONCAT(J$4,$E58), "")</f>
        <v>ㄍㄚㆷ</v>
      </c>
      <c r="K58" s="53" t="str">
        <f xml:space="preserve"> IF(十五音音節表!J55&lt;&gt;"", _xlfn.CONCAT(K$4,$E58), "")</f>
        <v>ㄎㄚㆷ</v>
      </c>
      <c r="L58" s="53" t="str">
        <f xml:space="preserve"> IF(十五音音節表!K55&lt;&gt;"", _xlfn.CONCAT(L$4,$E58), "")</f>
        <v>ㄉㄚㆷ</v>
      </c>
      <c r="M58" s="53" t="str">
        <f xml:space="preserve"> IF(十五音音節表!L55&lt;&gt;"", _xlfn.CONCAT(M$4,$E58), "")</f>
        <v>ㄆㄚㆷ</v>
      </c>
      <c r="N58" s="53" t="str">
        <f xml:space="preserve"> IF(十五音音節表!M55&lt;&gt;"", _xlfn.CONCAT(N$4,$E58), "")</f>
        <v>ㄊㄚㆷ</v>
      </c>
      <c r="O58" s="53" t="str">
        <f xml:space="preserve"> IF(十五音音節表!N55&lt;&gt;"", _xlfn.CONCAT(O$4,$E58), "")</f>
        <v>ㄗㄚㆷ</v>
      </c>
      <c r="P58" s="53" t="str">
        <f xml:space="preserve"> IF(十五音音節表!O55&lt;&gt;"", _xlfn.CONCAT(P$4,$E58), "")</f>
        <v/>
      </c>
      <c r="Q58" s="53" t="str">
        <f xml:space="preserve"> IF(十五音音節表!P55&lt;&gt;"", _xlfn.CONCAT(Q$4,$E58), "")</f>
        <v>ㄙㄚㆷ</v>
      </c>
      <c r="R58" s="53" t="str">
        <f xml:space="preserve"> IF(十五音音節表!Q55&lt;&gt;"", _xlfn.CONCAT(R$4,$E58), "")</f>
        <v>ㄚㆷ</v>
      </c>
      <c r="S58" s="53" t="str">
        <f xml:space="preserve"> IF(十五音音節表!R55&lt;&gt;"", _xlfn.CONCAT(S$4,$E58), "")</f>
        <v>ㆠㄚㆷ</v>
      </c>
      <c r="T58" s="53" t="str">
        <f xml:space="preserve"> IF(十五音音節表!S55&lt;&gt;"", _xlfn.CONCAT(T$4,$E58), "")</f>
        <v/>
      </c>
      <c r="U58" s="53" t="str">
        <f xml:space="preserve"> IF(十五音音節表!T55&lt;&gt;"", _xlfn.CONCAT(U$4,$E58), "")</f>
        <v/>
      </c>
      <c r="V58" s="53" t="str">
        <f xml:space="preserve"> IF(十五音音節表!U55&lt;&gt;"", _xlfn.CONCAT(V$4,$E58), "")</f>
        <v/>
      </c>
      <c r="W58" s="53" t="str">
        <f xml:space="preserve"> IF(十五音音節表!V55&lt;&gt;"", _xlfn.CONCAT(W$4,$E58), "")</f>
        <v>ㄘㄚㆷ</v>
      </c>
      <c r="X58" s="53" t="str">
        <f xml:space="preserve"> IF(十五音音節表!W55&lt;&gt;"", _xlfn.CONCAT(X$4,$E58), "")</f>
        <v>ㄏㄚㆷ</v>
      </c>
      <c r="Y58" s="135" t="s">
        <v>1186</v>
      </c>
      <c r="Z58" s="50" t="s">
        <v>213</v>
      </c>
      <c r="AA58" s="50" t="s">
        <v>117</v>
      </c>
    </row>
    <row r="59" spans="2:27">
      <c r="B59" s="132" cm="1">
        <f t="array" ref="B59" xml:space="preserve"> INDEX(韻母表[韻序], MATCH(TRUE, EXACT($F59, 韻母表[十五音]), 0))</f>
        <v>29</v>
      </c>
      <c r="C59" s="50" t="str" cm="1">
        <f t="array" ref="C59" xml:space="preserve"> IF( INDEX(韻母表[國際音標2], MATCH(TRUE, EXACT($F59, 韻母表[十五音]), 0))&lt;&gt;"",  INDEX(韻母表[國際音標2], MATCH(TRUE, EXACT($F59, 韻母表[十五音]), 0)),  INDEX(韻母表[國際音標], MATCH(TRUE, EXACT($F59, 韻母表[十五音]), 0)))</f>
        <v>i</v>
      </c>
      <c r="D59" s="50" t="str" cm="1">
        <f t="array" ref="D59" xml:space="preserve"> INDEX(韻母表[台羅拼音], MATCH(TRUE, EXACT($F59, 韻母表[十五音]), 0))</f>
        <v>i</v>
      </c>
      <c r="E59" s="135" t="str" cm="1">
        <f t="array" ref="E59" xml:space="preserve"> INDEX(韻母表[方音符號], MATCH(TRUE, EXACT($F59, 韻母表[十五音]), 0))</f>
        <v>ㄧ</v>
      </c>
      <c r="F59" s="50" t="s">
        <v>118</v>
      </c>
      <c r="G59" s="53" t="str">
        <f xml:space="preserve"> IF(十五音音節表!F56&lt;&gt;"", _xlfn.CONCAT(G$4,$E59), "")</f>
        <v>ㄌㄧ</v>
      </c>
      <c r="H59" s="53" t="str">
        <f xml:space="preserve"> IF(十五音音節表!G56&lt;&gt;"", _xlfn.CONCAT(H$4,$E59), "")</f>
        <v>ㄋㄧ</v>
      </c>
      <c r="I59" s="53" t="str">
        <f xml:space="preserve"> IF(十五音音節表!H56&lt;&gt;"", _xlfn.CONCAT(I$4,$E59), "")</f>
        <v>ㄅㄧ</v>
      </c>
      <c r="J59" s="53" t="str">
        <f xml:space="preserve"> IF(十五音音節表!I56&lt;&gt;"", _xlfn.CONCAT(J$4,$E59), "")</f>
        <v>ㄍㄧ</v>
      </c>
      <c r="K59" s="53" t="str">
        <f xml:space="preserve"> IF(十五音音節表!J56&lt;&gt;"", _xlfn.CONCAT(K$4,$E59), "")</f>
        <v>ㄎㄧ</v>
      </c>
      <c r="L59" s="53" t="str">
        <f xml:space="preserve"> IF(十五音音節表!K56&lt;&gt;"", _xlfn.CONCAT(L$4,$E59), "")</f>
        <v>ㄉㄧ</v>
      </c>
      <c r="M59" s="53" t="str">
        <f xml:space="preserve"> IF(十五音音節表!L56&lt;&gt;"", _xlfn.CONCAT(M$4,$E59), "")</f>
        <v>ㄆㄧ</v>
      </c>
      <c r="N59" s="53" t="str">
        <f xml:space="preserve"> IF(十五音音節表!M56&lt;&gt;"", _xlfn.CONCAT(N$4,$E59), "")</f>
        <v>ㄊㄧ</v>
      </c>
      <c r="O59" s="53" t="str">
        <f xml:space="preserve"> IF(十五音音節表!N56&lt;&gt;"", _xlfn.CONCAT(O$4,$E59), "")</f>
        <v>ㄗㄧ</v>
      </c>
      <c r="P59" s="53" t="str">
        <f xml:space="preserve"> IF(十五音音節表!O56&lt;&gt;"", _xlfn.CONCAT(P$4,$E59), "")</f>
        <v>ㆡㄧ</v>
      </c>
      <c r="Q59" s="53" t="str">
        <f xml:space="preserve"> IF(十五音音節表!P56&lt;&gt;"", _xlfn.CONCAT(Q$4,$E59), "")</f>
        <v>ㄙㄧ</v>
      </c>
      <c r="R59" s="53" t="str">
        <f xml:space="preserve"> IF(十五音音節表!Q56&lt;&gt;"", _xlfn.CONCAT(R$4,$E59), "")</f>
        <v>ㄧ</v>
      </c>
      <c r="S59" s="53" t="str">
        <f xml:space="preserve"> IF(十五音音節表!R56&lt;&gt;"", _xlfn.CONCAT(S$4,$E59), "")</f>
        <v>ㆠㄧ</v>
      </c>
      <c r="T59" s="53" t="str">
        <f xml:space="preserve"> IF(十五音音節表!S56&lt;&gt;"", _xlfn.CONCAT(T$4,$E59), "")</f>
        <v>ㄇㄧ</v>
      </c>
      <c r="U59" s="53" t="str">
        <f xml:space="preserve"> IF(十五音音節表!T56&lt;&gt;"", _xlfn.CONCAT(U$4,$E59), "")</f>
        <v>ㆣㄧ</v>
      </c>
      <c r="V59" s="53" t="str">
        <f xml:space="preserve"> IF(十五音音節表!U56&lt;&gt;"", _xlfn.CONCAT(V$4,$E59), "")</f>
        <v/>
      </c>
      <c r="W59" s="53" t="str">
        <f xml:space="preserve"> IF(十五音音節表!V56&lt;&gt;"", _xlfn.CONCAT(W$4,$E59), "")</f>
        <v>ㄘㄧ</v>
      </c>
      <c r="X59" s="53" t="str">
        <f xml:space="preserve"> IF(十五音音節表!W56&lt;&gt;"", _xlfn.CONCAT(X$4,$E59), "")</f>
        <v>ㄏㄧ</v>
      </c>
      <c r="Y59" s="135" t="s">
        <v>1188</v>
      </c>
      <c r="Z59" s="50" t="s">
        <v>214</v>
      </c>
      <c r="AA59" s="50" t="s">
        <v>118</v>
      </c>
    </row>
    <row r="60" spans="2:27" outlineLevel="1">
      <c r="B60" s="132" cm="1">
        <f t="array" ref="B60" xml:space="preserve"> INDEX(韻母表[韻序], MATCH(TRUE, EXACT($F60, 韻母表[十五音]), 0))</f>
        <v>29</v>
      </c>
      <c r="C60" s="50" t="str" cm="1">
        <f t="array" ref="C60" xml:space="preserve"> IF( INDEX(韻母表[國際音標2], MATCH(TRUE, EXACT($F60, 韻母表[十五音]), 0))&lt;&gt;"",  INDEX(韻母表[國際音標2], MATCH(TRUE, EXACT($F60, 韻母表[十五音]), 0)),  INDEX(韻母表[國際音標], MATCH(TRUE, EXACT($F60, 韻母表[十五音]), 0)))</f>
        <v>iʔ</v>
      </c>
      <c r="D60" s="50" t="str" cm="1">
        <f t="array" ref="D60" xml:space="preserve"> INDEX(韻母表[台羅拼音], MATCH(TRUE, EXACT($F60, 韻母表[十五音]), 0))</f>
        <v>ih</v>
      </c>
      <c r="E60" s="135" t="str" cm="1">
        <f t="array" ref="E60" xml:space="preserve"> INDEX(韻母表[方音符號], MATCH(TRUE, EXACT($F60, 韻母表[十五音]), 0))</f>
        <v>ㄧㆷ</v>
      </c>
      <c r="F60" s="50" t="s">
        <v>119</v>
      </c>
      <c r="G60" s="53" t="str">
        <f xml:space="preserve"> IF(十五音音節表!F57&lt;&gt;"", _xlfn.CONCAT(G$4,$E60), "")</f>
        <v/>
      </c>
      <c r="H60" s="53" t="str">
        <f xml:space="preserve"> IF(十五音音節表!G57&lt;&gt;"", _xlfn.CONCAT(H$4,$E60), "")</f>
        <v>ㄋㄧㆷ</v>
      </c>
      <c r="I60" s="53" t="str">
        <f xml:space="preserve"> IF(十五音音節表!H57&lt;&gt;"", _xlfn.CONCAT(I$4,$E60), "")</f>
        <v>ㄅㄧㆷ</v>
      </c>
      <c r="J60" s="53" t="str">
        <f xml:space="preserve"> IF(十五音音節表!I57&lt;&gt;"", _xlfn.CONCAT(J$4,$E60), "")</f>
        <v/>
      </c>
      <c r="K60" s="53" t="str">
        <f xml:space="preserve"> IF(十五音音節表!J57&lt;&gt;"", _xlfn.CONCAT(K$4,$E60), "")</f>
        <v>ㄎㄧㆷ</v>
      </c>
      <c r="L60" s="53" t="str">
        <f xml:space="preserve"> IF(十五音音節表!K57&lt;&gt;"", _xlfn.CONCAT(L$4,$E60), "")</f>
        <v>ㄉㄧㆷ</v>
      </c>
      <c r="M60" s="53" t="str">
        <f xml:space="preserve"> IF(十五音音節表!L57&lt;&gt;"", _xlfn.CONCAT(M$4,$E60), "")</f>
        <v>ㄆㄧㆷ</v>
      </c>
      <c r="N60" s="53" t="str">
        <f xml:space="preserve"> IF(十五音音節表!M57&lt;&gt;"", _xlfn.CONCAT(N$4,$E60), "")</f>
        <v>ㄊㄧㆷ</v>
      </c>
      <c r="O60" s="53" t="str">
        <f xml:space="preserve"> IF(十五音音節表!N57&lt;&gt;"", _xlfn.CONCAT(O$4,$E60), "")</f>
        <v>ㄗㄧㆷ</v>
      </c>
      <c r="P60" s="53" t="str">
        <f xml:space="preserve"> IF(十五音音節表!O57&lt;&gt;"", _xlfn.CONCAT(P$4,$E60), "")</f>
        <v/>
      </c>
      <c r="Q60" s="53" t="str">
        <f xml:space="preserve"> IF(十五音音節表!P57&lt;&gt;"", _xlfn.CONCAT(Q$4,$E60), "")</f>
        <v>ㄙㄧㆷ</v>
      </c>
      <c r="R60" s="53" t="str">
        <f xml:space="preserve"> IF(十五音音節表!Q57&lt;&gt;"", _xlfn.CONCAT(R$4,$E60), "")</f>
        <v/>
      </c>
      <c r="S60" s="53" t="str">
        <f xml:space="preserve"> IF(十五音音節表!R57&lt;&gt;"", _xlfn.CONCAT(S$4,$E60), "")</f>
        <v>ㆠㄧㆷ</v>
      </c>
      <c r="T60" s="53" t="str">
        <f xml:space="preserve"> IF(十五音音節表!S57&lt;&gt;"", _xlfn.CONCAT(T$4,$E60), "")</f>
        <v>ㄇㄧㆷ</v>
      </c>
      <c r="U60" s="53" t="str">
        <f xml:space="preserve"> IF(十五音音節表!T57&lt;&gt;"", _xlfn.CONCAT(U$4,$E60), "")</f>
        <v/>
      </c>
      <c r="V60" s="53" t="str">
        <f xml:space="preserve"> IF(十五音音節表!U57&lt;&gt;"", _xlfn.CONCAT(V$4,$E60), "")</f>
        <v/>
      </c>
      <c r="W60" s="53" t="str">
        <f xml:space="preserve"> IF(十五音音節表!V57&lt;&gt;"", _xlfn.CONCAT(W$4,$E60), "")</f>
        <v>ㄘㄧㆷ</v>
      </c>
      <c r="X60" s="53" t="str">
        <f xml:space="preserve"> IF(十五音音節表!W57&lt;&gt;"", _xlfn.CONCAT(X$4,$E60), "")</f>
        <v/>
      </c>
      <c r="Y60" s="135" t="s">
        <v>1190</v>
      </c>
      <c r="Z60" s="50" t="s">
        <v>215</v>
      </c>
      <c r="AA60" s="50" t="s">
        <v>119</v>
      </c>
    </row>
    <row r="61" spans="2:27">
      <c r="B61" s="132" cm="1">
        <f t="array" ref="B61" xml:space="preserve"> INDEX(韻母表[韻序], MATCH(TRUE, EXACT($F61, 韻母表[十五音]), 0))</f>
        <v>30</v>
      </c>
      <c r="C61" s="50" t="str" cm="1">
        <f t="array" ref="C61" xml:space="preserve"> IF( INDEX(韻母表[國際音標2], MATCH(TRUE, EXACT($F61, 韻母表[十五音]), 0))&lt;&gt;"",  INDEX(韻母表[國際音標2], MATCH(TRUE, EXACT($F61, 韻母表[十五音]), 0)),  INDEX(韻母表[國際音標], MATCH(TRUE, EXACT($F61, 韻母表[十五音]), 0)))</f>
        <v>ɪu</v>
      </c>
      <c r="D61" s="50" t="str" cm="1">
        <f t="array" ref="D61" xml:space="preserve"> INDEX(韻母表[台羅拼音], MATCH(TRUE, EXACT($F61, 韻母表[十五音]), 0))</f>
        <v>iu</v>
      </c>
      <c r="E61" s="135" t="str" cm="1">
        <f t="array" ref="E61" xml:space="preserve"> INDEX(韻母表[方音符號], MATCH(TRUE, EXACT($F61, 韻母表[十五音]), 0))</f>
        <v>ㄧㄨ</v>
      </c>
      <c r="F61" s="50" t="s">
        <v>120</v>
      </c>
      <c r="G61" s="53" t="str">
        <f xml:space="preserve"> IF(十五音音節表!F58&lt;&gt;"", _xlfn.CONCAT(G$4,$E61), "")</f>
        <v>ㄌㄧㄨ</v>
      </c>
      <c r="H61" s="53" t="str">
        <f xml:space="preserve"> IF(十五音音節表!G58&lt;&gt;"", _xlfn.CONCAT(H$4,$E61), "")</f>
        <v>ㄋㄧㄨ</v>
      </c>
      <c r="I61" s="53" t="str">
        <f xml:space="preserve"> IF(十五音音節表!H58&lt;&gt;"", _xlfn.CONCAT(I$4,$E61), "")</f>
        <v>ㄅㄧㄨ</v>
      </c>
      <c r="J61" s="53" t="str">
        <f xml:space="preserve"> IF(十五音音節表!I58&lt;&gt;"", _xlfn.CONCAT(J$4,$E61), "")</f>
        <v>ㄍㄧㄨ</v>
      </c>
      <c r="K61" s="53" t="str">
        <f xml:space="preserve"> IF(十五音音節表!J58&lt;&gt;"", _xlfn.CONCAT(K$4,$E61), "")</f>
        <v>ㄎㄧㄨ</v>
      </c>
      <c r="L61" s="53" t="str">
        <f xml:space="preserve"> IF(十五音音節表!K58&lt;&gt;"", _xlfn.CONCAT(L$4,$E61), "")</f>
        <v>ㄉㄧㄨ</v>
      </c>
      <c r="M61" s="53" t="str">
        <f xml:space="preserve"> IF(十五音音節表!L58&lt;&gt;"", _xlfn.CONCAT(M$4,$E61), "")</f>
        <v/>
      </c>
      <c r="N61" s="53" t="str">
        <f xml:space="preserve"> IF(十五音音節表!M58&lt;&gt;"", _xlfn.CONCAT(N$4,$E61), "")</f>
        <v>ㄊㄧㄨ</v>
      </c>
      <c r="O61" s="53" t="str">
        <f xml:space="preserve"> IF(十五音音節表!N58&lt;&gt;"", _xlfn.CONCAT(O$4,$E61), "")</f>
        <v>ㄗㄧㄨ</v>
      </c>
      <c r="P61" s="53" t="str">
        <f xml:space="preserve"> IF(十五音音節表!O58&lt;&gt;"", _xlfn.CONCAT(P$4,$E61), "")</f>
        <v>ㆡㄧㄨ</v>
      </c>
      <c r="Q61" s="53" t="str">
        <f xml:space="preserve"> IF(十五音音節表!P58&lt;&gt;"", _xlfn.CONCAT(Q$4,$E61), "")</f>
        <v>ㄙㄧㄨ</v>
      </c>
      <c r="R61" s="53" t="str">
        <f xml:space="preserve"> IF(十五音音節表!Q58&lt;&gt;"", _xlfn.CONCAT(R$4,$E61), "")</f>
        <v>ㄧㄨ</v>
      </c>
      <c r="S61" s="53" t="str">
        <f xml:space="preserve"> IF(十五音音節表!R58&lt;&gt;"", _xlfn.CONCAT(S$4,$E61), "")</f>
        <v>ㆠㄧㄨ</v>
      </c>
      <c r="T61" s="53" t="str">
        <f xml:space="preserve"> IF(十五音音節表!S58&lt;&gt;"", _xlfn.CONCAT(T$4,$E61), "")</f>
        <v/>
      </c>
      <c r="U61" s="53" t="str">
        <f xml:space="preserve"> IF(十五音音節表!T58&lt;&gt;"", _xlfn.CONCAT(U$4,$E61), "")</f>
        <v>ㆣㄧㄨ</v>
      </c>
      <c r="V61" s="53" t="str">
        <f xml:space="preserve"> IF(十五音音節表!U58&lt;&gt;"", _xlfn.CONCAT(V$4,$E61), "")</f>
        <v/>
      </c>
      <c r="W61" s="53" t="str">
        <f xml:space="preserve"> IF(十五音音節表!V58&lt;&gt;"", _xlfn.CONCAT(W$4,$E61), "")</f>
        <v>ㄘㄧㄨ</v>
      </c>
      <c r="X61" s="53" t="str">
        <f xml:space="preserve"> IF(十五音音節表!W58&lt;&gt;"", _xlfn.CONCAT(X$4,$E61), "")</f>
        <v>ㄏㄧㄨ</v>
      </c>
      <c r="Y61" s="135" t="s">
        <v>1192</v>
      </c>
      <c r="Z61" s="50" t="s">
        <v>216</v>
      </c>
      <c r="AA61" s="50" t="s">
        <v>120</v>
      </c>
    </row>
    <row r="62" spans="2:27">
      <c r="B62" s="132" cm="1">
        <f t="array" ref="B62" xml:space="preserve"> INDEX(韻母表[韻序], MATCH(TRUE, EXACT($F62, 韻母表[十五音]), 0))</f>
        <v>31</v>
      </c>
      <c r="C62" s="96" t="str" cm="1">
        <f t="array" ref="C62" xml:space="preserve"> IF( INDEX(韻母表[國際音標2], MATCH(TRUE, EXACT($F62, 韻母表[十五音]), 0))&lt;&gt;"",  INDEX(韻母表[國際音標2], MATCH(TRUE, EXACT($F62, 韻母表[十五音]), 0)),  INDEX(韻母表[國際音標], MATCH(TRUE, EXACT($F62, 韻母表[十五音]), 0)))</f>
        <v>ɛ̃</v>
      </c>
      <c r="D62" s="50" t="str" cm="1">
        <f t="array" ref="D62" xml:space="preserve"> INDEX(韻母表[台羅拼音], MATCH(TRUE, EXACT($F62, 韻母表[十五音]), 0))</f>
        <v>enn</v>
      </c>
      <c r="E62" s="135" t="str" cm="1">
        <f t="array" ref="E62" xml:space="preserve"> INDEX(韻母表[方音符號], MATCH(TRUE, EXACT($F62, 韻母表[十五音]), 0))</f>
        <v>ㆥ</v>
      </c>
      <c r="F62" s="50" t="s">
        <v>122</v>
      </c>
      <c r="G62" s="53" t="str">
        <f xml:space="preserve"> IF(十五音音節表!F59&lt;&gt;"", _xlfn.CONCAT(G$4,$E62), "")</f>
        <v/>
      </c>
      <c r="H62" s="53" t="str">
        <f xml:space="preserve"> IF(十五音音節表!G59&lt;&gt;"", _xlfn.CONCAT(H$4,$E62), "")</f>
        <v/>
      </c>
      <c r="I62" s="53" t="str">
        <f xml:space="preserve"> IF(十五音音節表!H59&lt;&gt;"", _xlfn.CONCAT(I$4,$E62), "")</f>
        <v>ㄅㆥ</v>
      </c>
      <c r="J62" s="53" t="str">
        <f xml:space="preserve"> IF(十五音音節表!I59&lt;&gt;"", _xlfn.CONCAT(J$4,$E62), "")</f>
        <v>ㄍㆥ</v>
      </c>
      <c r="K62" s="53" t="str">
        <f xml:space="preserve"> IF(十五音音節表!J59&lt;&gt;"", _xlfn.CONCAT(K$4,$E62), "")</f>
        <v>ㄎㆥ</v>
      </c>
      <c r="L62" s="53" t="str">
        <f xml:space="preserve"> IF(十五音音節表!K59&lt;&gt;"", _xlfn.CONCAT(L$4,$E62), "")</f>
        <v>ㄉㆥ</v>
      </c>
      <c r="M62" s="53" t="str">
        <f xml:space="preserve"> IF(十五音音節表!L59&lt;&gt;"", _xlfn.CONCAT(M$4,$E62), "")</f>
        <v>ㄆㆥ</v>
      </c>
      <c r="N62" s="53" t="str">
        <f xml:space="preserve"> IF(十五音音節表!M59&lt;&gt;"", _xlfn.CONCAT(N$4,$E62), "")</f>
        <v>ㄊㆥ</v>
      </c>
      <c r="O62" s="53" t="str">
        <f xml:space="preserve"> IF(十五音音節表!N59&lt;&gt;"", _xlfn.CONCAT(O$4,$E62), "")</f>
        <v>ㄗㆥ</v>
      </c>
      <c r="P62" s="53" t="str">
        <f xml:space="preserve"> IF(十五音音節表!O59&lt;&gt;"", _xlfn.CONCAT(P$4,$E62), "")</f>
        <v/>
      </c>
      <c r="Q62" s="53" t="str">
        <f xml:space="preserve"> IF(十五音音節表!P59&lt;&gt;"", _xlfn.CONCAT(Q$4,$E62), "")</f>
        <v>ㄙㆥ</v>
      </c>
      <c r="R62" s="53" t="str">
        <f xml:space="preserve"> IF(十五音音節表!Q59&lt;&gt;"", _xlfn.CONCAT(R$4,$E62), "")</f>
        <v>ㆥ</v>
      </c>
      <c r="S62" s="53" t="str">
        <f xml:space="preserve"> IF(十五音音節表!R59&lt;&gt;"", _xlfn.CONCAT(S$4,$E62), "")</f>
        <v/>
      </c>
      <c r="T62" s="53" t="str">
        <f xml:space="preserve"> IF(十五音音節表!S59&lt;&gt;"", _xlfn.CONCAT(T$4,$E62), "")</f>
        <v/>
      </c>
      <c r="U62" s="53" t="str">
        <f xml:space="preserve"> IF(十五音音節表!T59&lt;&gt;"", _xlfn.CONCAT(U$4,$E62), "")</f>
        <v/>
      </c>
      <c r="V62" s="53" t="str">
        <f xml:space="preserve"> IF(十五音音節表!U59&lt;&gt;"", _xlfn.CONCAT(V$4,$E62), "")</f>
        <v/>
      </c>
      <c r="W62" s="53" t="str">
        <f xml:space="preserve"> IF(十五音音節表!V59&lt;&gt;"", _xlfn.CONCAT(W$4,$E62), "")</f>
        <v>ㄘㆥ</v>
      </c>
      <c r="X62" s="53" t="str">
        <f xml:space="preserve"> IF(十五音音節表!W59&lt;&gt;"", _xlfn.CONCAT(X$4,$E62), "")</f>
        <v>ㄏㆥ</v>
      </c>
      <c r="Y62" s="135" t="s">
        <v>1194</v>
      </c>
      <c r="Z62" s="50" t="s">
        <v>217</v>
      </c>
      <c r="AA62" s="50" t="s">
        <v>122</v>
      </c>
    </row>
    <row r="63" spans="2:27" outlineLevel="1">
      <c r="B63" s="132" cm="1">
        <f t="array" ref="B63" xml:space="preserve"> INDEX(韻母表[韻序], MATCH(TRUE, EXACT($F63, 韻母表[十五音]), 0))</f>
        <v>31</v>
      </c>
      <c r="C63" s="96" t="str" cm="1">
        <f t="array" ref="C63" xml:space="preserve"> IF( INDEX(韻母表[國際音標2], MATCH(TRUE, EXACT($F63, 韻母表[十五音]), 0))&lt;&gt;"",  INDEX(韻母表[國際音標2], MATCH(TRUE, EXACT($F63, 韻母表[十五音]), 0)),  INDEX(韻母表[國際音標], MATCH(TRUE, EXACT($F63, 韻母表[十五音]), 0)))</f>
        <v>ɛ̃ʔ</v>
      </c>
      <c r="D63" s="50" t="str" cm="1">
        <f t="array" ref="D63" xml:space="preserve"> INDEX(韻母表[台羅拼音], MATCH(TRUE, EXACT($F63, 韻母表[十五音]), 0))</f>
        <v>ennh</v>
      </c>
      <c r="E63" s="135" t="str" cm="1">
        <f t="array" ref="E63" xml:space="preserve"> INDEX(韻母表[方音符號], MATCH(TRUE, EXACT($F63, 韻母表[十五音]), 0))</f>
        <v>ㆥㆷ</v>
      </c>
      <c r="F63" s="50" t="s">
        <v>123</v>
      </c>
      <c r="G63" s="53" t="str">
        <f xml:space="preserve"> IF(十五音音節表!F60&lt;&gt;"", _xlfn.CONCAT(G$4,$E63), "")</f>
        <v/>
      </c>
      <c r="H63" s="53" t="str">
        <f xml:space="preserve"> IF(十五音音節表!G60&lt;&gt;"", _xlfn.CONCAT(H$4,$E63), "")</f>
        <v/>
      </c>
      <c r="I63" s="53" t="str">
        <f xml:space="preserve"> IF(十五音音節表!H60&lt;&gt;"", _xlfn.CONCAT(I$4,$E63), "")</f>
        <v/>
      </c>
      <c r="J63" s="53" t="str">
        <f xml:space="preserve"> IF(十五音音節表!I60&lt;&gt;"", _xlfn.CONCAT(J$4,$E63), "")</f>
        <v/>
      </c>
      <c r="K63" s="53" t="str">
        <f xml:space="preserve"> IF(十五音音節表!J60&lt;&gt;"", _xlfn.CONCAT(K$4,$E63), "")</f>
        <v>ㄎㆥㆷ</v>
      </c>
      <c r="L63" s="53" t="str">
        <f xml:space="preserve"> IF(十五音音節表!K60&lt;&gt;"", _xlfn.CONCAT(L$4,$E63), "")</f>
        <v/>
      </c>
      <c r="M63" s="53" t="str">
        <f xml:space="preserve"> IF(十五音音節表!L60&lt;&gt;"", _xlfn.CONCAT(M$4,$E63), "")</f>
        <v/>
      </c>
      <c r="N63" s="53" t="str">
        <f xml:space="preserve"> IF(十五音音節表!M60&lt;&gt;"", _xlfn.CONCAT(N$4,$E63), "")</f>
        <v/>
      </c>
      <c r="O63" s="53" t="str">
        <f xml:space="preserve"> IF(十五音音節表!N60&lt;&gt;"", _xlfn.CONCAT(O$4,$E63), "")</f>
        <v/>
      </c>
      <c r="P63" s="53" t="str">
        <f xml:space="preserve"> IF(十五音音節表!O60&lt;&gt;"", _xlfn.CONCAT(P$4,$E63), "")</f>
        <v/>
      </c>
      <c r="Q63" s="53" t="str">
        <f xml:space="preserve"> IF(十五音音節表!P60&lt;&gt;"", _xlfn.CONCAT(Q$4,$E63), "")</f>
        <v/>
      </c>
      <c r="R63" s="53" t="str">
        <f xml:space="preserve"> IF(十五音音節表!Q60&lt;&gt;"", _xlfn.CONCAT(R$4,$E63), "")</f>
        <v/>
      </c>
      <c r="S63" s="53" t="str">
        <f xml:space="preserve"> IF(十五音音節表!R60&lt;&gt;"", _xlfn.CONCAT(S$4,$E63), "")</f>
        <v/>
      </c>
      <c r="T63" s="53" t="str">
        <f xml:space="preserve"> IF(十五音音節表!S60&lt;&gt;"", _xlfn.CONCAT(T$4,$E63), "")</f>
        <v/>
      </c>
      <c r="U63" s="53" t="str">
        <f xml:space="preserve"> IF(十五音音節表!T60&lt;&gt;"", _xlfn.CONCAT(U$4,$E63), "")</f>
        <v/>
      </c>
      <c r="V63" s="53" t="str">
        <f xml:space="preserve"> IF(十五音音節表!U60&lt;&gt;"", _xlfn.CONCAT(V$4,$E63), "")</f>
        <v/>
      </c>
      <c r="W63" s="53" t="str">
        <f xml:space="preserve"> IF(十五音音節表!V60&lt;&gt;"", _xlfn.CONCAT(W$4,$E63), "")</f>
        <v/>
      </c>
      <c r="X63" s="53" t="str">
        <f xml:space="preserve"> IF(十五音音節表!W60&lt;&gt;"", _xlfn.CONCAT(X$4,$E63), "")</f>
        <v>ㄏㆥㆷ</v>
      </c>
      <c r="Y63" s="135" t="s">
        <v>1197</v>
      </c>
      <c r="Z63" s="50" t="s">
        <v>218</v>
      </c>
      <c r="AA63" s="50" t="s">
        <v>123</v>
      </c>
    </row>
    <row r="64" spans="2:27">
      <c r="B64" s="132" cm="1">
        <f t="array" ref="B64" xml:space="preserve"> INDEX(韻母表[韻序], MATCH(TRUE, EXACT($F64, 韻母表[十五音]), 0))</f>
        <v>33</v>
      </c>
      <c r="C64" s="50" t="str" cm="1">
        <f t="array" ref="C64" xml:space="preserve"> IF( INDEX(韻母表[國際音標2], MATCH(TRUE, EXACT($F64, 韻母表[十五音]), 0))&lt;&gt;"",  INDEX(韻母表[國際音標2], MATCH(TRUE, EXACT($F64, 韻母表[十五音]), 0)),  INDEX(韻母表[國際音標], MATCH(TRUE, EXACT($F64, 韻母表[十五音]), 0)))</f>
        <v>ɪə</v>
      </c>
      <c r="D64" s="50" t="str" cm="1">
        <f t="array" ref="D64" xml:space="preserve"> INDEX(韻母表[台羅拼音], MATCH(TRUE, EXACT($F64, 韻母表[十五音]), 0))</f>
        <v>io</v>
      </c>
      <c r="E64" s="135" t="str" cm="1">
        <f t="array" ref="E64" xml:space="preserve"> INDEX(韻母表[方音符號], MATCH(TRUE, EXACT($F64, 韻母表[十五音]), 0))</f>
        <v>ㄧㄜ</v>
      </c>
      <c r="F64" s="50" t="s">
        <v>126</v>
      </c>
      <c r="G64" s="53" t="str">
        <f xml:space="preserve"> IF(十五音音節表!F61&lt;&gt;"", _xlfn.CONCAT(G$4,$E64), "")</f>
        <v>ㄌㄧㄜ</v>
      </c>
      <c r="H64" s="53" t="str">
        <f xml:space="preserve"> IF(十五音音節表!G61&lt;&gt;"", _xlfn.CONCAT(H$4,$E64), "")</f>
        <v/>
      </c>
      <c r="I64" s="53" t="str">
        <f xml:space="preserve"> IF(十五音音節表!H61&lt;&gt;"", _xlfn.CONCAT(I$4,$E64), "")</f>
        <v>ㄅㄧㄜ</v>
      </c>
      <c r="J64" s="53" t="str">
        <f xml:space="preserve"> IF(十五音音節表!I61&lt;&gt;"", _xlfn.CONCAT(J$4,$E64), "")</f>
        <v>ㄍㄧㄜ</v>
      </c>
      <c r="K64" s="53" t="str">
        <f xml:space="preserve"> IF(十五音音節表!J61&lt;&gt;"", _xlfn.CONCAT(K$4,$E64), "")</f>
        <v>ㄎㄧㄜ</v>
      </c>
      <c r="L64" s="53" t="str">
        <f xml:space="preserve"> IF(十五音音節表!K61&lt;&gt;"", _xlfn.CONCAT(L$4,$E64), "")</f>
        <v>ㄉㄧㄜ</v>
      </c>
      <c r="M64" s="53" t="str">
        <f xml:space="preserve"> IF(十五音音節表!L61&lt;&gt;"", _xlfn.CONCAT(M$4,$E64), "")</f>
        <v>ㄆㄧㄜ</v>
      </c>
      <c r="N64" s="53" t="str">
        <f xml:space="preserve"> IF(十五音音節表!M61&lt;&gt;"", _xlfn.CONCAT(N$4,$E64), "")</f>
        <v>ㄊㄧㄜ</v>
      </c>
      <c r="O64" s="53" t="str">
        <f xml:space="preserve"> IF(十五音音節表!N61&lt;&gt;"", _xlfn.CONCAT(O$4,$E64), "")</f>
        <v>ㄗㄧㄜ</v>
      </c>
      <c r="P64" s="53" t="str">
        <f xml:space="preserve"> IF(十五音音節表!O61&lt;&gt;"", _xlfn.CONCAT(P$4,$E64), "")</f>
        <v>ㆡㄧㄜ</v>
      </c>
      <c r="Q64" s="53" t="str">
        <f xml:space="preserve"> IF(十五音音節表!P61&lt;&gt;"", _xlfn.CONCAT(Q$4,$E64), "")</f>
        <v>ㄙㄧㄜ</v>
      </c>
      <c r="R64" s="53" t="str">
        <f xml:space="preserve"> IF(十五音音節表!Q61&lt;&gt;"", _xlfn.CONCAT(R$4,$E64), "")</f>
        <v>ㄧㄜ</v>
      </c>
      <c r="S64" s="53" t="str">
        <f xml:space="preserve"> IF(十五音音節表!R61&lt;&gt;"", _xlfn.CONCAT(S$4,$E64), "")</f>
        <v>ㆠㄧㄜ</v>
      </c>
      <c r="T64" s="53" t="str">
        <f xml:space="preserve"> IF(十五音音節表!S61&lt;&gt;"", _xlfn.CONCAT(T$4,$E64), "")</f>
        <v/>
      </c>
      <c r="U64" s="53" t="str">
        <f xml:space="preserve"> IF(十五音音節表!T61&lt;&gt;"", _xlfn.CONCAT(U$4,$E64), "")</f>
        <v>ㆣㄧㄜ</v>
      </c>
      <c r="V64" s="53" t="str">
        <f xml:space="preserve"> IF(十五音音節表!U61&lt;&gt;"", _xlfn.CONCAT(V$4,$E64), "")</f>
        <v/>
      </c>
      <c r="W64" s="53" t="str">
        <f xml:space="preserve"> IF(十五音音節表!V61&lt;&gt;"", _xlfn.CONCAT(W$4,$E64), "")</f>
        <v>ㄘㄧㄜ</v>
      </c>
      <c r="X64" s="53" t="str">
        <f xml:space="preserve"> IF(十五音音節表!W61&lt;&gt;"", _xlfn.CONCAT(X$4,$E64), "")</f>
        <v>ㄏㄧㄜ</v>
      </c>
      <c r="Y64" s="135" t="s">
        <v>1205</v>
      </c>
      <c r="Z64" s="50" t="s">
        <v>220</v>
      </c>
      <c r="AA64" s="50" t="s">
        <v>126</v>
      </c>
    </row>
    <row r="65" spans="2:27" outlineLevel="1">
      <c r="B65" s="132" cm="1">
        <f t="array" ref="B65" xml:space="preserve"> INDEX(韻母表[韻序], MATCH(TRUE, EXACT($F65, 韻母表[十五音]), 0))</f>
        <v>33</v>
      </c>
      <c r="C65" s="50" t="str" cm="1">
        <f t="array" ref="C65" xml:space="preserve"> IF( INDEX(韻母表[國際音標2], MATCH(TRUE, EXACT($F65, 韻母表[十五音]), 0))&lt;&gt;"",  INDEX(韻母表[國際音標2], MATCH(TRUE, EXACT($F65, 韻母表[十五音]), 0)),  INDEX(韻母表[國際音標], MATCH(TRUE, EXACT($F65, 韻母表[十五音]), 0)))</f>
        <v>ɪəʔ</v>
      </c>
      <c r="D65" s="50" t="str" cm="1">
        <f t="array" ref="D65" xml:space="preserve"> INDEX(韻母表[台羅拼音], MATCH(TRUE, EXACT($F65, 韻母表[十五音]), 0))</f>
        <v>ioh</v>
      </c>
      <c r="E65" s="135" t="str" cm="1">
        <f t="array" ref="E65" xml:space="preserve"> INDEX(韻母表[方音符號], MATCH(TRUE, EXACT($F65, 韻母表[十五音]), 0))</f>
        <v>ㄧㄜㆷ</v>
      </c>
      <c r="F65" s="50" t="s">
        <v>127</v>
      </c>
      <c r="G65" s="53" t="str">
        <f xml:space="preserve"> IF(十五音音節表!F62&lt;&gt;"", _xlfn.CONCAT(G$4,$E65), "")</f>
        <v>ㄌㄧㄜㆷ</v>
      </c>
      <c r="H65" s="53" t="str">
        <f xml:space="preserve"> IF(十五音音節表!G62&lt;&gt;"", _xlfn.CONCAT(H$4,$E65), "")</f>
        <v/>
      </c>
      <c r="I65" s="53" t="str">
        <f xml:space="preserve"> IF(十五音音節表!H62&lt;&gt;"", _xlfn.CONCAT(I$4,$E65), "")</f>
        <v/>
      </c>
      <c r="J65" s="53" t="str">
        <f xml:space="preserve"> IF(十五音音節表!I62&lt;&gt;"", _xlfn.CONCAT(J$4,$E65), "")</f>
        <v>ㄍㄧㄜㆷ</v>
      </c>
      <c r="K65" s="53" t="str">
        <f xml:space="preserve"> IF(十五音音節表!J62&lt;&gt;"", _xlfn.CONCAT(K$4,$E65), "")</f>
        <v>ㄎㄧㄜㆷ</v>
      </c>
      <c r="L65" s="53" t="str">
        <f xml:space="preserve"> IF(十五音音節表!K62&lt;&gt;"", _xlfn.CONCAT(L$4,$E65), "")</f>
        <v>ㄉㄧㄜㆷ</v>
      </c>
      <c r="M65" s="53" t="str">
        <f xml:space="preserve"> IF(十五音音節表!L62&lt;&gt;"", _xlfn.CONCAT(M$4,$E65), "")</f>
        <v/>
      </c>
      <c r="N65" s="53" t="str">
        <f xml:space="preserve"> IF(十五音音節表!M62&lt;&gt;"", _xlfn.CONCAT(N$4,$E65), "")</f>
        <v/>
      </c>
      <c r="O65" s="53" t="str">
        <f xml:space="preserve"> IF(十五音音節表!N62&lt;&gt;"", _xlfn.CONCAT(O$4,$E65), "")</f>
        <v>ㄗㄧㄜㆷ</v>
      </c>
      <c r="P65" s="53" t="str">
        <f xml:space="preserve"> IF(十五音音節表!O62&lt;&gt;"", _xlfn.CONCAT(P$4,$E65), "")</f>
        <v/>
      </c>
      <c r="Q65" s="53" t="str">
        <f xml:space="preserve"> IF(十五音音節表!P62&lt;&gt;"", _xlfn.CONCAT(Q$4,$E65), "")</f>
        <v>ㄙㄧㄜㆷ</v>
      </c>
      <c r="R65" s="53" t="str">
        <f xml:space="preserve"> IF(十五音音節表!Q62&lt;&gt;"", _xlfn.CONCAT(R$4,$E65), "")</f>
        <v>ㄧㄜㆷ</v>
      </c>
      <c r="S65" s="53" t="str">
        <f xml:space="preserve"> IF(十五音音節表!R62&lt;&gt;"", _xlfn.CONCAT(S$4,$E65), "")</f>
        <v/>
      </c>
      <c r="T65" s="53" t="str">
        <f xml:space="preserve"> IF(十五音音節表!S62&lt;&gt;"", _xlfn.CONCAT(T$4,$E65), "")</f>
        <v/>
      </c>
      <c r="U65" s="53" t="str">
        <f xml:space="preserve"> IF(十五音音節表!T62&lt;&gt;"", _xlfn.CONCAT(U$4,$E65), "")</f>
        <v>ㆣㄧㄜㆷ</v>
      </c>
      <c r="V65" s="53" t="str">
        <f xml:space="preserve"> IF(十五音音節表!U62&lt;&gt;"", _xlfn.CONCAT(V$4,$E65), "")</f>
        <v/>
      </c>
      <c r="W65" s="53" t="str">
        <f xml:space="preserve"> IF(十五音音節表!V62&lt;&gt;"", _xlfn.CONCAT(W$4,$E65), "")</f>
        <v>ㄘㄧㄜㆷ</v>
      </c>
      <c r="X65" s="53" t="str">
        <f xml:space="preserve"> IF(十五音音節表!W62&lt;&gt;"", _xlfn.CONCAT(X$4,$E65), "")</f>
        <v>ㄏㄧㄜㆷ</v>
      </c>
      <c r="Y65" s="135" t="s">
        <v>1207</v>
      </c>
      <c r="Z65" s="50" t="s">
        <v>221</v>
      </c>
      <c r="AA65" s="50" t="s">
        <v>127</v>
      </c>
    </row>
    <row r="66" spans="2:27">
      <c r="B66" s="132" cm="1">
        <f t="array" ref="B66" xml:space="preserve"> INDEX(韻母表[韻序], MATCH(TRUE, EXACT($F66, 韻母表[十五音]), 0))</f>
        <v>34</v>
      </c>
      <c r="C66" s="50" t="str" cm="1">
        <f t="array" ref="C66" xml:space="preserve"> IF( INDEX(韻母表[國際音標2], MATCH(TRUE, EXACT($F66, 韻母表[十五音]), 0))&lt;&gt;"",  INDEX(韻母表[國際音標2], MATCH(TRUE, EXACT($F66, 韻母表[十五音]), 0)),  INDEX(韻母表[國際音標], MATCH(TRUE, EXACT($F66, 韻母表[十五音]), 0)))</f>
        <v>ĩ</v>
      </c>
      <c r="D66" s="50" t="str" cm="1">
        <f t="array" ref="D66" xml:space="preserve"> INDEX(韻母表[台羅拼音], MATCH(TRUE, EXACT($F66, 韻母表[十五音]), 0))</f>
        <v>inn</v>
      </c>
      <c r="E66" s="135" t="str" cm="1">
        <f t="array" ref="E66" xml:space="preserve"> INDEX(韻母表[方音符號], MATCH(TRUE, EXACT($F66, 韻母表[十五音]), 0))</f>
        <v>ㆪ</v>
      </c>
      <c r="F66" s="50" t="s">
        <v>128</v>
      </c>
      <c r="G66" s="53" t="str">
        <f xml:space="preserve"> IF(十五音音節表!F63&lt;&gt;"", _xlfn.CONCAT(G$4,$E66), "")</f>
        <v/>
      </c>
      <c r="H66" s="53" t="str">
        <f xml:space="preserve"> IF(十五音音節表!G63&lt;&gt;"", _xlfn.CONCAT(H$4,$E66), "")</f>
        <v/>
      </c>
      <c r="I66" s="53" t="str">
        <f xml:space="preserve"> IF(十五音音節表!H63&lt;&gt;"", _xlfn.CONCAT(I$4,$E66), "")</f>
        <v/>
      </c>
      <c r="J66" s="53" t="str">
        <f xml:space="preserve"> IF(十五音音節表!I63&lt;&gt;"", _xlfn.CONCAT(J$4,$E66), "")</f>
        <v>ㄍㆪ</v>
      </c>
      <c r="K66" s="53" t="str">
        <f xml:space="preserve"> IF(十五音音節表!J63&lt;&gt;"", _xlfn.CONCAT(K$4,$E66), "")</f>
        <v>ㄎㆪ</v>
      </c>
      <c r="L66" s="53" t="str">
        <f xml:space="preserve"> IF(十五音音節表!K63&lt;&gt;"", _xlfn.CONCAT(L$4,$E66), "")</f>
        <v>ㄉㆪ</v>
      </c>
      <c r="M66" s="53" t="str">
        <f xml:space="preserve"> IF(十五音音節表!L63&lt;&gt;"", _xlfn.CONCAT(M$4,$E66), "")</f>
        <v/>
      </c>
      <c r="N66" s="53" t="str">
        <f xml:space="preserve"> IF(十五音音節表!M63&lt;&gt;"", _xlfn.CONCAT(N$4,$E66), "")</f>
        <v>ㄊㆪ</v>
      </c>
      <c r="O66" s="53" t="str">
        <f xml:space="preserve"> IF(十五音音節表!N63&lt;&gt;"", _xlfn.CONCAT(O$4,$E66), "")</f>
        <v>ㄗㆪ</v>
      </c>
      <c r="P66" s="53" t="str">
        <f xml:space="preserve"> IF(十五音音節表!O63&lt;&gt;"", _xlfn.CONCAT(P$4,$E66), "")</f>
        <v/>
      </c>
      <c r="Q66" s="53" t="str">
        <f xml:space="preserve"> IF(十五音音節表!P63&lt;&gt;"", _xlfn.CONCAT(Q$4,$E66), "")</f>
        <v>ㄙㆪ</v>
      </c>
      <c r="R66" s="53" t="str">
        <f xml:space="preserve"> IF(十五音音節表!Q63&lt;&gt;"", _xlfn.CONCAT(R$4,$E66), "")</f>
        <v>ㆪ</v>
      </c>
      <c r="S66" s="53" t="str">
        <f xml:space="preserve"> IF(十五音音節表!R63&lt;&gt;"", _xlfn.CONCAT(S$4,$E66), "")</f>
        <v/>
      </c>
      <c r="T66" s="53" t="str">
        <f xml:space="preserve"> IF(十五音音節表!S63&lt;&gt;"", _xlfn.CONCAT(T$4,$E66), "")</f>
        <v/>
      </c>
      <c r="U66" s="53" t="str">
        <f xml:space="preserve"> IF(十五音音節表!T63&lt;&gt;"", _xlfn.CONCAT(U$4,$E66), "")</f>
        <v/>
      </c>
      <c r="V66" s="53" t="str">
        <f xml:space="preserve"> IF(十五音音節表!U63&lt;&gt;"", _xlfn.CONCAT(V$4,$E66), "")</f>
        <v/>
      </c>
      <c r="W66" s="53" t="str">
        <f xml:space="preserve"> IF(十五音音節表!V63&lt;&gt;"", _xlfn.CONCAT(W$4,$E66), "")</f>
        <v>ㄘㆪ</v>
      </c>
      <c r="X66" s="53" t="str">
        <f xml:space="preserve"> IF(十五音音節表!W63&lt;&gt;"", _xlfn.CONCAT(X$4,$E66), "")</f>
        <v>ㄏㆪ</v>
      </c>
      <c r="Y66" s="135" t="s">
        <v>1211</v>
      </c>
      <c r="Z66" s="50" t="s">
        <v>222</v>
      </c>
      <c r="AA66" s="50" t="s">
        <v>128</v>
      </c>
    </row>
    <row r="67" spans="2:27">
      <c r="B67" s="132" cm="1">
        <f t="array" ref="B67" xml:space="preserve"> INDEX(韻母表[韻序], MATCH(TRUE, EXACT($F67, 韻母表[十五音]), 0))</f>
        <v>35</v>
      </c>
      <c r="C67" s="50" t="str" cm="1">
        <f t="array" ref="C67" xml:space="preserve"> IF( INDEX(韻母表[國際音標2], MATCH(TRUE, EXACT($F67, 韻母表[十五音]), 0))&lt;&gt;"",  INDEX(韻母表[國際音標2], MATCH(TRUE, EXACT($F67, 韻母表[十五音]), 0)),  INDEX(韻母表[國際音標], MATCH(TRUE, EXACT($F67, 韻母表[十五音]), 0)))</f>
        <v>ɪɔ̃</v>
      </c>
      <c r="D67" s="50" t="str" cm="1">
        <f t="array" ref="D67" xml:space="preserve"> INDEX(韻母表[台羅拼音], MATCH(TRUE, EXACT($F67, 韻母表[十五音]), 0))</f>
        <v>ionn</v>
      </c>
      <c r="E67" s="135" t="str" cm="1">
        <f t="array" ref="E67" xml:space="preserve"> INDEX(韻母表[方音符號], MATCH(TRUE, EXACT($F67, 韻母表[十五音]), 0))</f>
        <v>ㄧㆧ</v>
      </c>
      <c r="F67" s="138" t="s">
        <v>1566</v>
      </c>
      <c r="G67" s="53" t="str">
        <f xml:space="preserve"> IF(十五音音節表!F62&lt;&gt;"", _xlfn.CONCAT(G$4,$E67), "")</f>
        <v>ㄌㄧㆧ</v>
      </c>
      <c r="H67" s="53" t="str">
        <f xml:space="preserve"> IF(十五音音節表!G62&lt;&gt;"", _xlfn.CONCAT(H$4,$E67), "")</f>
        <v/>
      </c>
      <c r="I67" s="53" t="str">
        <f xml:space="preserve"> IF(十五音音節表!H62&lt;&gt;"", _xlfn.CONCAT(I$4,$E67), "")</f>
        <v/>
      </c>
      <c r="J67" s="53" t="str">
        <f xml:space="preserve"> IF(十五音音節表!I62&lt;&gt;"", _xlfn.CONCAT(J$4,$E67), "")</f>
        <v>ㄍㄧㆧ</v>
      </c>
      <c r="K67" s="53" t="str">
        <f xml:space="preserve"> IF(十五音音節表!J62&lt;&gt;"", _xlfn.CONCAT(K$4,$E67), "")</f>
        <v>ㄎㄧㆧ</v>
      </c>
      <c r="L67" s="53" t="str">
        <f xml:space="preserve"> IF(十五音音節表!K62&lt;&gt;"", _xlfn.CONCAT(L$4,$E67), "")</f>
        <v>ㄉㄧㆧ</v>
      </c>
      <c r="M67" s="53" t="str">
        <f xml:space="preserve"> IF(十五音音節表!L62&lt;&gt;"", _xlfn.CONCAT(M$4,$E67), "")</f>
        <v/>
      </c>
      <c r="N67" s="53" t="str">
        <f xml:space="preserve"> IF(十五音音節表!M62&lt;&gt;"", _xlfn.CONCAT(N$4,$E67), "")</f>
        <v/>
      </c>
      <c r="O67" s="53" t="str">
        <f xml:space="preserve"> IF(十五音音節表!N62&lt;&gt;"", _xlfn.CONCAT(O$4,$E67), "")</f>
        <v>ㄗㄧㆧ</v>
      </c>
      <c r="P67" s="53" t="str">
        <f xml:space="preserve"> IF(十五音音節表!O62&lt;&gt;"", _xlfn.CONCAT(P$4,$E67), "")</f>
        <v/>
      </c>
      <c r="Q67" s="53" t="str">
        <f xml:space="preserve"> IF(十五音音節表!P62&lt;&gt;"", _xlfn.CONCAT(Q$4,$E67), "")</f>
        <v>ㄙㄧㆧ</v>
      </c>
      <c r="R67" s="53" t="str">
        <f xml:space="preserve"> IF(十五音音節表!Q62&lt;&gt;"", _xlfn.CONCAT(R$4,$E67), "")</f>
        <v>ㄧㆧ</v>
      </c>
      <c r="S67" s="53" t="str">
        <f xml:space="preserve"> IF(十五音音節表!R62&lt;&gt;"", _xlfn.CONCAT(S$4,$E67), "")</f>
        <v/>
      </c>
      <c r="T67" s="53" t="str">
        <f xml:space="preserve"> IF(十五音音節表!S62&lt;&gt;"", _xlfn.CONCAT(T$4,$E67), "")</f>
        <v/>
      </c>
      <c r="U67" s="53" t="str">
        <f xml:space="preserve"> IF(十五音音節表!T62&lt;&gt;"", _xlfn.CONCAT(U$4,$E67), "")</f>
        <v>ㆣㄧㆧ</v>
      </c>
      <c r="V67" s="53" t="str">
        <f xml:space="preserve"> IF(十五音音節表!U62&lt;&gt;"", _xlfn.CONCAT(V$4,$E67), "")</f>
        <v/>
      </c>
      <c r="W67" s="53" t="str">
        <f xml:space="preserve"> IF(十五音音節表!V62&lt;&gt;"", _xlfn.CONCAT(W$4,$E67), "")</f>
        <v>ㄘㄧㆧ</v>
      </c>
      <c r="X67" s="53" t="str">
        <f xml:space="preserve"> IF(十五音音節表!W62&lt;&gt;"", _xlfn.CONCAT(X$4,$E67), "")</f>
        <v>ㄏㄧㆧ</v>
      </c>
      <c r="Y67" s="135" t="s">
        <v>1219</v>
      </c>
      <c r="Z67" s="50" t="s">
        <v>305</v>
      </c>
      <c r="AA67" s="50" t="s">
        <v>132</v>
      </c>
    </row>
    <row r="68" spans="2:27">
      <c r="B68" s="132" cm="1">
        <f t="array" ref="B68" xml:space="preserve"> INDEX(韻母表[韻序], MATCH(TRUE, EXACT($F68, 韻母表[十五音]), 0))</f>
        <v>36</v>
      </c>
      <c r="C68" s="50" t="str" cm="1">
        <f t="array" ref="C68" xml:space="preserve"> IF( INDEX(韻母表[國際音標2], MATCH(TRUE, EXACT($F68, 韻母表[十五音]), 0))&lt;&gt;"",  INDEX(韻母表[國際音標2], MATCH(TRUE, EXACT($F68, 韻母表[十五音]), 0)),  INDEX(韻母表[國際音標], MATCH(TRUE, EXACT($F68, 韻母表[十五音]), 0)))</f>
        <v>ɪã</v>
      </c>
      <c r="D68" s="50" t="str" cm="1">
        <f t="array" ref="D68" xml:space="preserve"> INDEX(韻母表[台羅拼音], MATCH(TRUE, EXACT($F68, 韻母表[十五音]), 0))</f>
        <v>iann</v>
      </c>
      <c r="E68" s="135" t="str" cm="1">
        <f t="array" ref="E68" xml:space="preserve"> INDEX(韻母表[方音符號], MATCH(TRUE, EXACT($F68, 韻母表[十五音]), 0))</f>
        <v>ㄧㆩ</v>
      </c>
      <c r="F68" s="50" t="s">
        <v>132</v>
      </c>
      <c r="G68" s="53" t="str">
        <f xml:space="preserve"> IF(十五音音節表!F64&lt;&gt;"", _xlfn.CONCAT(G$4,$E68), "")</f>
        <v/>
      </c>
      <c r="H68" s="53" t="str">
        <f xml:space="preserve"> IF(十五音音節表!G64&lt;&gt;"", _xlfn.CONCAT(H$4,$E68), "")</f>
        <v/>
      </c>
      <c r="I68" s="53" t="str">
        <f xml:space="preserve"> IF(十五音音節表!H64&lt;&gt;"", _xlfn.CONCAT(I$4,$E68), "")</f>
        <v>ㄅㄧㆩ</v>
      </c>
      <c r="J68" s="53" t="str">
        <f xml:space="preserve"> IF(十五音音節表!I64&lt;&gt;"", _xlfn.CONCAT(J$4,$E68), "")</f>
        <v>ㄍㄧㆩ</v>
      </c>
      <c r="K68" s="53" t="str">
        <f xml:space="preserve"> IF(十五音音節表!J64&lt;&gt;"", _xlfn.CONCAT(K$4,$E68), "")</f>
        <v/>
      </c>
      <c r="L68" s="53" t="str">
        <f xml:space="preserve"> IF(十五音音節表!K64&lt;&gt;"", _xlfn.CONCAT(L$4,$E68), "")</f>
        <v>ㄉㄧㆩ</v>
      </c>
      <c r="M68" s="53" t="str">
        <f xml:space="preserve"> IF(十五音音節表!L64&lt;&gt;"", _xlfn.CONCAT(M$4,$E68), "")</f>
        <v/>
      </c>
      <c r="N68" s="53" t="str">
        <f xml:space="preserve"> IF(十五音音節表!M64&lt;&gt;"", _xlfn.CONCAT(N$4,$E68), "")</f>
        <v>ㄊㄧㆩ</v>
      </c>
      <c r="O68" s="53" t="str">
        <f xml:space="preserve"> IF(十五音音節表!N64&lt;&gt;"", _xlfn.CONCAT(O$4,$E68), "")</f>
        <v>ㄗㄧㆩ</v>
      </c>
      <c r="P68" s="53" t="str">
        <f xml:space="preserve"> IF(十五音音節表!O64&lt;&gt;"", _xlfn.CONCAT(P$4,$E68), "")</f>
        <v/>
      </c>
      <c r="Q68" s="53" t="str">
        <f xml:space="preserve"> IF(十五音音節表!P64&lt;&gt;"", _xlfn.CONCAT(Q$4,$E68), "")</f>
        <v>ㄙㄧㆩ</v>
      </c>
      <c r="R68" s="53" t="str">
        <f xml:space="preserve"> IF(十五音音節表!Q64&lt;&gt;"", _xlfn.CONCAT(R$4,$E68), "")</f>
        <v>ㄧㆩ</v>
      </c>
      <c r="S68" s="53" t="str">
        <f xml:space="preserve"> IF(十五音音節表!R64&lt;&gt;"", _xlfn.CONCAT(S$4,$E68), "")</f>
        <v/>
      </c>
      <c r="T68" s="53" t="str">
        <f xml:space="preserve"> IF(十五音音節表!S64&lt;&gt;"", _xlfn.CONCAT(T$4,$E68), "")</f>
        <v/>
      </c>
      <c r="U68" s="53" t="str">
        <f xml:space="preserve"> IF(十五音音節表!T64&lt;&gt;"", _xlfn.CONCAT(U$4,$E68), "")</f>
        <v/>
      </c>
      <c r="V68" s="53" t="str">
        <f xml:space="preserve"> IF(十五音音節表!U64&lt;&gt;"", _xlfn.CONCAT(V$4,$E68), "")</f>
        <v/>
      </c>
      <c r="W68" s="53" t="str">
        <f xml:space="preserve"> IF(十五音音節表!V64&lt;&gt;"", _xlfn.CONCAT(W$4,$E68), "")</f>
        <v>ㄘㄧㆩ</v>
      </c>
      <c r="X68" s="53" t="str">
        <f xml:space="preserve"> IF(十五音音節表!W64&lt;&gt;"", _xlfn.CONCAT(X$4,$E68), "")</f>
        <v>ㄏㄧㆩ</v>
      </c>
      <c r="Y68" s="135" t="s">
        <v>1219</v>
      </c>
      <c r="Z68" s="50" t="s">
        <v>305</v>
      </c>
      <c r="AA68" s="50" t="s">
        <v>132</v>
      </c>
    </row>
    <row r="69" spans="2:27" outlineLevel="1">
      <c r="B69" s="132" cm="1">
        <f t="array" ref="B69" xml:space="preserve"> INDEX(韻母表[韻序], MATCH(TRUE, EXACT($F69, 韻母表[十五音]), 0))</f>
        <v>36</v>
      </c>
      <c r="C69" s="50" t="str" cm="1">
        <f t="array" ref="C69" xml:space="preserve"> IF( INDEX(韻母表[國際音標2], MATCH(TRUE, EXACT($F69, 韻母表[十五音]), 0))&lt;&gt;"",  INDEX(韻母表[國際音標2], MATCH(TRUE, EXACT($F69, 韻母表[十五音]), 0)),  INDEX(韻母表[國際音標], MATCH(TRUE, EXACT($F69, 韻母表[十五音]), 0)))</f>
        <v>ɪãh</v>
      </c>
      <c r="D69" s="50" t="str" cm="1">
        <f t="array" ref="D69" xml:space="preserve"> INDEX(韻母表[台羅拼音], MATCH(TRUE, EXACT($F69, 韻母表[十五音]), 0))</f>
        <v>iannh</v>
      </c>
      <c r="E69" s="135" t="str" cm="1">
        <f t="array" ref="E69" xml:space="preserve"> INDEX(韻母表[方音符號], MATCH(TRUE, EXACT($F69, 韻母表[十五音]), 0))</f>
        <v>ㄧㆩㆷ</v>
      </c>
      <c r="F69" s="50" t="s">
        <v>133</v>
      </c>
      <c r="G69" s="53" t="str">
        <f xml:space="preserve"> IF(十五音音節表!F65&lt;&gt;"", _xlfn.CONCAT(G$4,$E69), "")</f>
        <v/>
      </c>
      <c r="H69" s="53" t="str">
        <f xml:space="preserve"> IF(十五音音節表!G65&lt;&gt;"", _xlfn.CONCAT(H$4,$E69), "")</f>
        <v/>
      </c>
      <c r="I69" s="53" t="str">
        <f xml:space="preserve"> IF(十五音音節表!H65&lt;&gt;"", _xlfn.CONCAT(I$4,$E69), "")</f>
        <v/>
      </c>
      <c r="J69" s="53" t="str">
        <f xml:space="preserve"> IF(十五音音節表!I65&lt;&gt;"", _xlfn.CONCAT(J$4,$E69), "")</f>
        <v/>
      </c>
      <c r="K69" s="53" t="str">
        <f xml:space="preserve"> IF(十五音音節表!J65&lt;&gt;"", _xlfn.CONCAT(K$4,$E69), "")</f>
        <v/>
      </c>
      <c r="L69" s="53" t="str">
        <f xml:space="preserve"> IF(十五音音節表!K65&lt;&gt;"", _xlfn.CONCAT(L$4,$E69), "")</f>
        <v/>
      </c>
      <c r="M69" s="53" t="str">
        <f xml:space="preserve"> IF(十五音音節表!L65&lt;&gt;"", _xlfn.CONCAT(M$4,$E69), "")</f>
        <v/>
      </c>
      <c r="N69" s="53" t="str">
        <f xml:space="preserve"> IF(十五音音節表!M65&lt;&gt;"", _xlfn.CONCAT(N$4,$E69), "")</f>
        <v/>
      </c>
      <c r="O69" s="53" t="str">
        <f xml:space="preserve"> IF(十五音音節表!N65&lt;&gt;"", _xlfn.CONCAT(O$4,$E69), "")</f>
        <v/>
      </c>
      <c r="P69" s="53" t="str">
        <f xml:space="preserve"> IF(十五音音節表!O65&lt;&gt;"", _xlfn.CONCAT(P$4,$E69), "")</f>
        <v/>
      </c>
      <c r="Q69" s="53" t="str">
        <f xml:space="preserve"> IF(十五音音節表!P65&lt;&gt;"", _xlfn.CONCAT(Q$4,$E69), "")</f>
        <v/>
      </c>
      <c r="R69" s="53" t="str">
        <f xml:space="preserve"> IF(十五音音節表!Q65&lt;&gt;"", _xlfn.CONCAT(R$4,$E69), "")</f>
        <v/>
      </c>
      <c r="S69" s="53" t="str">
        <f xml:space="preserve"> IF(十五音音節表!R65&lt;&gt;"", _xlfn.CONCAT(S$4,$E69), "")</f>
        <v/>
      </c>
      <c r="T69" s="53" t="str">
        <f xml:space="preserve"> IF(十五音音節表!S65&lt;&gt;"", _xlfn.CONCAT(T$4,$E69), "")</f>
        <v/>
      </c>
      <c r="U69" s="53" t="str">
        <f xml:space="preserve"> IF(十五音音節表!T65&lt;&gt;"", _xlfn.CONCAT(U$4,$E69), "")</f>
        <v/>
      </c>
      <c r="V69" s="53" t="str">
        <f xml:space="preserve"> IF(十五音音節表!U65&lt;&gt;"", _xlfn.CONCAT(V$4,$E69), "")</f>
        <v/>
      </c>
      <c r="W69" s="53" t="str">
        <f xml:space="preserve"> IF(十五音音節表!V65&lt;&gt;"", _xlfn.CONCAT(W$4,$E69), "")</f>
        <v/>
      </c>
      <c r="X69" s="53" t="str">
        <f xml:space="preserve"> IF(十五音音節表!W65&lt;&gt;"", _xlfn.CONCAT(X$4,$E69), "")</f>
        <v>ㄏㄧㆩㆷ</v>
      </c>
      <c r="Y69" s="135" t="s">
        <v>1561</v>
      </c>
      <c r="Z69" s="50" t="s">
        <v>225</v>
      </c>
      <c r="AA69" s="50" t="s">
        <v>133</v>
      </c>
    </row>
    <row r="70" spans="2:27">
      <c r="B70" s="132" cm="1">
        <f t="array" ref="B70" xml:space="preserve"> INDEX(韻母表[韻序], MATCH(TRUE, EXACT($F70, 韻母表[十五音]), 0))</f>
        <v>37</v>
      </c>
      <c r="C70" s="50" t="str" cm="1">
        <f t="array" ref="C70" xml:space="preserve"> IF( INDEX(韻母表[國際音標2], MATCH(TRUE, EXACT($F70, 韻母表[十五音]), 0))&lt;&gt;"",  INDEX(韻母表[國際音標2], MATCH(TRUE, EXACT($F70, 韻母表[十五音]), 0)),  INDEX(韻母表[國際音標], MATCH(TRUE, EXACT($F70, 韻母表[十五音]), 0)))</f>
        <v>uã</v>
      </c>
      <c r="D70" s="50" t="str" cm="1">
        <f t="array" ref="D70" xml:space="preserve"> INDEX(韻母表[台羅拼音], MATCH(TRUE, EXACT($F70, 韻母表[十五音]), 0))</f>
        <v>uann</v>
      </c>
      <c r="E70" s="135" t="str" cm="1">
        <f t="array" ref="E70" xml:space="preserve"> INDEX(韻母表[方音符號], MATCH(TRUE, EXACT($F70, 韻母表[十五音]), 0))</f>
        <v>ㄨㆩ</v>
      </c>
      <c r="F70" s="50" t="s">
        <v>134</v>
      </c>
      <c r="G70" s="53" t="str">
        <f xml:space="preserve"> IF(十五音音節表!F66&lt;&gt;"", _xlfn.CONCAT(G$4,$E70), "")</f>
        <v/>
      </c>
      <c r="H70" s="53" t="str">
        <f xml:space="preserve"> IF(十五音音節表!G66&lt;&gt;"", _xlfn.CONCAT(H$4,$E70), "")</f>
        <v/>
      </c>
      <c r="I70" s="53" t="str">
        <f xml:space="preserve"> IF(十五音音節表!H66&lt;&gt;"", _xlfn.CONCAT(I$4,$E70), "")</f>
        <v>ㄅㄨㆩ</v>
      </c>
      <c r="J70" s="53" t="str">
        <f xml:space="preserve"> IF(十五音音節表!I66&lt;&gt;"", _xlfn.CONCAT(J$4,$E70), "")</f>
        <v>ㄍㄨㆩ</v>
      </c>
      <c r="K70" s="53" t="str">
        <f xml:space="preserve"> IF(十五音音節表!J66&lt;&gt;"", _xlfn.CONCAT(K$4,$E70), "")</f>
        <v>ㄎㄨㆩ</v>
      </c>
      <c r="L70" s="53" t="str">
        <f xml:space="preserve"> IF(十五音音節表!K66&lt;&gt;"", _xlfn.CONCAT(L$4,$E70), "")</f>
        <v>ㄉㄨㆩ</v>
      </c>
      <c r="M70" s="53" t="str">
        <f xml:space="preserve"> IF(十五音音節表!L66&lt;&gt;"", _xlfn.CONCAT(M$4,$E70), "")</f>
        <v>ㄆㄨㆩ</v>
      </c>
      <c r="N70" s="53" t="str">
        <f xml:space="preserve"> IF(十五音音節表!M66&lt;&gt;"", _xlfn.CONCAT(N$4,$E70), "")</f>
        <v>ㄊㄨㆩ</v>
      </c>
      <c r="O70" s="53" t="str">
        <f xml:space="preserve"> IF(十五音音節表!N66&lt;&gt;"", _xlfn.CONCAT(O$4,$E70), "")</f>
        <v/>
      </c>
      <c r="P70" s="53" t="str">
        <f xml:space="preserve"> IF(十五音音節表!O66&lt;&gt;"", _xlfn.CONCAT(P$4,$E70), "")</f>
        <v/>
      </c>
      <c r="Q70" s="53" t="str">
        <f xml:space="preserve"> IF(十五音音節表!P66&lt;&gt;"", _xlfn.CONCAT(Q$4,$E70), "")</f>
        <v>ㄙㄨㆩ</v>
      </c>
      <c r="R70" s="53" t="str">
        <f xml:space="preserve"> IF(十五音音節表!Q66&lt;&gt;"", _xlfn.CONCAT(R$4,$E70), "")</f>
        <v>ㄨㆩ</v>
      </c>
      <c r="S70" s="53" t="str">
        <f xml:space="preserve"> IF(十五音音節表!R66&lt;&gt;"", _xlfn.CONCAT(S$4,$E70), "")</f>
        <v/>
      </c>
      <c r="T70" s="53" t="str">
        <f xml:space="preserve"> IF(十五音音節表!S66&lt;&gt;"", _xlfn.CONCAT(T$4,$E70), "")</f>
        <v/>
      </c>
      <c r="U70" s="53" t="str">
        <f xml:space="preserve"> IF(十五音音節表!T66&lt;&gt;"", _xlfn.CONCAT(U$4,$E70), "")</f>
        <v/>
      </c>
      <c r="V70" s="53" t="str">
        <f xml:space="preserve"> IF(十五音音節表!U66&lt;&gt;"", _xlfn.CONCAT(V$4,$E70), "")</f>
        <v/>
      </c>
      <c r="W70" s="53" t="str">
        <f xml:space="preserve"> IF(十五音音節表!V66&lt;&gt;"", _xlfn.CONCAT(W$4,$E70), "")</f>
        <v>ㄘㄨㆩ</v>
      </c>
      <c r="X70" s="53" t="str">
        <f xml:space="preserve"> IF(十五音音節表!W66&lt;&gt;"", _xlfn.CONCAT(X$4,$E70), "")</f>
        <v>ㄏㄨㆩ</v>
      </c>
      <c r="Y70" s="135" t="s">
        <v>1223</v>
      </c>
      <c r="Z70" s="50" t="s">
        <v>226</v>
      </c>
      <c r="AA70" s="50" t="s">
        <v>134</v>
      </c>
    </row>
    <row r="71" spans="2:27">
      <c r="B71" s="132" cm="1">
        <f t="array" ref="B71" xml:space="preserve"> INDEX(韻母表[韻序], MATCH(TRUE, EXACT($F71, 韻母表[十五音]), 0))</f>
        <v>38</v>
      </c>
      <c r="C71" s="50" t="str" cm="1">
        <f t="array" ref="C71" xml:space="preserve"> IF( INDEX(韻母表[國際音標2], MATCH(TRUE, EXACT($F71, 韻母表[十五音]), 0))&lt;&gt;"",  INDEX(韻母表[國際音標2], MATCH(TRUE, EXACT($F71, 韻母表[十五音]), 0)),  INDEX(韻母表[國際音標], MATCH(TRUE, EXACT($F71, 韻母表[十五音]), 0)))</f>
        <v>ŋ̍</v>
      </c>
      <c r="D71" s="50" t="str" cm="1">
        <f t="array" ref="D71" xml:space="preserve"> INDEX(韻母表[台羅拼音], MATCH(TRUE, EXACT($F71, 韻母表[十五音]), 0))</f>
        <v>ng</v>
      </c>
      <c r="E71" s="135" t="str" cm="1">
        <f t="array" ref="E71" xml:space="preserve"> INDEX(韻母表[方音符號], MATCH(TRUE, EXACT($F71, 韻母表[十五音]), 0))</f>
        <v>ㆭ</v>
      </c>
      <c r="F71" s="50" t="s">
        <v>136</v>
      </c>
      <c r="G71" s="53" t="str">
        <f xml:space="preserve"> IF(十五音音節表!F67&lt;&gt;"", _xlfn.CONCAT(G$4,$E71), "")</f>
        <v/>
      </c>
      <c r="H71" s="53" t="str">
        <f xml:space="preserve"> IF(十五音音節表!G67&lt;&gt;"", _xlfn.CONCAT(H$4,$E71), "")</f>
        <v>ㄋㆭ</v>
      </c>
      <c r="I71" s="53" t="str">
        <f xml:space="preserve"> IF(十五音音節表!H67&lt;&gt;"", _xlfn.CONCAT(I$4,$E71), "")</f>
        <v>ㄅㆭ</v>
      </c>
      <c r="J71" s="53" t="str">
        <f xml:space="preserve"> IF(十五音音節表!I67&lt;&gt;"", _xlfn.CONCAT(J$4,$E71), "")</f>
        <v>ㄍㆭ</v>
      </c>
      <c r="K71" s="53" t="str">
        <f xml:space="preserve"> IF(十五音音節表!J67&lt;&gt;"", _xlfn.CONCAT(K$4,$E71), "")</f>
        <v>ㄎㆭ</v>
      </c>
      <c r="L71" s="53" t="str">
        <f xml:space="preserve"> IF(十五音音節表!K67&lt;&gt;"", _xlfn.CONCAT(L$4,$E71), "")</f>
        <v>ㄉㆭ</v>
      </c>
      <c r="M71" s="53" t="str">
        <f xml:space="preserve"> IF(十五音音節表!L67&lt;&gt;"", _xlfn.CONCAT(M$4,$E71), "")</f>
        <v/>
      </c>
      <c r="N71" s="53" t="str">
        <f xml:space="preserve"> IF(十五音音節表!M67&lt;&gt;"", _xlfn.CONCAT(N$4,$E71), "")</f>
        <v>ㄊㆭ</v>
      </c>
      <c r="O71" s="53" t="str">
        <f xml:space="preserve"> IF(十五音音節表!N67&lt;&gt;"", _xlfn.CONCAT(O$4,$E71), "")</f>
        <v>ㄗㆭ</v>
      </c>
      <c r="P71" s="53" t="str">
        <f xml:space="preserve"> IF(十五音音節表!O67&lt;&gt;"", _xlfn.CONCAT(P$4,$E71), "")</f>
        <v/>
      </c>
      <c r="Q71" s="53" t="str">
        <f xml:space="preserve"> IF(十五音音節表!P67&lt;&gt;"", _xlfn.CONCAT(Q$4,$E71), "")</f>
        <v>ㄙㆭ</v>
      </c>
      <c r="R71" s="53" t="str">
        <f xml:space="preserve"> IF(十五音音節表!Q67&lt;&gt;"", _xlfn.CONCAT(R$4,$E71), "")</f>
        <v>ㆭ</v>
      </c>
      <c r="S71" s="53" t="str">
        <f xml:space="preserve"> IF(十五音音節表!R67&lt;&gt;"", _xlfn.CONCAT(S$4,$E71), "")</f>
        <v/>
      </c>
      <c r="T71" s="53" t="str">
        <f xml:space="preserve"> IF(十五音音節表!S67&lt;&gt;"", _xlfn.CONCAT(T$4,$E71), "")</f>
        <v>ㄇㆭ</v>
      </c>
      <c r="U71" s="53" t="str">
        <f xml:space="preserve"> IF(十五音音節表!T67&lt;&gt;"", _xlfn.CONCAT(U$4,$E71), "")</f>
        <v/>
      </c>
      <c r="V71" s="53" t="str">
        <f xml:space="preserve"> IF(十五音音節表!U67&lt;&gt;"", _xlfn.CONCAT(V$4,$E71), "")</f>
        <v/>
      </c>
      <c r="W71" s="53" t="str">
        <f xml:space="preserve"> IF(十五音音節表!V67&lt;&gt;"", _xlfn.CONCAT(W$4,$E71), "")</f>
        <v>ㄘㆭ</v>
      </c>
      <c r="X71" s="53" t="str">
        <f xml:space="preserve"> IF(十五音音節表!W67&lt;&gt;"", _xlfn.CONCAT(X$4,$E71), "")</f>
        <v>ㄏㆭ</v>
      </c>
      <c r="Y71" s="135" t="s">
        <v>1225</v>
      </c>
      <c r="Z71" s="50" t="s">
        <v>52</v>
      </c>
      <c r="AA71" s="50" t="s">
        <v>136</v>
      </c>
    </row>
    <row r="72" spans="2:27" outlineLevel="1">
      <c r="B72" s="132" cm="1">
        <f t="array" ref="B72" xml:space="preserve"> INDEX(韻母表[韻序], MATCH(TRUE, EXACT($F72, 韻母表[十五音]), 0))</f>
        <v>38</v>
      </c>
      <c r="C72" s="50" t="str" cm="1">
        <f t="array" ref="C72" xml:space="preserve"> IF( INDEX(韻母表[國際音標2], MATCH(TRUE, EXACT($F72, 韻母表[十五音]), 0))&lt;&gt;"",  INDEX(韻母表[國際音標2], MATCH(TRUE, EXACT($F72, 韻母表[十五音]), 0)),  INDEX(韻母表[國際音標], MATCH(TRUE, EXACT($F72, 韻母表[十五音]), 0)))</f>
        <v>ŋ̍h</v>
      </c>
      <c r="D72" s="50" t="str" cm="1">
        <f t="array" ref="D72" xml:space="preserve"> INDEX(韻母表[台羅拼音], MATCH(TRUE, EXACT($F72, 韻母表[十五音]), 0))</f>
        <v>ngh</v>
      </c>
      <c r="E72" s="135" t="str" cm="1">
        <f t="array" ref="E72" xml:space="preserve"> INDEX(韻母表[方音符號], MATCH(TRUE, EXACT($F72, 韻母表[十五音]), 0))</f>
        <v>ㆭㆷ</v>
      </c>
      <c r="F72" s="50" t="s">
        <v>137</v>
      </c>
      <c r="G72" s="53" t="str">
        <f xml:space="preserve"> IF(十五音音節表!F68&lt;&gt;"", _xlfn.CONCAT(G$4,$E72), "")</f>
        <v/>
      </c>
      <c r="H72" s="53" t="str">
        <f xml:space="preserve"> IF(十五音音節表!G68&lt;&gt;"", _xlfn.CONCAT(H$4,$E72), "")</f>
        <v/>
      </c>
      <c r="I72" s="53" t="str">
        <f xml:space="preserve"> IF(十五音音節表!H68&lt;&gt;"", _xlfn.CONCAT(I$4,$E72), "")</f>
        <v/>
      </c>
      <c r="J72" s="53" t="str">
        <f xml:space="preserve"> IF(十五音音節表!I68&lt;&gt;"", _xlfn.CONCAT(J$4,$E72), "")</f>
        <v/>
      </c>
      <c r="K72" s="53" t="str">
        <f xml:space="preserve"> IF(十五音音節表!J68&lt;&gt;"", _xlfn.CONCAT(K$4,$E72), "")</f>
        <v/>
      </c>
      <c r="L72" s="53" t="str">
        <f xml:space="preserve"> IF(十五音音節表!K68&lt;&gt;"", _xlfn.CONCAT(L$4,$E72), "")</f>
        <v/>
      </c>
      <c r="M72" s="53" t="str">
        <f xml:space="preserve"> IF(十五音音節表!L68&lt;&gt;"", _xlfn.CONCAT(M$4,$E72), "")</f>
        <v>ㄆㆭㆷ</v>
      </c>
      <c r="N72" s="53" t="str">
        <f xml:space="preserve"> IF(十五音音節表!M68&lt;&gt;"", _xlfn.CONCAT(N$4,$E72), "")</f>
        <v/>
      </c>
      <c r="O72" s="53" t="str">
        <f xml:space="preserve"> IF(十五音音節表!N68&lt;&gt;"", _xlfn.CONCAT(O$4,$E72), "")</f>
        <v/>
      </c>
      <c r="P72" s="53" t="str">
        <f xml:space="preserve"> IF(十五音音節表!O68&lt;&gt;"", _xlfn.CONCAT(P$4,$E72), "")</f>
        <v/>
      </c>
      <c r="Q72" s="53" t="str">
        <f xml:space="preserve"> IF(十五音音節表!P68&lt;&gt;"", _xlfn.CONCAT(Q$4,$E72), "")</f>
        <v>ㄙㆭㆷ</v>
      </c>
      <c r="R72" s="53" t="str">
        <f xml:space="preserve"> IF(十五音音節表!Q68&lt;&gt;"", _xlfn.CONCAT(R$4,$E72), "")</f>
        <v/>
      </c>
      <c r="S72" s="53" t="str">
        <f xml:space="preserve"> IF(十五音音節表!R68&lt;&gt;"", _xlfn.CONCAT(S$4,$E72), "")</f>
        <v/>
      </c>
      <c r="T72" s="53" t="str">
        <f xml:space="preserve"> IF(十五音音節表!S68&lt;&gt;"", _xlfn.CONCAT(T$4,$E72), "")</f>
        <v/>
      </c>
      <c r="U72" s="53" t="str">
        <f xml:space="preserve"> IF(十五音音節表!T68&lt;&gt;"", _xlfn.CONCAT(U$4,$E72), "")</f>
        <v/>
      </c>
      <c r="V72" s="53" t="str">
        <f xml:space="preserve"> IF(十五音音節表!U68&lt;&gt;"", _xlfn.CONCAT(V$4,$E72), "")</f>
        <v/>
      </c>
      <c r="W72" s="53" t="str">
        <f xml:space="preserve"> IF(十五音音節表!V68&lt;&gt;"", _xlfn.CONCAT(W$4,$E72), "")</f>
        <v>ㄘㆭㆷ</v>
      </c>
      <c r="X72" s="53" t="str">
        <f xml:space="preserve"> IF(十五音音節表!W68&lt;&gt;"", _xlfn.CONCAT(X$4,$E72), "")</f>
        <v>ㄏㆭㆷ</v>
      </c>
      <c r="Y72" s="135" t="s">
        <v>1562</v>
      </c>
      <c r="Z72" s="50" t="s">
        <v>826</v>
      </c>
      <c r="AA72" s="50" t="s">
        <v>137</v>
      </c>
    </row>
    <row r="73" spans="2:27">
      <c r="B73" s="132" cm="1">
        <f t="array" ref="B73" xml:space="preserve"> INDEX(韻母表[韻序], MATCH(TRUE, EXACT($F73, 韻母表[十五音]), 0))</f>
        <v>39</v>
      </c>
      <c r="C73" s="50" t="str" cm="1">
        <f t="array" ref="C73" xml:space="preserve"> IF( INDEX(韻母表[國際音標2], MATCH(TRUE, EXACT($F73, 韻母表[十五音]), 0))&lt;&gt;"",  INDEX(韻母表[國際音標2], MATCH(TRUE, EXACT($F73, 韻母表[十五音]), 0)),  INDEX(韻母表[國際音標], MATCH(TRUE, EXACT($F73, 韻母表[十五音]), 0)))</f>
        <v>eʔ</v>
      </c>
      <c r="D73" s="50" t="str" cm="1">
        <f t="array" ref="D73" xml:space="preserve"> INDEX(韻母表[台羅拼音], MATCH(TRUE, EXACT($F73, 韻母表[十五音]), 0))</f>
        <v>eh</v>
      </c>
      <c r="E73" s="135" t="str" cm="1">
        <f t="array" ref="E73" xml:space="preserve"> INDEX(韻母表[方音符號], MATCH(TRUE, EXACT($F73, 韻母表[十五音]), 0))</f>
        <v>ㆤㆷ</v>
      </c>
      <c r="F73" s="50" t="s">
        <v>139</v>
      </c>
      <c r="G73" s="53" t="str">
        <f xml:space="preserve"> IF(十五音音節表!F69&lt;&gt;"", _xlfn.CONCAT(G$4,$E73), "")</f>
        <v>ㄌㆤㆷ</v>
      </c>
      <c r="H73" s="53" t="str">
        <f xml:space="preserve"> IF(十五音音節表!G69&lt;&gt;"", _xlfn.CONCAT(H$4,$E73), "")</f>
        <v>ㄋㆤㆷ</v>
      </c>
      <c r="I73" s="53" t="str">
        <f xml:space="preserve"> IF(十五音音節表!H69&lt;&gt;"", _xlfn.CONCAT(I$4,$E73), "")</f>
        <v>ㄅㆤㆷ</v>
      </c>
      <c r="J73" s="53" t="str">
        <f xml:space="preserve"> IF(十五音音節表!I69&lt;&gt;"", _xlfn.CONCAT(J$4,$E73), "")</f>
        <v>ㄍㆤㆷ</v>
      </c>
      <c r="K73" s="53" t="str">
        <f xml:space="preserve"> IF(十五音音節表!J69&lt;&gt;"", _xlfn.CONCAT(K$4,$E73), "")</f>
        <v>ㄎㆤㆷ</v>
      </c>
      <c r="L73" s="53" t="str">
        <f xml:space="preserve"> IF(十五音音節表!K69&lt;&gt;"", _xlfn.CONCAT(L$4,$E73), "")</f>
        <v>ㄉㆤㆷ</v>
      </c>
      <c r="M73" s="53" t="str">
        <f xml:space="preserve"> IF(十五音音節表!L69&lt;&gt;"", _xlfn.CONCAT(M$4,$E73), "")</f>
        <v/>
      </c>
      <c r="N73" s="53" t="str">
        <f xml:space="preserve"> IF(十五音音節表!M69&lt;&gt;"", _xlfn.CONCAT(N$4,$E73), "")</f>
        <v>ㄊㆤㆷ</v>
      </c>
      <c r="O73" s="53" t="str">
        <f xml:space="preserve"> IF(十五音音節表!N69&lt;&gt;"", _xlfn.CONCAT(O$4,$E73), "")</f>
        <v>ㄗㆤㆷ</v>
      </c>
      <c r="P73" s="53" t="str">
        <f xml:space="preserve"> IF(十五音音節表!O69&lt;&gt;"", _xlfn.CONCAT(P$4,$E73), "")</f>
        <v/>
      </c>
      <c r="Q73" s="53" t="str">
        <f xml:space="preserve"> IF(十五音音節表!P69&lt;&gt;"", _xlfn.CONCAT(Q$4,$E73), "")</f>
        <v>ㄙㆤㆷ</v>
      </c>
      <c r="R73" s="53" t="str">
        <f xml:space="preserve"> IF(十五音音節表!Q69&lt;&gt;"", _xlfn.CONCAT(R$4,$E73), "")</f>
        <v>ㆤㆷ</v>
      </c>
      <c r="S73" s="53" t="str">
        <f xml:space="preserve"> IF(十五音音節表!R69&lt;&gt;"", _xlfn.CONCAT(S$4,$E73), "")</f>
        <v>ㆠㆤㆷ</v>
      </c>
      <c r="T73" s="53" t="str">
        <f xml:space="preserve"> IF(十五音音節表!S69&lt;&gt;"", _xlfn.CONCAT(T$4,$E73), "")</f>
        <v>ㄇㆤㆷ</v>
      </c>
      <c r="U73" s="53" t="str">
        <f xml:space="preserve"> IF(十五音音節表!T69&lt;&gt;"", _xlfn.CONCAT(U$4,$E73), "")</f>
        <v/>
      </c>
      <c r="V73" s="53" t="str">
        <f xml:space="preserve"> IF(十五音音節表!U69&lt;&gt;"", _xlfn.CONCAT(V$4,$E73), "")</f>
        <v>ㄫㆤㆷ</v>
      </c>
      <c r="W73" s="53" t="str">
        <f xml:space="preserve"> IF(十五音音節表!V69&lt;&gt;"", _xlfn.CONCAT(W$4,$E73), "")</f>
        <v>ㄘㆤㆷ</v>
      </c>
      <c r="X73" s="53" t="str">
        <f xml:space="preserve"> IF(十五音音節表!W69&lt;&gt;"", _xlfn.CONCAT(X$4,$E73), "")</f>
        <v>ㄏㆤㆷ</v>
      </c>
      <c r="Y73" s="135" t="s">
        <v>1228</v>
      </c>
      <c r="Z73" s="50" t="s">
        <v>227</v>
      </c>
      <c r="AA73" s="50" t="s">
        <v>139</v>
      </c>
    </row>
    <row r="74" spans="2:27">
      <c r="B74" s="132" cm="1">
        <f t="array" ref="B74" xml:space="preserve"> INDEX(韻母表[韻序], MATCH(TRUE, EXACT($F74, 韻母表[十五音]), 0))</f>
        <v>40</v>
      </c>
      <c r="C74" s="50" t="str" cm="1">
        <f t="array" ref="C74" xml:space="preserve"> IF( INDEX(韻母表[國際音標2], MATCH(TRUE, EXACT($F74, 韻母表[十五音]), 0))&lt;&gt;"",  INDEX(韻母表[國際音標2], MATCH(TRUE, EXACT($F74, 韻母表[十五音]), 0)),  INDEX(韻母表[國際音標], MATCH(TRUE, EXACT($F74, 韻母表[十五音]), 0)))</f>
        <v>ãɪ</v>
      </c>
      <c r="D74" s="50" t="str" cm="1">
        <f t="array" ref="D74" xml:space="preserve"> INDEX(韻母表[台羅拼音], MATCH(TRUE, EXACT($F74, 韻母表[十五音]), 0))</f>
        <v>ainn</v>
      </c>
      <c r="E74" s="135" t="str" cm="1">
        <f t="array" ref="E74" xml:space="preserve"> INDEX(韻母表[方音符號], MATCH(TRUE, EXACT($F74, 韻母表[十五音]), 0))</f>
        <v>ㆮ</v>
      </c>
      <c r="F74" s="50" t="s">
        <v>140</v>
      </c>
      <c r="G74" s="53" t="str">
        <f xml:space="preserve"> IF(十五音音節表!F70&lt;&gt;"", _xlfn.CONCAT(G$4,$E74), "")</f>
        <v/>
      </c>
      <c r="H74" s="53" t="str">
        <f xml:space="preserve"> IF(十五音音節表!G70&lt;&gt;"", _xlfn.CONCAT(H$4,$E74), "")</f>
        <v/>
      </c>
      <c r="I74" s="53" t="str">
        <f xml:space="preserve"> IF(十五音音節表!H70&lt;&gt;"", _xlfn.CONCAT(I$4,$E74), "")</f>
        <v/>
      </c>
      <c r="J74" s="53" t="str">
        <f xml:space="preserve"> IF(十五音音節表!I70&lt;&gt;"", _xlfn.CONCAT(J$4,$E74), "")</f>
        <v>ㄍㆮ</v>
      </c>
      <c r="K74" s="53" t="str">
        <f xml:space="preserve"> IF(十五音音節表!J70&lt;&gt;"", _xlfn.CONCAT(K$4,$E74), "")</f>
        <v>ㄎㆮ</v>
      </c>
      <c r="L74" s="53" t="str">
        <f xml:space="preserve"> IF(十五音音節表!K70&lt;&gt;"", _xlfn.CONCAT(L$4,$E74), "")</f>
        <v>ㄉㆮ</v>
      </c>
      <c r="M74" s="53" t="str">
        <f xml:space="preserve"> IF(十五音音節表!L70&lt;&gt;"", _xlfn.CONCAT(M$4,$E74), "")</f>
        <v>ㄆㆮ</v>
      </c>
      <c r="N74" s="53" t="str">
        <f xml:space="preserve"> IF(十五音音節表!M70&lt;&gt;"", _xlfn.CONCAT(N$4,$E74), "")</f>
        <v/>
      </c>
      <c r="O74" s="53" t="str">
        <f xml:space="preserve"> IF(十五音音節表!N70&lt;&gt;"", _xlfn.CONCAT(O$4,$E74), "")</f>
        <v>ㄗㆮ</v>
      </c>
      <c r="P74" s="53" t="str">
        <f xml:space="preserve"> IF(十五音音節表!O70&lt;&gt;"", _xlfn.CONCAT(P$4,$E74), "")</f>
        <v/>
      </c>
      <c r="Q74" s="53" t="str">
        <f xml:space="preserve"> IF(十五音音節表!P70&lt;&gt;"", _xlfn.CONCAT(Q$4,$E74), "")</f>
        <v/>
      </c>
      <c r="R74" s="53" t="str">
        <f xml:space="preserve"> IF(十五音音節表!Q70&lt;&gt;"", _xlfn.CONCAT(R$4,$E74), "")</f>
        <v>ㆮ</v>
      </c>
      <c r="S74" s="53" t="str">
        <f xml:space="preserve"> IF(十五音音節表!R70&lt;&gt;"", _xlfn.CONCAT(S$4,$E74), "")</f>
        <v/>
      </c>
      <c r="T74" s="53" t="str">
        <f xml:space="preserve"> IF(十五音音節表!S70&lt;&gt;"", _xlfn.CONCAT(T$4,$E74), "")</f>
        <v/>
      </c>
      <c r="U74" s="53" t="str">
        <f xml:space="preserve"> IF(十五音音節表!T70&lt;&gt;"", _xlfn.CONCAT(U$4,$E74), "")</f>
        <v/>
      </c>
      <c r="V74" s="53" t="str">
        <f xml:space="preserve"> IF(十五音音節表!U70&lt;&gt;"", _xlfn.CONCAT(V$4,$E74), "")</f>
        <v/>
      </c>
      <c r="W74" s="53" t="str">
        <f xml:space="preserve"> IF(十五音音節表!V70&lt;&gt;"", _xlfn.CONCAT(W$4,$E74), "")</f>
        <v/>
      </c>
      <c r="X74" s="53" t="str">
        <f xml:space="preserve"> IF(十五音音節表!W70&lt;&gt;"", _xlfn.CONCAT(X$4,$E74), "")</f>
        <v>ㄏㆮ</v>
      </c>
      <c r="Y74" s="135" t="s">
        <v>1230</v>
      </c>
      <c r="Z74" s="50" t="s">
        <v>228</v>
      </c>
      <c r="AA74" s="50" t="s">
        <v>140</v>
      </c>
    </row>
    <row r="75" spans="2:27">
      <c r="B75" s="132" cm="1">
        <f t="array" ref="B75" xml:space="preserve"> INDEX(韻母表[韻序], MATCH(TRUE, EXACT($F75, 韻母表[十五音]), 0))</f>
        <v>41</v>
      </c>
      <c r="C75" s="96" t="str" cm="1">
        <f t="array" ref="C75" xml:space="preserve"> IF( INDEX(韻母表[國際音標2], MATCH(TRUE, EXACT($F75, 韻母表[十五音]), 0))&lt;&gt;"",  INDEX(韻母表[國際音標2], MATCH(TRUE, EXACT($F75, 韻母表[十五音]), 0)),  INDEX(韻母表[國際音標], MATCH(TRUE, EXACT($F75, 韻母表[十五音]), 0)))</f>
        <v>õu</v>
      </c>
      <c r="D75" s="50" t="str" cm="1">
        <f t="array" ref="D75" xml:space="preserve"> INDEX(韻母表[台羅拼音], MATCH(TRUE, EXACT($F75, 韻母表[十五音]), 0))</f>
        <v>onn</v>
      </c>
      <c r="E75" s="135" t="str" cm="1">
        <f t="array" ref="E75" xml:space="preserve"> INDEX(韻母表[方音符號], MATCH(TRUE, EXACT($F75, 韻母表[十五音]), 0))</f>
        <v>ㆧ</v>
      </c>
      <c r="F75" s="50" t="s">
        <v>142</v>
      </c>
      <c r="G75" s="53" t="str">
        <f xml:space="preserve"> IF(十五音音節表!F71&lt;&gt;"", _xlfn.CONCAT(G$4,$E75), "")</f>
        <v/>
      </c>
      <c r="H75" s="53" t="str">
        <f xml:space="preserve"> IF(十五音音節表!G71&lt;&gt;"", _xlfn.CONCAT(H$4,$E75), "")</f>
        <v/>
      </c>
      <c r="I75" s="53" t="str">
        <f xml:space="preserve"> IF(十五音音節表!H71&lt;&gt;"", _xlfn.CONCAT(I$4,$E75), "")</f>
        <v/>
      </c>
      <c r="J75" s="53" t="str">
        <f xml:space="preserve"> IF(十五音音節表!I71&lt;&gt;"", _xlfn.CONCAT(J$4,$E75), "")</f>
        <v>ㄍㆧ</v>
      </c>
      <c r="K75" s="53" t="str">
        <f xml:space="preserve"> IF(十五音音節表!J71&lt;&gt;"", _xlfn.CONCAT(K$4,$E75), "")</f>
        <v/>
      </c>
      <c r="L75" s="53" t="str">
        <f xml:space="preserve"> IF(十五音音節表!K71&lt;&gt;"", _xlfn.CONCAT(L$4,$E75), "")</f>
        <v/>
      </c>
      <c r="M75" s="53" t="str">
        <f xml:space="preserve"> IF(十五音音節表!L71&lt;&gt;"", _xlfn.CONCAT(M$4,$E75), "")</f>
        <v/>
      </c>
      <c r="N75" s="53" t="str">
        <f xml:space="preserve"> IF(十五音音節表!M71&lt;&gt;"", _xlfn.CONCAT(N$4,$E75), "")</f>
        <v/>
      </c>
      <c r="O75" s="53" t="str">
        <f xml:space="preserve"> IF(十五音音節表!N71&lt;&gt;"", _xlfn.CONCAT(O$4,$E75), "")</f>
        <v/>
      </c>
      <c r="P75" s="53" t="str">
        <f xml:space="preserve"> IF(十五音音節表!O71&lt;&gt;"", _xlfn.CONCAT(P$4,$E75), "")</f>
        <v/>
      </c>
      <c r="Q75" s="53" t="str">
        <f xml:space="preserve"> IF(十五音音節表!P71&lt;&gt;"", _xlfn.CONCAT(Q$4,$E75), "")</f>
        <v/>
      </c>
      <c r="R75" s="53" t="str">
        <f xml:space="preserve"> IF(十五音音節表!Q71&lt;&gt;"", _xlfn.CONCAT(R$4,$E75), "")</f>
        <v>ㆧ</v>
      </c>
      <c r="S75" s="53" t="str">
        <f xml:space="preserve"> IF(十五音音節表!R71&lt;&gt;"", _xlfn.CONCAT(S$4,$E75), "")</f>
        <v/>
      </c>
      <c r="T75" s="53" t="str">
        <f xml:space="preserve"> IF(十五音音節表!S71&lt;&gt;"", _xlfn.CONCAT(T$4,$E75), "")</f>
        <v/>
      </c>
      <c r="U75" s="53" t="str">
        <f xml:space="preserve"> IF(十五音音節表!T71&lt;&gt;"", _xlfn.CONCAT(U$4,$E75), "")</f>
        <v/>
      </c>
      <c r="V75" s="53" t="str">
        <f xml:space="preserve"> IF(十五音音節表!U71&lt;&gt;"", _xlfn.CONCAT(V$4,$E75), "")</f>
        <v/>
      </c>
      <c r="W75" s="53" t="str">
        <f xml:space="preserve"> IF(十五音音節表!V71&lt;&gt;"", _xlfn.CONCAT(W$4,$E75), "")</f>
        <v/>
      </c>
      <c r="X75" s="53" t="str">
        <f xml:space="preserve"> IF(十五音音節表!W71&lt;&gt;"", _xlfn.CONCAT(X$4,$E75), "")</f>
        <v>ㄏㆧ</v>
      </c>
      <c r="Y75" s="135" t="s">
        <v>1234</v>
      </c>
      <c r="Z75" s="50" t="s">
        <v>229</v>
      </c>
      <c r="AA75" s="50" t="s">
        <v>142</v>
      </c>
    </row>
    <row r="76" spans="2:27">
      <c r="B76" s="132" cm="1">
        <f t="array" ref="B76" xml:space="preserve"> INDEX(韻母表[韻序], MATCH(TRUE, EXACT($F76, 韻母表[十五音]), 0))</f>
        <v>42</v>
      </c>
      <c r="C76" s="50" t="str" cm="1">
        <f t="array" ref="C76" xml:space="preserve"> IF( INDEX(韻母表[國際音標2], MATCH(TRUE, EXACT($F76, 韻母表[十五音]), 0))&lt;&gt;"",  INDEX(韻母表[國際音標2], MATCH(TRUE, EXACT($F76, 韻母表[十五音]), 0)),  INDEX(韻母表[國際音標], MATCH(TRUE, EXACT($F76, 韻母表[十五音]), 0)))</f>
        <v>m̩</v>
      </c>
      <c r="D76" s="50" t="str" cm="1">
        <f t="array" ref="D76" xml:space="preserve"> INDEX(韻母表[台羅拼音], MATCH(TRUE, EXACT($F76, 韻母表[十五音]), 0))</f>
        <v>m</v>
      </c>
      <c r="E76" s="135" t="str" cm="1">
        <f t="array" ref="E76" xml:space="preserve"> INDEX(韻母表[方音符號], MATCH(TRUE, EXACT($F76, 韻母表[十五音]), 0))</f>
        <v>ㆬ</v>
      </c>
      <c r="F76" s="50" t="s">
        <v>144</v>
      </c>
      <c r="G76" s="53" t="str">
        <f xml:space="preserve"> IF(十五音音節表!F72&lt;&gt;"", _xlfn.CONCAT(G$4,$E76), "")</f>
        <v/>
      </c>
      <c r="H76" s="53" t="str">
        <f xml:space="preserve"> IF(十五音音節表!G72&lt;&gt;"", _xlfn.CONCAT(H$4,$E76), "")</f>
        <v/>
      </c>
      <c r="I76" s="53" t="str">
        <f xml:space="preserve"> IF(十五音音節表!H72&lt;&gt;"", _xlfn.CONCAT(I$4,$E76), "")</f>
        <v/>
      </c>
      <c r="J76" s="53" t="str">
        <f xml:space="preserve"> IF(十五音音節表!I72&lt;&gt;"", _xlfn.CONCAT(J$4,$E76), "")</f>
        <v/>
      </c>
      <c r="K76" s="53" t="str">
        <f xml:space="preserve"> IF(十五音音節表!J72&lt;&gt;"", _xlfn.CONCAT(K$4,$E76), "")</f>
        <v/>
      </c>
      <c r="L76" s="53" t="str">
        <f xml:space="preserve"> IF(十五音音節表!K72&lt;&gt;"", _xlfn.CONCAT(L$4,$E76), "")</f>
        <v/>
      </c>
      <c r="M76" s="53" t="str">
        <f xml:space="preserve"> IF(十五音音節表!L72&lt;&gt;"", _xlfn.CONCAT(M$4,$E76), "")</f>
        <v/>
      </c>
      <c r="N76" s="53" t="str">
        <f xml:space="preserve"> IF(十五音音節表!M72&lt;&gt;"", _xlfn.CONCAT(N$4,$E76), "")</f>
        <v/>
      </c>
      <c r="O76" s="53" t="str">
        <f xml:space="preserve"> IF(十五音音節表!N72&lt;&gt;"", _xlfn.CONCAT(O$4,$E76), "")</f>
        <v/>
      </c>
      <c r="P76" s="53" t="str">
        <f xml:space="preserve"> IF(十五音音節表!O72&lt;&gt;"", _xlfn.CONCAT(P$4,$E76), "")</f>
        <v/>
      </c>
      <c r="Q76" s="53" t="str">
        <f xml:space="preserve"> IF(十五音音節表!P72&lt;&gt;"", _xlfn.CONCAT(Q$4,$E76), "")</f>
        <v/>
      </c>
      <c r="R76" s="53" t="str">
        <f xml:space="preserve"> IF(十五音音節表!Q72&lt;&gt;"", _xlfn.CONCAT(R$4,$E76), "")</f>
        <v>ㆬ</v>
      </c>
      <c r="S76" s="53" t="str">
        <f xml:space="preserve"> IF(十五音音節表!R72&lt;&gt;"", _xlfn.CONCAT(S$4,$E76), "")</f>
        <v/>
      </c>
      <c r="T76" s="53" t="str">
        <f xml:space="preserve"> IF(十五音音節表!S72&lt;&gt;"", _xlfn.CONCAT(T$4,$E76), "")</f>
        <v/>
      </c>
      <c r="U76" s="53" t="str">
        <f xml:space="preserve"> IF(十五音音節表!T72&lt;&gt;"", _xlfn.CONCAT(U$4,$E76), "")</f>
        <v/>
      </c>
      <c r="V76" s="53" t="str">
        <f xml:space="preserve"> IF(十五音音節表!U72&lt;&gt;"", _xlfn.CONCAT(V$4,$E76), "")</f>
        <v/>
      </c>
      <c r="W76" s="53" t="str">
        <f xml:space="preserve"> IF(十五音音節表!V72&lt;&gt;"", _xlfn.CONCAT(W$4,$E76), "")</f>
        <v/>
      </c>
      <c r="X76" s="53" t="str">
        <f xml:space="preserve"> IF(十五音音節表!W72&lt;&gt;"", _xlfn.CONCAT(X$4,$E76), "")</f>
        <v>ㄏㆬ</v>
      </c>
      <c r="Y76" s="135" t="s">
        <v>1237</v>
      </c>
      <c r="Z76" s="50" t="s">
        <v>44</v>
      </c>
      <c r="AA76" s="50" t="s">
        <v>144</v>
      </c>
    </row>
    <row r="77" spans="2:27" outlineLevel="1">
      <c r="B77" s="132" cm="1">
        <f t="array" ref="B77" xml:space="preserve"> INDEX(韻母表[韻序], MATCH(TRUE, EXACT($F77, 韻母表[十五音]), 0))</f>
        <v>42</v>
      </c>
      <c r="C77" s="50" t="str" cm="1">
        <f t="array" ref="C77" xml:space="preserve"> IF( INDEX(韻母表[國際音標2], MATCH(TRUE, EXACT($F77, 韻母表[十五音]), 0))&lt;&gt;"",  INDEX(韻母表[國際音標2], MATCH(TRUE, EXACT($F77, 韻母表[十五音]), 0)),  INDEX(韻母表[國際音標], MATCH(TRUE, EXACT($F77, 韻母表[十五音]), 0)))</f>
        <v>m̩h</v>
      </c>
      <c r="D77" s="50" t="str" cm="1">
        <f t="array" ref="D77" xml:space="preserve"> INDEX(韻母表[台羅拼音], MATCH(TRUE, EXACT($F77, 韻母表[十五音]), 0))</f>
        <v>mh</v>
      </c>
      <c r="E77" s="135" t="str" cm="1">
        <f t="array" ref="E77" xml:space="preserve"> INDEX(韻母表[方音符號], MATCH(TRUE, EXACT($F77, 韻母表[十五音]), 0))</f>
        <v>ㆬㆷ</v>
      </c>
      <c r="F77" s="50" t="s">
        <v>145</v>
      </c>
      <c r="G77" s="53" t="str">
        <f xml:space="preserve"> IF(十五音音節表!F73&lt;&gt;"", _xlfn.CONCAT(G$4,$E77), "")</f>
        <v/>
      </c>
      <c r="H77" s="53" t="str">
        <f xml:space="preserve"> IF(十五音音節表!G73&lt;&gt;"", _xlfn.CONCAT(H$4,$E77), "")</f>
        <v/>
      </c>
      <c r="I77" s="53" t="str">
        <f xml:space="preserve"> IF(十五音音節表!H73&lt;&gt;"", _xlfn.CONCAT(I$4,$E77), "")</f>
        <v/>
      </c>
      <c r="J77" s="53" t="str">
        <f xml:space="preserve"> IF(十五音音節表!I73&lt;&gt;"", _xlfn.CONCAT(J$4,$E77), "")</f>
        <v/>
      </c>
      <c r="K77" s="53" t="str">
        <f xml:space="preserve"> IF(十五音音節表!J73&lt;&gt;"", _xlfn.CONCAT(K$4,$E77), "")</f>
        <v/>
      </c>
      <c r="L77" s="53" t="str">
        <f xml:space="preserve"> IF(十五音音節表!K73&lt;&gt;"", _xlfn.CONCAT(L$4,$E77), "")</f>
        <v/>
      </c>
      <c r="M77" s="53" t="str">
        <f xml:space="preserve"> IF(十五音音節表!L73&lt;&gt;"", _xlfn.CONCAT(M$4,$E77), "")</f>
        <v/>
      </c>
      <c r="N77" s="53" t="str">
        <f xml:space="preserve"> IF(十五音音節表!M73&lt;&gt;"", _xlfn.CONCAT(N$4,$E77), "")</f>
        <v/>
      </c>
      <c r="O77" s="53" t="str">
        <f xml:space="preserve"> IF(十五音音節表!N73&lt;&gt;"", _xlfn.CONCAT(O$4,$E77), "")</f>
        <v/>
      </c>
      <c r="P77" s="53" t="str">
        <f xml:space="preserve"> IF(十五音音節表!O73&lt;&gt;"", _xlfn.CONCAT(P$4,$E77), "")</f>
        <v/>
      </c>
      <c r="Q77" s="53" t="str">
        <f xml:space="preserve"> IF(十五音音節表!P73&lt;&gt;"", _xlfn.CONCAT(Q$4,$E77), "")</f>
        <v/>
      </c>
      <c r="R77" s="53" t="str">
        <f xml:space="preserve"> IF(十五音音節表!Q73&lt;&gt;"", _xlfn.CONCAT(R$4,$E77), "")</f>
        <v/>
      </c>
      <c r="S77" s="53" t="str">
        <f xml:space="preserve"> IF(十五音音節表!R73&lt;&gt;"", _xlfn.CONCAT(S$4,$E77), "")</f>
        <v/>
      </c>
      <c r="T77" s="53" t="str">
        <f xml:space="preserve"> IF(十五音音節表!S73&lt;&gt;"", _xlfn.CONCAT(T$4,$E77), "")</f>
        <v/>
      </c>
      <c r="U77" s="53" t="str">
        <f xml:space="preserve"> IF(十五音音節表!T73&lt;&gt;"", _xlfn.CONCAT(U$4,$E77), "")</f>
        <v/>
      </c>
      <c r="V77" s="53" t="str">
        <f xml:space="preserve"> IF(十五音音節表!U73&lt;&gt;"", _xlfn.CONCAT(V$4,$E77), "")</f>
        <v/>
      </c>
      <c r="W77" s="53" t="str">
        <f xml:space="preserve"> IF(十五音音節表!V73&lt;&gt;"", _xlfn.CONCAT(W$4,$E77), "")</f>
        <v/>
      </c>
      <c r="X77" s="53" t="str">
        <f xml:space="preserve"> IF(十五音音節表!W73&lt;&gt;"", _xlfn.CONCAT(X$4,$E77), "")</f>
        <v>ㄏㆬㆷ</v>
      </c>
      <c r="Y77" s="135" t="s">
        <v>1563</v>
      </c>
      <c r="Z77" s="50" t="s">
        <v>813</v>
      </c>
      <c r="AA77" s="50" t="s">
        <v>145</v>
      </c>
    </row>
    <row r="78" spans="2:27">
      <c r="B78" s="132" cm="1">
        <f t="array" ref="B78" xml:space="preserve"> INDEX(韻母表[韻序], MATCH(TRUE, EXACT($F78, 韻母表[十五音]), 0))</f>
        <v>43</v>
      </c>
      <c r="C78" s="50" t="str" cm="1">
        <f t="array" ref="C78" xml:space="preserve"> IF( INDEX(韻母表[國際音標2], MATCH(TRUE, EXACT($F78, 韻母表[十五音]), 0))&lt;&gt;"",  INDEX(韻母表[國際音標2], MATCH(TRUE, EXACT($F78, 韻母表[十五音]), 0)),  INDEX(韻母表[國際音標], MATCH(TRUE, EXACT($F78, 韻母表[十五音]), 0)))</f>
        <v>uaŋ</v>
      </c>
      <c r="D78" s="50" t="str" cm="1">
        <f t="array" ref="D78" xml:space="preserve"> INDEX(韻母表[台羅拼音], MATCH(TRUE, EXACT($F78, 韻母表[十五音]), 0))</f>
        <v>uang</v>
      </c>
      <c r="E78" s="135" t="str" cm="1">
        <f t="array" ref="E78" xml:space="preserve"> INDEX(韻母表[方音符號], MATCH(TRUE, EXACT($F78, 韻母表[十五音]), 0))</f>
        <v>ㄨㄤ</v>
      </c>
      <c r="F78" s="50" t="s">
        <v>146</v>
      </c>
      <c r="G78" s="53" t="str">
        <f xml:space="preserve"> IF(十五音音節表!F74&lt;&gt;"", _xlfn.CONCAT(G$4,$E78), "")</f>
        <v/>
      </c>
      <c r="H78" s="53" t="str">
        <f xml:space="preserve"> IF(十五音音節表!G74&lt;&gt;"", _xlfn.CONCAT(H$4,$E78), "")</f>
        <v/>
      </c>
      <c r="I78" s="53" t="str">
        <f xml:space="preserve"> IF(十五音音節表!H74&lt;&gt;"", _xlfn.CONCAT(I$4,$E78), "")</f>
        <v/>
      </c>
      <c r="J78" s="53" t="str">
        <f xml:space="preserve"> IF(十五音音節表!I74&lt;&gt;"", _xlfn.CONCAT(J$4,$E78), "")</f>
        <v/>
      </c>
      <c r="K78" s="53" t="str">
        <f xml:space="preserve"> IF(十五音音節表!J74&lt;&gt;"", _xlfn.CONCAT(K$4,$E78), "")</f>
        <v/>
      </c>
      <c r="L78" s="53" t="str">
        <f xml:space="preserve"> IF(十五音音節表!K74&lt;&gt;"", _xlfn.CONCAT(L$4,$E78), "")</f>
        <v/>
      </c>
      <c r="M78" s="53" t="str">
        <f xml:space="preserve"> IF(十五音音節表!L74&lt;&gt;"", _xlfn.CONCAT(M$4,$E78), "")</f>
        <v/>
      </c>
      <c r="N78" s="53" t="str">
        <f xml:space="preserve"> IF(十五音音節表!M74&lt;&gt;"", _xlfn.CONCAT(N$4,$E78), "")</f>
        <v/>
      </c>
      <c r="O78" s="53" t="str">
        <f xml:space="preserve"> IF(十五音音節表!N74&lt;&gt;"", _xlfn.CONCAT(O$4,$E78), "")</f>
        <v/>
      </c>
      <c r="P78" s="53" t="str">
        <f xml:space="preserve"> IF(十五音音節表!O74&lt;&gt;"", _xlfn.CONCAT(P$4,$E78), "")</f>
        <v/>
      </c>
      <c r="Q78" s="53" t="str">
        <f xml:space="preserve"> IF(十五音音節表!P74&lt;&gt;"", _xlfn.CONCAT(Q$4,$E78), "")</f>
        <v/>
      </c>
      <c r="R78" s="53" t="str">
        <f xml:space="preserve"> IF(十五音音節表!Q74&lt;&gt;"", _xlfn.CONCAT(R$4,$E78), "")</f>
        <v>ㄨㄤ</v>
      </c>
      <c r="S78" s="53" t="str">
        <f xml:space="preserve"> IF(十五音音節表!R74&lt;&gt;"", _xlfn.CONCAT(S$4,$E78), "")</f>
        <v/>
      </c>
      <c r="T78" s="53" t="str">
        <f xml:space="preserve"> IF(十五音音節表!S74&lt;&gt;"", _xlfn.CONCAT(T$4,$E78), "")</f>
        <v/>
      </c>
      <c r="U78" s="53" t="str">
        <f xml:space="preserve"> IF(十五音音節表!T74&lt;&gt;"", _xlfn.CONCAT(U$4,$E78), "")</f>
        <v/>
      </c>
      <c r="V78" s="53" t="str">
        <f xml:space="preserve"> IF(十五音音節表!U74&lt;&gt;"", _xlfn.CONCAT(V$4,$E78), "")</f>
        <v/>
      </c>
      <c r="W78" s="53" t="str">
        <f xml:space="preserve"> IF(十五音音節表!V74&lt;&gt;"", _xlfn.CONCAT(W$4,$E78), "")</f>
        <v>ㄘㄨㄤ</v>
      </c>
      <c r="X78" s="53" t="str">
        <f xml:space="preserve"> IF(十五音音節表!W74&lt;&gt;"", _xlfn.CONCAT(X$4,$E78), "")</f>
        <v/>
      </c>
      <c r="Y78" s="135" t="s">
        <v>1240</v>
      </c>
      <c r="Z78" s="50" t="s">
        <v>230</v>
      </c>
      <c r="AA78" s="50" t="s">
        <v>146</v>
      </c>
    </row>
    <row r="79" spans="2:27">
      <c r="B79" s="132" cm="1">
        <f t="array" ref="B79" xml:space="preserve"> INDEX(韻母表[韻序], MATCH(TRUE, EXACT($F79, 韻母表[十五音]), 0))</f>
        <v>44</v>
      </c>
      <c r="C79" s="50" t="str" cm="1">
        <f t="array" ref="C79" xml:space="preserve"> IF( INDEX(韻母表[國際音標2], MATCH(TRUE, EXACT($F79, 韻母表[十五音]), 0))&lt;&gt;"",  INDEX(韻母表[國際音標2], MATCH(TRUE, EXACT($F79, 韻母表[十五音]), 0)),  INDEX(韻母表[國際音標], MATCH(TRUE, EXACT($F79, 韻母表[十五音]), 0)))</f>
        <v>uãi</v>
      </c>
      <c r="D79" s="50" t="str" cm="1">
        <f t="array" ref="D79" xml:space="preserve"> INDEX(韻母表[台羅拼音], MATCH(TRUE, EXACT($F79, 韻母表[十五音]), 0))</f>
        <v>uainn</v>
      </c>
      <c r="E79" s="135" t="str" cm="1">
        <f t="array" ref="E79" xml:space="preserve"> INDEX(韻母表[方音符號], MATCH(TRUE, EXACT($F79, 韻母表[十五音]), 0))</f>
        <v>ㄨㆮ</v>
      </c>
      <c r="F79" s="50" t="s">
        <v>148</v>
      </c>
      <c r="G79" s="53" t="str">
        <f xml:space="preserve"> IF(十五音音節表!F75&lt;&gt;"", _xlfn.CONCAT(G$4,$E79), "")</f>
        <v/>
      </c>
      <c r="H79" s="53" t="str">
        <f xml:space="preserve"> IF(十五音音節表!G75&lt;&gt;"", _xlfn.CONCAT(H$4,$E79), "")</f>
        <v/>
      </c>
      <c r="I79" s="53" t="str">
        <f xml:space="preserve"> IF(十五音音節表!H75&lt;&gt;"", _xlfn.CONCAT(I$4,$E79), "")</f>
        <v/>
      </c>
      <c r="J79" s="53" t="str">
        <f xml:space="preserve"> IF(十五音音節表!I75&lt;&gt;"", _xlfn.CONCAT(J$4,$E79), "")</f>
        <v>ㄍㄨㆮ</v>
      </c>
      <c r="K79" s="53" t="str">
        <f xml:space="preserve"> IF(十五音音節表!J75&lt;&gt;"", _xlfn.CONCAT(K$4,$E79), "")</f>
        <v/>
      </c>
      <c r="L79" s="53" t="str">
        <f xml:space="preserve"> IF(十五音音節表!K75&lt;&gt;"", _xlfn.CONCAT(L$4,$E79), "")</f>
        <v/>
      </c>
      <c r="M79" s="53" t="str">
        <f xml:space="preserve"> IF(十五音音節表!L75&lt;&gt;"", _xlfn.CONCAT(M$4,$E79), "")</f>
        <v/>
      </c>
      <c r="N79" s="53" t="str">
        <f xml:space="preserve"> IF(十五音音節表!M75&lt;&gt;"", _xlfn.CONCAT(N$4,$E79), "")</f>
        <v/>
      </c>
      <c r="O79" s="53" t="str">
        <f xml:space="preserve"> IF(十五音音節表!N75&lt;&gt;"", _xlfn.CONCAT(O$4,$E79), "")</f>
        <v>ㄗㄨㆮ</v>
      </c>
      <c r="P79" s="53" t="str">
        <f xml:space="preserve"> IF(十五音音節表!O75&lt;&gt;"", _xlfn.CONCAT(P$4,$E79), "")</f>
        <v/>
      </c>
      <c r="Q79" s="53" t="str">
        <f xml:space="preserve"> IF(十五音音節表!P75&lt;&gt;"", _xlfn.CONCAT(Q$4,$E79), "")</f>
        <v>ㄙㄨㆮ</v>
      </c>
      <c r="R79" s="53" t="str">
        <f xml:space="preserve"> IF(十五音音節表!Q75&lt;&gt;"", _xlfn.CONCAT(R$4,$E79), "")</f>
        <v>ㄨㆮ</v>
      </c>
      <c r="S79" s="53" t="str">
        <f xml:space="preserve"> IF(十五音音節表!R75&lt;&gt;"", _xlfn.CONCAT(S$4,$E79), "")</f>
        <v/>
      </c>
      <c r="T79" s="53" t="str">
        <f xml:space="preserve"> IF(十五音音節表!S75&lt;&gt;"", _xlfn.CONCAT(T$4,$E79), "")</f>
        <v/>
      </c>
      <c r="U79" s="53" t="str">
        <f xml:space="preserve"> IF(十五音音節表!T75&lt;&gt;"", _xlfn.CONCAT(U$4,$E79), "")</f>
        <v/>
      </c>
      <c r="V79" s="53" t="str">
        <f xml:space="preserve"> IF(十五音音節表!U75&lt;&gt;"", _xlfn.CONCAT(V$4,$E79), "")</f>
        <v/>
      </c>
      <c r="W79" s="53" t="str">
        <f xml:space="preserve"> IF(十五音音節表!V75&lt;&gt;"", _xlfn.CONCAT(W$4,$E79), "")</f>
        <v/>
      </c>
      <c r="X79" s="53" t="str">
        <f xml:space="preserve"> IF(十五音音節表!W75&lt;&gt;"", _xlfn.CONCAT(X$4,$E79), "")</f>
        <v>ㄏㄨㆮ</v>
      </c>
      <c r="Y79" s="135" t="s">
        <v>1244</v>
      </c>
      <c r="Z79" s="50" t="s">
        <v>232</v>
      </c>
      <c r="AA79" s="50" t="s">
        <v>148</v>
      </c>
    </row>
    <row r="80" spans="2:27">
      <c r="B80" s="132" cm="1">
        <f t="array" ref="B80" xml:space="preserve"> INDEX(韻母表[韻序], MATCH(TRUE, EXACT($F80, 韻母表[十五音]), 0))</f>
        <v>46</v>
      </c>
      <c r="C80" s="50" t="str" cm="1">
        <f t="array" ref="C80" xml:space="preserve"> IF( INDEX(韻母表[國際音標2], MATCH(TRUE, EXACT($F80, 韻母表[十五音]), 0))&lt;&gt;"",  INDEX(韻母表[國際音標2], MATCH(TRUE, EXACT($F80, 韻母表[十五音]), 0)),  INDEX(韻母表[國際音標], MATCH(TRUE, EXACT($F80, 韻母表[十五音]), 0)))</f>
        <v>ɪãʊ</v>
      </c>
      <c r="D80" s="50" t="str" cm="1">
        <f t="array" ref="D80" xml:space="preserve"> INDEX(韻母表[台羅拼音], MATCH(TRUE, EXACT($F80, 韻母表[十五音]), 0))</f>
        <v>iaunn</v>
      </c>
      <c r="E80" s="135" t="str" cm="1">
        <f t="array" ref="E80" xml:space="preserve"> INDEX(韻母表[方音符號], MATCH(TRUE, EXACT($F80, 韻母表[十五音]), 0))</f>
        <v>ㄧㆯ</v>
      </c>
      <c r="F80" s="50" t="s">
        <v>152</v>
      </c>
      <c r="G80" s="53" t="str">
        <f xml:space="preserve"> IF(十五音音節表!F76&lt;&gt;"", _xlfn.CONCAT(G$4,$E80), "")</f>
        <v/>
      </c>
      <c r="H80" s="53" t="str">
        <f xml:space="preserve"> IF(十五音音節表!G76&lt;&gt;"", _xlfn.CONCAT(H$4,$E80), "")</f>
        <v/>
      </c>
      <c r="I80" s="53" t="str">
        <f xml:space="preserve"> IF(十五音音節表!H76&lt;&gt;"", _xlfn.CONCAT(I$4,$E80), "")</f>
        <v/>
      </c>
      <c r="J80" s="53" t="str">
        <f xml:space="preserve"> IF(十五音音節表!I76&lt;&gt;"", _xlfn.CONCAT(J$4,$E80), "")</f>
        <v/>
      </c>
      <c r="K80" s="53" t="str">
        <f xml:space="preserve"> IF(十五音音節表!J76&lt;&gt;"", _xlfn.CONCAT(K$4,$E80), "")</f>
        <v/>
      </c>
      <c r="L80" s="53" t="str">
        <f xml:space="preserve"> IF(十五音音節表!K76&lt;&gt;"", _xlfn.CONCAT(L$4,$E80), "")</f>
        <v/>
      </c>
      <c r="M80" s="53" t="str">
        <f xml:space="preserve"> IF(十五音音節表!L76&lt;&gt;"", _xlfn.CONCAT(M$4,$E80), "")</f>
        <v/>
      </c>
      <c r="N80" s="53" t="str">
        <f xml:space="preserve"> IF(十五音音節表!M76&lt;&gt;"", _xlfn.CONCAT(N$4,$E80), "")</f>
        <v/>
      </c>
      <c r="O80" s="53" t="str">
        <f xml:space="preserve"> IF(十五音音節表!N76&lt;&gt;"", _xlfn.CONCAT(O$4,$E80), "")</f>
        <v/>
      </c>
      <c r="P80" s="53" t="str">
        <f xml:space="preserve"> IF(十五音音節表!O76&lt;&gt;"", _xlfn.CONCAT(P$4,$E80), "")</f>
        <v/>
      </c>
      <c r="Q80" s="53" t="str">
        <f xml:space="preserve"> IF(十五音音節表!P76&lt;&gt;"", _xlfn.CONCAT(Q$4,$E80), "")</f>
        <v/>
      </c>
      <c r="R80" s="53" t="str">
        <f xml:space="preserve"> IF(十五音音節表!Q76&lt;&gt;"", _xlfn.CONCAT(R$4,$E80), "")</f>
        <v>ㄧㆯ</v>
      </c>
      <c r="S80" s="53" t="str">
        <f xml:space="preserve"> IF(十五音音節表!R76&lt;&gt;"", _xlfn.CONCAT(S$4,$E80), "")</f>
        <v/>
      </c>
      <c r="T80" s="53" t="str">
        <f xml:space="preserve"> IF(十五音音節表!S76&lt;&gt;"", _xlfn.CONCAT(T$4,$E80), "")</f>
        <v/>
      </c>
      <c r="U80" s="53" t="str">
        <f xml:space="preserve"> IF(十五音音節表!T76&lt;&gt;"", _xlfn.CONCAT(U$4,$E80), "")</f>
        <v/>
      </c>
      <c r="V80" s="53" t="str">
        <f xml:space="preserve"> IF(十五音音節表!U76&lt;&gt;"", _xlfn.CONCAT(V$4,$E80), "")</f>
        <v/>
      </c>
      <c r="W80" s="53" t="str">
        <f xml:space="preserve"> IF(十五音音節表!V76&lt;&gt;"", _xlfn.CONCAT(W$4,$E80), "")</f>
        <v/>
      </c>
      <c r="X80" s="53" t="str">
        <f xml:space="preserve"> IF(十五音音節表!W76&lt;&gt;"", _xlfn.CONCAT(X$4,$E80), "")</f>
        <v/>
      </c>
      <c r="Y80" s="135" t="s">
        <v>1253</v>
      </c>
      <c r="Z80" s="50" t="s">
        <v>235</v>
      </c>
      <c r="AA80" s="50" t="s">
        <v>152</v>
      </c>
    </row>
    <row r="81" spans="1:27">
      <c r="B81" s="132" cm="1">
        <f t="array" ref="B81" xml:space="preserve"> INDEX(韻母表[韻序], MATCH(TRUE, EXACT($F81, 韻母表[十五音]), 0))</f>
        <v>47</v>
      </c>
      <c r="C81" s="50" t="str" cm="1">
        <f t="array" ref="C81" xml:space="preserve"> IF( INDEX(韻母表[國際音標2], MATCH(TRUE, EXACT($F81, 韻母表[十五音]), 0))&lt;&gt;"",  INDEX(韻母表[國際音標2], MATCH(TRUE, EXACT($F81, 韻母表[十五音]), 0)),  INDEX(韻母表[國際音標], MATCH(TRUE, EXACT($F81, 韻母表[十五音]), 0)))</f>
        <v>ɔm</v>
      </c>
      <c r="D81" s="50" t="str" cm="1">
        <f t="array" ref="D81" xml:space="preserve"> INDEX(韻母表[台羅拼音], MATCH(TRUE, EXACT($F81, 韻母表[十五音]), 0))</f>
        <v>om</v>
      </c>
      <c r="E81" s="135" t="str" cm="1">
        <f t="array" ref="E81" xml:space="preserve"> INDEX(韻母表[方音符號], MATCH(TRUE, EXACT($F81, 韻母表[十五音]), 0))</f>
        <v>ㆱ</v>
      </c>
      <c r="F81" s="50" t="s">
        <v>154</v>
      </c>
      <c r="G81" s="53" t="str">
        <f xml:space="preserve"> IF(十五音音節表!F77&lt;&gt;"", _xlfn.CONCAT(G$4,$E81), "")</f>
        <v/>
      </c>
      <c r="H81" s="53" t="str">
        <f xml:space="preserve"> IF(十五音音節表!G77&lt;&gt;"", _xlfn.CONCAT(H$4,$E81), "")</f>
        <v/>
      </c>
      <c r="I81" s="53" t="str">
        <f xml:space="preserve"> IF(十五音音節表!H77&lt;&gt;"", _xlfn.CONCAT(I$4,$E81), "")</f>
        <v/>
      </c>
      <c r="J81" s="53" t="str">
        <f xml:space="preserve"> IF(十五音音節表!I77&lt;&gt;"", _xlfn.CONCAT(J$4,$E81), "")</f>
        <v/>
      </c>
      <c r="K81" s="53" t="str">
        <f xml:space="preserve"> IF(十五音音節表!J77&lt;&gt;"", _xlfn.CONCAT(K$4,$E81), "")</f>
        <v/>
      </c>
      <c r="L81" s="53" t="str">
        <f xml:space="preserve"> IF(十五音音節表!K77&lt;&gt;"", _xlfn.CONCAT(L$4,$E81), "")</f>
        <v>ㄉㆱ</v>
      </c>
      <c r="M81" s="53" t="str">
        <f xml:space="preserve"> IF(十五音音節表!L77&lt;&gt;"", _xlfn.CONCAT(M$4,$E81), "")</f>
        <v/>
      </c>
      <c r="N81" s="53" t="str">
        <f xml:space="preserve"> IF(十五音音節表!M77&lt;&gt;"", _xlfn.CONCAT(N$4,$E81), "")</f>
        <v/>
      </c>
      <c r="O81" s="53" t="str">
        <f xml:space="preserve"> IF(十五音音節表!N77&lt;&gt;"", _xlfn.CONCAT(O$4,$E81), "")</f>
        <v/>
      </c>
      <c r="P81" s="53" t="str">
        <f xml:space="preserve"> IF(十五音音節表!O77&lt;&gt;"", _xlfn.CONCAT(P$4,$E81), "")</f>
        <v/>
      </c>
      <c r="Q81" s="53" t="str">
        <f xml:space="preserve"> IF(十五音音節表!P77&lt;&gt;"", _xlfn.CONCAT(Q$4,$E81), "")</f>
        <v>ㄙㆱ</v>
      </c>
      <c r="R81" s="53" t="str">
        <f xml:space="preserve"> IF(十五音音節表!Q77&lt;&gt;"", _xlfn.CONCAT(R$4,$E81), "")</f>
        <v>ㆱ</v>
      </c>
      <c r="S81" s="53" t="str">
        <f xml:space="preserve"> IF(十五音音節表!R77&lt;&gt;"", _xlfn.CONCAT(S$4,$E81), "")</f>
        <v/>
      </c>
      <c r="T81" s="53" t="str">
        <f xml:space="preserve"> IF(十五音音節表!S77&lt;&gt;"", _xlfn.CONCAT(T$4,$E81), "")</f>
        <v/>
      </c>
      <c r="U81" s="53" t="str">
        <f xml:space="preserve"> IF(十五音音節表!T77&lt;&gt;"", _xlfn.CONCAT(U$4,$E81), "")</f>
        <v/>
      </c>
      <c r="V81" s="53" t="str">
        <f xml:space="preserve"> IF(十五音音節表!U77&lt;&gt;"", _xlfn.CONCAT(V$4,$E81), "")</f>
        <v/>
      </c>
      <c r="W81" s="53" t="str">
        <f xml:space="preserve"> IF(十五音音節表!V77&lt;&gt;"", _xlfn.CONCAT(W$4,$E81), "")</f>
        <v/>
      </c>
      <c r="X81" s="53" t="str">
        <f xml:space="preserve"> IF(十五音音節表!W77&lt;&gt;"", _xlfn.CONCAT(X$4,$E81), "")</f>
        <v/>
      </c>
      <c r="Y81" s="135" t="s">
        <v>1256</v>
      </c>
      <c r="Z81" s="50" t="s">
        <v>236</v>
      </c>
      <c r="AA81" s="50" t="s">
        <v>154</v>
      </c>
    </row>
    <row r="82" spans="1:27">
      <c r="B82" s="132" cm="1">
        <f t="array" ref="B82" xml:space="preserve"> INDEX(韻母表[韻序], MATCH(TRUE, EXACT($F82, 韻母表[十五音]), 0))</f>
        <v>49</v>
      </c>
      <c r="C82" s="96" t="str" cm="1">
        <f t="array" ref="C82" xml:space="preserve"> IF( INDEX(韻母表[國際音標2], MATCH(TRUE, EXACT($F82, 韻母表[十五音]), 0))&lt;&gt;"",  INDEX(韻母表[國際音標2], MATCH(TRUE, EXACT($F82, 韻母表[十五音]), 0)),  INDEX(韻母表[國際音標], MATCH(TRUE, EXACT($F82, 韻母表[十五音]), 0)))</f>
        <v>ɔ̃</v>
      </c>
      <c r="D82" s="50" t="str" cm="1">
        <f t="array" ref="D82" xml:space="preserve"> INDEX(韻母表[台羅拼音], MATCH(TRUE, EXACT($F82, 韻母表[十五音]), 0))</f>
        <v>onn</v>
      </c>
      <c r="E82" s="135" t="str" cm="1">
        <f t="array" ref="E82" xml:space="preserve"> INDEX(韻母表[方音符號], MATCH(TRUE, EXACT($F82, 韻母表[十五音]), 0))</f>
        <v/>
      </c>
      <c r="F82" s="138" t="s">
        <v>1567</v>
      </c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135"/>
      <c r="Z82" s="50"/>
      <c r="AA82" s="50"/>
    </row>
    <row r="83" spans="1:27" outlineLevel="1">
      <c r="B83" s="132" cm="1">
        <f t="array" ref="B83" xml:space="preserve"> INDEX(韻母表[韻序], MATCH(TRUE, EXACT($F83, 韻母表[十五音]), 0))</f>
        <v>49</v>
      </c>
      <c r="C83" s="96" t="str" cm="1">
        <f t="array" ref="C83" xml:space="preserve"> IF( INDEX(韻母表[國際音標2], MATCH(TRUE, EXACT($F83, 韻母表[十五音]), 0))&lt;&gt;"",  INDEX(韻母表[國際音標2], MATCH(TRUE, EXACT($F83, 韻母表[十五音]), 0)),  INDEX(韻母表[國際音標], MATCH(TRUE, EXACT($F83, 韻母表[十五音]), 0)))</f>
        <v>ɔ̃ʔ</v>
      </c>
      <c r="D83" s="50" t="str" cm="1">
        <f t="array" ref="D83" xml:space="preserve"> INDEX(韻母表[台羅拼音], MATCH(TRUE, EXACT($F83, 韻母表[十五音]), 0))</f>
        <v>onnh</v>
      </c>
      <c r="E83" s="135" t="str" cm="1">
        <f t="array" ref="E83" xml:space="preserve"> INDEX(韻母表[方音符號], MATCH(TRUE, EXACT($F83, 韻母表[十五音]), 0))</f>
        <v>ㆧㆷ</v>
      </c>
      <c r="F83" s="50" t="s">
        <v>159</v>
      </c>
      <c r="G83" s="53" t="str">
        <f xml:space="preserve"> IF(十五音音節表!F78&lt;&gt;"", _xlfn.CONCAT(G$4,$E83), "")</f>
        <v/>
      </c>
      <c r="H83" s="53" t="str">
        <f xml:space="preserve"> IF(十五音音節表!G78&lt;&gt;"", _xlfn.CONCAT(H$4,$E83), "")</f>
        <v/>
      </c>
      <c r="I83" s="53" t="str">
        <f xml:space="preserve"> IF(十五音音節表!H78&lt;&gt;"", _xlfn.CONCAT(I$4,$E83), "")</f>
        <v/>
      </c>
      <c r="J83" s="53" t="str">
        <f xml:space="preserve"> IF(十五音音節表!I78&lt;&gt;"", _xlfn.CONCAT(J$4,$E83), "")</f>
        <v/>
      </c>
      <c r="K83" s="53" t="str">
        <f xml:space="preserve"> IF(十五音音節表!J78&lt;&gt;"", _xlfn.CONCAT(K$4,$E83), "")</f>
        <v/>
      </c>
      <c r="L83" s="53" t="str">
        <f xml:space="preserve"> IF(十五音音節表!K78&lt;&gt;"", _xlfn.CONCAT(L$4,$E83), "")</f>
        <v/>
      </c>
      <c r="M83" s="53" t="str">
        <f xml:space="preserve"> IF(十五音音節表!L78&lt;&gt;"", _xlfn.CONCAT(M$4,$E83), "")</f>
        <v/>
      </c>
      <c r="N83" s="53" t="str">
        <f xml:space="preserve"> IF(十五音音節表!M78&lt;&gt;"", _xlfn.CONCAT(N$4,$E83), "")</f>
        <v/>
      </c>
      <c r="O83" s="53" t="str">
        <f xml:space="preserve"> IF(十五音音節表!N78&lt;&gt;"", _xlfn.CONCAT(O$4,$E83), "")</f>
        <v/>
      </c>
      <c r="P83" s="53" t="str">
        <f xml:space="preserve"> IF(十五音音節表!O78&lt;&gt;"", _xlfn.CONCAT(P$4,$E83), "")</f>
        <v/>
      </c>
      <c r="Q83" s="53" t="str">
        <f xml:space="preserve"> IF(十五音音節表!P78&lt;&gt;"", _xlfn.CONCAT(Q$4,$E83), "")</f>
        <v/>
      </c>
      <c r="R83" s="53" t="str">
        <f xml:space="preserve"> IF(十五音音節表!Q78&lt;&gt;"", _xlfn.CONCAT(R$4,$E83), "")</f>
        <v>ㆧㆷ</v>
      </c>
      <c r="S83" s="53" t="str">
        <f xml:space="preserve"> IF(十五音音節表!R78&lt;&gt;"", _xlfn.CONCAT(S$4,$E83), "")</f>
        <v/>
      </c>
      <c r="T83" s="53" t="str">
        <f xml:space="preserve"> IF(十五音音節表!S78&lt;&gt;"", _xlfn.CONCAT(T$4,$E83), "")</f>
        <v/>
      </c>
      <c r="U83" s="53" t="str">
        <f xml:space="preserve"> IF(十五音音節表!T78&lt;&gt;"", _xlfn.CONCAT(U$4,$E83), "")</f>
        <v/>
      </c>
      <c r="V83" s="53" t="str">
        <f xml:space="preserve"> IF(十五音音節表!U78&lt;&gt;"", _xlfn.CONCAT(V$4,$E83), "")</f>
        <v/>
      </c>
      <c r="W83" s="53" t="str">
        <f xml:space="preserve"> IF(十五音音節表!V78&lt;&gt;"", _xlfn.CONCAT(W$4,$E83), "")</f>
        <v/>
      </c>
      <c r="X83" s="53" t="str">
        <f xml:space="preserve"> IF(十五音音節表!W78&lt;&gt;"", _xlfn.CONCAT(X$4,$E83), "")</f>
        <v>ㄏㆧㆷ</v>
      </c>
      <c r="Y83" s="135" t="s">
        <v>1265</v>
      </c>
      <c r="Z83" s="50" t="s">
        <v>238</v>
      </c>
      <c r="AA83" s="50" t="s">
        <v>159</v>
      </c>
    </row>
    <row r="84" spans="1:27">
      <c r="B84" s="132" cm="1">
        <f t="array" ref="B84" xml:space="preserve"> INDEX(韻母表[韻序], MATCH(TRUE, EXACT($F84, 韻母表[十五音]), 0))</f>
        <v>50</v>
      </c>
      <c r="C84" s="50" t="str" cm="1">
        <f t="array" ref="C84" xml:space="preserve"> IF( INDEX(韻母表[國際音標2], MATCH(TRUE, EXACT($F84, 韻母表[十五音]), 0))&lt;&gt;"",  INDEX(韻母表[國際音標2], MATCH(TRUE, EXACT($F84, 韻母表[十五音]), 0)),  INDEX(韻母表[國際音標], MATCH(TRUE, EXACT($F84, 韻母表[十五音]), 0)))</f>
        <v>ɪũ</v>
      </c>
      <c r="D84" s="50" t="str" cm="1">
        <f t="array" ref="D84" xml:space="preserve"> INDEX(韻母表[台羅拼音], MATCH(TRUE, EXACT($F84, 韻母表[十五音]), 0))</f>
        <v>iunn</v>
      </c>
      <c r="E84" s="135" t="str" cm="1">
        <f t="array" ref="E84" xml:space="preserve"> INDEX(韻母表[方音符號], MATCH(TRUE, EXACT($F84, 韻母表[十五音]), 0))</f>
        <v>ㄧㆫ</v>
      </c>
      <c r="F84" s="50" t="s">
        <v>160</v>
      </c>
      <c r="G84" s="53" t="str">
        <f xml:space="preserve"> IF(十五音音節表!F79&lt;&gt;"", _xlfn.CONCAT(G$4,$E84), "")</f>
        <v/>
      </c>
      <c r="H84" s="53" t="str">
        <f xml:space="preserve"> IF(十五音音節表!G79&lt;&gt;"", _xlfn.CONCAT(H$4,$E84), "")</f>
        <v/>
      </c>
      <c r="I84" s="53" t="str">
        <f xml:space="preserve"> IF(十五音音節表!H79&lt;&gt;"", _xlfn.CONCAT(I$4,$E84), "")</f>
        <v/>
      </c>
      <c r="J84" s="53" t="str">
        <f xml:space="preserve"> IF(十五音音節表!I79&lt;&gt;"", _xlfn.CONCAT(J$4,$E84), "")</f>
        <v>ㄍㄧㆫ</v>
      </c>
      <c r="K84" s="53" t="str">
        <f xml:space="preserve"> IF(十五音音節表!J79&lt;&gt;"", _xlfn.CONCAT(K$4,$E84), "")</f>
        <v>ㄎㄧㆫ</v>
      </c>
      <c r="L84" s="53" t="str">
        <f xml:space="preserve"> IF(十五音音節表!K79&lt;&gt;"", _xlfn.CONCAT(L$4,$E84), "")</f>
        <v>ㄉㄧㆫ</v>
      </c>
      <c r="M84" s="53" t="str">
        <f xml:space="preserve"> IF(十五音音節表!L79&lt;&gt;"", _xlfn.CONCAT(M$4,$E84), "")</f>
        <v/>
      </c>
      <c r="N84" s="53" t="str">
        <f xml:space="preserve"> IF(十五音音節表!M79&lt;&gt;"", _xlfn.CONCAT(N$4,$E84), "")</f>
        <v/>
      </c>
      <c r="O84" s="53" t="str">
        <f xml:space="preserve"> IF(十五音音節表!N79&lt;&gt;"", _xlfn.CONCAT(O$4,$E84), "")</f>
        <v>ㄗㄧㆫ</v>
      </c>
      <c r="P84" s="53" t="str">
        <f xml:space="preserve"> IF(十五音音節表!O79&lt;&gt;"", _xlfn.CONCAT(P$4,$E84), "")</f>
        <v/>
      </c>
      <c r="Q84" s="53" t="str">
        <f xml:space="preserve"> IF(十五音音節表!P79&lt;&gt;"", _xlfn.CONCAT(Q$4,$E84), "")</f>
        <v>ㄙㄧㆫ</v>
      </c>
      <c r="R84" s="53" t="str">
        <f xml:space="preserve"> IF(十五音音節表!Q79&lt;&gt;"", _xlfn.CONCAT(R$4,$E84), "")</f>
        <v>ㄧㆫ</v>
      </c>
      <c r="S84" s="53" t="str">
        <f xml:space="preserve"> IF(十五音音節表!R79&lt;&gt;"", _xlfn.CONCAT(S$4,$E84), "")</f>
        <v/>
      </c>
      <c r="T84" s="53" t="str">
        <f xml:space="preserve"> IF(十五音音節表!S79&lt;&gt;"", _xlfn.CONCAT(T$4,$E84), "")</f>
        <v/>
      </c>
      <c r="U84" s="53" t="str">
        <f xml:space="preserve"> IF(十五音音節表!T79&lt;&gt;"", _xlfn.CONCAT(U$4,$E84), "")</f>
        <v/>
      </c>
      <c r="V84" s="53" t="str">
        <f xml:space="preserve"> IF(十五音音節表!U79&lt;&gt;"", _xlfn.CONCAT(V$4,$E84), "")</f>
        <v/>
      </c>
      <c r="W84" s="53" t="str">
        <f xml:space="preserve"> IF(十五音音節表!V79&lt;&gt;"", _xlfn.CONCAT(W$4,$E84), "")</f>
        <v>ㄘㄧㆫ</v>
      </c>
      <c r="X84" s="53" t="str">
        <f xml:space="preserve"> IF(十五音音節表!W79&lt;&gt;"", _xlfn.CONCAT(X$4,$E84), "")</f>
        <v>ㄏㄧㆫ</v>
      </c>
      <c r="Y84" s="135" t="s">
        <v>1268</v>
      </c>
      <c r="Z84" s="50" t="s">
        <v>239</v>
      </c>
      <c r="AA84" s="50" t="s">
        <v>160</v>
      </c>
    </row>
    <row r="85" spans="1:27" outlineLevel="1">
      <c r="B85" s="132" cm="1">
        <f t="array" ref="B85" xml:space="preserve"> INDEX(韻母表[韻序], MATCH(TRUE, EXACT($F85, 韻母表[十五音]), 0))</f>
        <v>50</v>
      </c>
      <c r="C85" s="50" t="str" cm="1">
        <f t="array" ref="C85" xml:space="preserve"> IF( INDEX(韻母表[國際音標2], MATCH(TRUE, EXACT($F85, 韻母表[十五音]), 0))&lt;&gt;"",  INDEX(韻母表[國際音標2], MATCH(TRUE, EXACT($F85, 韻母表[十五音]), 0)),  INDEX(韻母表[國際音標], MATCH(TRUE, EXACT($F85, 韻母表[十五音]), 0)))</f>
        <v>ɪũʔ</v>
      </c>
      <c r="D85" s="50" t="str" cm="1">
        <f t="array" ref="D85" xml:space="preserve"> INDEX(韻母表[台羅拼音], MATCH(TRUE, EXACT($F85, 韻母表[十五音]), 0))</f>
        <v>iunnh</v>
      </c>
      <c r="E85" s="135" t="str" cm="1">
        <f t="array" ref="E85" xml:space="preserve"> INDEX(韻母表[方音符號], MATCH(TRUE, EXACT($F85, 韻母表[十五音]), 0))</f>
        <v>ㄧㆫㆷ</v>
      </c>
      <c r="F85" s="50" t="s">
        <v>161</v>
      </c>
      <c r="G85" s="53" t="str">
        <f xml:space="preserve"> IF(十五音音節表!F80&lt;&gt;"", _xlfn.CONCAT(G$4,$E85), "")</f>
        <v/>
      </c>
      <c r="H85" s="53" t="str">
        <f xml:space="preserve"> IF(十五音音節表!G80&lt;&gt;"", _xlfn.CONCAT(H$4,$E85), "")</f>
        <v/>
      </c>
      <c r="I85" s="53" t="str">
        <f xml:space="preserve"> IF(十五音音節表!H80&lt;&gt;"", _xlfn.CONCAT(I$4,$E85), "")</f>
        <v/>
      </c>
      <c r="J85" s="53" t="str">
        <f xml:space="preserve"> IF(十五音音節表!I80&lt;&gt;"", _xlfn.CONCAT(J$4,$E85), "")</f>
        <v/>
      </c>
      <c r="K85" s="53" t="str">
        <f xml:space="preserve"> IF(十五音音節表!J80&lt;&gt;"", _xlfn.CONCAT(K$4,$E85), "")</f>
        <v/>
      </c>
      <c r="L85" s="53" t="str">
        <f xml:space="preserve"> IF(十五音音節表!K80&lt;&gt;"", _xlfn.CONCAT(L$4,$E85), "")</f>
        <v/>
      </c>
      <c r="M85" s="53" t="str">
        <f xml:space="preserve"> IF(十五音音節表!L80&lt;&gt;"", _xlfn.CONCAT(M$4,$E85), "")</f>
        <v/>
      </c>
      <c r="N85" s="53" t="str">
        <f xml:space="preserve"> IF(十五音音節表!M80&lt;&gt;"", _xlfn.CONCAT(N$4,$E85), "")</f>
        <v/>
      </c>
      <c r="O85" s="53" t="str">
        <f xml:space="preserve"> IF(十五音音節表!N80&lt;&gt;"", _xlfn.CONCAT(O$4,$E85), "")</f>
        <v/>
      </c>
      <c r="P85" s="53" t="str">
        <f xml:space="preserve"> IF(十五音音節表!O80&lt;&gt;"", _xlfn.CONCAT(P$4,$E85), "")</f>
        <v/>
      </c>
      <c r="Q85" s="53" t="str">
        <f xml:space="preserve"> IF(十五音音節表!P80&lt;&gt;"", _xlfn.CONCAT(Q$4,$E85), "")</f>
        <v/>
      </c>
      <c r="R85" s="53" t="str">
        <f xml:space="preserve"> IF(十五音音節表!Q80&lt;&gt;"", _xlfn.CONCAT(R$4,$E85), "")</f>
        <v>ㄧㆫㆷ</v>
      </c>
      <c r="S85" s="53" t="str">
        <f xml:space="preserve"> IF(十五音音節表!R80&lt;&gt;"", _xlfn.CONCAT(S$4,$E85), "")</f>
        <v/>
      </c>
      <c r="T85" s="53" t="str">
        <f xml:space="preserve"> IF(十五音音節表!S80&lt;&gt;"", _xlfn.CONCAT(T$4,$E85), "")</f>
        <v/>
      </c>
      <c r="U85" s="53" t="str">
        <f xml:space="preserve"> IF(十五音音節表!T80&lt;&gt;"", _xlfn.CONCAT(U$4,$E85), "")</f>
        <v/>
      </c>
      <c r="V85" s="53" t="str">
        <f xml:space="preserve"> IF(十五音音節表!U80&lt;&gt;"", _xlfn.CONCAT(V$4,$E85), "")</f>
        <v/>
      </c>
      <c r="W85" s="53" t="str">
        <f xml:space="preserve"> IF(十五音音節表!V80&lt;&gt;"", _xlfn.CONCAT(W$4,$E85), "")</f>
        <v/>
      </c>
      <c r="X85" s="53" t="str">
        <f xml:space="preserve"> IF(十五音音節表!W80&lt;&gt;"", _xlfn.CONCAT(X$4,$E85), "")</f>
        <v>ㄏㄧㆫㆷ</v>
      </c>
      <c r="Y85" s="135" t="s">
        <v>1271</v>
      </c>
      <c r="Z85" s="50" t="s">
        <v>810</v>
      </c>
      <c r="AA85" s="50" t="s">
        <v>161</v>
      </c>
    </row>
    <row r="86" spans="1:27" ht="7.5" customHeight="1">
      <c r="B86" s="50"/>
      <c r="C86" s="50"/>
      <c r="D86" s="50"/>
      <c r="E86" s="50"/>
      <c r="F86" s="50"/>
      <c r="Y86" s="50"/>
      <c r="Z86" s="50"/>
      <c r="AA86" s="50"/>
    </row>
    <row r="87" spans="1:27">
      <c r="A87" s="95"/>
      <c r="B87" s="103"/>
      <c r="C87" s="103"/>
      <c r="D87" s="103"/>
      <c r="E87" s="103"/>
      <c r="F87" s="103"/>
      <c r="G87" s="136" t="str">
        <f xml:space="preserve"> _xlfn.XLOOKUP(G$3, 聲母表[台羅拼音], 聲母表[方音符號])</f>
        <v>ㄌ</v>
      </c>
      <c r="H87" s="136" t="str">
        <f xml:space="preserve"> _xlfn.XLOOKUP(H$3, 聲母表[台羅拼音], 聲母表[方音符號])</f>
        <v>ㄋ</v>
      </c>
      <c r="I87" s="136" t="str">
        <f xml:space="preserve"> _xlfn.XLOOKUP(I$3, 聲母表[台羅拼音], 聲母表[方音符號])</f>
        <v>ㄅ</v>
      </c>
      <c r="J87" s="136" t="str">
        <f xml:space="preserve"> _xlfn.XLOOKUP(J$3, 聲母表[台羅拼音], 聲母表[方音符號])</f>
        <v>ㄍ</v>
      </c>
      <c r="K87" s="136" t="str">
        <f xml:space="preserve"> _xlfn.XLOOKUP(K$3, 聲母表[台羅拼音], 聲母表[方音符號])</f>
        <v>ㄎ</v>
      </c>
      <c r="L87" s="136" t="str">
        <f xml:space="preserve"> _xlfn.XLOOKUP(L$3, 聲母表[台羅拼音], 聲母表[方音符號])</f>
        <v>ㄉ</v>
      </c>
      <c r="M87" s="136" t="str">
        <f xml:space="preserve"> _xlfn.XLOOKUP(M$3, 聲母表[台羅拼音], 聲母表[方音符號])</f>
        <v>ㄆ</v>
      </c>
      <c r="N87" s="136" t="str">
        <f xml:space="preserve"> _xlfn.XLOOKUP(N$3, 聲母表[台羅拼音], 聲母表[方音符號])</f>
        <v>ㄊ</v>
      </c>
      <c r="O87" s="136" t="str">
        <f xml:space="preserve"> _xlfn.XLOOKUP(O$3, 聲母表[台羅拼音], 聲母表[方音符號])</f>
        <v>ㄗ</v>
      </c>
      <c r="P87" s="136" t="str">
        <f xml:space="preserve"> _xlfn.XLOOKUP(P$3, 聲母表[台羅拼音], 聲母表[方音符號])</f>
        <v>ㆡ</v>
      </c>
      <c r="Q87" s="136" t="str">
        <f xml:space="preserve"> _xlfn.XLOOKUP(Q$3, 聲母表[台羅拼音], 聲母表[方音符號])</f>
        <v>ㄙ</v>
      </c>
      <c r="R87" s="136"/>
      <c r="S87" s="136" t="str">
        <f xml:space="preserve"> _xlfn.XLOOKUP(S$3, 聲母表[台羅拼音], 聲母表[方音符號])</f>
        <v>ㆠ</v>
      </c>
      <c r="T87" s="136" t="str">
        <f xml:space="preserve"> _xlfn.XLOOKUP(T$3, 聲母表[台羅拼音], 聲母表[方音符號])</f>
        <v>ㄇ</v>
      </c>
      <c r="U87" s="136" t="str">
        <f xml:space="preserve"> _xlfn.XLOOKUP(U$3, 聲母表[台羅拼音], 聲母表[方音符號])</f>
        <v>ㆣ</v>
      </c>
      <c r="V87" s="136" t="str">
        <f xml:space="preserve"> _xlfn.XLOOKUP(V$3, 聲母表[台羅拼音], 聲母表[方音符號])</f>
        <v>ㄫ</v>
      </c>
      <c r="W87" s="136" t="str">
        <f xml:space="preserve"> _xlfn.XLOOKUP(W$3, 聲母表[台羅拼音], 聲母表[方音符號])</f>
        <v>ㄘ</v>
      </c>
      <c r="X87" s="136" t="str">
        <f xml:space="preserve"> _xlfn.XLOOKUP(X$3, 聲母表[台羅拼音], 聲母表[方音符號])</f>
        <v>ㄏ</v>
      </c>
      <c r="Y87" s="50"/>
      <c r="Z87" s="103"/>
      <c r="AA87" s="50"/>
    </row>
    <row r="88" spans="1:27">
      <c r="B88" s="50"/>
      <c r="C88" s="51"/>
      <c r="D88" s="51"/>
      <c r="E88" s="51"/>
      <c r="F88" s="51"/>
      <c r="G88" s="49" t="s">
        <v>47</v>
      </c>
      <c r="H88" s="52" t="s">
        <v>48</v>
      </c>
      <c r="I88" s="49" t="s">
        <v>41</v>
      </c>
      <c r="J88" s="49" t="s">
        <v>49</v>
      </c>
      <c r="K88" s="49" t="s">
        <v>50</v>
      </c>
      <c r="L88" s="49" t="s">
        <v>45</v>
      </c>
      <c r="M88" s="49" t="s">
        <v>42</v>
      </c>
      <c r="N88" s="49" t="s">
        <v>46</v>
      </c>
      <c r="O88" s="49" t="s">
        <v>54</v>
      </c>
      <c r="P88" s="49" t="s">
        <v>60</v>
      </c>
      <c r="Q88" s="49" t="s">
        <v>58</v>
      </c>
      <c r="R88" s="49" t="s">
        <v>327</v>
      </c>
      <c r="S88" s="49" t="s">
        <v>43</v>
      </c>
      <c r="T88" s="52" t="s">
        <v>44</v>
      </c>
      <c r="U88" s="49" t="s">
        <v>51</v>
      </c>
      <c r="V88" s="52" t="s">
        <v>52</v>
      </c>
      <c r="W88" s="49" t="s">
        <v>56</v>
      </c>
      <c r="X88" s="49" t="s">
        <v>53</v>
      </c>
      <c r="Y88" s="51"/>
      <c r="Z88" s="51"/>
      <c r="AA88" s="51"/>
    </row>
    <row r="89" spans="1:27">
      <c r="B89" s="50"/>
      <c r="C89" s="51"/>
      <c r="D89" s="51"/>
      <c r="E89" s="51"/>
      <c r="F89" s="51"/>
      <c r="G89" s="49" t="str">
        <f xml:space="preserve"> _xlfn.XLOOKUP(G$3, 聲母表[台羅拼音], 聲母表[十五音])</f>
        <v>柳</v>
      </c>
      <c r="H89" s="52" t="str">
        <f xml:space="preserve"> _xlfn.XLOOKUP(H$3, 聲母表[台羅拼音], 聲母表[十五音])</f>
        <v>柳</v>
      </c>
      <c r="I89" s="49" t="str">
        <f xml:space="preserve"> _xlfn.XLOOKUP(I$3, 聲母表[台羅拼音], 聲母表[十五音])</f>
        <v>邊</v>
      </c>
      <c r="J89" s="49" t="str">
        <f xml:space="preserve"> _xlfn.XLOOKUP(J$3, 聲母表[台羅拼音], 聲母表[十五音])</f>
        <v>求</v>
      </c>
      <c r="K89" s="49" t="str">
        <f xml:space="preserve"> _xlfn.XLOOKUP(K$3, 聲母表[台羅拼音], 聲母表[十五音])</f>
        <v>去</v>
      </c>
      <c r="L89" s="49" t="str">
        <f xml:space="preserve"> _xlfn.XLOOKUP(L$3, 聲母表[台羅拼音], 聲母表[十五音])</f>
        <v>地</v>
      </c>
      <c r="M89" s="49" t="str">
        <f xml:space="preserve"> _xlfn.XLOOKUP(M$3, 聲母表[台羅拼音], 聲母表[十五音])</f>
        <v>頗</v>
      </c>
      <c r="N89" s="49" t="str">
        <f xml:space="preserve"> _xlfn.XLOOKUP(N$3, 聲母表[台羅拼音], 聲母表[十五音])</f>
        <v>他</v>
      </c>
      <c r="O89" s="49" t="str">
        <f xml:space="preserve"> _xlfn.XLOOKUP(O$3, 聲母表[台羅拼音], 聲母表[十五音])</f>
        <v>曾</v>
      </c>
      <c r="P89" s="49" t="str">
        <f xml:space="preserve"> _xlfn.XLOOKUP(P$3, 聲母表[台羅拼音], 聲母表[十五音])</f>
        <v>入</v>
      </c>
      <c r="Q89" s="49" t="str">
        <f xml:space="preserve"> _xlfn.XLOOKUP(Q$3, 聲母表[台羅拼音], 聲母表[十五音])</f>
        <v>時</v>
      </c>
      <c r="R89" s="49" t="str">
        <f xml:space="preserve"> _xlfn.XLOOKUP(R$3, 聲母表[台羅拼音], 聲母表[十五音])</f>
        <v>英</v>
      </c>
      <c r="S89" s="49" t="str">
        <f xml:space="preserve"> _xlfn.XLOOKUP(S$3, 聲母表[台羅拼音], 聲母表[十五音])</f>
        <v>門</v>
      </c>
      <c r="T89" s="52" t="str">
        <f xml:space="preserve"> _xlfn.XLOOKUP(T$3, 聲母表[台羅拼音], 聲母表[十五音])</f>
        <v>門</v>
      </c>
      <c r="U89" s="49" t="str">
        <f xml:space="preserve"> _xlfn.XLOOKUP(U$3, 聲母表[台羅拼音], 聲母表[十五音])</f>
        <v>語</v>
      </c>
      <c r="V89" s="52" t="str">
        <f xml:space="preserve"> _xlfn.XLOOKUP(V$3, 聲母表[台羅拼音], 聲母表[十五音])</f>
        <v>語</v>
      </c>
      <c r="W89" s="49" t="str">
        <f xml:space="preserve"> _xlfn.XLOOKUP(W$3, 聲母表[台羅拼音], 聲母表[十五音])</f>
        <v>出</v>
      </c>
      <c r="X89" s="49" t="str">
        <f xml:space="preserve"> _xlfn.XLOOKUP(X$3, 聲母表[台羅拼音], 聲母表[十五音])</f>
        <v>喜</v>
      </c>
      <c r="Y89" s="51"/>
      <c r="Z89" s="51"/>
      <c r="AA89" s="51"/>
    </row>
  </sheetData>
  <autoFilter ref="B6:AA85" xr:uid="{1668C3BC-CB36-424E-93B2-C730D7C09840}"/>
  <phoneticPr fontId="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6DC20-E2C0-4283-A3A5-F96BEC7340DC}">
  <dimension ref="B1:Y79"/>
  <sheetViews>
    <sheetView workbookViewId="0"/>
  </sheetViews>
  <sheetFormatPr defaultRowHeight="22.5"/>
  <cols>
    <col min="1" max="1" width="1" style="41" customWidth="1"/>
    <col min="2" max="2" width="9" style="41"/>
    <col min="3" max="4" width="9.625" style="41" customWidth="1"/>
    <col min="5" max="23" width="9" style="41"/>
    <col min="24" max="25" width="9.625" style="41" customWidth="1"/>
    <col min="26" max="16384" width="9" style="41"/>
  </cols>
  <sheetData>
    <row r="1" spans="2:25">
      <c r="C1" s="50"/>
      <c r="D1" s="50"/>
      <c r="E1" s="50"/>
      <c r="F1" s="49" t="str">
        <f xml:space="preserve"> _xlfn.XLOOKUP(音節表【台羅拼音序】!F2, 聲母表[台羅拼音], 聲母表[十五音])</f>
        <v>英</v>
      </c>
      <c r="G1" s="49" t="str">
        <f xml:space="preserve"> _xlfn.XLOOKUP(音節表【台羅拼音序】!G2, 聲母表[台羅拼音], 聲母表[十五音])</f>
        <v>門</v>
      </c>
      <c r="H1" s="49" t="str">
        <f xml:space="preserve"> _xlfn.XLOOKUP(音節表【台羅拼音序】!H2, 聲母表[台羅拼音], 聲母表[十五音])</f>
        <v>語</v>
      </c>
      <c r="I1" s="49" t="str">
        <f xml:space="preserve"> _xlfn.XLOOKUP(音節表【台羅拼音序】!I2, 聲母表[台羅拼音], 聲母表[十五音])</f>
        <v>喜</v>
      </c>
      <c r="J1" s="49" t="str">
        <f xml:space="preserve"> _xlfn.XLOOKUP(音節表【台羅拼音序】!J2, 聲母表[台羅拼音], 聲母表[十五音])</f>
        <v>入</v>
      </c>
      <c r="K1" s="49" t="str">
        <f xml:space="preserve"> _xlfn.XLOOKUP(音節表【台羅拼音序】!K2, 聲母表[台羅拼音], 聲母表[十五音])</f>
        <v>求</v>
      </c>
      <c r="L1" s="49" t="str">
        <f xml:space="preserve"> _xlfn.XLOOKUP(音節表【台羅拼音序】!L2, 聲母表[台羅拼音], 聲母表[十五音])</f>
        <v>去</v>
      </c>
      <c r="M1" s="49" t="str">
        <f xml:space="preserve"> _xlfn.XLOOKUP(音節表【台羅拼音序】!M2, 聲母表[台羅拼音], 聲母表[十五音])</f>
        <v>柳</v>
      </c>
      <c r="N1" s="49" t="str">
        <f xml:space="preserve"> _xlfn.XLOOKUP(音節表【台羅拼音序】!N2, 聲母表[台羅拼音], 聲母表[十五音])</f>
        <v>門</v>
      </c>
      <c r="O1" s="49" t="str">
        <f xml:space="preserve"> _xlfn.XLOOKUP(音節表【台羅拼音序】!O2, 聲母表[台羅拼音], 聲母表[十五音])</f>
        <v>柳</v>
      </c>
      <c r="P1" s="49" t="str">
        <f xml:space="preserve"> _xlfn.XLOOKUP(音節表【台羅拼音序】!P2, 聲母表[台羅拼音], 聲母表[十五音])</f>
        <v>語</v>
      </c>
      <c r="Q1" s="49" t="str">
        <f xml:space="preserve"> _xlfn.XLOOKUP(音節表【台羅拼音序】!Q2, 聲母表[台羅拼音], 聲母表[十五音])</f>
        <v>邊</v>
      </c>
      <c r="R1" s="49" t="str">
        <f xml:space="preserve"> _xlfn.XLOOKUP(音節表【台羅拼音序】!R2, 聲母表[台羅拼音], 聲母表[十五音])</f>
        <v>頗</v>
      </c>
      <c r="S1" s="49" t="str">
        <f xml:space="preserve"> _xlfn.XLOOKUP(音節表【台羅拼音序】!S2, 聲母表[台羅拼音], 聲母表[十五音])</f>
        <v>時</v>
      </c>
      <c r="T1" s="49" t="str">
        <f xml:space="preserve"> _xlfn.XLOOKUP(音節表【台羅拼音序】!T2, 聲母表[台羅拼音], 聲母表[十五音])</f>
        <v>地</v>
      </c>
      <c r="U1" s="49" t="str">
        <f xml:space="preserve"> _xlfn.XLOOKUP(音節表【台羅拼音序】!U2, 聲母表[台羅拼音], 聲母表[十五音])</f>
        <v>他</v>
      </c>
      <c r="V1" s="49" t="str">
        <f xml:space="preserve"> _xlfn.XLOOKUP(音節表【台羅拼音序】!V2, 聲母表[台羅拼音], 聲母表[十五音])</f>
        <v>曾</v>
      </c>
      <c r="W1" s="49" t="str">
        <f xml:space="preserve"> _xlfn.XLOOKUP(音節表【台羅拼音序】!W2, 聲母表[台羅拼音], 聲母表[十五音])</f>
        <v>出</v>
      </c>
      <c r="X1" s="50"/>
      <c r="Y1" s="50"/>
    </row>
    <row r="2" spans="2:25">
      <c r="B2" s="41" t="s">
        <v>1389</v>
      </c>
      <c r="C2" s="50" t="s">
        <v>1390</v>
      </c>
      <c r="D2" s="50" t="s">
        <v>1392</v>
      </c>
      <c r="E2" s="50" t="s">
        <v>326</v>
      </c>
      <c r="F2" s="49" t="s">
        <v>327</v>
      </c>
      <c r="G2" s="49" t="s">
        <v>43</v>
      </c>
      <c r="H2" s="49" t="s">
        <v>51</v>
      </c>
      <c r="I2" s="49" t="s">
        <v>53</v>
      </c>
      <c r="J2" s="49" t="s">
        <v>60</v>
      </c>
      <c r="K2" s="49" t="s">
        <v>49</v>
      </c>
      <c r="L2" s="49" t="s">
        <v>50</v>
      </c>
      <c r="M2" s="49" t="s">
        <v>47</v>
      </c>
      <c r="N2" s="49" t="s">
        <v>44</v>
      </c>
      <c r="O2" s="49" t="s">
        <v>48</v>
      </c>
      <c r="P2" s="49" t="s">
        <v>52</v>
      </c>
      <c r="Q2" s="49" t="s">
        <v>41</v>
      </c>
      <c r="R2" s="49" t="s">
        <v>42</v>
      </c>
      <c r="S2" s="49" t="s">
        <v>58</v>
      </c>
      <c r="T2" s="49" t="s">
        <v>45</v>
      </c>
      <c r="U2" s="49" t="s">
        <v>46</v>
      </c>
      <c r="V2" s="49" t="s">
        <v>54</v>
      </c>
      <c r="W2" s="49" t="s">
        <v>56</v>
      </c>
      <c r="X2" s="50"/>
      <c r="Y2" s="50"/>
    </row>
    <row r="3" spans="2:25">
      <c r="B3" s="41" cm="1">
        <f t="array" ref="B3" xml:space="preserve"> INDEX(韻母表[韻序], MATCH(TRUE, EXACT($C3, 韻母表[十五音]), 0))</f>
        <v>28</v>
      </c>
      <c r="C3" s="50" t="str">
        <f xml:space="preserve"> _xlfn.XLOOKUP(E3, 韻母表[台羅拼音], 韻母表[十五音])</f>
        <v>膠（舒）</v>
      </c>
      <c r="D3" s="50" t="str" cm="1">
        <f t="array" ref="D3" xml:space="preserve"> IF( INDEX(韻母表[國際音標2], MATCH(TRUE, EXACT($C3, 韻母表[十五音]), 0))&lt;&gt;"",  INDEX(韻母表[國際音標2], MATCH(TRUE, EXACT($C3, 韻母表[十五音]), 0)),  INDEX(韻母表[國際音標], MATCH(TRUE, EXACT($C3, 韻母表[十五音]), 0)))</f>
        <v>a</v>
      </c>
      <c r="E3" s="50" t="s">
        <v>212</v>
      </c>
      <c r="F3" s="41" t="s">
        <v>212</v>
      </c>
      <c r="G3" s="41" t="s">
        <v>328</v>
      </c>
      <c r="H3" s="41" t="s">
        <v>329</v>
      </c>
      <c r="I3" s="41" t="s">
        <v>330</v>
      </c>
      <c r="K3" s="41" t="s">
        <v>331</v>
      </c>
      <c r="L3" s="41" t="s">
        <v>332</v>
      </c>
      <c r="M3" s="41" t="s">
        <v>333</v>
      </c>
      <c r="N3" s="41" t="s">
        <v>334</v>
      </c>
      <c r="O3" s="41" t="s">
        <v>335</v>
      </c>
      <c r="P3" s="41" t="s">
        <v>336</v>
      </c>
      <c r="Q3" s="41" t="s">
        <v>337</v>
      </c>
      <c r="R3" s="41" t="s">
        <v>338</v>
      </c>
      <c r="S3" s="41" t="s">
        <v>339</v>
      </c>
      <c r="T3" s="41" t="s">
        <v>340</v>
      </c>
      <c r="U3" s="41" t="s">
        <v>341</v>
      </c>
      <c r="V3" s="41" t="s">
        <v>342</v>
      </c>
      <c r="W3" s="41" t="s">
        <v>343</v>
      </c>
      <c r="X3" s="50" t="s">
        <v>212</v>
      </c>
      <c r="Y3" s="50" t="s">
        <v>116</v>
      </c>
    </row>
    <row r="4" spans="2:25">
      <c r="B4" s="41" cm="1">
        <f t="array" ref="B4" xml:space="preserve"> INDEX(韻母表[韻序], MATCH(TRUE, EXACT($C4, 韻母表[十五音]), 0))</f>
        <v>28</v>
      </c>
      <c r="C4" s="50" t="str">
        <f xml:space="preserve"> _xlfn.XLOOKUP(E4, 韻母表[台羅拼音], 韻母表[十五音])</f>
        <v>膠（促）</v>
      </c>
      <c r="D4" s="50" t="str" cm="1">
        <f t="array" ref="D4" xml:space="preserve"> IF( INDEX(韻母表[國際音標2], MATCH(TRUE, EXACT($C4, 韻母表[十五音]), 0))&lt;&gt;"",  INDEX(韻母表[國際音標2], MATCH(TRUE, EXACT($C4, 韻母表[十五音]), 0)),  INDEX(韻母表[國際音標], MATCH(TRUE, EXACT($C4, 韻母表[十五音]), 0)))</f>
        <v>aʔ</v>
      </c>
      <c r="E4" s="50" t="s">
        <v>213</v>
      </c>
      <c r="F4" s="41" t="s">
        <v>213</v>
      </c>
      <c r="G4" s="41" t="s">
        <v>344</v>
      </c>
      <c r="I4" s="41" t="s">
        <v>345</v>
      </c>
      <c r="K4" s="41" t="s">
        <v>346</v>
      </c>
      <c r="L4" s="41" t="s">
        <v>347</v>
      </c>
      <c r="M4" s="41" t="s">
        <v>348</v>
      </c>
      <c r="O4" s="41" t="s">
        <v>349</v>
      </c>
      <c r="Q4" s="41" t="s">
        <v>350</v>
      </c>
      <c r="R4" s="41" t="s">
        <v>351</v>
      </c>
      <c r="S4" s="41" t="s">
        <v>352</v>
      </c>
      <c r="T4" s="41" t="s">
        <v>353</v>
      </c>
      <c r="U4" s="41" t="s">
        <v>354</v>
      </c>
      <c r="V4" s="41" t="s">
        <v>355</v>
      </c>
      <c r="W4" s="41" t="s">
        <v>356</v>
      </c>
      <c r="X4" s="50" t="s">
        <v>213</v>
      </c>
      <c r="Y4" s="50" t="s">
        <v>117</v>
      </c>
    </row>
    <row r="5" spans="2:25">
      <c r="B5" s="41" cm="1">
        <f t="array" ref="B5" xml:space="preserve"> INDEX(韻母表[韻序], MATCH(TRUE, EXACT($C5, 韻母表[十五音]), 0))</f>
        <v>16</v>
      </c>
      <c r="C5" s="50" t="str">
        <f xml:space="preserve"> _xlfn.XLOOKUP(E5, 韻母表[台羅拼音], 韻母表[十五音])</f>
        <v>皆（舒）</v>
      </c>
      <c r="D5" s="50" t="str" cm="1">
        <f t="array" ref="D5" xml:space="preserve"> IF( INDEX(韻母表[國際音標2], MATCH(TRUE, EXACT($C5, 韻母表[十五音]), 0))&lt;&gt;"",  INDEX(韻母表[國際音標2], MATCH(TRUE, EXACT($C5, 韻母表[十五音]), 0)),  INDEX(韻母表[國際音標], MATCH(TRUE, EXACT($C5, 韻母表[十五音]), 0)))</f>
        <v>aɪ</v>
      </c>
      <c r="E5" s="50" t="s">
        <v>189</v>
      </c>
      <c r="F5" s="41" t="s">
        <v>189</v>
      </c>
      <c r="G5" s="41" t="s">
        <v>357</v>
      </c>
      <c r="H5" s="41" t="s">
        <v>358</v>
      </c>
      <c r="I5" s="41" t="s">
        <v>359</v>
      </c>
      <c r="K5" s="41" t="s">
        <v>360</v>
      </c>
      <c r="L5" s="41" t="s">
        <v>361</v>
      </c>
      <c r="M5" s="41" t="s">
        <v>362</v>
      </c>
      <c r="N5" s="41" t="s">
        <v>363</v>
      </c>
      <c r="O5" s="41" t="s">
        <v>364</v>
      </c>
      <c r="P5" s="41" t="s">
        <v>365</v>
      </c>
      <c r="Q5" s="41" t="s">
        <v>366</v>
      </c>
      <c r="R5" s="41" t="s">
        <v>367</v>
      </c>
      <c r="S5" s="41" t="s">
        <v>368</v>
      </c>
      <c r="T5" s="41" t="s">
        <v>369</v>
      </c>
      <c r="U5" s="41" t="s">
        <v>370</v>
      </c>
      <c r="V5" s="41" t="s">
        <v>371</v>
      </c>
      <c r="W5" s="41" t="s">
        <v>372</v>
      </c>
      <c r="X5" s="50" t="s">
        <v>189</v>
      </c>
      <c r="Y5" s="50" t="s">
        <v>92</v>
      </c>
    </row>
    <row r="6" spans="2:25">
      <c r="B6" s="41" cm="1">
        <f t="array" ref="B6" xml:space="preserve"> INDEX(韻母表[韻序], MATCH(TRUE, EXACT($C6, 韻母表[十五音]), 0))</f>
        <v>40</v>
      </c>
      <c r="C6" s="50" t="str">
        <f xml:space="preserve"> _xlfn.XLOOKUP(E6, 韻母表[台羅拼音], 韻母表[十五音])</f>
        <v>閒（舒）</v>
      </c>
      <c r="D6" s="50" t="str" cm="1">
        <f t="array" ref="D6" xml:space="preserve"> IF( INDEX(韻母表[國際音標2], MATCH(TRUE, EXACT($C6, 韻母表[十五音]), 0))&lt;&gt;"",  INDEX(韻母表[國際音標2], MATCH(TRUE, EXACT($C6, 韻母表[十五音]), 0)),  INDEX(韻母表[國際音標], MATCH(TRUE, EXACT($C6, 韻母表[十五音]), 0)))</f>
        <v>ãɪ</v>
      </c>
      <c r="E6" s="50" t="s">
        <v>228</v>
      </c>
      <c r="F6" s="41" t="s">
        <v>228</v>
      </c>
      <c r="I6" s="41" t="s">
        <v>373</v>
      </c>
      <c r="K6" s="41" t="s">
        <v>374</v>
      </c>
      <c r="L6" s="41" t="s">
        <v>375</v>
      </c>
      <c r="R6" s="41" t="s">
        <v>376</v>
      </c>
      <c r="T6" s="41" t="s">
        <v>377</v>
      </c>
      <c r="V6" s="41" t="s">
        <v>378</v>
      </c>
      <c r="X6" s="50" t="s">
        <v>228</v>
      </c>
      <c r="Y6" s="50" t="s">
        <v>140</v>
      </c>
    </row>
    <row r="7" spans="2:25">
      <c r="B7" s="41" cm="1">
        <f t="array" ref="B7" xml:space="preserve"> INDEX(韻母表[韻序], MATCH(TRUE, EXACT($C7, 韻母表[十五音]), 0))</f>
        <v>21</v>
      </c>
      <c r="C7" s="50" t="str">
        <f xml:space="preserve"> _xlfn.XLOOKUP(E7, 韻母表[台羅拼音], 韻母表[十五音])</f>
        <v>江（促）</v>
      </c>
      <c r="D7" s="50" t="str" cm="1">
        <f t="array" ref="D7" xml:space="preserve"> IF( INDEX(韻母表[國際音標2], MATCH(TRUE, EXACT($C7, 韻母表[十五音]), 0))&lt;&gt;"",  INDEX(韻母表[國際音標2], MATCH(TRUE, EXACT($C7, 韻母表[十五音]), 0)),  INDEX(韻母表[國際音標], MATCH(TRUE, EXACT($C7, 韻母表[十五音]), 0)))</f>
        <v>ak̚</v>
      </c>
      <c r="E7" s="50" t="s">
        <v>199</v>
      </c>
      <c r="F7" s="41" t="s">
        <v>199</v>
      </c>
      <c r="G7" s="41" t="s">
        <v>379</v>
      </c>
      <c r="H7" s="41" t="s">
        <v>380</v>
      </c>
      <c r="I7" s="41" t="s">
        <v>381</v>
      </c>
      <c r="K7" s="41" t="s">
        <v>382</v>
      </c>
      <c r="L7" s="41" t="s">
        <v>383</v>
      </c>
      <c r="M7" s="41" t="s">
        <v>384</v>
      </c>
      <c r="Q7" s="41" t="s">
        <v>385</v>
      </c>
      <c r="R7" s="41" t="s">
        <v>386</v>
      </c>
      <c r="S7" s="41" t="s">
        <v>387</v>
      </c>
      <c r="T7" s="41" t="s">
        <v>388</v>
      </c>
      <c r="U7" s="41" t="s">
        <v>389</v>
      </c>
      <c r="V7" s="41" t="s">
        <v>390</v>
      </c>
      <c r="W7" s="41" t="s">
        <v>391</v>
      </c>
      <c r="X7" s="50" t="s">
        <v>199</v>
      </c>
      <c r="Y7" s="50" t="s">
        <v>103</v>
      </c>
    </row>
    <row r="8" spans="2:25">
      <c r="B8" s="41" cm="1">
        <f t="array" ref="B8" xml:space="preserve"> INDEX(韻母表[韻序], MATCH(TRUE, EXACT($C8, 韻母表[十五音]), 0))</f>
        <v>19</v>
      </c>
      <c r="C8" s="50" t="str">
        <f xml:space="preserve"> _xlfn.XLOOKUP(E8, 韻母表[台羅拼音], 韻母表[十五音])</f>
        <v>甘（舒）</v>
      </c>
      <c r="D8" s="50" t="str" cm="1">
        <f t="array" ref="D8" xml:space="preserve"> IF( INDEX(韻母表[國際音標2], MATCH(TRUE, EXACT($C8, 韻母表[十五音]), 0))&lt;&gt;"",  INDEX(韻母表[國際音標2], MATCH(TRUE, EXACT($C8, 韻母表[十五音]), 0)),  INDEX(韻母表[國際音標], MATCH(TRUE, EXACT($C8, 韻母表[十五音]), 0)))</f>
        <v>am</v>
      </c>
      <c r="E8" s="50" t="s">
        <v>194</v>
      </c>
      <c r="F8" s="41" t="s">
        <v>194</v>
      </c>
      <c r="H8" s="41" t="s">
        <v>392</v>
      </c>
      <c r="I8" s="41" t="s">
        <v>393</v>
      </c>
      <c r="K8" s="41" t="s">
        <v>394</v>
      </c>
      <c r="L8" s="41" t="s">
        <v>395</v>
      </c>
      <c r="M8" s="41" t="s">
        <v>396</v>
      </c>
      <c r="S8" s="41" t="s">
        <v>397</v>
      </c>
      <c r="T8" s="41" t="s">
        <v>398</v>
      </c>
      <c r="U8" s="41" t="s">
        <v>399</v>
      </c>
      <c r="V8" s="41" t="s">
        <v>400</v>
      </c>
      <c r="W8" s="41" t="s">
        <v>401</v>
      </c>
      <c r="X8" s="50" t="s">
        <v>194</v>
      </c>
      <c r="Y8" s="50" t="s">
        <v>98</v>
      </c>
    </row>
    <row r="9" spans="2:25">
      <c r="B9" s="41" cm="1">
        <f t="array" ref="B9" xml:space="preserve"> INDEX(韻母表[韻序], MATCH(TRUE, EXACT($C9, 韻母表[十五音]), 0))</f>
        <v>6</v>
      </c>
      <c r="C9" s="50" t="str">
        <f xml:space="preserve"> _xlfn.XLOOKUP(E9, 韻母表[台羅拼音], 韻母表[十五音])</f>
        <v>干（舒）</v>
      </c>
      <c r="D9" s="50" t="str" cm="1">
        <f t="array" ref="D9" xml:space="preserve"> IF( INDEX(韻母表[國際音標2], MATCH(TRUE, EXACT($C9, 韻母表[十五音]), 0))&lt;&gt;"",  INDEX(韻母表[國際音標2], MATCH(TRUE, EXACT($C9, 韻母表[十五音]), 0)),  INDEX(韻母表[國際音標], MATCH(TRUE, EXACT($C9, 韻母表[十五音]), 0)))</f>
        <v>an</v>
      </c>
      <c r="E9" s="50" t="s">
        <v>171</v>
      </c>
      <c r="F9" s="41" t="s">
        <v>171</v>
      </c>
      <c r="G9" s="41" t="s">
        <v>402</v>
      </c>
      <c r="H9" s="41" t="s">
        <v>403</v>
      </c>
      <c r="I9" s="41" t="s">
        <v>404</v>
      </c>
      <c r="K9" s="41" t="s">
        <v>405</v>
      </c>
      <c r="L9" s="41" t="s">
        <v>406</v>
      </c>
      <c r="M9" s="41" t="s">
        <v>407</v>
      </c>
      <c r="Q9" s="41" t="s">
        <v>408</v>
      </c>
      <c r="R9" s="41" t="s">
        <v>409</v>
      </c>
      <c r="S9" s="41" t="s">
        <v>410</v>
      </c>
      <c r="T9" s="41" t="s">
        <v>411</v>
      </c>
      <c r="U9" s="41" t="s">
        <v>412</v>
      </c>
      <c r="V9" s="41" t="s">
        <v>413</v>
      </c>
      <c r="W9" s="41" t="s">
        <v>414</v>
      </c>
      <c r="X9" s="50" t="s">
        <v>171</v>
      </c>
      <c r="Y9" s="50" t="s">
        <v>72</v>
      </c>
    </row>
    <row r="10" spans="2:25">
      <c r="B10" s="41" cm="1">
        <f t="array" ref="B10" xml:space="preserve"> INDEX(韻母表[韻序], MATCH(TRUE, EXACT($C10, 韻母表[十五音]), 0))</f>
        <v>21</v>
      </c>
      <c r="C10" s="50" t="str">
        <f xml:space="preserve"> _xlfn.XLOOKUP(E10, 韻母表[台羅拼音], 韻母表[十五音])</f>
        <v>江（舒）</v>
      </c>
      <c r="D10" s="50" t="str" cm="1">
        <f t="array" ref="D10" xml:space="preserve"> IF( INDEX(韻母表[國際音標2], MATCH(TRUE, EXACT($C10, 韻母表[十五音]), 0))&lt;&gt;"",  INDEX(韻母表[國際音標2], MATCH(TRUE, EXACT($C10, 韻母表[十五音]), 0)),  INDEX(韻母表[國際音標], MATCH(TRUE, EXACT($C10, 韻母表[十五音]), 0)))</f>
        <v>aŋ</v>
      </c>
      <c r="E10" s="50" t="s">
        <v>198</v>
      </c>
      <c r="F10" s="41" t="s">
        <v>198</v>
      </c>
      <c r="G10" s="41" t="s">
        <v>415</v>
      </c>
      <c r="H10" s="41" t="s">
        <v>416</v>
      </c>
      <c r="I10" s="41" t="s">
        <v>417</v>
      </c>
      <c r="K10" s="41" t="s">
        <v>418</v>
      </c>
      <c r="L10" s="41" t="s">
        <v>419</v>
      </c>
      <c r="M10" s="41" t="s">
        <v>420</v>
      </c>
      <c r="Q10" s="41" t="s">
        <v>421</v>
      </c>
      <c r="R10" s="41" t="s">
        <v>422</v>
      </c>
      <c r="S10" s="41" t="s">
        <v>423</v>
      </c>
      <c r="T10" s="41" t="s">
        <v>424</v>
      </c>
      <c r="U10" s="41" t="s">
        <v>425</v>
      </c>
      <c r="V10" s="41" t="s">
        <v>426</v>
      </c>
      <c r="W10" s="41" t="s">
        <v>427</v>
      </c>
      <c r="X10" s="50" t="s">
        <v>198</v>
      </c>
      <c r="Y10" s="50" t="s">
        <v>102</v>
      </c>
    </row>
    <row r="11" spans="2:25">
      <c r="B11" s="41" cm="1">
        <f t="array" ref="B11" xml:space="preserve"> INDEX(韻母表[韻序], MATCH(TRUE, EXACT($C11, 韻母表[十五音]), 0))</f>
        <v>26</v>
      </c>
      <c r="C11" s="50" t="str">
        <f xml:space="preserve"> _xlfn.XLOOKUP(E11, 韻母表[台羅拼音], 韻母表[十五音])</f>
        <v>監（舒）</v>
      </c>
      <c r="D11" s="50" t="str" cm="1">
        <f t="array" ref="D11" xml:space="preserve"> IF( INDEX(韻母表[國際音標2], MATCH(TRUE, EXACT($C11, 韻母表[十五音]), 0))&lt;&gt;"",  INDEX(韻母表[國際音標2], MATCH(TRUE, EXACT($C11, 韻母表[十五音]), 0)),  INDEX(韻母表[國際音標], MATCH(TRUE, EXACT($C11, 韻母表[十五音]), 0)))</f>
        <v>ã</v>
      </c>
      <c r="E11" s="50" t="s">
        <v>208</v>
      </c>
      <c r="F11" s="41" t="s">
        <v>208</v>
      </c>
      <c r="I11" s="41" t="s">
        <v>428</v>
      </c>
      <c r="K11" s="41" t="s">
        <v>429</v>
      </c>
      <c r="L11" s="41" t="s">
        <v>430</v>
      </c>
      <c r="R11" s="41" t="s">
        <v>431</v>
      </c>
      <c r="S11" s="41" t="s">
        <v>432</v>
      </c>
      <c r="T11" s="41" t="s">
        <v>433</v>
      </c>
      <c r="U11" s="41" t="s">
        <v>434</v>
      </c>
      <c r="V11" s="41" t="s">
        <v>435</v>
      </c>
      <c r="W11" s="41" t="s">
        <v>436</v>
      </c>
      <c r="X11" s="50" t="s">
        <v>208</v>
      </c>
      <c r="Y11" s="50" t="s">
        <v>112</v>
      </c>
    </row>
    <row r="12" spans="2:25">
      <c r="B12" s="41" cm="1">
        <f t="array" ref="B12" xml:space="preserve"> INDEX(韻母表[韻序], MATCH(TRUE, EXACT($C12, 韻母表[十五音]), 0))</f>
        <v>26</v>
      </c>
      <c r="C12" s="50" t="str">
        <f xml:space="preserve"> _xlfn.XLOOKUP(E12, 韻母表[台羅拼音], 韻母表[十五音])</f>
        <v>監（促）</v>
      </c>
      <c r="D12" s="50" t="str" cm="1">
        <f t="array" ref="D12" xml:space="preserve"> IF( INDEX(韻母表[國際音標2], MATCH(TRUE, EXACT($C12, 韻母表[十五音]), 0))&lt;&gt;"",  INDEX(韻母表[國際音標2], MATCH(TRUE, EXACT($C12, 韻母表[十五音]), 0)),  INDEX(韻母表[國際音標], MATCH(TRUE, EXACT($C12, 韻母表[十五音]), 0)))</f>
        <v>ãʔ</v>
      </c>
      <c r="E12" s="50" t="s">
        <v>209</v>
      </c>
      <c r="I12" s="41" t="s">
        <v>437</v>
      </c>
      <c r="S12" s="41" t="s">
        <v>438</v>
      </c>
      <c r="X12" s="50" t="s">
        <v>209</v>
      </c>
      <c r="Y12" s="50" t="s">
        <v>113</v>
      </c>
    </row>
    <row r="13" spans="2:25">
      <c r="B13" s="41" cm="1">
        <f t="array" ref="B13" xml:space="preserve"> INDEX(韻母表[韻序], MATCH(TRUE, EXACT($C13, 韻母表[十五音]), 0))</f>
        <v>19</v>
      </c>
      <c r="C13" s="50" t="str">
        <f xml:space="preserve"> _xlfn.XLOOKUP(E13, 韻母表[台羅拼音], 韻母表[十五音])</f>
        <v>甘（促）</v>
      </c>
      <c r="D13" s="50" t="str" cm="1">
        <f t="array" ref="D13" xml:space="preserve"> IF( INDEX(韻母表[國際音標2], MATCH(TRUE, EXACT($C13, 韻母表[十五音]), 0))&lt;&gt;"",  INDEX(韻母表[國際音標2], MATCH(TRUE, EXACT($C13, 韻母表[十五音]), 0)),  INDEX(韻母表[國際音標], MATCH(TRUE, EXACT($C13, 韻母表[十五音]), 0)))</f>
        <v>ap̚</v>
      </c>
      <c r="E13" s="50" t="s">
        <v>195</v>
      </c>
      <c r="F13" s="41" t="s">
        <v>195</v>
      </c>
      <c r="I13" s="41" t="s">
        <v>439</v>
      </c>
      <c r="K13" s="41" t="s">
        <v>440</v>
      </c>
      <c r="L13" s="41" t="s">
        <v>441</v>
      </c>
      <c r="M13" s="41" t="s">
        <v>442</v>
      </c>
      <c r="S13" s="41" t="s">
        <v>443</v>
      </c>
      <c r="T13" s="41" t="s">
        <v>444</v>
      </c>
      <c r="U13" s="41" t="s">
        <v>445</v>
      </c>
      <c r="V13" s="41" t="s">
        <v>446</v>
      </c>
      <c r="W13" s="41" t="s">
        <v>447</v>
      </c>
      <c r="X13" s="50" t="s">
        <v>195</v>
      </c>
      <c r="Y13" s="50" t="s">
        <v>99</v>
      </c>
    </row>
    <row r="14" spans="2:25">
      <c r="B14" s="41" cm="1">
        <f t="array" ref="B14" xml:space="preserve"> INDEX(韻母表[韻序], MATCH(TRUE, EXACT($C14, 韻母表[十五音]), 0))</f>
        <v>6</v>
      </c>
      <c r="C14" s="50" t="str">
        <f xml:space="preserve"> _xlfn.XLOOKUP(E14, 韻母表[台羅拼音], 韻母表[十五音])</f>
        <v>干（促）</v>
      </c>
      <c r="D14" s="50" t="str" cm="1">
        <f t="array" ref="D14" xml:space="preserve"> IF( INDEX(韻母表[國際音標2], MATCH(TRUE, EXACT($C14, 韻母表[十五音]), 0))&lt;&gt;"",  INDEX(韻母表[國際音標2], MATCH(TRUE, EXACT($C14, 韻母表[十五音]), 0)),  INDEX(韻母表[國際音標], MATCH(TRUE, EXACT($C14, 韻母表[十五音]), 0)))</f>
        <v>at̚</v>
      </c>
      <c r="E14" s="50" t="s">
        <v>172</v>
      </c>
      <c r="F14" s="41" t="s">
        <v>172</v>
      </c>
      <c r="G14" s="41" t="s">
        <v>448</v>
      </c>
      <c r="I14" s="41" t="s">
        <v>449</v>
      </c>
      <c r="K14" s="41" t="s">
        <v>450</v>
      </c>
      <c r="L14" s="41" t="s">
        <v>451</v>
      </c>
      <c r="M14" s="41" t="s">
        <v>452</v>
      </c>
      <c r="Q14" s="41" t="s">
        <v>453</v>
      </c>
      <c r="S14" s="41" t="s">
        <v>454</v>
      </c>
      <c r="T14" s="41" t="s">
        <v>455</v>
      </c>
      <c r="U14" s="41" t="s">
        <v>456</v>
      </c>
      <c r="V14" s="41" t="s">
        <v>457</v>
      </c>
      <c r="W14" s="41" t="s">
        <v>458</v>
      </c>
      <c r="X14" s="50" t="s">
        <v>172</v>
      </c>
      <c r="Y14" s="50" t="s">
        <v>73</v>
      </c>
    </row>
    <row r="15" spans="2:25">
      <c r="B15" s="41" cm="1">
        <f t="array" ref="B15" xml:space="preserve"> INDEX(韻母表[韻序], MATCH(TRUE, EXACT($C15, 韻母表[十五音]), 0))</f>
        <v>23</v>
      </c>
      <c r="C15" s="50" t="str">
        <f xml:space="preserve"> _xlfn.XLOOKUP(E15, 韻母表[台羅拼音], 韻母表[十五音])</f>
        <v>交（舒）</v>
      </c>
      <c r="D15" s="50" t="str" cm="1">
        <f t="array" ref="D15" xml:space="preserve"> IF( INDEX(韻母表[國際音標2], MATCH(TRUE, EXACT($C15, 韻母表[十五音]), 0))&lt;&gt;"",  INDEX(韻母表[國際音標2], MATCH(TRUE, EXACT($C15, 韻母表[十五音]), 0)),  INDEX(韻母表[國際音標], MATCH(TRUE, EXACT($C15, 韻母表[十五音]), 0)))</f>
        <v>aʊ</v>
      </c>
      <c r="E15" s="50" t="s">
        <v>202</v>
      </c>
      <c r="F15" s="41" t="s">
        <v>202</v>
      </c>
      <c r="G15" s="41" t="s">
        <v>459</v>
      </c>
      <c r="H15" s="41" t="s">
        <v>460</v>
      </c>
      <c r="I15" s="41" t="s">
        <v>461</v>
      </c>
      <c r="K15" s="41" t="s">
        <v>462</v>
      </c>
      <c r="L15" s="41" t="s">
        <v>463</v>
      </c>
      <c r="M15" s="41" t="s">
        <v>464</v>
      </c>
      <c r="N15" s="41" t="s">
        <v>465</v>
      </c>
      <c r="O15" s="41" t="s">
        <v>466</v>
      </c>
      <c r="P15" s="41" t="s">
        <v>467</v>
      </c>
      <c r="Q15" s="41" t="s">
        <v>468</v>
      </c>
      <c r="R15" s="41" t="s">
        <v>469</v>
      </c>
      <c r="S15" s="41" t="s">
        <v>470</v>
      </c>
      <c r="T15" s="41" t="s">
        <v>471</v>
      </c>
      <c r="U15" s="41" t="s">
        <v>472</v>
      </c>
      <c r="V15" s="41" t="s">
        <v>473</v>
      </c>
      <c r="W15" s="41" t="s">
        <v>474</v>
      </c>
      <c r="X15" s="50" t="s">
        <v>202</v>
      </c>
      <c r="Y15" s="50" t="s">
        <v>106</v>
      </c>
    </row>
    <row r="16" spans="2:25">
      <c r="B16" s="41" cm="1">
        <f t="array" ref="B16" xml:space="preserve"> INDEX(韻母表[韻序], MATCH(TRUE, EXACT($C16, 韻母表[十五音]), 0))</f>
        <v>23</v>
      </c>
      <c r="C16" s="50" t="str">
        <f xml:space="preserve"> _xlfn.XLOOKUP(E16, 韻母表[台羅拼音], 韻母表[十五音])</f>
        <v>交（促）</v>
      </c>
      <c r="D16" s="50" t="str" cm="1">
        <f t="array" ref="D16" xml:space="preserve"> IF( INDEX(韻母表[國際音標2], MATCH(TRUE, EXACT($C16, 韻母表[十五音]), 0))&lt;&gt;"",  INDEX(韻母表[國際音標2], MATCH(TRUE, EXACT($C16, 韻母表[十五音]), 0)),  INDEX(韻母表[國際音標], MATCH(TRUE, EXACT($C16, 韻母表[十五音]), 0)))</f>
        <v>auʔ</v>
      </c>
      <c r="E16" s="50" t="s">
        <v>203</v>
      </c>
      <c r="K16" s="41" t="s">
        <v>475</v>
      </c>
      <c r="M16" s="41" t="s">
        <v>476</v>
      </c>
      <c r="N16" s="41" t="s">
        <v>477</v>
      </c>
      <c r="O16" s="41" t="s">
        <v>478</v>
      </c>
      <c r="R16" s="41" t="s">
        <v>479</v>
      </c>
      <c r="T16" s="41" t="s">
        <v>480</v>
      </c>
      <c r="W16" s="41" t="s">
        <v>481</v>
      </c>
      <c r="X16" s="50" t="s">
        <v>203</v>
      </c>
      <c r="Y16" s="50" t="s">
        <v>107</v>
      </c>
    </row>
    <row r="17" spans="2:25">
      <c r="B17" s="41" cm="1">
        <f t="array" ref="B17" xml:space="preserve"> INDEX(韻母表[韻序], MATCH(TRUE, EXACT($C17, 韻母表[十五音]), 0))</f>
        <v>13</v>
      </c>
      <c r="C17" s="50" t="str">
        <f xml:space="preserve"> _xlfn.XLOOKUP(E17, 韻母表[台羅拼音], 韻母表[十五音])</f>
        <v>稽（舒）</v>
      </c>
      <c r="D17" s="50" t="str" cm="1">
        <f t="array" ref="D17" xml:space="preserve"> IF( INDEX(韻母表[國際音標2], MATCH(TRUE, EXACT($C17, 韻母表[十五音]), 0))&lt;&gt;"",  INDEX(韻母表[國際音標2], MATCH(TRUE, EXACT($C17, 韻母表[十五音]), 0)),  INDEX(韻母表[國際音標], MATCH(TRUE, EXACT($C17, 韻母表[十五音]), 0)))</f>
        <v>ei</v>
      </c>
      <c r="E17" s="50" t="s">
        <v>184</v>
      </c>
      <c r="F17" s="41" t="s">
        <v>184</v>
      </c>
      <c r="G17" s="41" t="s">
        <v>482</v>
      </c>
      <c r="H17" s="41" t="s">
        <v>483</v>
      </c>
      <c r="I17" s="41" t="s">
        <v>484</v>
      </c>
      <c r="K17" s="41" t="s">
        <v>485</v>
      </c>
      <c r="L17" s="41" t="s">
        <v>486</v>
      </c>
      <c r="M17" s="41" t="s">
        <v>487</v>
      </c>
      <c r="N17" s="41" t="s">
        <v>488</v>
      </c>
      <c r="O17" s="41" t="s">
        <v>489</v>
      </c>
      <c r="P17" s="41" t="s">
        <v>490</v>
      </c>
      <c r="Q17" s="41" t="s">
        <v>491</v>
      </c>
      <c r="R17" s="41" t="s">
        <v>492</v>
      </c>
      <c r="S17" s="41" t="s">
        <v>493</v>
      </c>
      <c r="T17" s="41" t="s">
        <v>494</v>
      </c>
      <c r="U17" s="41" t="s">
        <v>495</v>
      </c>
      <c r="V17" s="41" t="s">
        <v>496</v>
      </c>
      <c r="W17" s="41" t="s">
        <v>497</v>
      </c>
      <c r="X17" s="50" t="s">
        <v>184</v>
      </c>
      <c r="Y17" s="50" t="s">
        <v>86</v>
      </c>
    </row>
    <row r="18" spans="2:25">
      <c r="B18" s="41" t="e" cm="1">
        <f t="array" ref="B18" xml:space="preserve"> INDEX(韻母表[韻序], MATCH(TRUE, EXACT($C18, 韻母表[十五音]), 0))</f>
        <v>#N/A</v>
      </c>
      <c r="C18" s="50">
        <f xml:space="preserve"> _xlfn.XLOOKUP(E18, 韻母表[台羅拼音], 韻母表[十五音])</f>
        <v>0</v>
      </c>
      <c r="D18" s="50" t="e" cm="1">
        <f t="array" ref="D18" xml:space="preserve"> IF( INDEX(韻母表[國際音標2], MATCH(TRUE, EXACT($C18, 韻母表[十五音]), 0))&lt;&gt;"",  INDEX(韻母表[國際音標2], MATCH(TRUE, EXACT($C18, 韻母表[十五音]), 0)),  INDEX(韻母表[國際音標], MATCH(TRUE, EXACT($C18, 韻母表[十五音]), 0)))</f>
        <v>#N/A</v>
      </c>
      <c r="E18" s="50" t="s">
        <v>227</v>
      </c>
      <c r="F18" s="41" t="s">
        <v>227</v>
      </c>
      <c r="G18" s="41" t="s">
        <v>498</v>
      </c>
      <c r="I18" s="41" t="s">
        <v>499</v>
      </c>
      <c r="K18" s="41" t="s">
        <v>500</v>
      </c>
      <c r="L18" s="41" t="s">
        <v>501</v>
      </c>
      <c r="M18" s="41" t="s">
        <v>502</v>
      </c>
      <c r="N18" s="41" t="s">
        <v>503</v>
      </c>
      <c r="O18" s="41" t="s">
        <v>504</v>
      </c>
      <c r="P18" s="41" t="s">
        <v>505</v>
      </c>
      <c r="Q18" s="41" t="s">
        <v>506</v>
      </c>
      <c r="S18" s="41" t="s">
        <v>507</v>
      </c>
      <c r="T18" s="41" t="s">
        <v>508</v>
      </c>
      <c r="U18" s="41" t="s">
        <v>509</v>
      </c>
      <c r="V18" s="41" t="s">
        <v>510</v>
      </c>
      <c r="W18" s="41" t="s">
        <v>511</v>
      </c>
      <c r="X18" s="50" t="s">
        <v>227</v>
      </c>
      <c r="Y18" s="50" t="s">
        <v>139</v>
      </c>
    </row>
    <row r="19" spans="2:25">
      <c r="B19" s="41" cm="1">
        <f t="array" ref="B19" xml:space="preserve"> INDEX(韻母表[韻序], MATCH(TRUE, EXACT($C19, 韻母表[十五音]), 0))</f>
        <v>31</v>
      </c>
      <c r="C19" s="50" t="str">
        <f xml:space="preserve"> _xlfn.XLOOKUP(E19, 韻母表[台羅拼音], 韻母表[十五音])</f>
        <v>更（舒）</v>
      </c>
      <c r="D19" s="50" t="str" cm="1">
        <f t="array" ref="D19" xml:space="preserve"> IF( INDEX(韻母表[國際音標2], MATCH(TRUE, EXACT($C19, 韻母表[十五音]), 0))&lt;&gt;"",  INDEX(韻母表[國際音標2], MATCH(TRUE, EXACT($C19, 韻母表[十五音]), 0)),  INDEX(韻母表[國際音標], MATCH(TRUE, EXACT($C19, 韻母表[十五音]), 0)))</f>
        <v>ɛ̃</v>
      </c>
      <c r="E19" s="50" t="s">
        <v>217</v>
      </c>
      <c r="F19" s="41" t="s">
        <v>217</v>
      </c>
      <c r="I19" s="41" t="s">
        <v>512</v>
      </c>
      <c r="K19" s="41" t="s">
        <v>513</v>
      </c>
      <c r="L19" s="41" t="s">
        <v>514</v>
      </c>
      <c r="Q19" s="41" t="s">
        <v>515</v>
      </c>
      <c r="R19" s="41" t="s">
        <v>516</v>
      </c>
      <c r="S19" s="41" t="s">
        <v>517</v>
      </c>
      <c r="T19" s="41" t="s">
        <v>518</v>
      </c>
      <c r="U19" s="41" t="s">
        <v>519</v>
      </c>
      <c r="V19" s="41" t="s">
        <v>520</v>
      </c>
      <c r="W19" s="41" t="s">
        <v>521</v>
      </c>
      <c r="X19" s="50" t="s">
        <v>217</v>
      </c>
      <c r="Y19" s="50" t="s">
        <v>122</v>
      </c>
    </row>
    <row r="20" spans="2:25">
      <c r="B20" s="41" cm="1">
        <f t="array" ref="B20" xml:space="preserve"> INDEX(韻母表[韻序], MATCH(TRUE, EXACT($C20, 韻母表[十五音]), 0))</f>
        <v>31</v>
      </c>
      <c r="C20" s="50" t="str">
        <f xml:space="preserve"> _xlfn.XLOOKUP(E20, 韻母表[台羅拼音], 韻母表[十五音])</f>
        <v>更（促）</v>
      </c>
      <c r="D20" s="50" t="str" cm="1">
        <f t="array" ref="D20" xml:space="preserve"> IF( INDEX(韻母表[國際音標2], MATCH(TRUE, EXACT($C20, 韻母表[十五音]), 0))&lt;&gt;"",  INDEX(韻母表[國際音標2], MATCH(TRUE, EXACT($C20, 韻母表[十五音]), 0)),  INDEX(韻母表[國際音標], MATCH(TRUE, EXACT($C20, 韻母表[十五音]), 0)))</f>
        <v>ɛ̃ʔ</v>
      </c>
      <c r="E20" s="50" t="s">
        <v>218</v>
      </c>
      <c r="I20" s="41" t="s">
        <v>522</v>
      </c>
      <c r="L20" s="41" t="s">
        <v>523</v>
      </c>
      <c r="X20" s="50" t="s">
        <v>218</v>
      </c>
      <c r="Y20" s="50" t="s">
        <v>123</v>
      </c>
    </row>
    <row r="21" spans="2:25">
      <c r="B21" s="41" cm="1">
        <f t="array" ref="B21" xml:space="preserve"> INDEX(韻母表[韻序], MATCH(TRUE, EXACT($C21, 韻母表[十五音]), 0))</f>
        <v>29</v>
      </c>
      <c r="C21" s="50" t="str">
        <f xml:space="preserve"> _xlfn.XLOOKUP(E21, 韻母表[台羅拼音], 韻母表[十五音])</f>
        <v>居（舒）</v>
      </c>
      <c r="D21" s="50" t="str" cm="1">
        <f t="array" ref="D21" xml:space="preserve"> IF( INDEX(韻母表[國際音標2], MATCH(TRUE, EXACT($C21, 韻母表[十五音]), 0))&lt;&gt;"",  INDEX(韻母表[國際音標2], MATCH(TRUE, EXACT($C21, 韻母表[十五音]), 0)),  INDEX(韻母表[國際音標], MATCH(TRUE, EXACT($C21, 韻母表[十五音]), 0)))</f>
        <v>i</v>
      </c>
      <c r="E21" s="50" t="s">
        <v>214</v>
      </c>
      <c r="F21" s="41" t="s">
        <v>214</v>
      </c>
      <c r="G21" s="41" t="s">
        <v>524</v>
      </c>
      <c r="H21" s="41" t="s">
        <v>525</v>
      </c>
      <c r="I21" s="41" t="s">
        <v>526</v>
      </c>
      <c r="J21" s="41" t="s">
        <v>527</v>
      </c>
      <c r="K21" s="41" t="s">
        <v>528</v>
      </c>
      <c r="L21" s="41" t="s">
        <v>529</v>
      </c>
      <c r="M21" s="41" t="s">
        <v>530</v>
      </c>
      <c r="N21" s="41" t="s">
        <v>531</v>
      </c>
      <c r="O21" s="41" t="s">
        <v>532</v>
      </c>
      <c r="Q21" s="41" t="s">
        <v>533</v>
      </c>
      <c r="R21" s="41" t="s">
        <v>534</v>
      </c>
      <c r="S21" s="41" t="s">
        <v>59</v>
      </c>
      <c r="T21" s="41" t="s">
        <v>535</v>
      </c>
      <c r="U21" s="41" t="s">
        <v>536</v>
      </c>
      <c r="V21" s="41" t="s">
        <v>55</v>
      </c>
      <c r="W21" s="41" t="s">
        <v>57</v>
      </c>
      <c r="X21" s="50" t="s">
        <v>214</v>
      </c>
      <c r="Y21" s="50" t="s">
        <v>118</v>
      </c>
    </row>
    <row r="22" spans="2:25">
      <c r="B22" s="41" cm="1">
        <f t="array" ref="B22" xml:space="preserve"> INDEX(韻母表[韻序], MATCH(TRUE, EXACT($C22, 韻母表[十五音]), 0))</f>
        <v>24</v>
      </c>
      <c r="C22" s="50" t="str">
        <f xml:space="preserve"> _xlfn.XLOOKUP(E22, 韻母表[台羅拼音], 韻母表[十五音])</f>
        <v>迦（舒）</v>
      </c>
      <c r="D22" s="50" t="str" cm="1">
        <f t="array" ref="D22" xml:space="preserve"> IF( INDEX(韻母表[國際音標2], MATCH(TRUE, EXACT($C22, 韻母表[十五音]), 0))&lt;&gt;"",  INDEX(韻母表[國際音標2], MATCH(TRUE, EXACT($C22, 韻母表[十五音]), 0)),  INDEX(韻母表[國際音標], MATCH(TRUE, EXACT($C22, 韻母表[十五音]), 0)))</f>
        <v>ɪa</v>
      </c>
      <c r="E22" s="50" t="s">
        <v>204</v>
      </c>
      <c r="F22" s="41" t="s">
        <v>204</v>
      </c>
      <c r="H22" s="41" t="s">
        <v>537</v>
      </c>
      <c r="I22" s="41" t="s">
        <v>538</v>
      </c>
      <c r="J22" s="41" t="s">
        <v>539</v>
      </c>
      <c r="K22" s="41" t="s">
        <v>540</v>
      </c>
      <c r="L22" s="41" t="s">
        <v>541</v>
      </c>
      <c r="N22" s="41" t="s">
        <v>542</v>
      </c>
      <c r="O22" s="41" t="s">
        <v>543</v>
      </c>
      <c r="P22" s="41" t="s">
        <v>544</v>
      </c>
      <c r="S22" s="41" t="s">
        <v>545</v>
      </c>
      <c r="T22" s="41" t="s">
        <v>546</v>
      </c>
      <c r="V22" s="41" t="s">
        <v>547</v>
      </c>
      <c r="W22" s="41" t="s">
        <v>548</v>
      </c>
      <c r="X22" s="50" t="s">
        <v>204</v>
      </c>
      <c r="Y22" s="50" t="s">
        <v>108</v>
      </c>
    </row>
    <row r="23" spans="2:25">
      <c r="B23" s="41" cm="1">
        <f t="array" ref="B23" xml:space="preserve"> INDEX(韻母表[韻序], MATCH(TRUE, EXACT($C23, 韻母表[十五音]), 0))</f>
        <v>24</v>
      </c>
      <c r="C23" s="50" t="str">
        <f xml:space="preserve"> _xlfn.XLOOKUP(E23, 韻母表[台羅拼音], 韻母表[十五音])</f>
        <v>迦（促）</v>
      </c>
      <c r="D23" s="50" t="str" cm="1">
        <f t="array" ref="D23" xml:space="preserve"> IF( INDEX(韻母表[國際音標2], MATCH(TRUE, EXACT($C23, 韻母表[十五音]), 0))&lt;&gt;"",  INDEX(韻母表[國際音標2], MATCH(TRUE, EXACT($C23, 韻母表[十五音]), 0)),  INDEX(韻母表[國際音標], MATCH(TRUE, EXACT($C23, 韻母表[十五音]), 0)))</f>
        <v>ɪaʔ</v>
      </c>
      <c r="E23" s="50" t="s">
        <v>205</v>
      </c>
      <c r="F23" s="41" t="s">
        <v>205</v>
      </c>
      <c r="H23" s="41" t="s">
        <v>549</v>
      </c>
      <c r="I23" s="41" t="s">
        <v>550</v>
      </c>
      <c r="K23" s="41" t="s">
        <v>551</v>
      </c>
      <c r="L23" s="41" t="s">
        <v>552</v>
      </c>
      <c r="M23" s="41" t="s">
        <v>553</v>
      </c>
      <c r="Q23" s="41" t="s">
        <v>554</v>
      </c>
      <c r="R23" s="41" t="s">
        <v>555</v>
      </c>
      <c r="S23" s="41" t="s">
        <v>556</v>
      </c>
      <c r="T23" s="41" t="s">
        <v>557</v>
      </c>
      <c r="U23" s="41" t="s">
        <v>558</v>
      </c>
      <c r="V23" s="41" t="s">
        <v>559</v>
      </c>
      <c r="W23" s="41" t="s">
        <v>560</v>
      </c>
      <c r="X23" s="50" t="s">
        <v>205</v>
      </c>
      <c r="Y23" s="50" t="s">
        <v>109</v>
      </c>
    </row>
    <row r="24" spans="2:25">
      <c r="B24" s="41" cm="1">
        <f t="array" ref="B24" xml:space="preserve"> INDEX(韻母表[韻序], MATCH(TRUE, EXACT($C24, 韻母表[十五音]), 0))</f>
        <v>18</v>
      </c>
      <c r="C24" s="50" t="str">
        <f xml:space="preserve"> _xlfn.XLOOKUP(E24, 韻母表[台羅拼音], 韻母表[十五音])</f>
        <v>姜（促）</v>
      </c>
      <c r="D24" s="50" t="str" cm="1">
        <f t="array" ref="D24" xml:space="preserve"> IF( INDEX(韻母表[國際音標2], MATCH(TRUE, EXACT($C24, 韻母表[十五音]), 0))&lt;&gt;"",  INDEX(韻母表[國際音標2], MATCH(TRUE, EXACT($C24, 韻母表[十五音]), 0)),  INDEX(韻母表[國際音標], MATCH(TRUE, EXACT($C24, 韻母表[十五音]), 0)))</f>
        <v>ɪak̚</v>
      </c>
      <c r="E24" s="50" t="s">
        <v>193</v>
      </c>
      <c r="L24" s="41" t="s">
        <v>561</v>
      </c>
      <c r="Q24" s="41" t="s">
        <v>562</v>
      </c>
      <c r="R24" s="41" t="s">
        <v>563</v>
      </c>
      <c r="S24" s="41" t="s">
        <v>564</v>
      </c>
      <c r="T24" s="41" t="s">
        <v>565</v>
      </c>
      <c r="W24" s="41" t="s">
        <v>566</v>
      </c>
      <c r="X24" s="50" t="s">
        <v>193</v>
      </c>
      <c r="Y24" s="50" t="s">
        <v>97</v>
      </c>
    </row>
    <row r="25" spans="2:25">
      <c r="B25" s="41" cm="1">
        <f t="array" ref="B25" xml:space="preserve"> INDEX(韻母表[韻序], MATCH(TRUE, EXACT($C25, 韻母表[十五音]), 0))</f>
        <v>22</v>
      </c>
      <c r="C25" s="50" t="str">
        <f xml:space="preserve"> _xlfn.XLOOKUP(E25, 韻母表[台羅拼音], 韻母表[十五音])</f>
        <v>兼（舒）</v>
      </c>
      <c r="D25" s="50" t="str" cm="1">
        <f t="array" ref="D25" xml:space="preserve"> IF( INDEX(韻母表[國際音標2], MATCH(TRUE, EXACT($C25, 韻母表[十五音]), 0))&lt;&gt;"",  INDEX(韻母表[國際音標2], MATCH(TRUE, EXACT($C25, 韻母表[十五音]), 0)),  INDEX(韻母表[國際音標], MATCH(TRUE, EXACT($C25, 韻母表[十五音]), 0)))</f>
        <v>ɪam</v>
      </c>
      <c r="E25" s="50" t="s">
        <v>200</v>
      </c>
      <c r="F25" s="41" t="s">
        <v>200</v>
      </c>
      <c r="H25" s="41" t="s">
        <v>567</v>
      </c>
      <c r="I25" s="41" t="s">
        <v>568</v>
      </c>
      <c r="J25" s="41" t="s">
        <v>569</v>
      </c>
      <c r="K25" s="41" t="s">
        <v>570</v>
      </c>
      <c r="L25" s="41" t="s">
        <v>571</v>
      </c>
      <c r="M25" s="41" t="s">
        <v>572</v>
      </c>
      <c r="S25" s="41" t="s">
        <v>573</v>
      </c>
      <c r="T25" s="41" t="s">
        <v>574</v>
      </c>
      <c r="U25" s="41" t="s">
        <v>575</v>
      </c>
      <c r="V25" s="41" t="s">
        <v>576</v>
      </c>
      <c r="W25" s="41" t="s">
        <v>577</v>
      </c>
      <c r="X25" s="50" t="s">
        <v>200</v>
      </c>
      <c r="Y25" s="50" t="s">
        <v>104</v>
      </c>
    </row>
    <row r="26" spans="2:25">
      <c r="B26" s="41" cm="1">
        <f t="array" ref="B26" xml:space="preserve"> INDEX(韻母表[韻序], MATCH(TRUE, EXACT($C26, 韻母表[十五音]), 0))</f>
        <v>2</v>
      </c>
      <c r="C26" s="50" t="str">
        <f xml:space="preserve"> _xlfn.XLOOKUP(E26, 韻母表[台羅拼音], 韻母表[十五音])</f>
        <v>堅（舒）</v>
      </c>
      <c r="D26" s="50" t="str" cm="1">
        <f t="array" ref="D26" xml:space="preserve"> IF( INDEX(韻母表[國際音標2], MATCH(TRUE, EXACT($C26, 韻母表[十五音]), 0))&lt;&gt;"",  INDEX(韻母表[國際音標2], MATCH(TRUE, EXACT($C26, 韻母表[十五音]), 0)),  INDEX(韻母表[國際音標], MATCH(TRUE, EXACT($C26, 韻母表[十五音]), 0)))</f>
        <v>ɪan</v>
      </c>
      <c r="E26" s="50" t="s">
        <v>164</v>
      </c>
      <c r="F26" s="41" t="s">
        <v>164</v>
      </c>
      <c r="G26" s="41" t="s">
        <v>578</v>
      </c>
      <c r="H26" s="41" t="s">
        <v>579</v>
      </c>
      <c r="I26" s="41" t="s">
        <v>580</v>
      </c>
      <c r="J26" s="41" t="s">
        <v>581</v>
      </c>
      <c r="K26" s="41" t="s">
        <v>582</v>
      </c>
      <c r="L26" s="41" t="s">
        <v>583</v>
      </c>
      <c r="M26" s="41" t="s">
        <v>584</v>
      </c>
      <c r="Q26" s="41" t="s">
        <v>585</v>
      </c>
      <c r="R26" s="41" t="s">
        <v>586</v>
      </c>
      <c r="S26" s="41" t="s">
        <v>587</v>
      </c>
      <c r="T26" s="41" t="s">
        <v>588</v>
      </c>
      <c r="U26" s="41" t="s">
        <v>589</v>
      </c>
      <c r="V26" s="41" t="s">
        <v>590</v>
      </c>
      <c r="W26" s="41" t="s">
        <v>591</v>
      </c>
      <c r="X26" s="50" t="s">
        <v>164</v>
      </c>
      <c r="Y26" s="50" t="s">
        <v>64</v>
      </c>
    </row>
    <row r="27" spans="2:25">
      <c r="B27" s="41" cm="1">
        <f t="array" ref="B27" xml:space="preserve"> INDEX(韻母表[韻序], MATCH(TRUE, EXACT($C27, 韻母表[十五音]), 0))</f>
        <v>18</v>
      </c>
      <c r="C27" s="50" t="str">
        <f xml:space="preserve"> _xlfn.XLOOKUP(E27, 韻母表[台羅拼音], 韻母表[十五音])</f>
        <v>姜（舒）</v>
      </c>
      <c r="D27" s="50" t="str" cm="1">
        <f t="array" ref="D27" xml:space="preserve"> IF( INDEX(韻母表[國際音標2], MATCH(TRUE, EXACT($C27, 韻母表[十五音]), 0))&lt;&gt;"",  INDEX(韻母表[國際音標2], MATCH(TRUE, EXACT($C27, 韻母表[十五音]), 0)),  INDEX(韻母表[國際音標], MATCH(TRUE, EXACT($C27, 韻母表[十五音]), 0)))</f>
        <v>ɪaŋ</v>
      </c>
      <c r="E27" s="50" t="s">
        <v>192</v>
      </c>
      <c r="F27" s="41" t="s">
        <v>192</v>
      </c>
      <c r="H27" s="41" t="s">
        <v>592</v>
      </c>
      <c r="I27" s="41" t="s">
        <v>593</v>
      </c>
      <c r="J27" s="41" t="s">
        <v>594</v>
      </c>
      <c r="L27" s="41" t="s">
        <v>595</v>
      </c>
      <c r="M27" s="41" t="s">
        <v>596</v>
      </c>
      <c r="Q27" s="41" t="s">
        <v>597</v>
      </c>
      <c r="R27" s="41" t="s">
        <v>598</v>
      </c>
      <c r="S27" s="41" t="s">
        <v>599</v>
      </c>
      <c r="V27" s="41" t="s">
        <v>600</v>
      </c>
      <c r="W27" s="41" t="s">
        <v>601</v>
      </c>
      <c r="X27" s="50" t="s">
        <v>192</v>
      </c>
      <c r="Y27" s="50" t="s">
        <v>96</v>
      </c>
    </row>
    <row r="28" spans="2:25">
      <c r="B28" s="41" cm="1">
        <f t="array" ref="B28" xml:space="preserve"> INDEX(韻母表[韻序], MATCH(TRUE, EXACT($C28, 韻母表[十五音]), 0))</f>
        <v>36</v>
      </c>
      <c r="C28" s="50" t="str">
        <f xml:space="preserve"> _xlfn.XLOOKUP(E28, 韻母表[台羅拼音], 韻母表[十五音])</f>
        <v>驚（舒）</v>
      </c>
      <c r="D28" s="50" t="str" cm="1">
        <f t="array" ref="D28" xml:space="preserve"> IF( INDEX(韻母表[國際音標2], MATCH(TRUE, EXACT($C28, 韻母表[十五音]), 0))&lt;&gt;"",  INDEX(韻母表[國際音標2], MATCH(TRUE, EXACT($C28, 韻母表[十五音]), 0)),  INDEX(韻母表[國際音標], MATCH(TRUE, EXACT($C28, 韻母表[十五音]), 0)))</f>
        <v>ɪã</v>
      </c>
      <c r="E28" s="50" t="s">
        <v>305</v>
      </c>
      <c r="F28" s="41" t="s">
        <v>305</v>
      </c>
      <c r="I28" s="41" t="s">
        <v>602</v>
      </c>
      <c r="K28" s="41" t="s">
        <v>603</v>
      </c>
      <c r="Q28" s="41" t="s">
        <v>604</v>
      </c>
      <c r="S28" s="41" t="s">
        <v>605</v>
      </c>
      <c r="T28" s="41" t="s">
        <v>606</v>
      </c>
      <c r="U28" s="41" t="s">
        <v>607</v>
      </c>
      <c r="V28" s="41" t="s">
        <v>608</v>
      </c>
      <c r="W28" s="41" t="s">
        <v>609</v>
      </c>
      <c r="X28" s="50" t="s">
        <v>305</v>
      </c>
      <c r="Y28" s="50" t="s">
        <v>132</v>
      </c>
    </row>
    <row r="29" spans="2:25">
      <c r="B29" s="41" cm="1">
        <f t="array" ref="B29" xml:space="preserve"> INDEX(韻母表[韻序], MATCH(TRUE, EXACT($C29, 韻母表[十五音]), 0))</f>
        <v>36</v>
      </c>
      <c r="C29" s="50" t="str">
        <f xml:space="preserve"> _xlfn.XLOOKUP(E29, 韻母表[台羅拼音], 韻母表[十五音])</f>
        <v>驚（促）</v>
      </c>
      <c r="D29" s="50" t="str" cm="1">
        <f t="array" ref="D29" xml:space="preserve"> IF( INDEX(韻母表[國際音標2], MATCH(TRUE, EXACT($C29, 韻母表[十五音]), 0))&lt;&gt;"",  INDEX(韻母表[國際音標2], MATCH(TRUE, EXACT($C29, 韻母表[十五音]), 0)),  INDEX(韻母表[國際音標], MATCH(TRUE, EXACT($C29, 韻母表[十五音]), 0)))</f>
        <v>ɪãh</v>
      </c>
      <c r="E29" s="50" t="s">
        <v>225</v>
      </c>
      <c r="I29" s="41" t="s">
        <v>610</v>
      </c>
      <c r="X29" s="50" t="s">
        <v>225</v>
      </c>
      <c r="Y29" s="50" t="s">
        <v>133</v>
      </c>
    </row>
    <row r="30" spans="2:25">
      <c r="B30" s="41" cm="1">
        <f t="array" ref="B30" xml:space="preserve"> INDEX(韻母表[韻序], MATCH(TRUE, EXACT($C30, 韻母表[十五音]), 0))</f>
        <v>22</v>
      </c>
      <c r="C30" s="50" t="str">
        <f xml:space="preserve"> _xlfn.XLOOKUP(E30, 韻母表[台羅拼音], 韻母表[十五音])</f>
        <v>兼（促）</v>
      </c>
      <c r="D30" s="50" t="str" cm="1">
        <f t="array" ref="D30" xml:space="preserve"> IF( INDEX(韻母表[國際音標2], MATCH(TRUE, EXACT($C30, 韻母表[十五音]), 0))&lt;&gt;"",  INDEX(韻母表[國際音標2], MATCH(TRUE, EXACT($C30, 韻母表[十五音]), 0)),  INDEX(韻母表[國際音標], MATCH(TRUE, EXACT($C30, 韻母表[十五音]), 0)))</f>
        <v>ɪap̚</v>
      </c>
      <c r="E30" s="50" t="s">
        <v>201</v>
      </c>
      <c r="F30" s="41" t="s">
        <v>201</v>
      </c>
      <c r="H30" s="41" t="s">
        <v>611</v>
      </c>
      <c r="I30" s="41" t="s">
        <v>612</v>
      </c>
      <c r="J30" s="41" t="s">
        <v>613</v>
      </c>
      <c r="K30" s="41" t="s">
        <v>614</v>
      </c>
      <c r="L30" s="41" t="s">
        <v>615</v>
      </c>
      <c r="M30" s="41" t="s">
        <v>616</v>
      </c>
      <c r="S30" s="41" t="s">
        <v>617</v>
      </c>
      <c r="T30" s="41" t="s">
        <v>618</v>
      </c>
      <c r="U30" s="41" t="s">
        <v>619</v>
      </c>
      <c r="V30" s="41" t="s">
        <v>620</v>
      </c>
      <c r="W30" s="41" t="s">
        <v>621</v>
      </c>
      <c r="X30" s="50" t="s">
        <v>201</v>
      </c>
      <c r="Y30" s="50" t="s">
        <v>105</v>
      </c>
    </row>
    <row r="31" spans="2:25">
      <c r="B31" s="41" cm="1">
        <f t="array" ref="B31" xml:space="preserve"> INDEX(韻母表[韻序], MATCH(TRUE, EXACT($C31, 韻母表[十五音]), 0))</f>
        <v>2</v>
      </c>
      <c r="C31" s="50" t="str">
        <f xml:space="preserve"> _xlfn.XLOOKUP(E31, 韻母表[台羅拼音], 韻母表[十五音])</f>
        <v>堅（促）</v>
      </c>
      <c r="D31" s="50" t="str" cm="1">
        <f t="array" ref="D31" xml:space="preserve"> IF( INDEX(韻母表[國際音標2], MATCH(TRUE, EXACT($C31, 韻母表[十五音]), 0))&lt;&gt;"",  INDEX(韻母表[國際音標2], MATCH(TRUE, EXACT($C31, 韻母表[十五音]), 0)),  INDEX(韻母表[國際音標], MATCH(TRUE, EXACT($C31, 韻母表[十五音]), 0)))</f>
        <v>ɪat̚</v>
      </c>
      <c r="E31" s="50" t="s">
        <v>165</v>
      </c>
      <c r="F31" s="41" t="s">
        <v>165</v>
      </c>
      <c r="G31" s="41" t="s">
        <v>622</v>
      </c>
      <c r="H31" s="41" t="s">
        <v>623</v>
      </c>
      <c r="I31" s="41" t="s">
        <v>624</v>
      </c>
      <c r="J31" s="41" t="s">
        <v>625</v>
      </c>
      <c r="K31" s="41" t="s">
        <v>626</v>
      </c>
      <c r="L31" s="41" t="s">
        <v>627</v>
      </c>
      <c r="M31" s="41" t="s">
        <v>628</v>
      </c>
      <c r="Q31" s="41" t="s">
        <v>629</v>
      </c>
      <c r="R31" s="41" t="s">
        <v>630</v>
      </c>
      <c r="S31" s="41" t="s">
        <v>631</v>
      </c>
      <c r="T31" s="41" t="s">
        <v>632</v>
      </c>
      <c r="U31" s="41" t="s">
        <v>633</v>
      </c>
      <c r="V31" s="41" t="s">
        <v>634</v>
      </c>
      <c r="W31" s="41" t="s">
        <v>635</v>
      </c>
      <c r="X31" s="50" t="s">
        <v>165</v>
      </c>
      <c r="Y31" s="50" t="s">
        <v>65</v>
      </c>
    </row>
    <row r="32" spans="2:25">
      <c r="B32" s="41" cm="1">
        <f t="array" ref="B32" xml:space="preserve"> INDEX(韻母表[韻序], MATCH(TRUE, EXACT($C32, 韻母表[十五音]), 0))</f>
        <v>12</v>
      </c>
      <c r="C32" s="50" t="str">
        <f xml:space="preserve"> _xlfn.XLOOKUP(E32, 韻母表[台羅拼音], 韻母表[十五音])</f>
        <v>嬌（舒）</v>
      </c>
      <c r="D32" s="50" t="str" cm="1">
        <f t="array" ref="D32" xml:space="preserve"> IF( INDEX(韻母表[國際音標2], MATCH(TRUE, EXACT($C32, 韻母表[十五音]), 0))&lt;&gt;"",  INDEX(韻母表[國際音標2], MATCH(TRUE, EXACT($C32, 韻母表[十五音]), 0)),  INDEX(韻母表[國際音標], MATCH(TRUE, EXACT($C32, 韻母表[十五音]), 0)))</f>
        <v>ɪaʊ</v>
      </c>
      <c r="E32" s="50" t="s">
        <v>182</v>
      </c>
      <c r="F32" s="41" t="s">
        <v>182</v>
      </c>
      <c r="G32" s="41" t="s">
        <v>636</v>
      </c>
      <c r="H32" s="41" t="s">
        <v>637</v>
      </c>
      <c r="I32" s="41" t="s">
        <v>638</v>
      </c>
      <c r="J32" s="41" t="s">
        <v>639</v>
      </c>
      <c r="K32" s="41" t="s">
        <v>640</v>
      </c>
      <c r="L32" s="41" t="s">
        <v>641</v>
      </c>
      <c r="M32" s="41" t="s">
        <v>642</v>
      </c>
      <c r="N32" s="41" t="s">
        <v>643</v>
      </c>
      <c r="O32" s="41" t="s">
        <v>644</v>
      </c>
      <c r="P32" s="41" t="s">
        <v>645</v>
      </c>
      <c r="Q32" s="41" t="s">
        <v>646</v>
      </c>
      <c r="R32" s="41" t="s">
        <v>647</v>
      </c>
      <c r="S32" s="41" t="s">
        <v>648</v>
      </c>
      <c r="T32" s="41" t="s">
        <v>649</v>
      </c>
      <c r="U32" s="41" t="s">
        <v>650</v>
      </c>
      <c r="V32" s="41" t="s">
        <v>651</v>
      </c>
      <c r="W32" s="41" t="s">
        <v>652</v>
      </c>
      <c r="X32" s="50" t="s">
        <v>182</v>
      </c>
      <c r="Y32" s="50" t="s">
        <v>84</v>
      </c>
    </row>
    <row r="33" spans="2:25">
      <c r="B33" s="41" cm="1">
        <f t="array" ref="B33" xml:space="preserve"> INDEX(韻母表[韻序], MATCH(TRUE, EXACT($C33, 韻母表[十五音]), 0))</f>
        <v>12</v>
      </c>
      <c r="C33" s="50" t="str">
        <f xml:space="preserve"> _xlfn.XLOOKUP(E33, 韻母表[台羅拼音], 韻母表[十五音])</f>
        <v>嬌（促）</v>
      </c>
      <c r="D33" s="50" t="str" cm="1">
        <f t="array" ref="D33" xml:space="preserve"> IF( INDEX(韻母表[國際音標2], MATCH(TRUE, EXACT($C33, 韻母表[十五音]), 0))&lt;&gt;"",  INDEX(韻母表[國際音標2], MATCH(TRUE, EXACT($C33, 韻母表[十五音]), 0)),  INDEX(韻母表[國際音標], MATCH(TRUE, EXACT($C33, 韻母表[十五音]), 0)))</f>
        <v>ɪaʊʔ</v>
      </c>
      <c r="E33" s="50" t="s">
        <v>183</v>
      </c>
      <c r="I33" s="41" t="s">
        <v>653</v>
      </c>
      <c r="L33" s="41" t="s">
        <v>654</v>
      </c>
      <c r="P33" s="41" t="s">
        <v>655</v>
      </c>
      <c r="X33" s="50" t="s">
        <v>183</v>
      </c>
      <c r="Y33" s="50" t="s">
        <v>85</v>
      </c>
    </row>
    <row r="34" spans="2:25">
      <c r="B34" s="41" cm="1">
        <f t="array" ref="B34" xml:space="preserve"> INDEX(韻母表[韻序], MATCH(TRUE, EXACT($C34, 韻母表[十五音]), 0))</f>
        <v>46</v>
      </c>
      <c r="C34" s="50" t="str">
        <f xml:space="preserve"> _xlfn.XLOOKUP(E34, 韻母表[台羅拼音], 韻母表[十五音])</f>
        <v>嘄（舒）</v>
      </c>
      <c r="D34" s="50" t="str" cm="1">
        <f t="array" ref="D34" xml:space="preserve"> IF( INDEX(韻母表[國際音標2], MATCH(TRUE, EXACT($C34, 韻母表[十五音]), 0))&lt;&gt;"",  INDEX(韻母表[國際音標2], MATCH(TRUE, EXACT($C34, 韻母表[十五音]), 0)),  INDEX(韻母表[國際音標], MATCH(TRUE, EXACT($C34, 韻母表[十五音]), 0)))</f>
        <v>ɪãʊ</v>
      </c>
      <c r="E34" s="50" t="s">
        <v>235</v>
      </c>
      <c r="F34" s="41" t="s">
        <v>235</v>
      </c>
      <c r="X34" s="50" t="s">
        <v>235</v>
      </c>
      <c r="Y34" s="50" t="s">
        <v>152</v>
      </c>
    </row>
    <row r="35" spans="2:25">
      <c r="B35" s="41" cm="1">
        <f t="array" ref="B35" xml:space="preserve"> INDEX(韻母表[韻序], MATCH(TRUE, EXACT($C35, 韻母表[十五音]), 0))</f>
        <v>29</v>
      </c>
      <c r="C35" s="50" t="str">
        <f xml:space="preserve"> _xlfn.XLOOKUP(E35, 韻母表[台羅拼音], 韻母表[十五音])</f>
        <v>居（促）</v>
      </c>
      <c r="D35" s="50" t="str" cm="1">
        <f t="array" ref="D35" xml:space="preserve"> IF( INDEX(韻母表[國際音標2], MATCH(TRUE, EXACT($C35, 韻母表[十五音]), 0))&lt;&gt;"",  INDEX(韻母表[國際音標2], MATCH(TRUE, EXACT($C35, 韻母表[十五音]), 0)),  INDEX(韻母表[國際音標], MATCH(TRUE, EXACT($C35, 韻母表[十五音]), 0)))</f>
        <v>iʔ</v>
      </c>
      <c r="E35" s="50" t="s">
        <v>215</v>
      </c>
      <c r="G35" s="41" t="s">
        <v>656</v>
      </c>
      <c r="L35" s="41" t="s">
        <v>657</v>
      </c>
      <c r="N35" s="41" t="s">
        <v>658</v>
      </c>
      <c r="O35" s="41" t="s">
        <v>659</v>
      </c>
      <c r="Q35" s="41" t="s">
        <v>660</v>
      </c>
      <c r="R35" s="41" t="s">
        <v>661</v>
      </c>
      <c r="S35" s="41" t="s">
        <v>662</v>
      </c>
      <c r="T35" s="41" t="s">
        <v>663</v>
      </c>
      <c r="U35" s="41" t="s">
        <v>664</v>
      </c>
      <c r="V35" s="41" t="s">
        <v>665</v>
      </c>
      <c r="W35" s="41" t="s">
        <v>666</v>
      </c>
      <c r="X35" s="50" t="s">
        <v>215</v>
      </c>
      <c r="Y35" s="50" t="s">
        <v>119</v>
      </c>
    </row>
    <row r="36" spans="2:25">
      <c r="B36" s="41" cm="1">
        <f t="array" ref="B36" xml:space="preserve"> INDEX(韻母表[韻序], MATCH(TRUE, EXACT($C36, 韻母表[十五音]), 0))</f>
        <v>9</v>
      </c>
      <c r="C36" s="50" t="str">
        <f xml:space="preserve"> _xlfn.XLOOKUP(E36, 韻母表[台羅拼音], 韻母表[十五音])</f>
        <v>經（促）</v>
      </c>
      <c r="D36" s="50" t="str" cm="1">
        <f t="array" ref="D36" xml:space="preserve"> IF( INDEX(韻母表[國際音標2], MATCH(TRUE, EXACT($C36, 韻母表[十五音]), 0))&lt;&gt;"",  INDEX(韻母表[國際音標2], MATCH(TRUE, EXACT($C36, 韻母表[十五音]), 0)),  INDEX(韻母表[國際音標], MATCH(TRUE, EXACT($C36, 韻母表[十五音]), 0)))</f>
        <v>ɛk</v>
      </c>
      <c r="E36" s="50" t="s">
        <v>178</v>
      </c>
      <c r="F36" s="41" t="s">
        <v>178</v>
      </c>
      <c r="G36" s="41" t="s">
        <v>667</v>
      </c>
      <c r="H36" s="41" t="s">
        <v>668</v>
      </c>
      <c r="I36" s="41" t="s">
        <v>669</v>
      </c>
      <c r="K36" s="41" t="s">
        <v>670</v>
      </c>
      <c r="M36" s="41" t="s">
        <v>671</v>
      </c>
      <c r="Q36" s="41" t="s">
        <v>672</v>
      </c>
      <c r="R36" s="41" t="s">
        <v>673</v>
      </c>
      <c r="S36" s="41" t="s">
        <v>674</v>
      </c>
      <c r="T36" s="41" t="s">
        <v>675</v>
      </c>
      <c r="U36" s="41" t="s">
        <v>676</v>
      </c>
      <c r="V36" s="41" t="s">
        <v>677</v>
      </c>
      <c r="W36" s="41" t="s">
        <v>678</v>
      </c>
      <c r="X36" s="50" t="s">
        <v>178</v>
      </c>
      <c r="Y36" s="50" t="s">
        <v>79</v>
      </c>
    </row>
    <row r="37" spans="2:25">
      <c r="B37" s="41" cm="1">
        <f t="array" ref="B37" xml:space="preserve"> INDEX(韻母表[韻序], MATCH(TRUE, EXACT($C37, 韻母表[十五音]), 0))</f>
        <v>3</v>
      </c>
      <c r="C37" s="50" t="str">
        <f xml:space="preserve"> _xlfn.XLOOKUP(E37, 韻母表[台羅拼音], 韻母表[十五音])</f>
        <v>金（舒）</v>
      </c>
      <c r="D37" s="50" t="str" cm="1">
        <f t="array" ref="D37" xml:space="preserve"> IF( INDEX(韻母表[國際音標2], MATCH(TRUE, EXACT($C37, 韻母表[十五音]), 0))&lt;&gt;"",  INDEX(韻母表[國際音標2], MATCH(TRUE, EXACT($C37, 韻母表[十五音]), 0)),  INDEX(韻母表[國際音標], MATCH(TRUE, EXACT($C37, 韻母表[十五音]), 0)))</f>
        <v>im</v>
      </c>
      <c r="E37" s="50" t="s">
        <v>166</v>
      </c>
      <c r="F37" s="41" t="s">
        <v>166</v>
      </c>
      <c r="H37" s="41" t="s">
        <v>679</v>
      </c>
      <c r="I37" s="41" t="s">
        <v>680</v>
      </c>
      <c r="J37" s="41" t="s">
        <v>681</v>
      </c>
      <c r="K37" s="41" t="s">
        <v>682</v>
      </c>
      <c r="L37" s="41" t="s">
        <v>683</v>
      </c>
      <c r="M37" s="41" t="s">
        <v>684</v>
      </c>
      <c r="S37" s="41" t="s">
        <v>685</v>
      </c>
      <c r="T37" s="41" t="s">
        <v>686</v>
      </c>
      <c r="U37" s="41" t="s">
        <v>687</v>
      </c>
      <c r="V37" s="41" t="s">
        <v>688</v>
      </c>
      <c r="W37" s="41" t="s">
        <v>689</v>
      </c>
      <c r="X37" s="50" t="s">
        <v>166</v>
      </c>
      <c r="Y37" s="50" t="s">
        <v>66</v>
      </c>
    </row>
    <row r="38" spans="2:25">
      <c r="B38" s="41" cm="1">
        <f t="array" ref="B38" xml:space="preserve"> INDEX(韻母表[韻序], MATCH(TRUE, EXACT($C38, 韻母表[十五音]), 0))</f>
        <v>17</v>
      </c>
      <c r="C38" s="50" t="str">
        <f xml:space="preserve"> _xlfn.XLOOKUP(E38, 韻母表[台羅拼音], 韻母表[十五音])</f>
        <v>巾（舒）</v>
      </c>
      <c r="D38" s="50" t="str" cm="1">
        <f t="array" ref="D38" xml:space="preserve"> IF( INDEX(韻母表[國際音標2], MATCH(TRUE, EXACT($C38, 韻母表[十五音]), 0))&lt;&gt;"",  INDEX(韻母表[國際音標2], MATCH(TRUE, EXACT($C38, 韻母表[十五音]), 0)),  INDEX(韻母表[國際音標], MATCH(TRUE, EXACT($C38, 韻母表[十五音]), 0)))</f>
        <v>in</v>
      </c>
      <c r="E38" s="50" t="s">
        <v>190</v>
      </c>
      <c r="F38" s="41" t="s">
        <v>190</v>
      </c>
      <c r="G38" s="41" t="s">
        <v>690</v>
      </c>
      <c r="H38" s="41" t="s">
        <v>691</v>
      </c>
      <c r="I38" s="41" t="s">
        <v>692</v>
      </c>
      <c r="J38" s="41" t="s">
        <v>693</v>
      </c>
      <c r="K38" s="41" t="s">
        <v>694</v>
      </c>
      <c r="L38" s="41" t="s">
        <v>695</v>
      </c>
      <c r="M38" s="41" t="s">
        <v>696</v>
      </c>
      <c r="Q38" s="41" t="s">
        <v>697</v>
      </c>
      <c r="R38" s="41" t="s">
        <v>698</v>
      </c>
      <c r="S38" s="41" t="s">
        <v>699</v>
      </c>
      <c r="T38" s="41" t="s">
        <v>700</v>
      </c>
      <c r="U38" s="41" t="s">
        <v>701</v>
      </c>
      <c r="V38" s="41" t="s">
        <v>702</v>
      </c>
      <c r="W38" s="41" t="s">
        <v>703</v>
      </c>
      <c r="X38" s="50" t="s">
        <v>190</v>
      </c>
      <c r="Y38" s="50" t="s">
        <v>94</v>
      </c>
    </row>
    <row r="39" spans="2:25">
      <c r="B39" s="41" cm="1">
        <f t="array" ref="B39" xml:space="preserve"> INDEX(韻母表[韻序], MATCH(TRUE, EXACT($C39, 韻母表[十五音]), 0))</f>
        <v>9</v>
      </c>
      <c r="C39" s="50" t="str">
        <f xml:space="preserve"> _xlfn.XLOOKUP(E39, 韻母表[台羅拼音], 韻母表[十五音])</f>
        <v>經（舒）</v>
      </c>
      <c r="D39" s="50" t="str" cm="1">
        <f t="array" ref="D39" xml:space="preserve"> IF( INDEX(韻母表[國際音標2], MATCH(TRUE, EXACT($C39, 韻母表[十五音]), 0))&lt;&gt;"",  INDEX(韻母表[國際音標2], MATCH(TRUE, EXACT($C39, 韻母表[十五音]), 0)),  INDEX(韻母表[國際音標], MATCH(TRUE, EXACT($C39, 韻母表[十五音]), 0)))</f>
        <v>ɛŋ</v>
      </c>
      <c r="E39" s="50" t="s">
        <v>177</v>
      </c>
      <c r="F39" s="41" t="s">
        <v>177</v>
      </c>
      <c r="G39" s="41" t="s">
        <v>704</v>
      </c>
      <c r="H39" s="41" t="s">
        <v>705</v>
      </c>
      <c r="I39" s="41" t="s">
        <v>706</v>
      </c>
      <c r="K39" s="41" t="s">
        <v>707</v>
      </c>
      <c r="L39" s="41" t="s">
        <v>708</v>
      </c>
      <c r="M39" s="41" t="s">
        <v>709</v>
      </c>
      <c r="Q39" s="41" t="s">
        <v>710</v>
      </c>
      <c r="R39" s="41" t="s">
        <v>711</v>
      </c>
      <c r="S39" s="41" t="s">
        <v>712</v>
      </c>
      <c r="T39" s="41" t="s">
        <v>713</v>
      </c>
      <c r="U39" s="41" t="s">
        <v>714</v>
      </c>
      <c r="V39" s="41" t="s">
        <v>715</v>
      </c>
      <c r="W39" s="41" t="s">
        <v>716</v>
      </c>
      <c r="X39" s="50" t="s">
        <v>177</v>
      </c>
      <c r="Y39" s="50" t="s">
        <v>78</v>
      </c>
    </row>
    <row r="40" spans="2:25">
      <c r="B40" s="41" cm="1">
        <f t="array" ref="B40" xml:space="preserve"> INDEX(韻母表[韻序], MATCH(TRUE, EXACT($C40, 韻母表[十五音]), 0))</f>
        <v>34</v>
      </c>
      <c r="C40" s="50" t="str">
        <f xml:space="preserve"> _xlfn.XLOOKUP(E40, 韻母表[台羅拼音], 韻母表[十五音])</f>
        <v>梔（舒）</v>
      </c>
      <c r="D40" s="50" t="str" cm="1">
        <f t="array" ref="D40" xml:space="preserve"> IF( INDEX(韻母表[國際音標2], MATCH(TRUE, EXACT($C40, 韻母表[十五音]), 0))&lt;&gt;"",  INDEX(韻母表[國際音標2], MATCH(TRUE, EXACT($C40, 韻母表[十五音]), 0)),  INDEX(韻母表[國際音標], MATCH(TRUE, EXACT($C40, 韻母表[十五音]), 0)))</f>
        <v>ĩ</v>
      </c>
      <c r="E40" s="50" t="s">
        <v>222</v>
      </c>
      <c r="F40" s="41" t="s">
        <v>222</v>
      </c>
      <c r="I40" s="41" t="s">
        <v>717</v>
      </c>
      <c r="K40" s="41" t="s">
        <v>718</v>
      </c>
      <c r="L40" s="41" t="s">
        <v>719</v>
      </c>
      <c r="S40" s="41" t="s">
        <v>720</v>
      </c>
      <c r="T40" s="41" t="s">
        <v>721</v>
      </c>
      <c r="U40" s="41" t="s">
        <v>722</v>
      </c>
      <c r="V40" s="41" t="s">
        <v>723</v>
      </c>
      <c r="W40" s="41" t="s">
        <v>724</v>
      </c>
      <c r="X40" s="50" t="s">
        <v>222</v>
      </c>
      <c r="Y40" s="50" t="s">
        <v>128</v>
      </c>
    </row>
    <row r="41" spans="2:25">
      <c r="B41" s="41" cm="1">
        <f t="array" ref="B41" xml:space="preserve"> INDEX(韻母表[韻序], MATCH(TRUE, EXACT($C41, 韻母表[十五音]), 0))</f>
        <v>33</v>
      </c>
      <c r="C41" s="50" t="str">
        <f xml:space="preserve"> _xlfn.XLOOKUP(E41, 韻母表[台羅拼音], 韻母表[十五音])</f>
        <v>茄（舒）</v>
      </c>
      <c r="D41" s="50" t="str" cm="1">
        <f t="array" ref="D41" xml:space="preserve"> IF( INDEX(韻母表[國際音標2], MATCH(TRUE, EXACT($C41, 韻母表[十五音]), 0))&lt;&gt;"",  INDEX(韻母表[國際音標2], MATCH(TRUE, EXACT($C41, 韻母表[十五音]), 0)),  INDEX(韻母表[國際音標], MATCH(TRUE, EXACT($C41, 韻母表[十五音]), 0)))</f>
        <v>ɪə</v>
      </c>
      <c r="E41" s="50" t="s">
        <v>220</v>
      </c>
      <c r="F41" s="41" t="s">
        <v>220</v>
      </c>
      <c r="G41" s="41" t="s">
        <v>725</v>
      </c>
      <c r="H41" s="41" t="s">
        <v>726</v>
      </c>
      <c r="I41" s="41" t="s">
        <v>727</v>
      </c>
      <c r="J41" s="41" t="s">
        <v>728</v>
      </c>
      <c r="K41" s="41" t="s">
        <v>729</v>
      </c>
      <c r="L41" s="41" t="s">
        <v>730</v>
      </c>
      <c r="M41" s="41" t="s">
        <v>731</v>
      </c>
      <c r="Q41" s="41" t="s">
        <v>732</v>
      </c>
      <c r="R41" s="41" t="s">
        <v>733</v>
      </c>
      <c r="S41" s="41" t="s">
        <v>734</v>
      </c>
      <c r="T41" s="41" t="s">
        <v>735</v>
      </c>
      <c r="U41" s="41" t="s">
        <v>736</v>
      </c>
      <c r="V41" s="41" t="s">
        <v>737</v>
      </c>
      <c r="W41" s="41" t="s">
        <v>738</v>
      </c>
      <c r="X41" s="50" t="s">
        <v>220</v>
      </c>
      <c r="Y41" s="50" t="s">
        <v>126</v>
      </c>
    </row>
    <row r="42" spans="2:25">
      <c r="B42" s="41" cm="1">
        <f t="array" ref="B42" xml:space="preserve"> INDEX(韻母表[韻序], MATCH(TRUE, EXACT($C42, 韻母表[十五音]), 0))</f>
        <v>33</v>
      </c>
      <c r="C42" s="50" t="str">
        <f xml:space="preserve"> _xlfn.XLOOKUP(E42, 韻母表[台羅拼音], 韻母表[十五音])</f>
        <v>茄（促）</v>
      </c>
      <c r="D42" s="50" t="str" cm="1">
        <f t="array" ref="D42" xml:space="preserve"> IF( INDEX(韻母表[國際音標2], MATCH(TRUE, EXACT($C42, 韻母表[十五音]), 0))&lt;&gt;"",  INDEX(韻母表[國際音標2], MATCH(TRUE, EXACT($C42, 韻母表[十五音]), 0)),  INDEX(韻母表[國際音標], MATCH(TRUE, EXACT($C42, 韻母表[十五音]), 0)))</f>
        <v>ɪəʔ</v>
      </c>
      <c r="E42" s="50" t="s">
        <v>221</v>
      </c>
      <c r="F42" s="41" t="s">
        <v>221</v>
      </c>
      <c r="H42" s="41" t="s">
        <v>739</v>
      </c>
      <c r="I42" s="41" t="s">
        <v>740</v>
      </c>
      <c r="K42" s="41" t="s">
        <v>741</v>
      </c>
      <c r="L42" s="41" t="s">
        <v>742</v>
      </c>
      <c r="M42" s="41" t="s">
        <v>743</v>
      </c>
      <c r="S42" s="41" t="s">
        <v>744</v>
      </c>
      <c r="T42" s="41" t="s">
        <v>745</v>
      </c>
      <c r="V42" s="41" t="s">
        <v>746</v>
      </c>
      <c r="W42" s="41" t="s">
        <v>747</v>
      </c>
      <c r="X42" s="50" t="s">
        <v>221</v>
      </c>
      <c r="Y42" s="50" t="s">
        <v>127</v>
      </c>
    </row>
    <row r="43" spans="2:25">
      <c r="B43" s="41" cm="1">
        <f t="array" ref="B43" xml:space="preserve"> INDEX(韻母表[韻序], MATCH(TRUE, EXACT($C43, 韻母表[十五音]), 0))</f>
        <v>14</v>
      </c>
      <c r="C43" s="50" t="str">
        <f xml:space="preserve"> _xlfn.XLOOKUP(E43, 韻母表[台羅拼音], 韻母表[十五音])</f>
        <v>恭（促）</v>
      </c>
      <c r="D43" s="50" t="str" cm="1">
        <f t="array" ref="D43" xml:space="preserve"> IF( INDEX(韻母表[國際音標2], MATCH(TRUE, EXACT($C43, 韻母表[十五音]), 0))&lt;&gt;"",  INDEX(韻母表[國際音標2], MATCH(TRUE, EXACT($C43, 韻母表[十五音]), 0)),  INDEX(韻母表[國際音標], MATCH(TRUE, EXACT($C43, 韻母表[十五音]), 0)))</f>
        <v>ɪɔk̚</v>
      </c>
      <c r="E43" s="50" t="s">
        <v>186</v>
      </c>
      <c r="F43" s="41" t="s">
        <v>186</v>
      </c>
      <c r="H43" s="41" t="s">
        <v>748</v>
      </c>
      <c r="I43" s="41" t="s">
        <v>749</v>
      </c>
      <c r="J43" s="41" t="s">
        <v>750</v>
      </c>
      <c r="K43" s="41" t="s">
        <v>751</v>
      </c>
      <c r="L43" s="41" t="s">
        <v>752</v>
      </c>
      <c r="M43" s="41" t="s">
        <v>753</v>
      </c>
      <c r="S43" s="41" t="s">
        <v>754</v>
      </c>
      <c r="T43" s="41" t="s">
        <v>755</v>
      </c>
      <c r="U43" s="41" t="s">
        <v>756</v>
      </c>
      <c r="V43" s="41" t="s">
        <v>757</v>
      </c>
      <c r="W43" s="41" t="s">
        <v>758</v>
      </c>
      <c r="X43" s="50" t="s">
        <v>186</v>
      </c>
      <c r="Y43" s="50" t="s">
        <v>89</v>
      </c>
    </row>
    <row r="44" spans="2:25">
      <c r="B44" s="41" cm="1">
        <f t="array" ref="B44" xml:space="preserve"> INDEX(韻母表[韻序], MATCH(TRUE, EXACT($C44, 韻母表[十五音]), 0))</f>
        <v>14</v>
      </c>
      <c r="C44" s="50" t="str">
        <f xml:space="preserve"> _xlfn.XLOOKUP(E44, 韻母表[台羅拼音], 韻母表[十五音])</f>
        <v>恭（舒）</v>
      </c>
      <c r="D44" s="50" t="str" cm="1">
        <f t="array" ref="D44" xml:space="preserve"> IF( INDEX(韻母表[國際音標2], MATCH(TRUE, EXACT($C44, 韻母表[十五音]), 0))&lt;&gt;"",  INDEX(韻母表[國際音標2], MATCH(TRUE, EXACT($C44, 韻母表[十五音]), 0)),  INDEX(韻母表[國際音標], MATCH(TRUE, EXACT($C44, 韻母表[十五音]), 0)))</f>
        <v>ɪɔŋ</v>
      </c>
      <c r="E44" s="50" t="s">
        <v>185</v>
      </c>
      <c r="F44" s="41" t="s">
        <v>185</v>
      </c>
      <c r="H44" s="41" t="s">
        <v>759</v>
      </c>
      <c r="I44" s="41" t="s">
        <v>760</v>
      </c>
      <c r="J44" s="41" t="s">
        <v>761</v>
      </c>
      <c r="K44" s="41" t="s">
        <v>762</v>
      </c>
      <c r="L44" s="41" t="s">
        <v>763</v>
      </c>
      <c r="M44" s="41" t="s">
        <v>764</v>
      </c>
      <c r="S44" s="41" t="s">
        <v>765</v>
      </c>
      <c r="T44" s="41" t="s">
        <v>766</v>
      </c>
      <c r="U44" s="41" t="s">
        <v>767</v>
      </c>
      <c r="V44" s="41" t="s">
        <v>768</v>
      </c>
      <c r="W44" s="41" t="s">
        <v>769</v>
      </c>
      <c r="X44" s="50" t="s">
        <v>185</v>
      </c>
      <c r="Y44" s="50" t="s">
        <v>88</v>
      </c>
    </row>
    <row r="45" spans="2:25">
      <c r="B45" s="41" cm="1">
        <f t="array" ref="B45" xml:space="preserve"> INDEX(韻母表[韻序], MATCH(TRUE, EXACT($C45, 韻母表[十五音]), 0))</f>
        <v>3</v>
      </c>
      <c r="C45" s="50" t="str">
        <f xml:space="preserve"> _xlfn.XLOOKUP(E45, 韻母表[台羅拼音], 韻母表[十五音])</f>
        <v>金（促）</v>
      </c>
      <c r="D45" s="50" t="str" cm="1">
        <f t="array" ref="D45" xml:space="preserve"> IF( INDEX(韻母表[國際音標2], MATCH(TRUE, EXACT($C45, 韻母表[十五音]), 0))&lt;&gt;"",  INDEX(韻母表[國際音標2], MATCH(TRUE, EXACT($C45, 韻母表[十五音]), 0)),  INDEX(韻母表[國際音標], MATCH(TRUE, EXACT($C45, 韻母表[十五音]), 0)))</f>
        <v>ip̚</v>
      </c>
      <c r="E45" s="50" t="s">
        <v>167</v>
      </c>
      <c r="F45" s="41" t="s">
        <v>167</v>
      </c>
      <c r="I45" s="41" t="s">
        <v>770</v>
      </c>
      <c r="J45" s="41" t="s">
        <v>771</v>
      </c>
      <c r="K45" s="41" t="s">
        <v>772</v>
      </c>
      <c r="L45" s="41" t="s">
        <v>773</v>
      </c>
      <c r="M45" s="41" t="s">
        <v>774</v>
      </c>
      <c r="S45" s="41" t="s">
        <v>775</v>
      </c>
      <c r="V45" s="41" t="s">
        <v>776</v>
      </c>
      <c r="W45" s="41" t="s">
        <v>777</v>
      </c>
      <c r="X45" s="50" t="s">
        <v>167</v>
      </c>
      <c r="Y45" s="50" t="s">
        <v>67</v>
      </c>
    </row>
    <row r="46" spans="2:25">
      <c r="B46" s="41" cm="1">
        <f t="array" ref="B46" xml:space="preserve"> INDEX(韻母表[韻序], MATCH(TRUE, EXACT($C46, 韻母表[十五音]), 0))</f>
        <v>17</v>
      </c>
      <c r="C46" s="50" t="str">
        <f xml:space="preserve"> _xlfn.XLOOKUP(E46, 韻母表[台羅拼音], 韻母表[十五音])</f>
        <v>巾（促）</v>
      </c>
      <c r="D46" s="50" t="str" cm="1">
        <f t="array" ref="D46" xml:space="preserve"> IF( INDEX(韻母表[國際音標2], MATCH(TRUE, EXACT($C46, 韻母表[十五音]), 0))&lt;&gt;"",  INDEX(韻母表[國際音標2], MATCH(TRUE, EXACT($C46, 韻母表[十五音]), 0)),  INDEX(韻母表[國際音標], MATCH(TRUE, EXACT($C46, 韻母表[十五音]), 0)))</f>
        <v>it̚</v>
      </c>
      <c r="E46" s="50" t="s">
        <v>191</v>
      </c>
      <c r="F46" s="41" t="s">
        <v>191</v>
      </c>
      <c r="G46" s="41" t="s">
        <v>778</v>
      </c>
      <c r="I46" s="41" t="s">
        <v>779</v>
      </c>
      <c r="J46" s="41" t="s">
        <v>780</v>
      </c>
      <c r="K46" s="41" t="s">
        <v>781</v>
      </c>
      <c r="L46" s="41" t="s">
        <v>782</v>
      </c>
      <c r="Q46" s="41" t="s">
        <v>783</v>
      </c>
      <c r="R46" s="41" t="s">
        <v>784</v>
      </c>
      <c r="S46" s="41" t="s">
        <v>785</v>
      </c>
      <c r="T46" s="41" t="s">
        <v>786</v>
      </c>
      <c r="V46" s="41" t="s">
        <v>787</v>
      </c>
      <c r="W46" s="41" t="s">
        <v>788</v>
      </c>
      <c r="X46" s="50" t="s">
        <v>191</v>
      </c>
      <c r="Y46" s="50" t="s">
        <v>95</v>
      </c>
    </row>
    <row r="47" spans="2:25">
      <c r="B47" s="41" cm="1">
        <f t="array" ref="B47" xml:space="preserve"> INDEX(韻母表[韻序], MATCH(TRUE, EXACT($C47, 韻母表[十五音]), 0))</f>
        <v>30</v>
      </c>
      <c r="C47" s="50" t="str">
        <f xml:space="preserve"> _xlfn.XLOOKUP(E47, 韻母表[台羅拼音], 韻母表[十五音])</f>
        <v>丩（舒）</v>
      </c>
      <c r="D47" s="50" t="str" cm="1">
        <f t="array" ref="D47" xml:space="preserve"> IF( INDEX(韻母表[國際音標2], MATCH(TRUE, EXACT($C47, 韻母表[十五音]), 0))&lt;&gt;"",  INDEX(韻母表[國際音標2], MATCH(TRUE, EXACT($C47, 韻母表[十五音]), 0)),  INDEX(韻母表[國際音標], MATCH(TRUE, EXACT($C47, 韻母表[十五音]), 0)))</f>
        <v>ɪu</v>
      </c>
      <c r="E47" s="50" t="s">
        <v>216</v>
      </c>
      <c r="F47" s="41" t="s">
        <v>216</v>
      </c>
      <c r="G47" s="41" t="s">
        <v>789</v>
      </c>
      <c r="H47" s="41" t="s">
        <v>790</v>
      </c>
      <c r="I47" s="41" t="s">
        <v>791</v>
      </c>
      <c r="J47" s="41" t="s">
        <v>792</v>
      </c>
      <c r="K47" s="41" t="s">
        <v>793</v>
      </c>
      <c r="L47" s="41" t="s">
        <v>794</v>
      </c>
      <c r="M47" s="41" t="s">
        <v>795</v>
      </c>
      <c r="O47" s="41" t="s">
        <v>796</v>
      </c>
      <c r="Q47" s="41" t="s">
        <v>797</v>
      </c>
      <c r="S47" s="41" t="s">
        <v>798</v>
      </c>
      <c r="T47" s="41" t="s">
        <v>799</v>
      </c>
      <c r="U47" s="41" t="s">
        <v>800</v>
      </c>
      <c r="V47" s="41" t="s">
        <v>801</v>
      </c>
      <c r="W47" s="41" t="s">
        <v>802</v>
      </c>
      <c r="X47" s="50" t="s">
        <v>216</v>
      </c>
      <c r="Y47" s="50" t="s">
        <v>120</v>
      </c>
    </row>
    <row r="48" spans="2:25">
      <c r="B48" s="41" cm="1">
        <f t="array" ref="B48" xml:space="preserve"> INDEX(韻母表[韻序], MATCH(TRUE, EXACT($C48, 韻母表[十五音]), 0))</f>
        <v>50</v>
      </c>
      <c r="C48" s="50" t="str">
        <f xml:space="preserve"> _xlfn.XLOOKUP(E48, 韻母表[台羅拼音], 韻母表[十五音])</f>
        <v>牛（舒）</v>
      </c>
      <c r="D48" s="50" t="str" cm="1">
        <f t="array" ref="D48" xml:space="preserve"> IF( INDEX(韻母表[國際音標2], MATCH(TRUE, EXACT($C48, 韻母表[十五音]), 0))&lt;&gt;"",  INDEX(韻母表[國際音標2], MATCH(TRUE, EXACT($C48, 韻母表[十五音]), 0)),  INDEX(韻母表[國際音標], MATCH(TRUE, EXACT($C48, 韻母表[十五音]), 0)))</f>
        <v>ɪũ</v>
      </c>
      <c r="E48" s="50" t="s">
        <v>239</v>
      </c>
      <c r="F48" s="41" t="s">
        <v>239</v>
      </c>
      <c r="I48" s="41" t="s">
        <v>803</v>
      </c>
      <c r="K48" s="41" t="s">
        <v>804</v>
      </c>
      <c r="L48" s="41" t="s">
        <v>805</v>
      </c>
      <c r="S48" s="41" t="s">
        <v>806</v>
      </c>
      <c r="T48" s="41" t="s">
        <v>807</v>
      </c>
      <c r="V48" s="41" t="s">
        <v>808</v>
      </c>
      <c r="W48" s="41" t="s">
        <v>809</v>
      </c>
      <c r="X48" s="50" t="s">
        <v>239</v>
      </c>
      <c r="Y48" s="50" t="s">
        <v>160</v>
      </c>
    </row>
    <row r="49" spans="2:25">
      <c r="B49" s="41" cm="1">
        <f t="array" ref="B49" xml:space="preserve"> INDEX(韻母表[韻序], MATCH(TRUE, EXACT($C49, 韻母表[十五音]), 0))</f>
        <v>50</v>
      </c>
      <c r="C49" s="50" t="str">
        <f xml:space="preserve"> _xlfn.XLOOKUP(E49, 韻母表[台羅拼音], 韻母表[十五音])</f>
        <v>牛（促）</v>
      </c>
      <c r="D49" s="50" t="str" cm="1">
        <f t="array" ref="D49" xml:space="preserve"> IF( INDEX(韻母表[國際音標2], MATCH(TRUE, EXACT($C49, 韻母表[十五音]), 0))&lt;&gt;"",  INDEX(韻母表[國際音標2], MATCH(TRUE, EXACT($C49, 韻母表[十五音]), 0)),  INDEX(韻母表[國際音標], MATCH(TRUE, EXACT($C49, 韻母表[十五音]), 0)))</f>
        <v>ɪũʔ</v>
      </c>
      <c r="E49" s="50" t="s">
        <v>810</v>
      </c>
      <c r="F49" s="41" t="s">
        <v>810</v>
      </c>
      <c r="I49" s="41" t="s">
        <v>811</v>
      </c>
      <c r="X49" s="50" t="s">
        <v>810</v>
      </c>
      <c r="Y49" s="50" t="s">
        <v>161</v>
      </c>
    </row>
    <row r="50" spans="2:25">
      <c r="B50" s="41" cm="1">
        <f t="array" ref="B50" xml:space="preserve"> INDEX(韻母表[韻序], MATCH(TRUE, EXACT($C50, 韻母表[十五音]), 0))</f>
        <v>42</v>
      </c>
      <c r="C50" s="50" t="str">
        <f xml:space="preserve"> _xlfn.XLOOKUP(E50, 韻母表[台羅拼音], 韻母表[十五音])</f>
        <v>姆（舒）</v>
      </c>
      <c r="D50" s="50" t="str" cm="1">
        <f t="array" ref="D50" xml:space="preserve"> IF( INDEX(韻母表[國際音標2], MATCH(TRUE, EXACT($C50, 韻母表[十五音]), 0))&lt;&gt;"",  INDEX(韻母表[國際音標2], MATCH(TRUE, EXACT($C50, 韻母表[十五音]), 0)),  INDEX(韻母表[國際音標], MATCH(TRUE, EXACT($C50, 韻母表[十五音]), 0)))</f>
        <v>m̩</v>
      </c>
      <c r="E50" s="50" t="s">
        <v>44</v>
      </c>
      <c r="F50" s="41" t="s">
        <v>44</v>
      </c>
      <c r="I50" s="41" t="s">
        <v>812</v>
      </c>
      <c r="X50" s="50" t="s">
        <v>44</v>
      </c>
      <c r="Y50" s="50" t="s">
        <v>144</v>
      </c>
    </row>
    <row r="51" spans="2:25">
      <c r="B51" s="41" cm="1">
        <f t="array" ref="B51" xml:space="preserve"> INDEX(韻母表[韻序], MATCH(TRUE, EXACT($C51, 韻母表[十五音]), 0))</f>
        <v>42</v>
      </c>
      <c r="C51" s="50" t="str">
        <f xml:space="preserve"> _xlfn.XLOOKUP(E51, 韻母表[台羅拼音], 韻母表[十五音])</f>
        <v>姆（促）</v>
      </c>
      <c r="D51" s="50" t="str" cm="1">
        <f t="array" ref="D51" xml:space="preserve"> IF( INDEX(韻母表[國際音標2], MATCH(TRUE, EXACT($C51, 韻母表[十五音]), 0))&lt;&gt;"",  INDEX(韻母表[國際音標2], MATCH(TRUE, EXACT($C51, 韻母表[十五音]), 0)),  INDEX(韻母表[國際音標], MATCH(TRUE, EXACT($C51, 韻母表[十五音]), 0)))</f>
        <v>m̩h</v>
      </c>
      <c r="E51" s="50" t="s">
        <v>813</v>
      </c>
      <c r="I51" s="41" t="s">
        <v>814</v>
      </c>
      <c r="X51" s="50" t="s">
        <v>813</v>
      </c>
      <c r="Y51" s="50" t="s">
        <v>145</v>
      </c>
    </row>
    <row r="52" spans="2:25">
      <c r="B52" s="41" cm="1">
        <f t="array" ref="B52" xml:space="preserve"> INDEX(韻母表[韻序], MATCH(TRUE, EXACT($C52, 韻母表[十五音]), 0))</f>
        <v>38</v>
      </c>
      <c r="C52" s="50" t="str">
        <f xml:space="preserve"> _xlfn.XLOOKUP(E52, 韻母表[台羅拼音], 韻母表[十五音])</f>
        <v>鋼（舒）</v>
      </c>
      <c r="D52" s="50" t="str" cm="1">
        <f t="array" ref="D52" xml:space="preserve"> IF( INDEX(韻母表[國際音標2], MATCH(TRUE, EXACT($C52, 韻母表[十五音]), 0))&lt;&gt;"",  INDEX(韻母表[國際音標2], MATCH(TRUE, EXACT($C52, 韻母表[十五音]), 0)),  INDEX(韻母表[國際音標], MATCH(TRUE, EXACT($C52, 韻母表[十五音]), 0)))</f>
        <v>ŋ̍</v>
      </c>
      <c r="E52" s="50" t="s">
        <v>52</v>
      </c>
      <c r="F52" s="41" t="s">
        <v>52</v>
      </c>
      <c r="I52" s="41" t="s">
        <v>815</v>
      </c>
      <c r="K52" s="41" t="s">
        <v>816</v>
      </c>
      <c r="L52" s="41" t="s">
        <v>817</v>
      </c>
      <c r="N52" s="41" t="s">
        <v>818</v>
      </c>
      <c r="O52" s="41" t="s">
        <v>819</v>
      </c>
      <c r="Q52" s="41" t="s">
        <v>820</v>
      </c>
      <c r="S52" s="41" t="s">
        <v>821</v>
      </c>
      <c r="T52" s="41" t="s">
        <v>822</v>
      </c>
      <c r="U52" s="41" t="s">
        <v>823</v>
      </c>
      <c r="V52" s="41" t="s">
        <v>824</v>
      </c>
      <c r="W52" s="41" t="s">
        <v>825</v>
      </c>
      <c r="X52" s="50" t="s">
        <v>52</v>
      </c>
      <c r="Y52" s="50" t="s">
        <v>136</v>
      </c>
    </row>
    <row r="53" spans="2:25">
      <c r="B53" s="41" cm="1">
        <f t="array" ref="B53" xml:space="preserve"> INDEX(韻母表[韻序], MATCH(TRUE, EXACT($C53, 韻母表[十五音]), 0))</f>
        <v>38</v>
      </c>
      <c r="C53" s="50" t="str">
        <f xml:space="preserve"> _xlfn.XLOOKUP(E53, 韻母表[台羅拼音], 韻母表[十五音])</f>
        <v>鋼（促）</v>
      </c>
      <c r="D53" s="50" t="str" cm="1">
        <f t="array" ref="D53" xml:space="preserve"> IF( INDEX(韻母表[國際音標2], MATCH(TRUE, EXACT($C53, 韻母表[十五音]), 0))&lt;&gt;"",  INDEX(韻母表[國際音標2], MATCH(TRUE, EXACT($C53, 韻母表[十五音]), 0)),  INDEX(韻母表[國際音標], MATCH(TRUE, EXACT($C53, 韻母表[十五音]), 0)))</f>
        <v>ŋ̍h</v>
      </c>
      <c r="E53" s="50" t="s">
        <v>826</v>
      </c>
      <c r="I53" s="41" t="s">
        <v>827</v>
      </c>
      <c r="R53" s="41" t="s">
        <v>828</v>
      </c>
      <c r="S53" s="41" t="s">
        <v>829</v>
      </c>
      <c r="W53" s="41" t="s">
        <v>830</v>
      </c>
      <c r="X53" s="50" t="s">
        <v>826</v>
      </c>
      <c r="Y53" s="50" t="e">
        <v>#N/A</v>
      </c>
    </row>
    <row r="54" spans="2:25">
      <c r="B54" s="41" cm="1">
        <f t="array" ref="B54" xml:space="preserve"> INDEX(韻母表[韻序], MATCH(TRUE, EXACT($C54, 韻母表[十五音]), 0))</f>
        <v>15</v>
      </c>
      <c r="C54" s="50" t="str">
        <f xml:space="preserve"> _xlfn.XLOOKUP(E54, 韻母表[台羅拼音], 韻母表[十五音])</f>
        <v>高（舒）</v>
      </c>
      <c r="D54" s="50" t="str" cm="1">
        <f t="array" ref="D54" xml:space="preserve"> IF( INDEX(韻母表[國際音標2], MATCH(TRUE, EXACT($C54, 韻母表[十五音]), 0))&lt;&gt;"",  INDEX(韻母表[國際音標2], MATCH(TRUE, EXACT($C54, 韻母表[十五音]), 0)),  INDEX(韻母表[國際音標], MATCH(TRUE, EXACT($C54, 韻母表[十五音]), 0)))</f>
        <v>ə</v>
      </c>
      <c r="E54" s="50" t="s">
        <v>187</v>
      </c>
      <c r="F54" s="41" t="s">
        <v>187</v>
      </c>
      <c r="G54" s="41" t="s">
        <v>831</v>
      </c>
      <c r="H54" s="41" t="s">
        <v>832</v>
      </c>
      <c r="I54" s="41" t="s">
        <v>833</v>
      </c>
      <c r="K54" s="41" t="s">
        <v>834</v>
      </c>
      <c r="L54" s="41" t="s">
        <v>835</v>
      </c>
      <c r="M54" s="41" t="s">
        <v>836</v>
      </c>
      <c r="Q54" s="41" t="s">
        <v>837</v>
      </c>
      <c r="R54" s="41" t="s">
        <v>838</v>
      </c>
      <c r="S54" s="41" t="s">
        <v>839</v>
      </c>
      <c r="T54" s="41" t="s">
        <v>840</v>
      </c>
      <c r="U54" s="41" t="s">
        <v>841</v>
      </c>
      <c r="V54" s="41" t="s">
        <v>842</v>
      </c>
      <c r="W54" s="41" t="s">
        <v>843</v>
      </c>
      <c r="X54" s="50" t="s">
        <v>187</v>
      </c>
      <c r="Y54" s="50" t="s">
        <v>90</v>
      </c>
    </row>
    <row r="55" spans="2:25">
      <c r="B55" s="41" cm="1">
        <f t="array" ref="B55" xml:space="preserve"> INDEX(韻母表[韻序], MATCH(TRUE, EXACT($C55, 韻母表[十五音]), 0))</f>
        <v>15</v>
      </c>
      <c r="C55" s="50" t="str">
        <f xml:space="preserve"> _xlfn.XLOOKUP(E55, 韻母表[台羅拼音], 韻母表[十五音])</f>
        <v>高（促）</v>
      </c>
      <c r="D55" s="50" t="str" cm="1">
        <f t="array" ref="D55" xml:space="preserve"> IF( INDEX(韻母表[國際音標2], MATCH(TRUE, EXACT($C55, 韻母表[十五音]), 0))&lt;&gt;"",  INDEX(韻母表[國際音標2], MATCH(TRUE, EXACT($C55, 韻母表[十五音]), 0)),  INDEX(韻母表[國際音標], MATCH(TRUE, EXACT($C55, 韻母表[十五音]), 0)))</f>
        <v>əʔ</v>
      </c>
      <c r="E55" s="50" t="s">
        <v>188</v>
      </c>
      <c r="F55" s="41" t="s">
        <v>188</v>
      </c>
      <c r="I55" s="41" t="s">
        <v>844</v>
      </c>
      <c r="K55" s="41" t="s">
        <v>845</v>
      </c>
      <c r="M55" s="41" t="s">
        <v>846</v>
      </c>
      <c r="Q55" s="41" t="s">
        <v>847</v>
      </c>
      <c r="R55" s="41" t="s">
        <v>848</v>
      </c>
      <c r="S55" s="41" t="s">
        <v>849</v>
      </c>
      <c r="T55" s="41" t="s">
        <v>850</v>
      </c>
      <c r="U55" s="41" t="s">
        <v>851</v>
      </c>
      <c r="V55" s="41" t="s">
        <v>852</v>
      </c>
      <c r="W55" s="41" t="s">
        <v>853</v>
      </c>
      <c r="X55" s="50" t="s">
        <v>188</v>
      </c>
      <c r="Y55" s="50" t="s">
        <v>91</v>
      </c>
    </row>
    <row r="56" spans="2:25">
      <c r="B56" s="41" cm="1">
        <f t="array" ref="B56" xml:space="preserve"> INDEX(韻母表[韻序], MATCH(TRUE, EXACT($C56, 韻母表[十五音]), 0))</f>
        <v>7</v>
      </c>
      <c r="C56" s="50" t="str">
        <f xml:space="preserve"> _xlfn.XLOOKUP(E56, 韻母表[台羅拼音], 韻母表[十五音])</f>
        <v>公（促）</v>
      </c>
      <c r="D56" s="50" t="str" cm="1">
        <f t="array" ref="D56" xml:space="preserve"> IF( INDEX(韻母表[國際音標2], MATCH(TRUE, EXACT($C56, 韻母表[十五音]), 0))&lt;&gt;"",  INDEX(韻母表[國際音標2], MATCH(TRUE, EXACT($C56, 韻母表[十五音]), 0)),  INDEX(韻母表[國際音標], MATCH(TRUE, EXACT($C56, 韻母表[十五音]), 0)))</f>
        <v>ɔk̚</v>
      </c>
      <c r="E56" s="50" t="s">
        <v>174</v>
      </c>
      <c r="F56" s="41" t="s">
        <v>174</v>
      </c>
      <c r="G56" s="41" t="s">
        <v>854</v>
      </c>
      <c r="H56" s="41" t="s">
        <v>855</v>
      </c>
      <c r="I56" s="41" t="s">
        <v>856</v>
      </c>
      <c r="K56" s="41" t="s">
        <v>857</v>
      </c>
      <c r="L56" s="41" t="s">
        <v>858</v>
      </c>
      <c r="M56" s="41" t="s">
        <v>859</v>
      </c>
      <c r="Q56" s="41" t="s">
        <v>860</v>
      </c>
      <c r="R56" s="41" t="s">
        <v>861</v>
      </c>
      <c r="S56" s="41" t="s">
        <v>862</v>
      </c>
      <c r="T56" s="41" t="s">
        <v>863</v>
      </c>
      <c r="U56" s="41" t="s">
        <v>864</v>
      </c>
      <c r="V56" s="41" t="s">
        <v>865</v>
      </c>
      <c r="W56" s="41" t="s">
        <v>866</v>
      </c>
      <c r="X56" s="50" t="s">
        <v>174</v>
      </c>
      <c r="Y56" s="50" t="s">
        <v>75</v>
      </c>
    </row>
    <row r="57" spans="2:25">
      <c r="B57" s="41" cm="1">
        <f t="array" ref="B57" xml:space="preserve"> INDEX(韻母表[韻序], MATCH(TRUE, EXACT($C57, 韻母表[十五音]), 0))</f>
        <v>47</v>
      </c>
      <c r="C57" s="50" t="str">
        <f xml:space="preserve"> _xlfn.XLOOKUP(E57, 韻母表[台羅拼音], 韻母表[十五音])</f>
        <v>箴（舒）</v>
      </c>
      <c r="D57" s="50" t="str" cm="1">
        <f t="array" ref="D57" xml:space="preserve"> IF( INDEX(韻母表[國際音標2], MATCH(TRUE, EXACT($C57, 韻母表[十五音]), 0))&lt;&gt;"",  INDEX(韻母表[國際音標2], MATCH(TRUE, EXACT($C57, 韻母表[十五音]), 0)),  INDEX(韻母表[國際音標], MATCH(TRUE, EXACT($C57, 韻母表[十五音]), 0)))</f>
        <v>ɔm</v>
      </c>
      <c r="E57" s="50" t="s">
        <v>236</v>
      </c>
      <c r="F57" s="41" t="s">
        <v>236</v>
      </c>
      <c r="S57" s="41" t="s">
        <v>867</v>
      </c>
      <c r="T57" s="41" t="s">
        <v>868</v>
      </c>
      <c r="X57" s="50" t="s">
        <v>236</v>
      </c>
      <c r="Y57" s="50" t="s">
        <v>154</v>
      </c>
    </row>
    <row r="58" spans="2:25">
      <c r="B58" s="41" cm="1">
        <f t="array" ref="B58" xml:space="preserve"> INDEX(韻母表[韻序], MATCH(TRUE, EXACT($C58, 韻母表[十五音]), 0))</f>
        <v>7</v>
      </c>
      <c r="C58" s="50" t="str">
        <f xml:space="preserve"> _xlfn.XLOOKUP(E58, 韻母表[台羅拼音], 韻母表[十五音])</f>
        <v>公（舒）</v>
      </c>
      <c r="D58" s="50" t="str" cm="1">
        <f t="array" ref="D58" xml:space="preserve"> IF( INDEX(韻母表[國際音標2], MATCH(TRUE, EXACT($C58, 韻母表[十五音]), 0))&lt;&gt;"",  INDEX(韻母表[國際音標2], MATCH(TRUE, EXACT($C58, 韻母表[十五音]), 0)),  INDEX(韻母表[國際音標], MATCH(TRUE, EXACT($C58, 韻母表[十五音]), 0)))</f>
        <v>ɔŋ</v>
      </c>
      <c r="E58" s="50" t="s">
        <v>173</v>
      </c>
      <c r="F58" s="41" t="s">
        <v>173</v>
      </c>
      <c r="G58" s="41" t="s">
        <v>869</v>
      </c>
      <c r="H58" s="41" t="s">
        <v>870</v>
      </c>
      <c r="I58" s="41" t="s">
        <v>871</v>
      </c>
      <c r="K58" s="41" t="s">
        <v>872</v>
      </c>
      <c r="L58" s="41" t="s">
        <v>873</v>
      </c>
      <c r="M58" s="41" t="s">
        <v>874</v>
      </c>
      <c r="Q58" s="41" t="s">
        <v>875</v>
      </c>
      <c r="R58" s="41" t="s">
        <v>876</v>
      </c>
      <c r="S58" s="41" t="s">
        <v>877</v>
      </c>
      <c r="T58" s="41" t="s">
        <v>878</v>
      </c>
      <c r="U58" s="41" t="s">
        <v>879</v>
      </c>
      <c r="V58" s="41" t="s">
        <v>880</v>
      </c>
      <c r="W58" s="41" t="s">
        <v>881</v>
      </c>
      <c r="X58" s="50" t="s">
        <v>173</v>
      </c>
      <c r="Y58" s="50" t="s">
        <v>74</v>
      </c>
    </row>
    <row r="59" spans="2:25">
      <c r="B59" s="41" cm="1">
        <f t="array" ref="B59" xml:space="preserve"> INDEX(韻母表[韻序], MATCH(TRUE, EXACT($C59, 韻母表[十五音]), 0))</f>
        <v>41</v>
      </c>
      <c r="C59" s="50" t="str">
        <f xml:space="preserve"> _xlfn.XLOOKUP(E59, 韻母表[台羅拼音], 韻母表[十五音])</f>
        <v>姑（舒）</v>
      </c>
      <c r="D59" s="50" t="str" cm="1">
        <f t="array" ref="D59" xml:space="preserve"> IF( INDEX(韻母表[國際音標2], MATCH(TRUE, EXACT($C59, 韻母表[十五音]), 0))&lt;&gt;"",  INDEX(韻母表[國際音標2], MATCH(TRUE, EXACT($C59, 韻母表[十五音]), 0)),  INDEX(韻母表[國際音標], MATCH(TRUE, EXACT($C59, 韻母表[十五音]), 0)))</f>
        <v>õu</v>
      </c>
      <c r="E59" s="50" t="s">
        <v>229</v>
      </c>
      <c r="F59" s="41" t="s">
        <v>229</v>
      </c>
      <c r="I59" s="41" t="s">
        <v>882</v>
      </c>
      <c r="K59" s="41" t="s">
        <v>883</v>
      </c>
      <c r="X59" s="50" t="s">
        <v>229</v>
      </c>
      <c r="Y59" s="50" t="s">
        <v>142</v>
      </c>
    </row>
    <row r="60" spans="2:25">
      <c r="B60" s="41" t="e" cm="1">
        <f t="array" ref="B60" xml:space="preserve"> INDEX(韻母表[韻序], MATCH(TRUE, EXACT($C60, 韻母表[十五音]), 0))</f>
        <v>#N/A</v>
      </c>
      <c r="C60" s="50">
        <f xml:space="preserve"> _xlfn.XLOOKUP(E60, 韻母表[台羅拼音], 韻母表[十五音])</f>
        <v>0</v>
      </c>
      <c r="D60" s="50" t="e" cm="1">
        <f t="array" ref="D60" xml:space="preserve"> IF( INDEX(韻母表[國際音標2], MATCH(TRUE, EXACT($C60, 韻母表[十五音]), 0))&lt;&gt;"",  INDEX(韻母表[國際音標2], MATCH(TRUE, EXACT($C60, 韻母表[十五音]), 0)),  INDEX(韻母表[國際音標], MATCH(TRUE, EXACT($C60, 韻母表[十五音]), 0)))</f>
        <v>#N/A</v>
      </c>
      <c r="E60" s="50" t="s">
        <v>238</v>
      </c>
      <c r="F60" s="41" t="s">
        <v>238</v>
      </c>
      <c r="I60" s="41" t="s">
        <v>884</v>
      </c>
      <c r="X60" s="50" t="s">
        <v>238</v>
      </c>
      <c r="Y60" s="50" t="s">
        <v>159</v>
      </c>
    </row>
    <row r="61" spans="2:25">
      <c r="B61" s="41" cm="1">
        <f t="array" ref="B61" xml:space="preserve"> INDEX(韻母表[韻序], MATCH(TRUE, EXACT($C61, 韻母表[十五音]), 0))</f>
        <v>11</v>
      </c>
      <c r="C61" s="50" t="str">
        <f xml:space="preserve"> _xlfn.XLOOKUP(E61, 韻母表[台羅拼音], 韻母表[十五音])</f>
        <v>沽（舒）</v>
      </c>
      <c r="D61" s="50" t="str" cm="1">
        <f t="array" ref="D61" xml:space="preserve"> IF( INDEX(韻母表[國際音標2], MATCH(TRUE, EXACT($C61, 韻母表[十五音]), 0))&lt;&gt;"",  INDEX(韻母表[國際音標2], MATCH(TRUE, EXACT($C61, 韻母表[十五音]), 0)),  INDEX(韻母表[國際音標], MATCH(TRUE, EXACT($C61, 韻母表[十五音]), 0)))</f>
        <v>ou</v>
      </c>
      <c r="E61" s="50" t="s">
        <v>181</v>
      </c>
      <c r="F61" s="41" t="s">
        <v>181</v>
      </c>
      <c r="G61" s="41" t="s">
        <v>885</v>
      </c>
      <c r="H61" s="41" t="s">
        <v>886</v>
      </c>
      <c r="I61" s="41" t="s">
        <v>887</v>
      </c>
      <c r="K61" s="41" t="s">
        <v>888</v>
      </c>
      <c r="L61" s="41" t="s">
        <v>889</v>
      </c>
      <c r="M61" s="41" t="s">
        <v>890</v>
      </c>
      <c r="N61" s="41" t="s">
        <v>891</v>
      </c>
      <c r="O61" s="41" t="s">
        <v>892</v>
      </c>
      <c r="P61" s="41" t="s">
        <v>893</v>
      </c>
      <c r="Q61" s="41" t="s">
        <v>894</v>
      </c>
      <c r="R61" s="41" t="s">
        <v>895</v>
      </c>
      <c r="S61" s="41" t="s">
        <v>896</v>
      </c>
      <c r="T61" s="41" t="s">
        <v>897</v>
      </c>
      <c r="U61" s="41" t="s">
        <v>898</v>
      </c>
      <c r="V61" s="41" t="s">
        <v>899</v>
      </c>
      <c r="W61" s="41" t="s">
        <v>900</v>
      </c>
      <c r="X61" s="50" t="s">
        <v>181</v>
      </c>
      <c r="Y61" s="50" t="s">
        <v>82</v>
      </c>
    </row>
    <row r="62" spans="2:25">
      <c r="B62" s="41" cm="1">
        <f t="array" ref="B62" xml:space="preserve"> INDEX(韻母表[韻序], MATCH(TRUE, EXACT($C62, 韻母表[十五音]), 0))</f>
        <v>11</v>
      </c>
      <c r="C62" s="50" t="str">
        <f xml:space="preserve"> _xlfn.XLOOKUP(E62, 韻母表[台羅拼音], 韻母表[十五音])</f>
        <v>沽（促）</v>
      </c>
      <c r="D62" s="50" t="str" cm="1">
        <f t="array" ref="D62" xml:space="preserve"> IF( INDEX(韻母表[國際音標2], MATCH(TRUE, EXACT($C62, 韻母表[十五音]), 0))&lt;&gt;"",  INDEX(韻母表[國際音標2], MATCH(TRUE, EXACT($C62, 韻母表[十五音]), 0)),  INDEX(韻母表[國際音標], MATCH(TRUE, EXACT($C62, 韻母表[十五音]), 0)))</f>
        <v>ɔh</v>
      </c>
      <c r="E62" s="50" t="s">
        <v>253</v>
      </c>
      <c r="N62" s="41" t="s">
        <v>901</v>
      </c>
      <c r="X62" s="50" t="s">
        <v>253</v>
      </c>
      <c r="Y62" s="50" t="s">
        <v>83</v>
      </c>
    </row>
    <row r="63" spans="2:25">
      <c r="B63" s="41" cm="1">
        <f t="array" ref="B63" xml:space="preserve"> INDEX(韻母表[韻序], MATCH(TRUE, EXACT($C63, 韻母表[十五音]), 0))</f>
        <v>27</v>
      </c>
      <c r="C63" s="50" t="str">
        <f xml:space="preserve"> _xlfn.XLOOKUP(E63, 韻母表[台羅拼音], 韻母表[十五音])</f>
        <v>艍（舒）</v>
      </c>
      <c r="D63" s="50" t="str" cm="1">
        <f t="array" ref="D63" xml:space="preserve"> IF( INDEX(韻母表[國際音標2], MATCH(TRUE, EXACT($C63, 韻母表[十五音]), 0))&lt;&gt;"",  INDEX(韻母表[國際音標2], MATCH(TRUE, EXACT($C63, 韻母表[十五音]), 0)),  INDEX(韻母表[國際音標], MATCH(TRUE, EXACT($C63, 韻母表[十五音]), 0)))</f>
        <v>u</v>
      </c>
      <c r="E63" s="50" t="s">
        <v>210</v>
      </c>
      <c r="F63" s="41" t="s">
        <v>210</v>
      </c>
      <c r="G63" s="41" t="s">
        <v>902</v>
      </c>
      <c r="H63" s="41" t="s">
        <v>903</v>
      </c>
      <c r="I63" s="41" t="s">
        <v>904</v>
      </c>
      <c r="J63" s="41" t="s">
        <v>905</v>
      </c>
      <c r="K63" s="41" t="s">
        <v>906</v>
      </c>
      <c r="L63" s="41" t="s">
        <v>907</v>
      </c>
      <c r="M63" s="41" t="s">
        <v>908</v>
      </c>
      <c r="Q63" s="41" t="s">
        <v>909</v>
      </c>
      <c r="R63" s="41" t="s">
        <v>910</v>
      </c>
      <c r="S63" s="41" t="s">
        <v>911</v>
      </c>
      <c r="T63" s="41" t="s">
        <v>912</v>
      </c>
      <c r="U63" s="41" t="s">
        <v>913</v>
      </c>
      <c r="V63" s="41" t="s">
        <v>914</v>
      </c>
      <c r="W63" s="41" t="s">
        <v>915</v>
      </c>
      <c r="X63" s="50" t="s">
        <v>210</v>
      </c>
      <c r="Y63" s="50" t="s">
        <v>114</v>
      </c>
    </row>
    <row r="64" spans="2:25">
      <c r="B64" s="41" cm="1">
        <f t="array" ref="B64" xml:space="preserve"> INDEX(韻母表[韻序], MATCH(TRUE, EXACT($C64, 韻母表[十五音]), 0))</f>
        <v>20</v>
      </c>
      <c r="C64" s="50" t="str">
        <f xml:space="preserve"> _xlfn.XLOOKUP(E64, 韻母表[台羅拼音], 韻母表[十五音])</f>
        <v>瓜（舒）</v>
      </c>
      <c r="D64" s="50" t="str" cm="1">
        <f t="array" ref="D64" xml:space="preserve"> IF( INDEX(韻母表[國際音標2], MATCH(TRUE, EXACT($C64, 韻母表[十五音]), 0))&lt;&gt;"",  INDEX(韻母表[國際音標2], MATCH(TRUE, EXACT($C64, 韻母表[十五音]), 0)),  INDEX(韻母表[國際音標], MATCH(TRUE, EXACT($C64, 韻母表[十五音]), 0)))</f>
        <v>ua</v>
      </c>
      <c r="E64" s="50" t="s">
        <v>196</v>
      </c>
      <c r="F64" s="41" t="s">
        <v>196</v>
      </c>
      <c r="G64" s="41" t="s">
        <v>916</v>
      </c>
      <c r="H64" s="41" t="s">
        <v>917</v>
      </c>
      <c r="I64" s="41" t="s">
        <v>918</v>
      </c>
      <c r="K64" s="41" t="s">
        <v>919</v>
      </c>
      <c r="L64" s="41" t="s">
        <v>920</v>
      </c>
      <c r="M64" s="41" t="s">
        <v>921</v>
      </c>
      <c r="N64" s="41" t="s">
        <v>922</v>
      </c>
      <c r="O64" s="41" t="s">
        <v>923</v>
      </c>
      <c r="Q64" s="41" t="s">
        <v>924</v>
      </c>
      <c r="R64" s="41" t="s">
        <v>925</v>
      </c>
      <c r="S64" s="41" t="s">
        <v>926</v>
      </c>
      <c r="T64" s="41" t="s">
        <v>927</v>
      </c>
      <c r="U64" s="41" t="s">
        <v>928</v>
      </c>
      <c r="V64" s="41" t="s">
        <v>929</v>
      </c>
      <c r="W64" s="41" t="s">
        <v>930</v>
      </c>
      <c r="X64" s="50" t="s">
        <v>196</v>
      </c>
      <c r="Y64" s="50" t="s">
        <v>100</v>
      </c>
    </row>
    <row r="65" spans="2:25">
      <c r="B65" s="41" cm="1">
        <f t="array" ref="B65" xml:space="preserve"> INDEX(韻母表[韻序], MATCH(TRUE, EXACT($C65, 韻母表[十五音]), 0))</f>
        <v>20</v>
      </c>
      <c r="C65" s="50" t="str">
        <f xml:space="preserve"> _xlfn.XLOOKUP(E65, 韻母表[台羅拼音], 韻母表[十五音])</f>
        <v>瓜（促）</v>
      </c>
      <c r="D65" s="50" t="str" cm="1">
        <f t="array" ref="D65" xml:space="preserve"> IF( INDEX(韻母表[國際音標2], MATCH(TRUE, EXACT($C65, 韻母表[十五音]), 0))&lt;&gt;"",  INDEX(韻母表[國際音標2], MATCH(TRUE, EXACT($C65, 韻母表[十五音]), 0)),  INDEX(韻母表[國際音標], MATCH(TRUE, EXACT($C65, 韻母表[十五音]), 0)))</f>
        <v>uaʔ</v>
      </c>
      <c r="E65" s="50" t="s">
        <v>197</v>
      </c>
      <c r="F65" s="41" t="s">
        <v>197</v>
      </c>
      <c r="G65" s="41" t="s">
        <v>931</v>
      </c>
      <c r="I65" s="41" t="s">
        <v>932</v>
      </c>
      <c r="J65" s="41" t="s">
        <v>933</v>
      </c>
      <c r="K65" s="41" t="s">
        <v>934</v>
      </c>
      <c r="L65" s="41" t="s">
        <v>935</v>
      </c>
      <c r="M65" s="41" t="s">
        <v>936</v>
      </c>
      <c r="Q65" s="41" t="s">
        <v>937</v>
      </c>
      <c r="R65" s="41" t="s">
        <v>938</v>
      </c>
      <c r="S65" s="41" t="s">
        <v>939</v>
      </c>
      <c r="U65" s="41" t="s">
        <v>940</v>
      </c>
      <c r="V65" s="41" t="s">
        <v>941</v>
      </c>
      <c r="W65" s="41" t="s">
        <v>942</v>
      </c>
      <c r="X65" s="50" t="s">
        <v>197</v>
      </c>
      <c r="Y65" s="50" t="s">
        <v>101</v>
      </c>
    </row>
    <row r="66" spans="2:25">
      <c r="B66" s="41" cm="1">
        <f t="array" ref="B66" xml:space="preserve"> INDEX(韻母表[韻序], MATCH(TRUE, EXACT($C66, 韻母表[十五音]), 0))</f>
        <v>8</v>
      </c>
      <c r="C66" s="50" t="str">
        <f xml:space="preserve"> _xlfn.XLOOKUP(E66, 韻母表[台羅拼音], 韻母表[十五音])</f>
        <v>乖（舒）</v>
      </c>
      <c r="D66" s="50" t="str" cm="1">
        <f t="array" ref="D66" xml:space="preserve"> IF( INDEX(韻母表[國際音標2], MATCH(TRUE, EXACT($C66, 韻母表[十五音]), 0))&lt;&gt;"",  INDEX(韻母表[國際音標2], MATCH(TRUE, EXACT($C66, 韻母表[十五音]), 0)),  INDEX(韻母表[國際音標], MATCH(TRUE, EXACT($C66, 韻母表[十五音]), 0)))</f>
        <v>uai</v>
      </c>
      <c r="E66" s="50" t="s">
        <v>175</v>
      </c>
      <c r="F66" s="41" t="s">
        <v>175</v>
      </c>
      <c r="I66" s="41" t="s">
        <v>943</v>
      </c>
      <c r="K66" s="41" t="s">
        <v>944</v>
      </c>
      <c r="L66" s="41" t="s">
        <v>945</v>
      </c>
      <c r="S66" s="41" t="s">
        <v>946</v>
      </c>
      <c r="X66" s="50" t="s">
        <v>175</v>
      </c>
      <c r="Y66" s="50" t="s">
        <v>76</v>
      </c>
    </row>
    <row r="67" spans="2:25">
      <c r="B67" s="41" cm="1">
        <f t="array" ref="B67" xml:space="preserve"> INDEX(韻母表[韻序], MATCH(TRUE, EXACT($C67, 韻母表[十五音]), 0))</f>
        <v>44</v>
      </c>
      <c r="C67" s="50" t="str">
        <f xml:space="preserve"> _xlfn.XLOOKUP(E67, 韻母表[台羅拼音], 韻母表[十五音])</f>
        <v>閂（舒）</v>
      </c>
      <c r="D67" s="50" t="str" cm="1">
        <f t="array" ref="D67" xml:space="preserve"> IF( INDEX(韻母表[國際音標2], MATCH(TRUE, EXACT($C67, 韻母表[十五音]), 0))&lt;&gt;"",  INDEX(韻母表[國際音標2], MATCH(TRUE, EXACT($C67, 韻母表[十五音]), 0)),  INDEX(韻母表[國際音標], MATCH(TRUE, EXACT($C67, 韻母表[十五音]), 0)))</f>
        <v>uãi</v>
      </c>
      <c r="E67" s="50" t="s">
        <v>232</v>
      </c>
      <c r="F67" s="41" t="s">
        <v>232</v>
      </c>
      <c r="I67" s="41" t="s">
        <v>947</v>
      </c>
      <c r="K67" s="41" t="s">
        <v>948</v>
      </c>
      <c r="S67" s="41" t="s">
        <v>949</v>
      </c>
      <c r="V67" s="41" t="s">
        <v>950</v>
      </c>
      <c r="X67" s="50" t="s">
        <v>232</v>
      </c>
      <c r="Y67" s="50" t="s">
        <v>148</v>
      </c>
    </row>
    <row r="68" spans="2:25">
      <c r="B68" s="41" cm="1">
        <f t="array" ref="B68" xml:space="preserve"> INDEX(韻母表[韻序], MATCH(TRUE, EXACT($C68, 韻母表[十五音]), 0))</f>
        <v>10</v>
      </c>
      <c r="C68" s="50" t="str">
        <f xml:space="preserve"> _xlfn.XLOOKUP(E68, 韻母表[台羅拼音], 韻母表[十五音])</f>
        <v>觀（舒）</v>
      </c>
      <c r="D68" s="50" t="str" cm="1">
        <f t="array" ref="D68" xml:space="preserve"> IF( INDEX(韻母表[國際音標2], MATCH(TRUE, EXACT($C68, 韻母表[十五音]), 0))&lt;&gt;"",  INDEX(韻母表[國際音標2], MATCH(TRUE, EXACT($C68, 韻母表[十五音]), 0)),  INDEX(韻母表[國際音標], MATCH(TRUE, EXACT($C68, 韻母表[十五音]), 0)))</f>
        <v>uan</v>
      </c>
      <c r="E68" s="50" t="s">
        <v>179</v>
      </c>
      <c r="F68" s="41" t="s">
        <v>179</v>
      </c>
      <c r="G68" s="41" t="s">
        <v>951</v>
      </c>
      <c r="H68" s="41" t="s">
        <v>952</v>
      </c>
      <c r="I68" s="41" t="s">
        <v>953</v>
      </c>
      <c r="K68" s="41" t="s">
        <v>954</v>
      </c>
      <c r="L68" s="41" t="s">
        <v>955</v>
      </c>
      <c r="M68" s="41" t="s">
        <v>956</v>
      </c>
      <c r="Q68" s="41" t="s">
        <v>957</v>
      </c>
      <c r="R68" s="41" t="s">
        <v>958</v>
      </c>
      <c r="S68" s="41" t="s">
        <v>959</v>
      </c>
      <c r="T68" s="41" t="s">
        <v>960</v>
      </c>
      <c r="U68" s="41" t="s">
        <v>961</v>
      </c>
      <c r="V68" s="41" t="s">
        <v>962</v>
      </c>
      <c r="W68" s="41" t="s">
        <v>963</v>
      </c>
      <c r="X68" s="50" t="s">
        <v>179</v>
      </c>
      <c r="Y68" s="50" t="s">
        <v>80</v>
      </c>
    </row>
    <row r="69" spans="2:25">
      <c r="B69" s="41" cm="1">
        <f t="array" ref="B69" xml:space="preserve"> INDEX(韻母表[韻序], MATCH(TRUE, EXACT($C69, 韻母表[十五音]), 0))</f>
        <v>43</v>
      </c>
      <c r="C69" s="50" t="str">
        <f xml:space="preserve"> _xlfn.XLOOKUP(E69, 韻母表[台羅拼音], 韻母表[十五音])</f>
        <v>光（舒）</v>
      </c>
      <c r="D69" s="50" t="str" cm="1">
        <f t="array" ref="D69" xml:space="preserve"> IF( INDEX(韻母表[國際音標2], MATCH(TRUE, EXACT($C69, 韻母表[十五音]), 0))&lt;&gt;"",  INDEX(韻母表[國際音標2], MATCH(TRUE, EXACT($C69, 韻母表[十五音]), 0)),  INDEX(韻母表[國際音標], MATCH(TRUE, EXACT($C69, 韻母表[十五音]), 0)))</f>
        <v>uaŋ</v>
      </c>
      <c r="E69" s="50" t="s">
        <v>230</v>
      </c>
      <c r="F69" s="41" t="s">
        <v>230</v>
      </c>
      <c r="W69" s="41" t="s">
        <v>964</v>
      </c>
      <c r="X69" s="50" t="s">
        <v>230</v>
      </c>
      <c r="Y69" s="50" t="s">
        <v>146</v>
      </c>
    </row>
    <row r="70" spans="2:25">
      <c r="B70" s="41" cm="1">
        <f t="array" ref="B70" xml:space="preserve"> INDEX(韻母表[韻序], MATCH(TRUE, EXACT($C70, 韻母表[十五音]), 0))</f>
        <v>37</v>
      </c>
      <c r="C70" s="50" t="str">
        <f xml:space="preserve"> _xlfn.XLOOKUP(E70, 韻母表[台羅拼音], 韻母表[十五音])</f>
        <v>官（舒）</v>
      </c>
      <c r="D70" s="50" t="str" cm="1">
        <f t="array" ref="D70" xml:space="preserve"> IF( INDEX(韻母表[國際音標2], MATCH(TRUE, EXACT($C70, 韻母表[十五音]), 0))&lt;&gt;"",  INDEX(韻母表[國際音標2], MATCH(TRUE, EXACT($C70, 韻母表[十五音]), 0)),  INDEX(韻母表[國際音標], MATCH(TRUE, EXACT($C70, 韻母表[十五音]), 0)))</f>
        <v>uã</v>
      </c>
      <c r="E70" s="50" t="s">
        <v>226</v>
      </c>
      <c r="F70" s="41" t="s">
        <v>226</v>
      </c>
      <c r="I70" s="41" t="s">
        <v>965</v>
      </c>
      <c r="K70" s="41" t="s">
        <v>966</v>
      </c>
      <c r="L70" s="41" t="s">
        <v>967</v>
      </c>
      <c r="Q70" s="41" t="s">
        <v>968</v>
      </c>
      <c r="R70" s="41" t="s">
        <v>969</v>
      </c>
      <c r="S70" s="41" t="s">
        <v>970</v>
      </c>
      <c r="T70" s="41" t="s">
        <v>971</v>
      </c>
      <c r="U70" s="41" t="s">
        <v>972</v>
      </c>
      <c r="W70" s="41" t="s">
        <v>973</v>
      </c>
      <c r="X70" s="50" t="s">
        <v>226</v>
      </c>
      <c r="Y70" s="50" t="s">
        <v>134</v>
      </c>
    </row>
    <row r="71" spans="2:25">
      <c r="B71" s="41" cm="1">
        <f t="array" ref="B71" xml:space="preserve"> INDEX(韻母表[韻序], MATCH(TRUE, EXACT($C71, 韻母表[十五音]), 0))</f>
        <v>10</v>
      </c>
      <c r="C71" s="50" t="str">
        <f xml:space="preserve"> _xlfn.XLOOKUP(E71, 韻母表[台羅拼音], 韻母表[十五音])</f>
        <v>觀（促）</v>
      </c>
      <c r="D71" s="50" t="str" cm="1">
        <f t="array" ref="D71" xml:space="preserve"> IF( INDEX(韻母表[國際音標2], MATCH(TRUE, EXACT($C71, 韻母表[十五音]), 0))&lt;&gt;"",  INDEX(韻母表[國際音標2], MATCH(TRUE, EXACT($C71, 韻母表[十五音]), 0)),  INDEX(韻母表[國際音標], MATCH(TRUE, EXACT($C71, 韻母表[十五音]), 0)))</f>
        <v>uat̚</v>
      </c>
      <c r="E71" s="50" t="s">
        <v>180</v>
      </c>
      <c r="F71" s="41" t="s">
        <v>180</v>
      </c>
      <c r="G71" s="41" t="s">
        <v>974</v>
      </c>
      <c r="H71" s="41" t="s">
        <v>975</v>
      </c>
      <c r="I71" s="41" t="s">
        <v>976</v>
      </c>
      <c r="K71" s="41" t="s">
        <v>977</v>
      </c>
      <c r="L71" s="41" t="s">
        <v>978</v>
      </c>
      <c r="M71" s="41" t="s">
        <v>979</v>
      </c>
      <c r="Q71" s="41" t="s">
        <v>980</v>
      </c>
      <c r="R71" s="41" t="s">
        <v>981</v>
      </c>
      <c r="S71" s="41" t="s">
        <v>982</v>
      </c>
      <c r="T71" s="41" t="s">
        <v>983</v>
      </c>
      <c r="U71" s="41" t="s">
        <v>984</v>
      </c>
      <c r="V71" s="41" t="s">
        <v>985</v>
      </c>
      <c r="X71" s="50" t="s">
        <v>180</v>
      </c>
      <c r="Y71" s="50" t="s">
        <v>81</v>
      </c>
    </row>
    <row r="72" spans="2:25">
      <c r="B72" s="41" cm="1">
        <f t="array" ref="B72" xml:space="preserve"> INDEX(韻母表[韻序], MATCH(TRUE, EXACT($C72, 韻母表[十五音]), 0))</f>
        <v>25</v>
      </c>
      <c r="C72" s="50" t="str">
        <f xml:space="preserve"> _xlfn.XLOOKUP(E72, 韻母表[台羅拼音], 韻母表[十五音])</f>
        <v>檜（舒）</v>
      </c>
      <c r="D72" s="50" t="str" cm="1">
        <f t="array" ref="D72" xml:space="preserve"> IF( INDEX(韻母表[國際音標2], MATCH(TRUE, EXACT($C72, 韻母表[十五音]), 0))&lt;&gt;"",  INDEX(韻母表[國際音標2], MATCH(TRUE, EXACT($C72, 韻母表[十五音]), 0)),  INDEX(韻母表[國際音標], MATCH(TRUE, EXACT($C72, 韻母表[十五音]), 0)))</f>
        <v>uei</v>
      </c>
      <c r="E72" s="50" t="s">
        <v>206</v>
      </c>
      <c r="F72" s="41" t="s">
        <v>206</v>
      </c>
      <c r="G72" s="41" t="s">
        <v>986</v>
      </c>
      <c r="H72" s="41" t="s">
        <v>987</v>
      </c>
      <c r="I72" s="41" t="s">
        <v>988</v>
      </c>
      <c r="J72" s="41" t="s">
        <v>989</v>
      </c>
      <c r="K72" s="41" t="s">
        <v>990</v>
      </c>
      <c r="L72" s="41" t="s">
        <v>991</v>
      </c>
      <c r="M72" s="41" t="s">
        <v>992</v>
      </c>
      <c r="Q72" s="41" t="s">
        <v>993</v>
      </c>
      <c r="R72" s="41" t="s">
        <v>994</v>
      </c>
      <c r="S72" s="41" t="s">
        <v>995</v>
      </c>
      <c r="T72" s="41" t="s">
        <v>996</v>
      </c>
      <c r="V72" s="41" t="s">
        <v>997</v>
      </c>
      <c r="W72" s="41" t="s">
        <v>998</v>
      </c>
      <c r="X72" s="50" t="s">
        <v>206</v>
      </c>
      <c r="Y72" s="50" t="s">
        <v>110</v>
      </c>
    </row>
    <row r="73" spans="2:25">
      <c r="B73" s="41" cm="1">
        <f t="array" ref="B73" xml:space="preserve"> INDEX(韻母表[韻序], MATCH(TRUE, EXACT($C73, 韻母表[十五音]), 0))</f>
        <v>25</v>
      </c>
      <c r="C73" s="50" t="str">
        <f xml:space="preserve"> _xlfn.XLOOKUP(E73, 韻母表[台羅拼音], 韻母表[十五音])</f>
        <v>檜（促）</v>
      </c>
      <c r="D73" s="50" t="str" cm="1">
        <f t="array" ref="D73" xml:space="preserve"> IF( INDEX(韻母表[國際音標2], MATCH(TRUE, EXACT($C73, 韻母表[十五音]), 0))&lt;&gt;"",  INDEX(韻母表[國際音標2], MATCH(TRUE, EXACT($C73, 韻母表[十五音]), 0)),  INDEX(韻母表[國際音標], MATCH(TRUE, EXACT($C73, 韻母表[十五音]), 0)))</f>
        <v>ueiʔ</v>
      </c>
      <c r="E73" s="50" t="s">
        <v>207</v>
      </c>
      <c r="F73" s="41" t="s">
        <v>207</v>
      </c>
      <c r="G73" s="41" t="s">
        <v>999</v>
      </c>
      <c r="H73" s="41" t="s">
        <v>1000</v>
      </c>
      <c r="I73" s="41" t="s">
        <v>1001</v>
      </c>
      <c r="K73" s="41" t="s">
        <v>1002</v>
      </c>
      <c r="L73" s="41" t="s">
        <v>1003</v>
      </c>
      <c r="Q73" s="41" t="s">
        <v>1004</v>
      </c>
      <c r="R73" s="41" t="s">
        <v>1005</v>
      </c>
      <c r="S73" s="41" t="s">
        <v>1006</v>
      </c>
      <c r="X73" s="50" t="s">
        <v>207</v>
      </c>
      <c r="Y73" s="50" t="s">
        <v>111</v>
      </c>
    </row>
    <row r="74" spans="2:25">
      <c r="B74" s="41" cm="1">
        <f t="array" ref="B74" xml:space="preserve"> INDEX(韻母表[韻序], MATCH(TRUE, EXACT($C74, 韻母表[十五音]), 0))</f>
        <v>27</v>
      </c>
      <c r="C74" s="50" t="str">
        <f xml:space="preserve"> _xlfn.XLOOKUP(E74, 韻母表[台羅拼音], 韻母表[十五音])</f>
        <v>艍（促）</v>
      </c>
      <c r="D74" s="50" t="str" cm="1">
        <f t="array" ref="D74" xml:space="preserve"> IF( INDEX(韻母表[國際音標2], MATCH(TRUE, EXACT($C74, 韻母表[十五音]), 0))&lt;&gt;"",  INDEX(韻母表[國際音標2], MATCH(TRUE, EXACT($C74, 韻母表[十五音]), 0)),  INDEX(韻母表[國際音標], MATCH(TRUE, EXACT($C74, 韻母表[十五音]), 0)))</f>
        <v>uʔ</v>
      </c>
      <c r="E74" s="50" t="s">
        <v>211</v>
      </c>
      <c r="F74" s="41" t="s">
        <v>211</v>
      </c>
      <c r="L74" s="41" t="s">
        <v>1007</v>
      </c>
      <c r="Q74" s="41" t="s">
        <v>1008</v>
      </c>
      <c r="R74" s="41" t="s">
        <v>1009</v>
      </c>
      <c r="T74" s="41" t="s">
        <v>1010</v>
      </c>
      <c r="U74" s="41" t="s">
        <v>1011</v>
      </c>
      <c r="V74" s="41" t="s">
        <v>1012</v>
      </c>
      <c r="W74" s="41" t="s">
        <v>1013</v>
      </c>
      <c r="X74" s="50" t="s">
        <v>211</v>
      </c>
      <c r="Y74" s="50" t="s">
        <v>115</v>
      </c>
    </row>
    <row r="75" spans="2:25">
      <c r="B75" s="41" cm="1">
        <f t="array" ref="B75" xml:space="preserve"> INDEX(韻母表[韻序], MATCH(TRUE, EXACT($C75, 韻母表[十五音]), 0))</f>
        <v>4</v>
      </c>
      <c r="C75" s="50" t="str">
        <f xml:space="preserve"> _xlfn.XLOOKUP(E75, 韻母表[台羅拼音], 韻母表[十五音])</f>
        <v>規（舒）</v>
      </c>
      <c r="D75" s="50" t="str" cm="1">
        <f t="array" ref="D75" xml:space="preserve"> IF( INDEX(韻母表[國際音標2], MATCH(TRUE, EXACT($C75, 韻母表[十五音]), 0))&lt;&gt;"",  INDEX(韻母表[國際音標2], MATCH(TRUE, EXACT($C75, 韻母表[十五音]), 0)),  INDEX(韻母表[國際音標], MATCH(TRUE, EXACT($C75, 韻母表[十五音]), 0)))</f>
        <v>ui</v>
      </c>
      <c r="E75" s="50" t="s">
        <v>168</v>
      </c>
      <c r="F75" s="41" t="s">
        <v>168</v>
      </c>
      <c r="G75" s="41" t="s">
        <v>1014</v>
      </c>
      <c r="H75" s="41" t="s">
        <v>1015</v>
      </c>
      <c r="I75" s="41" t="s">
        <v>1016</v>
      </c>
      <c r="K75" s="41" t="s">
        <v>1017</v>
      </c>
      <c r="L75" s="41" t="s">
        <v>1018</v>
      </c>
      <c r="M75" s="41" t="s">
        <v>1019</v>
      </c>
      <c r="N75" s="41" t="s">
        <v>1020</v>
      </c>
      <c r="Q75" s="41" t="s">
        <v>1021</v>
      </c>
      <c r="R75" s="41" t="s">
        <v>1022</v>
      </c>
      <c r="S75" s="41" t="s">
        <v>1023</v>
      </c>
      <c r="T75" s="41" t="s">
        <v>1024</v>
      </c>
      <c r="U75" s="41" t="s">
        <v>1025</v>
      </c>
      <c r="V75" s="41" t="s">
        <v>1026</v>
      </c>
      <c r="W75" s="41" t="s">
        <v>1027</v>
      </c>
      <c r="X75" s="50" t="s">
        <v>168</v>
      </c>
      <c r="Y75" s="50" t="s">
        <v>68</v>
      </c>
    </row>
    <row r="76" spans="2:25">
      <c r="B76" s="41" cm="1">
        <f t="array" ref="B76" xml:space="preserve"> INDEX(韻母表[韻序], MATCH(TRUE, EXACT($C76, 韻母表[十五音]), 0))</f>
        <v>1</v>
      </c>
      <c r="C76" s="50" t="str">
        <f xml:space="preserve"> _xlfn.XLOOKUP(E76, 韻母表[台羅拼音], 韻母表[十五音])</f>
        <v>君（舒）</v>
      </c>
      <c r="D76" s="50" t="str" cm="1">
        <f t="array" ref="D76" xml:space="preserve"> IF( INDEX(韻母表[國際音標2], MATCH(TRUE, EXACT($C76, 韻母表[十五音]), 0))&lt;&gt;"",  INDEX(韻母表[國際音標2], MATCH(TRUE, EXACT($C76, 韻母表[十五音]), 0)),  INDEX(韻母表[國際音標], MATCH(TRUE, EXACT($C76, 韻母表[十五音]), 0)))</f>
        <v>un</v>
      </c>
      <c r="E76" s="50" t="s">
        <v>162</v>
      </c>
      <c r="F76" s="41" t="s">
        <v>162</v>
      </c>
      <c r="G76" s="41" t="s">
        <v>1028</v>
      </c>
      <c r="H76" s="41" t="s">
        <v>1029</v>
      </c>
      <c r="I76" s="41" t="s">
        <v>1030</v>
      </c>
      <c r="J76" s="41" t="s">
        <v>1031</v>
      </c>
      <c r="K76" s="41" t="s">
        <v>1032</v>
      </c>
      <c r="L76" s="41" t="s">
        <v>1033</v>
      </c>
      <c r="M76" s="41" t="s">
        <v>1034</v>
      </c>
      <c r="Q76" s="41" t="s">
        <v>1035</v>
      </c>
      <c r="R76" s="41" t="s">
        <v>1036</v>
      </c>
      <c r="S76" s="41" t="s">
        <v>1037</v>
      </c>
      <c r="T76" s="41" t="s">
        <v>1038</v>
      </c>
      <c r="U76" s="41" t="s">
        <v>1039</v>
      </c>
      <c r="V76" s="41" t="s">
        <v>1040</v>
      </c>
      <c r="W76" s="41" t="s">
        <v>1041</v>
      </c>
      <c r="X76" s="50" t="s">
        <v>162</v>
      </c>
      <c r="Y76" s="50" t="s">
        <v>62</v>
      </c>
    </row>
    <row r="77" spans="2:25">
      <c r="B77" s="41" cm="1">
        <f t="array" ref="B77" xml:space="preserve"> INDEX(韻母表[韻序], MATCH(TRUE, EXACT($C77, 韻母表[十五音]), 0))</f>
        <v>1</v>
      </c>
      <c r="C77" s="50" t="str">
        <f xml:space="preserve"> _xlfn.XLOOKUP(E77, 韻母表[台羅拼音], 韻母表[十五音])</f>
        <v>君（促）</v>
      </c>
      <c r="D77" s="50" t="str" cm="1">
        <f t="array" ref="D77" xml:space="preserve"> IF( INDEX(韻母表[國際音標2], MATCH(TRUE, EXACT($C77, 韻母表[十五音]), 0))&lt;&gt;"",  INDEX(韻母表[國際音標2], MATCH(TRUE, EXACT($C77, 韻母表[十五音]), 0)),  INDEX(韻母表[國際音標], MATCH(TRUE, EXACT($C77, 韻母表[十五音]), 0)))</f>
        <v>ut̚</v>
      </c>
      <c r="E77" s="50" t="s">
        <v>163</v>
      </c>
      <c r="F77" s="41" t="s">
        <v>163</v>
      </c>
      <c r="G77" s="41" t="s">
        <v>1042</v>
      </c>
      <c r="I77" s="41" t="s">
        <v>1043</v>
      </c>
      <c r="K77" s="41" t="s">
        <v>1044</v>
      </c>
      <c r="L77" s="41" t="s">
        <v>1045</v>
      </c>
      <c r="M77" s="41" t="s">
        <v>1046</v>
      </c>
      <c r="Q77" s="41" t="s">
        <v>1047</v>
      </c>
      <c r="R77" s="41" t="s">
        <v>1048</v>
      </c>
      <c r="S77" s="41" t="s">
        <v>1049</v>
      </c>
      <c r="T77" s="41" t="s">
        <v>1050</v>
      </c>
      <c r="U77" s="41" t="s">
        <v>1051</v>
      </c>
      <c r="V77" s="41" t="s">
        <v>1052</v>
      </c>
      <c r="W77" s="41" t="s">
        <v>1053</v>
      </c>
      <c r="X77" s="50" t="s">
        <v>163</v>
      </c>
      <c r="Y77" s="50" t="s">
        <v>63</v>
      </c>
    </row>
    <row r="78" spans="2:25">
      <c r="B78" s="41" cm="1">
        <f t="array" ref="B78" xml:space="preserve"> INDEX(韻母表[韻序], MATCH(TRUE, EXACT($C78, 韻母表[十五音]), 0))</f>
        <v>13</v>
      </c>
      <c r="C78" s="51"/>
      <c r="D78" s="50" t="str" cm="1">
        <f t="array" ref="D78" xml:space="preserve"> IF( INDEX(韻母表[國際音標2], MATCH(TRUE, EXACT($C78, 韻母表[十五音]), 0))&lt;&gt;"",  INDEX(韻母表[國際音標2], MATCH(TRUE, EXACT($C78, 韻母表[十五音]), 0)),  INDEX(韻母表[國際音標], MATCH(TRUE, EXACT($C78, 韻母表[十五音]), 0)))</f>
        <v/>
      </c>
      <c r="E78" s="51"/>
      <c r="F78" s="49" t="s">
        <v>327</v>
      </c>
      <c r="G78" s="49" t="s">
        <v>43</v>
      </c>
      <c r="H78" s="49" t="s">
        <v>51</v>
      </c>
      <c r="I78" s="49" t="s">
        <v>53</v>
      </c>
      <c r="J78" s="49" t="s">
        <v>60</v>
      </c>
      <c r="K78" s="49" t="s">
        <v>49</v>
      </c>
      <c r="L78" s="49" t="s">
        <v>50</v>
      </c>
      <c r="M78" s="49" t="s">
        <v>47</v>
      </c>
      <c r="N78" s="49" t="s">
        <v>44</v>
      </c>
      <c r="O78" s="49" t="s">
        <v>48</v>
      </c>
      <c r="P78" s="49" t="s">
        <v>52</v>
      </c>
      <c r="Q78" s="49" t="s">
        <v>41</v>
      </c>
      <c r="R78" s="49" t="s">
        <v>42</v>
      </c>
      <c r="S78" s="49" t="s">
        <v>58</v>
      </c>
      <c r="T78" s="49" t="s">
        <v>45</v>
      </c>
      <c r="U78" s="49" t="s">
        <v>46</v>
      </c>
      <c r="V78" s="49" t="s">
        <v>54</v>
      </c>
      <c r="W78" s="49" t="s">
        <v>56</v>
      </c>
      <c r="X78" s="51"/>
      <c r="Y78" s="51"/>
    </row>
    <row r="79" spans="2:25">
      <c r="B79" s="41" cm="1">
        <f t="array" ref="B79" xml:space="preserve"> INDEX(韻母表[韻序], MATCH(TRUE, EXACT($C79, 韻母表[十五音]), 0))</f>
        <v>13</v>
      </c>
      <c r="C79" s="51"/>
      <c r="D79" s="50" t="str" cm="1">
        <f t="array" ref="D79" xml:space="preserve"> IF( INDEX(韻母表[國際音標2], MATCH(TRUE, EXACT($C79, 韻母表[十五音]), 0))&lt;&gt;"",  INDEX(韻母表[國際音標2], MATCH(TRUE, EXACT($C79, 韻母表[十五音]), 0)),  INDEX(韻母表[國際音標], MATCH(TRUE, EXACT($C79, 韻母表[十五音]), 0)))</f>
        <v/>
      </c>
      <c r="E79" s="51"/>
      <c r="F79" s="49" t="s">
        <v>1055</v>
      </c>
      <c r="G79" s="49" t="s">
        <v>4</v>
      </c>
      <c r="H79" s="49" t="s">
        <v>10</v>
      </c>
      <c r="I79" s="49" t="s">
        <v>11</v>
      </c>
      <c r="J79" s="49" t="s">
        <v>15</v>
      </c>
      <c r="K79" s="49" t="s">
        <v>8</v>
      </c>
      <c r="L79" s="49" t="s">
        <v>9</v>
      </c>
      <c r="M79" s="49" t="s">
        <v>7</v>
      </c>
      <c r="N79" s="49" t="s">
        <v>4</v>
      </c>
      <c r="O79" s="49" t="s">
        <v>7</v>
      </c>
      <c r="P79" s="49" t="s">
        <v>10</v>
      </c>
      <c r="Q79" s="49" t="s">
        <v>2</v>
      </c>
      <c r="R79" s="49" t="s">
        <v>3</v>
      </c>
      <c r="S79" s="49" t="s">
        <v>14</v>
      </c>
      <c r="T79" s="49" t="s">
        <v>5</v>
      </c>
      <c r="U79" s="49" t="s">
        <v>6</v>
      </c>
      <c r="V79" s="49" t="s">
        <v>12</v>
      </c>
      <c r="W79" s="49" t="s">
        <v>13</v>
      </c>
      <c r="X79" s="51"/>
      <c r="Y79" s="51"/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6E3AE-91F3-4F94-AA97-F37806344197}">
  <dimension ref="A1:M23"/>
  <sheetViews>
    <sheetView topLeftCell="A15" workbookViewId="0"/>
  </sheetViews>
  <sheetFormatPr defaultRowHeight="16.5" outlineLevelCol="1"/>
  <cols>
    <col min="1" max="3" width="9.875" customWidth="1"/>
    <col min="4" max="5" width="13" customWidth="1"/>
    <col min="6" max="7" width="15" customWidth="1"/>
    <col min="8" max="10" width="15" hidden="1" customWidth="1" outlineLevel="1"/>
    <col min="11" max="11" width="15" customWidth="1" collapsed="1"/>
    <col min="12" max="13" width="15" customWidth="1"/>
    <col min="14" max="14" width="14.5" customWidth="1"/>
  </cols>
  <sheetData>
    <row r="1" spans="1:13" s="1" customFormat="1" ht="23.25">
      <c r="A1" s="46" t="s">
        <v>1054</v>
      </c>
      <c r="B1" s="46" t="s">
        <v>1064</v>
      </c>
      <c r="C1" s="46" t="s">
        <v>325</v>
      </c>
      <c r="D1" s="46" t="s">
        <v>0</v>
      </c>
      <c r="E1" s="47" t="s">
        <v>1065</v>
      </c>
      <c r="F1" s="47" t="s">
        <v>1057</v>
      </c>
      <c r="G1" s="47" t="s">
        <v>326</v>
      </c>
      <c r="H1" s="47" t="s">
        <v>1063</v>
      </c>
      <c r="I1" s="47" t="s">
        <v>1058</v>
      </c>
      <c r="J1" s="47" t="s">
        <v>1059</v>
      </c>
      <c r="K1" s="47" t="s">
        <v>1060</v>
      </c>
      <c r="L1" s="47" t="s">
        <v>1061</v>
      </c>
      <c r="M1" s="47" t="s">
        <v>1062</v>
      </c>
    </row>
    <row r="2" spans="1:13" ht="44.25">
      <c r="A2" s="109">
        <v>8</v>
      </c>
      <c r="B2" s="109">
        <v>1</v>
      </c>
      <c r="C2" s="110" t="s">
        <v>25</v>
      </c>
      <c r="D2" s="111" t="s">
        <v>7</v>
      </c>
      <c r="E2" s="111" t="s">
        <v>7</v>
      </c>
      <c r="F2" s="112" t="s">
        <v>47</v>
      </c>
      <c r="G2" s="112" t="s">
        <v>47</v>
      </c>
      <c r="H2" s="112" t="s">
        <v>47</v>
      </c>
      <c r="I2" s="112" t="s">
        <v>47</v>
      </c>
      <c r="J2" s="112" t="s">
        <v>47</v>
      </c>
      <c r="K2" s="112" t="s">
        <v>47</v>
      </c>
      <c r="L2" s="112" t="s">
        <v>1273</v>
      </c>
      <c r="M2" s="112" t="s">
        <v>1273</v>
      </c>
    </row>
    <row r="3" spans="1:13" ht="44.25">
      <c r="A3" s="72">
        <v>9</v>
      </c>
      <c r="B3" s="72">
        <v>1</v>
      </c>
      <c r="C3" s="6" t="s">
        <v>26</v>
      </c>
      <c r="D3" s="10" t="s">
        <v>7</v>
      </c>
      <c r="E3" s="10" t="s">
        <v>26</v>
      </c>
      <c r="F3" s="44" t="s">
        <v>48</v>
      </c>
      <c r="G3" s="44" t="s">
        <v>48</v>
      </c>
      <c r="H3" s="44" t="s">
        <v>48</v>
      </c>
      <c r="I3" s="44" t="s">
        <v>48</v>
      </c>
      <c r="J3" s="44" t="s">
        <v>1274</v>
      </c>
      <c r="K3" s="44" t="s">
        <v>48</v>
      </c>
      <c r="L3" s="44" t="s">
        <v>1275</v>
      </c>
      <c r="M3" s="44" t="s">
        <v>1275</v>
      </c>
    </row>
    <row r="4" spans="1:13" ht="44.25">
      <c r="A4" s="73">
        <v>2</v>
      </c>
      <c r="B4" s="73">
        <v>2</v>
      </c>
      <c r="C4" s="4" t="s">
        <v>19</v>
      </c>
      <c r="D4" s="8" t="s">
        <v>2</v>
      </c>
      <c r="E4" s="8" t="s">
        <v>2</v>
      </c>
      <c r="F4" s="42" t="s">
        <v>41</v>
      </c>
      <c r="G4" s="42" t="s">
        <v>41</v>
      </c>
      <c r="H4" s="42" t="s">
        <v>41</v>
      </c>
      <c r="I4" s="42" t="s">
        <v>41</v>
      </c>
      <c r="J4" s="42" t="s">
        <v>43</v>
      </c>
      <c r="K4" s="42" t="s">
        <v>43</v>
      </c>
      <c r="L4" s="42" t="s">
        <v>1276</v>
      </c>
      <c r="M4" s="42" t="s">
        <v>1276</v>
      </c>
    </row>
    <row r="5" spans="1:13" ht="44.25">
      <c r="A5" s="73">
        <v>10</v>
      </c>
      <c r="B5" s="73">
        <v>3</v>
      </c>
      <c r="C5" s="4" t="s">
        <v>27</v>
      </c>
      <c r="D5" s="8" t="s">
        <v>8</v>
      </c>
      <c r="E5" s="8" t="s">
        <v>8</v>
      </c>
      <c r="F5" s="42" t="s">
        <v>49</v>
      </c>
      <c r="G5" s="42" t="s">
        <v>49</v>
      </c>
      <c r="H5" s="42" t="s">
        <v>49</v>
      </c>
      <c r="I5" s="42" t="s">
        <v>49</v>
      </c>
      <c r="J5" s="42" t="s">
        <v>51</v>
      </c>
      <c r="K5" s="42" t="s">
        <v>51</v>
      </c>
      <c r="L5" s="42" t="s">
        <v>1277</v>
      </c>
      <c r="M5" s="42" t="s">
        <v>1277</v>
      </c>
    </row>
    <row r="6" spans="1:13" ht="44.25">
      <c r="A6" s="73">
        <v>11</v>
      </c>
      <c r="B6" s="73">
        <v>4</v>
      </c>
      <c r="C6" s="4" t="s">
        <v>28</v>
      </c>
      <c r="D6" s="8" t="s">
        <v>9</v>
      </c>
      <c r="E6" s="8" t="s">
        <v>9</v>
      </c>
      <c r="F6" s="42" t="s">
        <v>1278</v>
      </c>
      <c r="G6" s="42" t="s">
        <v>50</v>
      </c>
      <c r="H6" s="42" t="s">
        <v>50</v>
      </c>
      <c r="I6" s="42" t="s">
        <v>50</v>
      </c>
      <c r="J6" s="42" t="s">
        <v>49</v>
      </c>
      <c r="K6" s="42" t="s">
        <v>49</v>
      </c>
      <c r="L6" s="42" t="s">
        <v>1279</v>
      </c>
      <c r="M6" s="42" t="s">
        <v>1279</v>
      </c>
    </row>
    <row r="7" spans="1:13" ht="44.25">
      <c r="A7" s="73">
        <v>6</v>
      </c>
      <c r="B7" s="73">
        <v>5</v>
      </c>
      <c r="C7" s="4" t="s">
        <v>23</v>
      </c>
      <c r="D7" s="8" t="s">
        <v>5</v>
      </c>
      <c r="E7" s="8" t="s">
        <v>5</v>
      </c>
      <c r="F7" s="42" t="s">
        <v>45</v>
      </c>
      <c r="G7" s="42" t="s">
        <v>45</v>
      </c>
      <c r="H7" s="42" t="s">
        <v>45</v>
      </c>
      <c r="I7" s="42" t="s">
        <v>45</v>
      </c>
      <c r="J7" s="42" t="s">
        <v>1280</v>
      </c>
      <c r="K7" s="42" t="s">
        <v>1280</v>
      </c>
      <c r="L7" s="42" t="s">
        <v>1281</v>
      </c>
      <c r="M7" s="42" t="s">
        <v>1281</v>
      </c>
    </row>
    <row r="8" spans="1:13" ht="44.25">
      <c r="A8" s="73">
        <v>3</v>
      </c>
      <c r="B8" s="73">
        <v>6</v>
      </c>
      <c r="C8" s="4" t="s">
        <v>20</v>
      </c>
      <c r="D8" s="8" t="s">
        <v>3</v>
      </c>
      <c r="E8" s="8" t="s">
        <v>3</v>
      </c>
      <c r="F8" s="42" t="s">
        <v>1282</v>
      </c>
      <c r="G8" s="42" t="s">
        <v>42</v>
      </c>
      <c r="H8" s="42" t="s">
        <v>42</v>
      </c>
      <c r="I8" s="42" t="s">
        <v>42</v>
      </c>
      <c r="J8" s="42" t="s">
        <v>41</v>
      </c>
      <c r="K8" s="42" t="s">
        <v>41</v>
      </c>
      <c r="L8" s="42" t="s">
        <v>1283</v>
      </c>
      <c r="M8" s="42" t="s">
        <v>1283</v>
      </c>
    </row>
    <row r="9" spans="1:13" ht="44.25">
      <c r="A9" s="73">
        <v>7</v>
      </c>
      <c r="B9" s="73">
        <v>7</v>
      </c>
      <c r="C9" s="4" t="s">
        <v>24</v>
      </c>
      <c r="D9" s="8" t="s">
        <v>6</v>
      </c>
      <c r="E9" s="8" t="s">
        <v>6</v>
      </c>
      <c r="F9" s="42" t="s">
        <v>1284</v>
      </c>
      <c r="G9" s="42" t="s">
        <v>46</v>
      </c>
      <c r="H9" s="42" t="s">
        <v>46</v>
      </c>
      <c r="I9" s="42" t="s">
        <v>46</v>
      </c>
      <c r="J9" s="42" t="s">
        <v>45</v>
      </c>
      <c r="K9" s="42" t="s">
        <v>45</v>
      </c>
      <c r="L9" s="42" t="s">
        <v>1285</v>
      </c>
      <c r="M9" s="42" t="s">
        <v>1285</v>
      </c>
    </row>
    <row r="10" spans="1:13" ht="44.25">
      <c r="A10" s="74">
        <v>15</v>
      </c>
      <c r="B10" s="74">
        <v>8</v>
      </c>
      <c r="C10" s="7" t="s">
        <v>32</v>
      </c>
      <c r="D10" s="11" t="s">
        <v>12</v>
      </c>
      <c r="E10" s="11" t="s">
        <v>12</v>
      </c>
      <c r="F10" s="45" t="s">
        <v>1286</v>
      </c>
      <c r="G10" s="45" t="s">
        <v>54</v>
      </c>
      <c r="H10" s="45" t="s">
        <v>1287</v>
      </c>
      <c r="I10" s="45" t="s">
        <v>1288</v>
      </c>
      <c r="J10" s="45" t="s">
        <v>1287</v>
      </c>
      <c r="K10" s="45" t="s">
        <v>1287</v>
      </c>
      <c r="L10" s="45" t="s">
        <v>1289</v>
      </c>
      <c r="M10" s="45" t="s">
        <v>1289</v>
      </c>
    </row>
    <row r="11" spans="1:13" ht="44.25">
      <c r="A11" s="113">
        <v>16</v>
      </c>
      <c r="B11" s="113">
        <v>8</v>
      </c>
      <c r="C11" s="114" t="s">
        <v>33</v>
      </c>
      <c r="D11" s="115" t="s">
        <v>12</v>
      </c>
      <c r="E11" s="115" t="s">
        <v>12</v>
      </c>
      <c r="F11" s="116" t="s">
        <v>1290</v>
      </c>
      <c r="G11" s="116" t="s">
        <v>55</v>
      </c>
      <c r="H11" s="116" t="s">
        <v>1291</v>
      </c>
      <c r="I11" s="116" t="s">
        <v>1292</v>
      </c>
      <c r="J11" s="116" t="s">
        <v>1291</v>
      </c>
      <c r="K11" s="116" t="s">
        <v>60</v>
      </c>
      <c r="L11" s="116" t="s">
        <v>1293</v>
      </c>
      <c r="M11" s="116" t="s">
        <v>1293</v>
      </c>
    </row>
    <row r="12" spans="1:13" ht="44.25">
      <c r="A12" s="71">
        <v>21</v>
      </c>
      <c r="B12" s="71">
        <v>9</v>
      </c>
      <c r="C12" s="5" t="s">
        <v>38</v>
      </c>
      <c r="D12" s="9" t="s">
        <v>15</v>
      </c>
      <c r="E12" s="9" t="s">
        <v>15</v>
      </c>
      <c r="F12" s="43" t="s">
        <v>1294</v>
      </c>
      <c r="G12" s="43" t="s">
        <v>60</v>
      </c>
      <c r="H12" s="43" t="s">
        <v>60</v>
      </c>
      <c r="I12" s="43" t="s">
        <v>60</v>
      </c>
      <c r="J12" s="43" t="s">
        <v>1295</v>
      </c>
      <c r="K12" s="43" t="s">
        <v>1295</v>
      </c>
      <c r="L12" s="43" t="s">
        <v>1296</v>
      </c>
      <c r="M12" s="43" t="s">
        <v>1297</v>
      </c>
    </row>
    <row r="13" spans="1:13" ht="44.25">
      <c r="A13" s="113">
        <v>22</v>
      </c>
      <c r="B13" s="113">
        <v>9</v>
      </c>
      <c r="C13" s="114" t="s">
        <v>39</v>
      </c>
      <c r="D13" s="115" t="s">
        <v>16</v>
      </c>
      <c r="E13" s="115" t="s">
        <v>16</v>
      </c>
      <c r="F13" s="116" t="s">
        <v>1298</v>
      </c>
      <c r="G13" s="116" t="s">
        <v>61</v>
      </c>
      <c r="H13" s="116" t="s">
        <v>527</v>
      </c>
      <c r="I13" s="116" t="s">
        <v>527</v>
      </c>
      <c r="J13" s="116" t="s">
        <v>1299</v>
      </c>
      <c r="K13" s="116" t="s">
        <v>1300</v>
      </c>
      <c r="L13" s="116" t="s">
        <v>1301</v>
      </c>
      <c r="M13" s="116" t="s">
        <v>1297</v>
      </c>
    </row>
    <row r="14" spans="1:13" ht="44.25">
      <c r="A14" s="74">
        <v>19</v>
      </c>
      <c r="B14" s="74">
        <v>10</v>
      </c>
      <c r="C14" s="7" t="s">
        <v>36</v>
      </c>
      <c r="D14" s="11" t="s">
        <v>14</v>
      </c>
      <c r="E14" s="11" t="s">
        <v>14</v>
      </c>
      <c r="F14" s="45" t="s">
        <v>58</v>
      </c>
      <c r="G14" s="45" t="s">
        <v>58</v>
      </c>
      <c r="H14" s="45" t="s">
        <v>58</v>
      </c>
      <c r="I14" s="45" t="s">
        <v>58</v>
      </c>
      <c r="J14" s="45" t="s">
        <v>58</v>
      </c>
      <c r="K14" s="45" t="s">
        <v>58</v>
      </c>
      <c r="L14" s="45" t="s">
        <v>1302</v>
      </c>
      <c r="M14" s="45" t="s">
        <v>1302</v>
      </c>
    </row>
    <row r="15" spans="1:13" ht="44.25">
      <c r="A15" s="113">
        <v>20</v>
      </c>
      <c r="B15" s="113">
        <v>10</v>
      </c>
      <c r="C15" s="114" t="s">
        <v>37</v>
      </c>
      <c r="D15" s="115" t="s">
        <v>14</v>
      </c>
      <c r="E15" s="115" t="s">
        <v>14</v>
      </c>
      <c r="F15" s="116" t="s">
        <v>1303</v>
      </c>
      <c r="G15" s="116" t="s">
        <v>59</v>
      </c>
      <c r="H15" s="116" t="s">
        <v>59</v>
      </c>
      <c r="I15" s="116" t="s">
        <v>59</v>
      </c>
      <c r="J15" s="116" t="s">
        <v>59</v>
      </c>
      <c r="K15" s="116" t="s">
        <v>1304</v>
      </c>
      <c r="L15" s="116" t="s">
        <v>1305</v>
      </c>
      <c r="M15" s="116" t="s">
        <v>1305</v>
      </c>
    </row>
    <row r="16" spans="1:13" ht="44.25">
      <c r="A16" s="73">
        <v>1</v>
      </c>
      <c r="B16" s="73">
        <v>11</v>
      </c>
      <c r="C16" s="4" t="s">
        <v>18</v>
      </c>
      <c r="D16" s="8" t="s">
        <v>1</v>
      </c>
      <c r="E16" s="8" t="s">
        <v>1</v>
      </c>
      <c r="F16" s="42" t="s">
        <v>1079</v>
      </c>
      <c r="G16" s="42" t="s">
        <v>327</v>
      </c>
      <c r="H16" s="42" t="s">
        <v>1079</v>
      </c>
      <c r="I16" s="42" t="s">
        <v>1079</v>
      </c>
      <c r="J16" s="42" t="s">
        <v>1079</v>
      </c>
      <c r="K16" s="42" t="s">
        <v>1079</v>
      </c>
      <c r="L16" s="42" t="s">
        <v>1079</v>
      </c>
      <c r="M16" s="42" t="s">
        <v>1079</v>
      </c>
    </row>
    <row r="17" spans="1:13" ht="44.25">
      <c r="A17" s="109">
        <v>4</v>
      </c>
      <c r="B17" s="109">
        <v>12</v>
      </c>
      <c r="C17" s="110" t="s">
        <v>21</v>
      </c>
      <c r="D17" s="111" t="s">
        <v>4</v>
      </c>
      <c r="E17" s="111" t="s">
        <v>4</v>
      </c>
      <c r="F17" s="112" t="s">
        <v>43</v>
      </c>
      <c r="G17" s="112" t="s">
        <v>43</v>
      </c>
      <c r="H17" s="112" t="s">
        <v>43</v>
      </c>
      <c r="I17" s="112" t="s">
        <v>43</v>
      </c>
      <c r="J17" s="112" t="s">
        <v>1306</v>
      </c>
      <c r="K17" s="112" t="s">
        <v>1306</v>
      </c>
      <c r="L17" s="112" t="s">
        <v>1307</v>
      </c>
      <c r="M17" s="112" t="s">
        <v>1308</v>
      </c>
    </row>
    <row r="18" spans="1:13" ht="44.25">
      <c r="A18" s="105">
        <v>5</v>
      </c>
      <c r="B18" s="105">
        <v>12</v>
      </c>
      <c r="C18" s="106" t="s">
        <v>22</v>
      </c>
      <c r="D18" s="107" t="s">
        <v>1540</v>
      </c>
      <c r="E18" s="107" t="s">
        <v>22</v>
      </c>
      <c r="F18" s="108" t="s">
        <v>44</v>
      </c>
      <c r="G18" s="108" t="s">
        <v>1541</v>
      </c>
      <c r="H18" s="108" t="s">
        <v>44</v>
      </c>
      <c r="I18" s="108" t="s">
        <v>44</v>
      </c>
      <c r="J18" s="108" t="s">
        <v>1309</v>
      </c>
      <c r="K18" s="108" t="s">
        <v>44</v>
      </c>
      <c r="L18" s="108" t="s">
        <v>1238</v>
      </c>
      <c r="M18" s="108" t="s">
        <v>1238</v>
      </c>
    </row>
    <row r="19" spans="1:13" ht="44.25">
      <c r="A19" s="109">
        <v>12</v>
      </c>
      <c r="B19" s="109">
        <v>13</v>
      </c>
      <c r="C19" s="110" t="s">
        <v>29</v>
      </c>
      <c r="D19" s="111" t="s">
        <v>10</v>
      </c>
      <c r="E19" s="111" t="s">
        <v>10</v>
      </c>
      <c r="F19" s="112" t="s">
        <v>1310</v>
      </c>
      <c r="G19" s="112" t="s">
        <v>51</v>
      </c>
      <c r="H19" s="112" t="s">
        <v>51</v>
      </c>
      <c r="I19" s="112" t="s">
        <v>51</v>
      </c>
      <c r="J19" s="112" t="s">
        <v>1311</v>
      </c>
      <c r="K19" s="112" t="s">
        <v>1311</v>
      </c>
      <c r="L19" s="112" t="s">
        <v>1312</v>
      </c>
      <c r="M19" s="112" t="s">
        <v>1313</v>
      </c>
    </row>
    <row r="20" spans="1:13" ht="44.25">
      <c r="A20" s="105">
        <v>13</v>
      </c>
      <c r="B20" s="105">
        <v>13</v>
      </c>
      <c r="C20" s="106" t="s">
        <v>30</v>
      </c>
      <c r="D20" s="107" t="s">
        <v>1544</v>
      </c>
      <c r="E20" s="107" t="s">
        <v>30</v>
      </c>
      <c r="F20" s="108" t="s">
        <v>1314</v>
      </c>
      <c r="G20" s="108" t="s">
        <v>1545</v>
      </c>
      <c r="H20" s="108" t="s">
        <v>52</v>
      </c>
      <c r="I20" s="108" t="s">
        <v>52</v>
      </c>
      <c r="J20" s="108" t="s">
        <v>1315</v>
      </c>
      <c r="K20" s="108" t="s">
        <v>52</v>
      </c>
      <c r="L20" s="108" t="s">
        <v>1313</v>
      </c>
      <c r="M20" s="108" t="s">
        <v>1316</v>
      </c>
    </row>
    <row r="21" spans="1:13" ht="44.25">
      <c r="A21" s="71">
        <v>17</v>
      </c>
      <c r="B21" s="71">
        <v>14</v>
      </c>
      <c r="C21" s="5" t="s">
        <v>34</v>
      </c>
      <c r="D21" s="9" t="s">
        <v>13</v>
      </c>
      <c r="E21" s="9" t="s">
        <v>13</v>
      </c>
      <c r="F21" s="43" t="s">
        <v>1317</v>
      </c>
      <c r="G21" s="43" t="s">
        <v>56</v>
      </c>
      <c r="H21" s="43" t="s">
        <v>1318</v>
      </c>
      <c r="I21" s="43" t="s">
        <v>1319</v>
      </c>
      <c r="J21" s="43" t="s">
        <v>1318</v>
      </c>
      <c r="K21" s="43" t="s">
        <v>1318</v>
      </c>
      <c r="L21" s="43" t="s">
        <v>1320</v>
      </c>
      <c r="M21" s="43" t="s">
        <v>1320</v>
      </c>
    </row>
    <row r="22" spans="1:13" ht="44.25">
      <c r="A22" s="113">
        <v>18</v>
      </c>
      <c r="B22" s="113">
        <v>14</v>
      </c>
      <c r="C22" s="114" t="s">
        <v>35</v>
      </c>
      <c r="D22" s="115" t="s">
        <v>1542</v>
      </c>
      <c r="E22" s="115" t="s">
        <v>1542</v>
      </c>
      <c r="F22" s="116" t="s">
        <v>1321</v>
      </c>
      <c r="G22" s="116" t="s">
        <v>1543</v>
      </c>
      <c r="H22" s="116" t="s">
        <v>1322</v>
      </c>
      <c r="I22" s="116" t="s">
        <v>1323</v>
      </c>
      <c r="J22" s="116" t="s">
        <v>1322</v>
      </c>
      <c r="K22" s="116" t="s">
        <v>1288</v>
      </c>
      <c r="L22" s="116" t="s">
        <v>1324</v>
      </c>
      <c r="M22" s="116" t="s">
        <v>1324</v>
      </c>
    </row>
    <row r="23" spans="1:13" ht="44.25">
      <c r="A23" s="75">
        <v>14</v>
      </c>
      <c r="B23" s="75">
        <v>15</v>
      </c>
      <c r="C23" s="48" t="s">
        <v>31</v>
      </c>
      <c r="D23" s="69" t="s">
        <v>11</v>
      </c>
      <c r="E23" s="69" t="s">
        <v>11</v>
      </c>
      <c r="F23" s="70" t="s">
        <v>53</v>
      </c>
      <c r="G23" s="70" t="s">
        <v>53</v>
      </c>
      <c r="H23" s="70" t="s">
        <v>53</v>
      </c>
      <c r="I23" s="70" t="s">
        <v>53</v>
      </c>
      <c r="J23" s="70" t="s">
        <v>53</v>
      </c>
      <c r="K23" s="70" t="s">
        <v>53</v>
      </c>
      <c r="L23" s="94" t="s">
        <v>1385</v>
      </c>
      <c r="M23" s="70" t="s">
        <v>1325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126D0-D54C-4C33-BD0E-91DA852ACBDA}">
  <dimension ref="A1:N23"/>
  <sheetViews>
    <sheetView workbookViewId="0"/>
  </sheetViews>
  <sheetFormatPr defaultRowHeight="16.5" outlineLevelCol="1"/>
  <cols>
    <col min="1" max="3" width="9.875" customWidth="1"/>
    <col min="4" max="5" width="13" customWidth="1"/>
    <col min="6" max="7" width="15" customWidth="1"/>
    <col min="8" max="9" width="15" hidden="1" customWidth="1" outlineLevel="1"/>
    <col min="10" max="10" width="15" customWidth="1" collapsed="1"/>
    <col min="11" max="14" width="15" customWidth="1"/>
    <col min="15" max="15" width="14.5" customWidth="1"/>
  </cols>
  <sheetData>
    <row r="1" spans="1:14" s="1" customFormat="1" ht="23.25">
      <c r="A1" s="46" t="s">
        <v>1054</v>
      </c>
      <c r="B1" s="46" t="s">
        <v>1064</v>
      </c>
      <c r="C1" s="46" t="s">
        <v>325</v>
      </c>
      <c r="D1" s="46" t="s">
        <v>0</v>
      </c>
      <c r="E1" s="47" t="s">
        <v>1065</v>
      </c>
      <c r="F1" s="47" t="s">
        <v>1057</v>
      </c>
      <c r="G1" s="47" t="s">
        <v>326</v>
      </c>
      <c r="H1" s="47" t="s">
        <v>1063</v>
      </c>
      <c r="I1" s="47" t="s">
        <v>1058</v>
      </c>
      <c r="J1" s="47" t="s">
        <v>1059</v>
      </c>
      <c r="K1" s="47" t="s">
        <v>1060</v>
      </c>
      <c r="L1" s="47" t="s">
        <v>1546</v>
      </c>
      <c r="M1" s="47" t="s">
        <v>1061</v>
      </c>
      <c r="N1" s="47" t="s">
        <v>1062</v>
      </c>
    </row>
    <row r="2" spans="1:14" ht="44.25">
      <c r="A2" s="73">
        <v>1</v>
      </c>
      <c r="B2" s="73">
        <v>11</v>
      </c>
      <c r="C2" s="4" t="s">
        <v>18</v>
      </c>
      <c r="D2" s="8" t="s">
        <v>1</v>
      </c>
      <c r="E2" s="8" t="s">
        <v>1</v>
      </c>
      <c r="F2" s="42" t="s">
        <v>1079</v>
      </c>
      <c r="G2" s="42" t="s">
        <v>327</v>
      </c>
      <c r="H2" s="42" t="s">
        <v>1079</v>
      </c>
      <c r="I2" s="42" t="s">
        <v>1079</v>
      </c>
      <c r="J2" s="42" t="s">
        <v>1079</v>
      </c>
      <c r="K2" s="42" t="s">
        <v>1079</v>
      </c>
      <c r="L2" s="42"/>
      <c r="M2" s="42" t="s">
        <v>1079</v>
      </c>
      <c r="N2" s="42" t="s">
        <v>1079</v>
      </c>
    </row>
    <row r="3" spans="1:14" ht="44.25">
      <c r="A3" s="73">
        <v>2</v>
      </c>
      <c r="B3" s="73">
        <v>2</v>
      </c>
      <c r="C3" s="4" t="s">
        <v>19</v>
      </c>
      <c r="D3" s="8" t="s">
        <v>2</v>
      </c>
      <c r="E3" s="8" t="s">
        <v>2</v>
      </c>
      <c r="F3" s="42" t="s">
        <v>41</v>
      </c>
      <c r="G3" s="42" t="s">
        <v>41</v>
      </c>
      <c r="H3" s="42" t="s">
        <v>41</v>
      </c>
      <c r="I3" s="42" t="s">
        <v>41</v>
      </c>
      <c r="J3" s="42" t="s">
        <v>43</v>
      </c>
      <c r="K3" s="42" t="s">
        <v>43</v>
      </c>
      <c r="L3" s="42" t="s">
        <v>43</v>
      </c>
      <c r="M3" s="42" t="s">
        <v>1276</v>
      </c>
      <c r="N3" s="42" t="s">
        <v>1276</v>
      </c>
    </row>
    <row r="4" spans="1:14" ht="44.25">
      <c r="A4" s="73">
        <v>3</v>
      </c>
      <c r="B4" s="73">
        <v>6</v>
      </c>
      <c r="C4" s="4" t="s">
        <v>20</v>
      </c>
      <c r="D4" s="8" t="s">
        <v>3</v>
      </c>
      <c r="E4" s="8" t="s">
        <v>3</v>
      </c>
      <c r="F4" s="42" t="s">
        <v>1282</v>
      </c>
      <c r="G4" s="42" t="s">
        <v>42</v>
      </c>
      <c r="H4" s="42" t="s">
        <v>42</v>
      </c>
      <c r="I4" s="42" t="s">
        <v>42</v>
      </c>
      <c r="J4" s="42" t="s">
        <v>41</v>
      </c>
      <c r="K4" s="42" t="s">
        <v>41</v>
      </c>
      <c r="L4" s="42" t="s">
        <v>41</v>
      </c>
      <c r="M4" s="42" t="s">
        <v>1283</v>
      </c>
      <c r="N4" s="42" t="s">
        <v>1283</v>
      </c>
    </row>
    <row r="5" spans="1:14" ht="44.25">
      <c r="A5" s="117">
        <v>4</v>
      </c>
      <c r="B5" s="117">
        <v>12</v>
      </c>
      <c r="C5" s="118" t="s">
        <v>21</v>
      </c>
      <c r="D5" s="119" t="s">
        <v>4</v>
      </c>
      <c r="E5" s="119" t="s">
        <v>4</v>
      </c>
      <c r="F5" s="120" t="s">
        <v>43</v>
      </c>
      <c r="G5" s="120" t="s">
        <v>43</v>
      </c>
      <c r="H5" s="120" t="s">
        <v>43</v>
      </c>
      <c r="I5" s="120" t="s">
        <v>43</v>
      </c>
      <c r="J5" s="120" t="s">
        <v>1306</v>
      </c>
      <c r="K5" s="120" t="s">
        <v>1306</v>
      </c>
      <c r="L5" s="120" t="s">
        <v>1306</v>
      </c>
      <c r="M5" s="120" t="s">
        <v>1307</v>
      </c>
      <c r="N5" s="120" t="s">
        <v>1308</v>
      </c>
    </row>
    <row r="6" spans="1:14" ht="44.25">
      <c r="A6" s="121">
        <v>5</v>
      </c>
      <c r="B6" s="121">
        <v>12</v>
      </c>
      <c r="C6" s="29" t="s">
        <v>22</v>
      </c>
      <c r="D6" s="122" t="s">
        <v>1540</v>
      </c>
      <c r="E6" s="122" t="s">
        <v>22</v>
      </c>
      <c r="F6" s="123" t="s">
        <v>44</v>
      </c>
      <c r="G6" s="123" t="s">
        <v>1541</v>
      </c>
      <c r="H6" s="123" t="s">
        <v>44</v>
      </c>
      <c r="I6" s="123" t="s">
        <v>44</v>
      </c>
      <c r="J6" s="123" t="s">
        <v>1309</v>
      </c>
      <c r="K6" s="123" t="s">
        <v>44</v>
      </c>
      <c r="L6" s="123" t="s">
        <v>1547</v>
      </c>
      <c r="M6" s="123" t="s">
        <v>1238</v>
      </c>
      <c r="N6" s="123" t="s">
        <v>1238</v>
      </c>
    </row>
    <row r="7" spans="1:14" ht="44.25">
      <c r="A7" s="73">
        <v>6</v>
      </c>
      <c r="B7" s="73">
        <v>5</v>
      </c>
      <c r="C7" s="4" t="s">
        <v>23</v>
      </c>
      <c r="D7" s="8" t="s">
        <v>5</v>
      </c>
      <c r="E7" s="8" t="s">
        <v>5</v>
      </c>
      <c r="F7" s="42" t="s">
        <v>45</v>
      </c>
      <c r="G7" s="42" t="s">
        <v>45</v>
      </c>
      <c r="H7" s="42" t="s">
        <v>45</v>
      </c>
      <c r="I7" s="42" t="s">
        <v>45</v>
      </c>
      <c r="J7" s="42" t="s">
        <v>1280</v>
      </c>
      <c r="K7" s="42" t="s">
        <v>1280</v>
      </c>
      <c r="L7" s="42" t="s">
        <v>1280</v>
      </c>
      <c r="M7" s="42" t="s">
        <v>1281</v>
      </c>
      <c r="N7" s="42" t="s">
        <v>1281</v>
      </c>
    </row>
    <row r="8" spans="1:14" ht="44.25">
      <c r="A8" s="73">
        <v>7</v>
      </c>
      <c r="B8" s="73">
        <v>7</v>
      </c>
      <c r="C8" s="4" t="s">
        <v>24</v>
      </c>
      <c r="D8" s="8" t="s">
        <v>6</v>
      </c>
      <c r="E8" s="8" t="s">
        <v>6</v>
      </c>
      <c r="F8" s="42" t="s">
        <v>1284</v>
      </c>
      <c r="G8" s="42" t="s">
        <v>46</v>
      </c>
      <c r="H8" s="42" t="s">
        <v>46</v>
      </c>
      <c r="I8" s="42" t="s">
        <v>46</v>
      </c>
      <c r="J8" s="42" t="s">
        <v>45</v>
      </c>
      <c r="K8" s="42" t="s">
        <v>45</v>
      </c>
      <c r="L8" s="42" t="s">
        <v>45</v>
      </c>
      <c r="M8" s="42" t="s">
        <v>1285</v>
      </c>
      <c r="N8" s="42" t="s">
        <v>1285</v>
      </c>
    </row>
    <row r="9" spans="1:14" ht="44.25">
      <c r="A9" s="117">
        <v>8</v>
      </c>
      <c r="B9" s="117">
        <v>1</v>
      </c>
      <c r="C9" s="118" t="s">
        <v>25</v>
      </c>
      <c r="D9" s="119" t="s">
        <v>7</v>
      </c>
      <c r="E9" s="119" t="s">
        <v>7</v>
      </c>
      <c r="F9" s="120" t="s">
        <v>47</v>
      </c>
      <c r="G9" s="120" t="s">
        <v>47</v>
      </c>
      <c r="H9" s="120" t="s">
        <v>47</v>
      </c>
      <c r="I9" s="120" t="s">
        <v>47</v>
      </c>
      <c r="J9" s="120" t="s">
        <v>47</v>
      </c>
      <c r="K9" s="120" t="s">
        <v>47</v>
      </c>
      <c r="L9" s="120" t="s">
        <v>47</v>
      </c>
      <c r="M9" s="120" t="s">
        <v>1273</v>
      </c>
      <c r="N9" s="120" t="s">
        <v>1273</v>
      </c>
    </row>
    <row r="10" spans="1:14" ht="44.25">
      <c r="A10" s="121">
        <v>9</v>
      </c>
      <c r="B10" s="121">
        <v>1</v>
      </c>
      <c r="C10" s="29" t="s">
        <v>26</v>
      </c>
      <c r="D10" s="122" t="s">
        <v>7</v>
      </c>
      <c r="E10" s="122" t="s">
        <v>26</v>
      </c>
      <c r="F10" s="123" t="s">
        <v>48</v>
      </c>
      <c r="G10" s="123" t="s">
        <v>48</v>
      </c>
      <c r="H10" s="123" t="s">
        <v>48</v>
      </c>
      <c r="I10" s="123" t="s">
        <v>48</v>
      </c>
      <c r="J10" s="123" t="s">
        <v>1274</v>
      </c>
      <c r="K10" s="123" t="s">
        <v>48</v>
      </c>
      <c r="L10" s="123" t="s">
        <v>1548</v>
      </c>
      <c r="M10" s="123" t="s">
        <v>1275</v>
      </c>
      <c r="N10" s="123" t="s">
        <v>1275</v>
      </c>
    </row>
    <row r="11" spans="1:14" ht="44.25">
      <c r="A11" s="73">
        <v>10</v>
      </c>
      <c r="B11" s="73">
        <v>3</v>
      </c>
      <c r="C11" s="4" t="s">
        <v>27</v>
      </c>
      <c r="D11" s="8" t="s">
        <v>8</v>
      </c>
      <c r="E11" s="8" t="s">
        <v>8</v>
      </c>
      <c r="F11" s="42" t="s">
        <v>49</v>
      </c>
      <c r="G11" s="42" t="s">
        <v>49</v>
      </c>
      <c r="H11" s="42" t="s">
        <v>49</v>
      </c>
      <c r="I11" s="42" t="s">
        <v>49</v>
      </c>
      <c r="J11" s="42" t="s">
        <v>51</v>
      </c>
      <c r="K11" s="42" t="s">
        <v>51</v>
      </c>
      <c r="L11" s="42" t="s">
        <v>51</v>
      </c>
      <c r="M11" s="42" t="s">
        <v>1277</v>
      </c>
      <c r="N11" s="42" t="s">
        <v>1277</v>
      </c>
    </row>
    <row r="12" spans="1:14" ht="44.25">
      <c r="A12" s="73">
        <v>11</v>
      </c>
      <c r="B12" s="73">
        <v>4</v>
      </c>
      <c r="C12" s="4" t="s">
        <v>28</v>
      </c>
      <c r="D12" s="8" t="s">
        <v>9</v>
      </c>
      <c r="E12" s="8" t="s">
        <v>9</v>
      </c>
      <c r="F12" s="42" t="s">
        <v>1278</v>
      </c>
      <c r="G12" s="42" t="s">
        <v>50</v>
      </c>
      <c r="H12" s="42" t="s">
        <v>50</v>
      </c>
      <c r="I12" s="42" t="s">
        <v>50</v>
      </c>
      <c r="J12" s="42" t="s">
        <v>49</v>
      </c>
      <c r="K12" s="42" t="s">
        <v>49</v>
      </c>
      <c r="L12" s="42" t="s">
        <v>49</v>
      </c>
      <c r="M12" s="42" t="s">
        <v>1279</v>
      </c>
      <c r="N12" s="42" t="s">
        <v>1279</v>
      </c>
    </row>
    <row r="13" spans="1:14" ht="44.25">
      <c r="A13" s="117">
        <v>12</v>
      </c>
      <c r="B13" s="117">
        <v>13</v>
      </c>
      <c r="C13" s="118" t="s">
        <v>29</v>
      </c>
      <c r="D13" s="119" t="s">
        <v>10</v>
      </c>
      <c r="E13" s="119" t="s">
        <v>10</v>
      </c>
      <c r="F13" s="120" t="s">
        <v>1310</v>
      </c>
      <c r="G13" s="120" t="s">
        <v>51</v>
      </c>
      <c r="H13" s="120" t="s">
        <v>51</v>
      </c>
      <c r="I13" s="120" t="s">
        <v>51</v>
      </c>
      <c r="J13" s="120" t="s">
        <v>1311</v>
      </c>
      <c r="K13" s="120" t="s">
        <v>1311</v>
      </c>
      <c r="L13" s="120" t="s">
        <v>1311</v>
      </c>
      <c r="M13" s="120" t="s">
        <v>1312</v>
      </c>
      <c r="N13" s="120" t="s">
        <v>1313</v>
      </c>
    </row>
    <row r="14" spans="1:14" ht="44.25">
      <c r="A14" s="121">
        <v>13</v>
      </c>
      <c r="B14" s="121">
        <v>13</v>
      </c>
      <c r="C14" s="29" t="s">
        <v>30</v>
      </c>
      <c r="D14" s="122" t="s">
        <v>1544</v>
      </c>
      <c r="E14" s="122" t="s">
        <v>30</v>
      </c>
      <c r="F14" s="123" t="s">
        <v>1314</v>
      </c>
      <c r="G14" s="123" t="s">
        <v>1545</v>
      </c>
      <c r="H14" s="123" t="s">
        <v>52</v>
      </c>
      <c r="I14" s="123" t="s">
        <v>52</v>
      </c>
      <c r="J14" s="123" t="s">
        <v>1315</v>
      </c>
      <c r="K14" s="123" t="s">
        <v>52</v>
      </c>
      <c r="L14" s="123" t="s">
        <v>1549</v>
      </c>
      <c r="M14" s="123" t="s">
        <v>1313</v>
      </c>
      <c r="N14" s="123" t="s">
        <v>1316</v>
      </c>
    </row>
    <row r="15" spans="1:14" ht="44.25">
      <c r="A15" s="73">
        <v>14</v>
      </c>
      <c r="B15" s="73">
        <v>15</v>
      </c>
      <c r="C15" s="4" t="s">
        <v>31</v>
      </c>
      <c r="D15" s="8" t="s">
        <v>11</v>
      </c>
      <c r="E15" s="8" t="s">
        <v>11</v>
      </c>
      <c r="F15" s="42" t="s">
        <v>53</v>
      </c>
      <c r="G15" s="42" t="s">
        <v>53</v>
      </c>
      <c r="H15" s="42" t="s">
        <v>53</v>
      </c>
      <c r="I15" s="42" t="s">
        <v>53</v>
      </c>
      <c r="J15" s="42" t="s">
        <v>53</v>
      </c>
      <c r="K15" s="42" t="s">
        <v>53</v>
      </c>
      <c r="L15" s="42" t="s">
        <v>53</v>
      </c>
      <c r="M15" s="124" t="s">
        <v>1385</v>
      </c>
      <c r="N15" s="42" t="s">
        <v>1325</v>
      </c>
    </row>
    <row r="16" spans="1:14" ht="44.25">
      <c r="A16" s="73">
        <v>15</v>
      </c>
      <c r="B16" s="73">
        <v>8</v>
      </c>
      <c r="C16" s="4" t="s">
        <v>32</v>
      </c>
      <c r="D16" s="8" t="s">
        <v>12</v>
      </c>
      <c r="E16" s="8" t="s">
        <v>12</v>
      </c>
      <c r="F16" s="42" t="s">
        <v>1286</v>
      </c>
      <c r="G16" s="42" t="s">
        <v>54</v>
      </c>
      <c r="H16" s="42" t="s">
        <v>1287</v>
      </c>
      <c r="I16" s="42" t="s">
        <v>1288</v>
      </c>
      <c r="J16" s="42" t="s">
        <v>1287</v>
      </c>
      <c r="K16" s="42" t="s">
        <v>1287</v>
      </c>
      <c r="L16" s="42" t="s">
        <v>1287</v>
      </c>
      <c r="M16" s="42" t="s">
        <v>1289</v>
      </c>
      <c r="N16" s="42" t="s">
        <v>1289</v>
      </c>
    </row>
    <row r="17" spans="1:14" ht="44.25">
      <c r="A17" s="125">
        <v>16</v>
      </c>
      <c r="B17" s="125">
        <v>8</v>
      </c>
      <c r="C17" s="25" t="s">
        <v>33</v>
      </c>
      <c r="D17" s="126" t="s">
        <v>12</v>
      </c>
      <c r="E17" s="126" t="s">
        <v>12</v>
      </c>
      <c r="F17" s="127" t="s">
        <v>1290</v>
      </c>
      <c r="G17" s="127" t="s">
        <v>55</v>
      </c>
      <c r="H17" s="127" t="s">
        <v>1291</v>
      </c>
      <c r="I17" s="127" t="s">
        <v>1292</v>
      </c>
      <c r="J17" s="127" t="s">
        <v>1291</v>
      </c>
      <c r="K17" s="127" t="s">
        <v>61</v>
      </c>
      <c r="L17" s="127" t="s">
        <v>1556</v>
      </c>
      <c r="M17" s="127" t="s">
        <v>1293</v>
      </c>
      <c r="N17" s="127" t="s">
        <v>1293</v>
      </c>
    </row>
    <row r="18" spans="1:14" ht="44.25">
      <c r="A18" s="73">
        <v>17</v>
      </c>
      <c r="B18" s="73">
        <v>14</v>
      </c>
      <c r="C18" s="4" t="s">
        <v>34</v>
      </c>
      <c r="D18" s="8" t="s">
        <v>13</v>
      </c>
      <c r="E18" s="8" t="s">
        <v>13</v>
      </c>
      <c r="F18" s="42" t="s">
        <v>1317</v>
      </c>
      <c r="G18" s="42" t="s">
        <v>56</v>
      </c>
      <c r="H18" s="42" t="s">
        <v>1318</v>
      </c>
      <c r="I18" s="42" t="s">
        <v>1319</v>
      </c>
      <c r="J18" s="42" t="s">
        <v>1318</v>
      </c>
      <c r="K18" s="42" t="s">
        <v>1318</v>
      </c>
      <c r="L18" s="42" t="s">
        <v>1318</v>
      </c>
      <c r="M18" s="42" t="s">
        <v>1320</v>
      </c>
      <c r="N18" s="42" t="s">
        <v>1320</v>
      </c>
    </row>
    <row r="19" spans="1:14" ht="44.25">
      <c r="A19" s="125">
        <v>18</v>
      </c>
      <c r="B19" s="125">
        <v>14</v>
      </c>
      <c r="C19" s="25" t="s">
        <v>35</v>
      </c>
      <c r="D19" s="126" t="s">
        <v>1542</v>
      </c>
      <c r="E19" s="126" t="s">
        <v>1542</v>
      </c>
      <c r="F19" s="127" t="s">
        <v>1321</v>
      </c>
      <c r="G19" s="127" t="s">
        <v>1543</v>
      </c>
      <c r="H19" s="127" t="s">
        <v>1322</v>
      </c>
      <c r="I19" s="127" t="s">
        <v>1323</v>
      </c>
      <c r="J19" s="127" t="s">
        <v>1322</v>
      </c>
      <c r="K19" s="127" t="s">
        <v>1550</v>
      </c>
      <c r="L19" s="127" t="s">
        <v>1555</v>
      </c>
      <c r="M19" s="127" t="s">
        <v>1324</v>
      </c>
      <c r="N19" s="127" t="s">
        <v>1324</v>
      </c>
    </row>
    <row r="20" spans="1:14" ht="44.25">
      <c r="A20" s="73">
        <v>19</v>
      </c>
      <c r="B20" s="73">
        <v>9</v>
      </c>
      <c r="C20" s="4" t="s">
        <v>38</v>
      </c>
      <c r="D20" s="8" t="s">
        <v>15</v>
      </c>
      <c r="E20" s="8" t="s">
        <v>15</v>
      </c>
      <c r="F20" s="42" t="s">
        <v>1294</v>
      </c>
      <c r="G20" s="42" t="s">
        <v>60</v>
      </c>
      <c r="H20" s="42" t="s">
        <v>60</v>
      </c>
      <c r="I20" s="42" t="s">
        <v>60</v>
      </c>
      <c r="J20" s="42" t="s">
        <v>1295</v>
      </c>
      <c r="K20" s="42" t="s">
        <v>1295</v>
      </c>
      <c r="L20" s="42" t="s">
        <v>1295</v>
      </c>
      <c r="M20" s="42" t="s">
        <v>1296</v>
      </c>
      <c r="N20" s="42" t="s">
        <v>1297</v>
      </c>
    </row>
    <row r="21" spans="1:14" ht="44.25">
      <c r="A21" s="125">
        <v>20</v>
      </c>
      <c r="B21" s="125">
        <v>9</v>
      </c>
      <c r="C21" s="25" t="s">
        <v>39</v>
      </c>
      <c r="D21" s="126" t="s">
        <v>16</v>
      </c>
      <c r="E21" s="126" t="s">
        <v>16</v>
      </c>
      <c r="F21" s="127" t="s">
        <v>1298</v>
      </c>
      <c r="G21" s="127" t="s">
        <v>61</v>
      </c>
      <c r="H21" s="127" t="s">
        <v>527</v>
      </c>
      <c r="I21" s="127" t="s">
        <v>527</v>
      </c>
      <c r="J21" s="127" t="s">
        <v>1299</v>
      </c>
      <c r="K21" s="127" t="s">
        <v>1551</v>
      </c>
      <c r="L21" s="127" t="s">
        <v>1554</v>
      </c>
      <c r="M21" s="127" t="s">
        <v>1301</v>
      </c>
      <c r="N21" s="127" t="s">
        <v>1297</v>
      </c>
    </row>
    <row r="22" spans="1:14" ht="44.25">
      <c r="A22" s="73">
        <v>21</v>
      </c>
      <c r="B22" s="73">
        <v>10</v>
      </c>
      <c r="C22" s="4" t="s">
        <v>36</v>
      </c>
      <c r="D22" s="8" t="s">
        <v>14</v>
      </c>
      <c r="E22" s="8" t="s">
        <v>14</v>
      </c>
      <c r="F22" s="42" t="s">
        <v>58</v>
      </c>
      <c r="G22" s="42" t="s">
        <v>58</v>
      </c>
      <c r="H22" s="42" t="s">
        <v>58</v>
      </c>
      <c r="I22" s="42" t="s">
        <v>58</v>
      </c>
      <c r="J22" s="42" t="s">
        <v>58</v>
      </c>
      <c r="K22" s="42" t="s">
        <v>58</v>
      </c>
      <c r="L22" s="42" t="s">
        <v>58</v>
      </c>
      <c r="M22" s="42" t="s">
        <v>1302</v>
      </c>
      <c r="N22" s="42" t="s">
        <v>1302</v>
      </c>
    </row>
    <row r="23" spans="1:14" ht="44.25">
      <c r="A23" s="128">
        <v>22</v>
      </c>
      <c r="B23" s="128">
        <v>10</v>
      </c>
      <c r="C23" s="129" t="s">
        <v>37</v>
      </c>
      <c r="D23" s="130" t="s">
        <v>14</v>
      </c>
      <c r="E23" s="130" t="s">
        <v>14</v>
      </c>
      <c r="F23" s="131" t="s">
        <v>1303</v>
      </c>
      <c r="G23" s="131" t="s">
        <v>59</v>
      </c>
      <c r="H23" s="131" t="s">
        <v>59</v>
      </c>
      <c r="I23" s="131" t="s">
        <v>59</v>
      </c>
      <c r="J23" s="131" t="s">
        <v>59</v>
      </c>
      <c r="K23" s="131" t="s">
        <v>1552</v>
      </c>
      <c r="L23" s="131" t="s">
        <v>1553</v>
      </c>
      <c r="M23" s="131" t="s">
        <v>1305</v>
      </c>
      <c r="N23" s="131" t="s">
        <v>1305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B0C517-B462-4AFA-8187-48DB57967972}">
  <dimension ref="A1:T101"/>
  <sheetViews>
    <sheetView workbookViewId="0">
      <selection activeCell="S1" sqref="S1:T101"/>
    </sheetView>
  </sheetViews>
  <sheetFormatPr defaultRowHeight="16.5"/>
  <cols>
    <col min="1" max="2" width="8.125" customWidth="1"/>
    <col min="3" max="3" width="10.625" customWidth="1"/>
    <col min="4" max="13" width="14.25" customWidth="1"/>
  </cols>
  <sheetData>
    <row r="1" spans="1:20" ht="25.5">
      <c r="A1" s="80" t="s">
        <v>1054</v>
      </c>
      <c r="B1" s="80" t="s">
        <v>1056</v>
      </c>
      <c r="C1" s="80" t="s">
        <v>17</v>
      </c>
      <c r="D1" s="80" t="s">
        <v>324</v>
      </c>
      <c r="E1" s="80" t="s">
        <v>1057</v>
      </c>
      <c r="F1" s="80" t="s">
        <v>1370</v>
      </c>
      <c r="G1" s="80" t="s">
        <v>40</v>
      </c>
      <c r="H1" s="93" t="s">
        <v>1063</v>
      </c>
      <c r="I1" s="93" t="s">
        <v>1058</v>
      </c>
      <c r="J1" s="93" t="s">
        <v>1059</v>
      </c>
      <c r="K1" s="93" t="s">
        <v>1060</v>
      </c>
      <c r="L1" s="93" t="s">
        <v>1061</v>
      </c>
      <c r="M1" s="93" t="s">
        <v>1062</v>
      </c>
      <c r="O1" t="str">
        <f xml:space="preserve"> _xlfn.CONCAT("ɛ", _xlfn.UNICHAR(HEX2DEC(RIGHT("U+0303",4))))</f>
        <v>ɛ̃</v>
      </c>
      <c r="P1" t="str">
        <f xml:space="preserve"> _xlfn.CONCAT("ɛ", _xlfn.UNICHAR(HEX2DEC(RIGHT("U+0294",4))))</f>
        <v>ɛʔ</v>
      </c>
      <c r="Q1" t="s">
        <v>1107</v>
      </c>
      <c r="S1" t="s">
        <v>0</v>
      </c>
      <c r="T1" t="s">
        <v>326</v>
      </c>
    </row>
    <row r="2" spans="1:20" ht="44.25">
      <c r="A2" s="76">
        <v>1</v>
      </c>
      <c r="B2" s="76">
        <f xml:space="preserve"> IF(MOD(韻母表[[#This Row],[序號]],2)=0, 韻母表[[#This Row],[序號]]/2, ROUNDUP(韻母表[[#This Row],[序號]]/2,0))</f>
        <v>1</v>
      </c>
      <c r="C2" s="77" t="s">
        <v>240</v>
      </c>
      <c r="D2" s="78" t="s">
        <v>1383</v>
      </c>
      <c r="E2" s="85" t="s">
        <v>162</v>
      </c>
      <c r="F2" s="85"/>
      <c r="G2" s="79" t="s">
        <v>162</v>
      </c>
      <c r="H2" s="79" t="s">
        <v>162</v>
      </c>
      <c r="I2" s="79" t="s">
        <v>162</v>
      </c>
      <c r="J2" s="79" t="s">
        <v>162</v>
      </c>
      <c r="K2" s="79" t="s">
        <v>162</v>
      </c>
      <c r="L2" s="79" t="s">
        <v>1066</v>
      </c>
      <c r="M2" s="79" t="s">
        <v>1066</v>
      </c>
      <c r="S2" t="s">
        <v>62</v>
      </c>
      <c r="T2" t="s">
        <v>162</v>
      </c>
    </row>
    <row r="3" spans="1:20" ht="44.25">
      <c r="A3" s="54">
        <v>2</v>
      </c>
      <c r="B3" s="54">
        <f xml:space="preserve"> IF(MOD(韻母表[[#This Row],[序號]],2)=0, 韻母表[[#This Row],[序號]]/2, ROUNDUP(韻母表[[#This Row],[序號]]/2,0))</f>
        <v>1</v>
      </c>
      <c r="C3" s="55" t="s">
        <v>242</v>
      </c>
      <c r="D3" s="56" t="s">
        <v>63</v>
      </c>
      <c r="E3" s="86" t="s">
        <v>1067</v>
      </c>
      <c r="F3" s="86"/>
      <c r="G3" s="57" t="s">
        <v>163</v>
      </c>
      <c r="H3" s="57" t="s">
        <v>163</v>
      </c>
      <c r="I3" s="57" t="s">
        <v>163</v>
      </c>
      <c r="J3" s="57" t="s">
        <v>163</v>
      </c>
      <c r="K3" s="57" t="s">
        <v>163</v>
      </c>
      <c r="L3" s="57" t="s">
        <v>1068</v>
      </c>
      <c r="M3" s="57" t="s">
        <v>1069</v>
      </c>
      <c r="S3" t="s">
        <v>63</v>
      </c>
      <c r="T3" t="s">
        <v>163</v>
      </c>
    </row>
    <row r="4" spans="1:20" ht="44.25">
      <c r="A4" s="54">
        <v>3</v>
      </c>
      <c r="B4" s="54">
        <f xml:space="preserve"> IF(MOD(韻母表[[#This Row],[序號]],2)=0, 韻母表[[#This Row],[序號]]/2, ROUNDUP(韻母表[[#This Row],[序號]]/2,0))</f>
        <v>2</v>
      </c>
      <c r="C4" s="55" t="s">
        <v>241</v>
      </c>
      <c r="D4" s="56" t="s">
        <v>64</v>
      </c>
      <c r="E4" s="86" t="s">
        <v>1330</v>
      </c>
      <c r="F4" s="86"/>
      <c r="G4" s="57" t="s">
        <v>164</v>
      </c>
      <c r="H4" s="57" t="s">
        <v>164</v>
      </c>
      <c r="I4" s="57" t="s">
        <v>164</v>
      </c>
      <c r="J4" s="57" t="s">
        <v>164</v>
      </c>
      <c r="K4" s="57" t="s">
        <v>164</v>
      </c>
      <c r="L4" s="57" t="s">
        <v>1070</v>
      </c>
      <c r="M4" s="57" t="s">
        <v>1070</v>
      </c>
      <c r="S4" t="s">
        <v>64</v>
      </c>
      <c r="T4" t="s">
        <v>164</v>
      </c>
    </row>
    <row r="5" spans="1:20" ht="44.25">
      <c r="A5" s="54">
        <v>4</v>
      </c>
      <c r="B5" s="54">
        <f xml:space="preserve"> IF(MOD(韻母表[[#This Row],[序號]],2)=0, 韻母表[[#This Row],[序號]]/2, ROUNDUP(韻母表[[#This Row],[序號]]/2,0))</f>
        <v>2</v>
      </c>
      <c r="C5" s="55" t="s">
        <v>243</v>
      </c>
      <c r="D5" s="56" t="s">
        <v>65</v>
      </c>
      <c r="E5" s="86" t="s">
        <v>1331</v>
      </c>
      <c r="F5" s="86"/>
      <c r="G5" s="57" t="s">
        <v>165</v>
      </c>
      <c r="H5" s="57" t="s">
        <v>165</v>
      </c>
      <c r="I5" s="57" t="s">
        <v>165</v>
      </c>
      <c r="J5" s="57" t="s">
        <v>165</v>
      </c>
      <c r="K5" s="57" t="s">
        <v>165</v>
      </c>
      <c r="L5" s="57" t="s">
        <v>1071</v>
      </c>
      <c r="M5" s="57" t="s">
        <v>1072</v>
      </c>
      <c r="S5" t="s">
        <v>65</v>
      </c>
      <c r="T5" t="s">
        <v>165</v>
      </c>
    </row>
    <row r="6" spans="1:20" ht="44.25">
      <c r="A6" s="54">
        <v>5</v>
      </c>
      <c r="B6" s="54">
        <f xml:space="preserve"> IF(MOD(韻母表[[#This Row],[序號]],2)=0, 韻母表[[#This Row],[序號]]/2, ROUNDUP(韻母表[[#This Row],[序號]]/2,0))</f>
        <v>3</v>
      </c>
      <c r="C6" s="55" t="s">
        <v>244</v>
      </c>
      <c r="D6" s="56" t="s">
        <v>66</v>
      </c>
      <c r="E6" s="86" t="s">
        <v>166</v>
      </c>
      <c r="F6" s="86"/>
      <c r="G6" s="57" t="s">
        <v>166</v>
      </c>
      <c r="H6" s="57" t="s">
        <v>166</v>
      </c>
      <c r="I6" s="57" t="s">
        <v>166</v>
      </c>
      <c r="J6" s="57" t="s">
        <v>166</v>
      </c>
      <c r="K6" s="57" t="s">
        <v>166</v>
      </c>
      <c r="L6" s="57" t="s">
        <v>1073</v>
      </c>
      <c r="M6" s="57" t="s">
        <v>1074</v>
      </c>
      <c r="S6" t="s">
        <v>66</v>
      </c>
      <c r="T6" t="s">
        <v>166</v>
      </c>
    </row>
    <row r="7" spans="1:20" ht="44.25">
      <c r="A7" s="54">
        <v>6</v>
      </c>
      <c r="B7" s="54">
        <f xml:space="preserve"> IF(MOD(韻母表[[#This Row],[序號]],2)=0, 韻母表[[#This Row],[序號]]/2, ROUNDUP(韻母表[[#This Row],[序號]]/2,0))</f>
        <v>3</v>
      </c>
      <c r="C7" s="55" t="s">
        <v>247</v>
      </c>
      <c r="D7" s="56" t="s">
        <v>67</v>
      </c>
      <c r="E7" s="86" t="s">
        <v>1075</v>
      </c>
      <c r="F7" s="86"/>
      <c r="G7" s="57" t="s">
        <v>167</v>
      </c>
      <c r="H7" s="57" t="s">
        <v>167</v>
      </c>
      <c r="I7" s="57" t="s">
        <v>167</v>
      </c>
      <c r="J7" s="57" t="s">
        <v>167</v>
      </c>
      <c r="K7" s="57" t="s">
        <v>167</v>
      </c>
      <c r="L7" s="57" t="s">
        <v>1076</v>
      </c>
      <c r="M7" s="57" t="s">
        <v>1077</v>
      </c>
      <c r="S7" t="s">
        <v>67</v>
      </c>
      <c r="T7" t="s">
        <v>167</v>
      </c>
    </row>
    <row r="8" spans="1:20" ht="44.25">
      <c r="A8" s="54">
        <v>7</v>
      </c>
      <c r="B8" s="54">
        <f xml:space="preserve"> IF(MOD(韻母表[[#This Row],[序號]],2)=0, 韻母表[[#This Row],[序號]]/2, ROUNDUP(韻母表[[#This Row],[序號]]/2,0))</f>
        <v>4</v>
      </c>
      <c r="C8" s="55" t="s">
        <v>248</v>
      </c>
      <c r="D8" s="56" t="s">
        <v>68</v>
      </c>
      <c r="E8" s="86" t="s">
        <v>168</v>
      </c>
      <c r="F8" s="86"/>
      <c r="G8" s="57" t="s">
        <v>168</v>
      </c>
      <c r="H8" s="57" t="s">
        <v>168</v>
      </c>
      <c r="I8" s="57" t="s">
        <v>168</v>
      </c>
      <c r="J8" s="57" t="s">
        <v>168</v>
      </c>
      <c r="K8" s="57" t="s">
        <v>168</v>
      </c>
      <c r="L8" s="57" t="s">
        <v>1078</v>
      </c>
      <c r="M8" s="57" t="s">
        <v>1078</v>
      </c>
      <c r="S8" t="s">
        <v>68</v>
      </c>
      <c r="T8" t="s">
        <v>168</v>
      </c>
    </row>
    <row r="9" spans="1:20" ht="32.25">
      <c r="A9" s="81">
        <v>8</v>
      </c>
      <c r="B9" s="81">
        <f xml:space="preserve"> IF(MOD(韻母表[[#This Row],[序號]],2)=0, 韻母表[[#This Row],[序號]]/2, ROUNDUP(韻母表[[#This Row],[序號]]/2,0))</f>
        <v>4</v>
      </c>
      <c r="C9" s="82"/>
      <c r="D9" s="83" t="s">
        <v>69</v>
      </c>
      <c r="E9" s="87" t="s">
        <v>1079</v>
      </c>
      <c r="F9" s="87"/>
      <c r="G9" s="57" t="s">
        <v>168</v>
      </c>
      <c r="H9" s="57" t="s">
        <v>168</v>
      </c>
      <c r="I9" s="57" t="s">
        <v>168</v>
      </c>
      <c r="J9" s="57" t="s">
        <v>168</v>
      </c>
      <c r="K9" s="57" t="s">
        <v>168</v>
      </c>
      <c r="L9" s="368" t="s">
        <v>2526</v>
      </c>
      <c r="M9" s="84" t="s">
        <v>1079</v>
      </c>
      <c r="S9" t="s">
        <v>69</v>
      </c>
      <c r="T9" t="s">
        <v>168</v>
      </c>
    </row>
    <row r="10" spans="1:20" ht="44.25">
      <c r="A10" s="54">
        <v>9</v>
      </c>
      <c r="B10" s="54">
        <f xml:space="preserve"> IF(MOD(韻母表[[#This Row],[序號]],2)=0, 韻母表[[#This Row],[序號]]/2, ROUNDUP(韻母表[[#This Row],[序號]]/2,0))</f>
        <v>5</v>
      </c>
      <c r="C10" s="59" t="s">
        <v>249</v>
      </c>
      <c r="D10" s="60" t="s">
        <v>70</v>
      </c>
      <c r="E10" s="86" t="s">
        <v>1328</v>
      </c>
      <c r="F10" s="86" t="s">
        <v>1398</v>
      </c>
      <c r="G10" s="57" t="s">
        <v>169</v>
      </c>
      <c r="H10" s="57" t="s">
        <v>169</v>
      </c>
      <c r="I10" s="57"/>
      <c r="J10" s="57"/>
      <c r="K10" s="57"/>
      <c r="L10" s="57" t="s">
        <v>1081</v>
      </c>
      <c r="M10" s="57" t="s">
        <v>1081</v>
      </c>
      <c r="S10" t="s">
        <v>70</v>
      </c>
      <c r="T10" t="s">
        <v>169</v>
      </c>
    </row>
    <row r="11" spans="1:20" ht="44.25">
      <c r="A11" s="54">
        <v>10</v>
      </c>
      <c r="B11" s="54">
        <f xml:space="preserve"> IF(MOD(韻母表[[#This Row],[序號]],2)=0, 韻母表[[#This Row],[序號]]/2, ROUNDUP(韻母表[[#This Row],[序號]]/2,0))</f>
        <v>5</v>
      </c>
      <c r="C11" s="59" t="s">
        <v>250</v>
      </c>
      <c r="D11" s="60" t="s">
        <v>71</v>
      </c>
      <c r="E11" s="86" t="s">
        <v>1382</v>
      </c>
      <c r="F11" s="86" t="s">
        <v>1082</v>
      </c>
      <c r="G11" s="57" t="str">
        <f xml:space="preserve"> IF(G10="", "", _xlfn.CONCAT(G10, "h"))</f>
        <v>eeh</v>
      </c>
      <c r="H11" s="57" t="str">
        <f t="shared" ref="H11:K11" si="0" xml:space="preserve"> IF(H10="", "", _xlfn.CONCAT(H10, "h"))</f>
        <v>eeh</v>
      </c>
      <c r="I11" s="57" t="str">
        <f t="shared" si="0"/>
        <v/>
      </c>
      <c r="J11" s="57" t="str">
        <f t="shared" si="0"/>
        <v/>
      </c>
      <c r="K11" s="57" t="str">
        <f t="shared" si="0"/>
        <v/>
      </c>
      <c r="L11" s="368" t="str">
        <f xml:space="preserve"> IF(L10="", "", _xlfn.CONCAT(L10, "ㆷ"))</f>
        <v>ㄝㆷ</v>
      </c>
      <c r="M11" s="368" t="str">
        <f xml:space="preserve"> IF(M10="", "", _xlfn.CONCAT(M10, "ㄏ"))</f>
        <v>ㄝㄏ</v>
      </c>
      <c r="S11" t="s">
        <v>71</v>
      </c>
      <c r="T11" t="s">
        <v>170</v>
      </c>
    </row>
    <row r="12" spans="1:20" ht="44.25">
      <c r="A12" s="54">
        <v>11</v>
      </c>
      <c r="B12" s="54">
        <f xml:space="preserve"> IF(MOD(韻母表[[#This Row],[序號]],2)=0, 韻母表[[#This Row],[序號]]/2, ROUNDUP(韻母表[[#This Row],[序號]]/2,0))</f>
        <v>6</v>
      </c>
      <c r="C12" s="55" t="s">
        <v>251</v>
      </c>
      <c r="D12" s="56" t="s">
        <v>72</v>
      </c>
      <c r="E12" s="86" t="s">
        <v>171</v>
      </c>
      <c r="F12" s="86"/>
      <c r="G12" s="57" t="s">
        <v>171</v>
      </c>
      <c r="H12" s="57" t="s">
        <v>171</v>
      </c>
      <c r="I12" s="57" t="s">
        <v>171</v>
      </c>
      <c r="J12" s="57" t="s">
        <v>171</v>
      </c>
      <c r="K12" s="57" t="s">
        <v>171</v>
      </c>
      <c r="L12" s="57" t="s">
        <v>1085</v>
      </c>
      <c r="M12" s="57" t="s">
        <v>1085</v>
      </c>
      <c r="S12" t="s">
        <v>72</v>
      </c>
      <c r="T12" t="s">
        <v>171</v>
      </c>
    </row>
    <row r="13" spans="1:20" ht="44.25">
      <c r="A13" s="54">
        <v>12</v>
      </c>
      <c r="B13" s="54">
        <f xml:space="preserve"> IF(MOD(韻母表[[#This Row],[序號]],2)=0, 韻母表[[#This Row],[序號]]/2, ROUNDUP(韻母表[[#This Row],[序號]]/2,0))</f>
        <v>6</v>
      </c>
      <c r="C13" s="55" t="s">
        <v>245</v>
      </c>
      <c r="D13" s="56" t="s">
        <v>73</v>
      </c>
      <c r="E13" s="86" t="s">
        <v>1086</v>
      </c>
      <c r="F13" s="86"/>
      <c r="G13" s="57" t="s">
        <v>172</v>
      </c>
      <c r="H13" s="57" t="s">
        <v>172</v>
      </c>
      <c r="I13" s="57" t="s">
        <v>172</v>
      </c>
      <c r="J13" s="57" t="s">
        <v>172</v>
      </c>
      <c r="K13" s="57" t="s">
        <v>172</v>
      </c>
      <c r="L13" s="57" t="s">
        <v>1087</v>
      </c>
      <c r="M13" s="57" t="s">
        <v>1088</v>
      </c>
      <c r="S13" t="s">
        <v>73</v>
      </c>
      <c r="T13" t="s">
        <v>172</v>
      </c>
    </row>
    <row r="14" spans="1:20" ht="44.25">
      <c r="A14" s="54">
        <v>13</v>
      </c>
      <c r="B14" s="54">
        <f xml:space="preserve"> IF(MOD(韻母表[[#This Row],[序號]],2)=0, 韻母表[[#This Row],[序號]]/2, ROUNDUP(韻母表[[#This Row],[序號]]/2,0))</f>
        <v>7</v>
      </c>
      <c r="C14" s="55" t="s">
        <v>255</v>
      </c>
      <c r="D14" s="56" t="s">
        <v>74</v>
      </c>
      <c r="E14" s="86" t="s">
        <v>1332</v>
      </c>
      <c r="F14" s="86"/>
      <c r="G14" s="57" t="s">
        <v>173</v>
      </c>
      <c r="H14" s="57" t="s">
        <v>173</v>
      </c>
      <c r="I14" s="57" t="s">
        <v>173</v>
      </c>
      <c r="J14" s="57" t="s">
        <v>173</v>
      </c>
      <c r="K14" s="57" t="s">
        <v>173</v>
      </c>
      <c r="L14" s="57" t="s">
        <v>1089</v>
      </c>
      <c r="M14" s="57" t="s">
        <v>1090</v>
      </c>
      <c r="S14" t="s">
        <v>74</v>
      </c>
      <c r="T14" t="s">
        <v>173</v>
      </c>
    </row>
    <row r="15" spans="1:20" ht="44.25">
      <c r="A15" s="54">
        <v>14</v>
      </c>
      <c r="B15" s="54">
        <f xml:space="preserve"> IF(MOD(韻母表[[#This Row],[序號]],2)=0, 韻母表[[#This Row],[序號]]/2, ROUNDUP(韻母表[[#This Row],[序號]]/2,0))</f>
        <v>7</v>
      </c>
      <c r="C15" s="55" t="s">
        <v>256</v>
      </c>
      <c r="D15" s="56" t="s">
        <v>75</v>
      </c>
      <c r="E15" s="86" t="s">
        <v>1333</v>
      </c>
      <c r="F15" s="86"/>
      <c r="G15" s="57" t="s">
        <v>174</v>
      </c>
      <c r="H15" s="57" t="s">
        <v>174</v>
      </c>
      <c r="I15" s="57" t="s">
        <v>174</v>
      </c>
      <c r="J15" s="57" t="s">
        <v>174</v>
      </c>
      <c r="K15" s="57" t="s">
        <v>174</v>
      </c>
      <c r="L15" s="57" t="s">
        <v>1091</v>
      </c>
      <c r="M15" s="57" t="s">
        <v>1092</v>
      </c>
      <c r="S15" t="s">
        <v>75</v>
      </c>
      <c r="T15" t="s">
        <v>174</v>
      </c>
    </row>
    <row r="16" spans="1:20" ht="44.25">
      <c r="A16" s="54">
        <v>15</v>
      </c>
      <c r="B16" s="54">
        <f xml:space="preserve"> IF(MOD(韻母表[[#This Row],[序號]],2)=0, 韻母表[[#This Row],[序號]]/2, ROUNDUP(韻母表[[#This Row],[序號]]/2,0))</f>
        <v>8</v>
      </c>
      <c r="C16" s="55" t="s">
        <v>257</v>
      </c>
      <c r="D16" s="56" t="s">
        <v>76</v>
      </c>
      <c r="E16" s="86" t="s">
        <v>175</v>
      </c>
      <c r="F16" s="86"/>
      <c r="G16" s="57" t="s">
        <v>175</v>
      </c>
      <c r="H16" s="57" t="s">
        <v>175</v>
      </c>
      <c r="I16" s="57" t="s">
        <v>1093</v>
      </c>
      <c r="J16" s="57" t="s">
        <v>175</v>
      </c>
      <c r="K16" s="57" t="s">
        <v>175</v>
      </c>
      <c r="L16" s="57" t="s">
        <v>1094</v>
      </c>
      <c r="M16" s="57" t="s">
        <v>1094</v>
      </c>
      <c r="S16" t="s">
        <v>76</v>
      </c>
      <c r="T16" t="s">
        <v>175</v>
      </c>
    </row>
    <row r="17" spans="1:20" ht="44.25">
      <c r="A17" s="54">
        <v>16</v>
      </c>
      <c r="B17" s="54">
        <f xml:space="preserve"> IF(MOD(韻母表[[#This Row],[序號]],2)=0, 韻母表[[#This Row],[序號]]/2, ROUNDUP(韻母表[[#This Row],[序號]]/2,0))</f>
        <v>8</v>
      </c>
      <c r="C17" s="61" t="s">
        <v>258</v>
      </c>
      <c r="D17" s="58" t="s">
        <v>77</v>
      </c>
      <c r="E17" s="86" t="s">
        <v>1095</v>
      </c>
      <c r="F17" s="86"/>
      <c r="G17" s="57" t="str">
        <f xml:space="preserve"> IF(G16="", "", _xlfn.CONCAT(G16, "h"))</f>
        <v>uaih</v>
      </c>
      <c r="H17" s="57" t="str">
        <f t="shared" ref="H17" si="1" xml:space="preserve"> IF(H16="", "", _xlfn.CONCAT(H16, "h"))</f>
        <v>uaih</v>
      </c>
      <c r="I17" s="57" t="str">
        <f t="shared" ref="I17" si="2" xml:space="preserve"> IF(I16="", "", _xlfn.CONCAT(I16, "h"))</f>
        <v>oaih</v>
      </c>
      <c r="J17" s="57" t="str">
        <f t="shared" ref="J17" si="3" xml:space="preserve"> IF(J16="", "", _xlfn.CONCAT(J16, "h"))</f>
        <v>uaih</v>
      </c>
      <c r="K17" s="57" t="str">
        <f t="shared" ref="K17" si="4" xml:space="preserve"> IF(K16="", "", _xlfn.CONCAT(K16, "h"))</f>
        <v>uaih</v>
      </c>
      <c r="L17" s="368" t="str">
        <f xml:space="preserve"> IF(L16="", "", _xlfn.CONCAT(L16, "ㆷ"))</f>
        <v>ㄨㄞㆷ</v>
      </c>
      <c r="M17" s="368" t="str">
        <f xml:space="preserve"> IF(M16="", "", _xlfn.CONCAT(M16, "ㄏ"))</f>
        <v>ㄨㄞㄏ</v>
      </c>
      <c r="S17" t="s">
        <v>77</v>
      </c>
      <c r="T17" t="s">
        <v>176</v>
      </c>
    </row>
    <row r="18" spans="1:20" ht="44.25">
      <c r="A18" s="54">
        <v>17</v>
      </c>
      <c r="B18" s="54">
        <f xml:space="preserve"> IF(MOD(韻母表[[#This Row],[序號]],2)=0, 韻母表[[#This Row],[序號]]/2, ROUNDUP(韻母表[[#This Row],[序號]]/2,0))</f>
        <v>9</v>
      </c>
      <c r="C18" s="55" t="s">
        <v>259</v>
      </c>
      <c r="D18" s="56" t="s">
        <v>78</v>
      </c>
      <c r="E18" s="86" t="s">
        <v>1334</v>
      </c>
      <c r="F18" s="86" t="s">
        <v>1401</v>
      </c>
      <c r="G18" s="57" t="s">
        <v>1373</v>
      </c>
      <c r="H18" s="57" t="s">
        <v>1373</v>
      </c>
      <c r="I18" s="57" t="s">
        <v>1099</v>
      </c>
      <c r="J18" s="57" t="s">
        <v>1373</v>
      </c>
      <c r="K18" s="57" t="s">
        <v>1373</v>
      </c>
      <c r="L18" s="57" t="s">
        <v>1375</v>
      </c>
      <c r="M18" s="57" t="s">
        <v>1375</v>
      </c>
      <c r="S18" t="s">
        <v>78</v>
      </c>
      <c r="T18" t="s">
        <v>177</v>
      </c>
    </row>
    <row r="19" spans="1:20" ht="44.25">
      <c r="A19" s="54">
        <v>18</v>
      </c>
      <c r="B19" s="54">
        <f xml:space="preserve"> IF(MOD(韻母表[[#This Row],[序號]],2)=0, 韻母表[[#This Row],[序號]]/2, ROUNDUP(韻母表[[#This Row],[序號]]/2,0))</f>
        <v>9</v>
      </c>
      <c r="C19" s="55" t="s">
        <v>35</v>
      </c>
      <c r="D19" s="56" t="s">
        <v>79</v>
      </c>
      <c r="E19" s="86" t="s">
        <v>1335</v>
      </c>
      <c r="F19" s="86" t="s">
        <v>1372</v>
      </c>
      <c r="G19" s="57" t="s">
        <v>1374</v>
      </c>
      <c r="H19" s="57" t="s">
        <v>1374</v>
      </c>
      <c r="I19" s="57" t="s">
        <v>1100</v>
      </c>
      <c r="J19" s="57" t="s">
        <v>1374</v>
      </c>
      <c r="K19" s="57" t="s">
        <v>1374</v>
      </c>
      <c r="L19" s="57" t="s">
        <v>1376</v>
      </c>
      <c r="M19" s="57" t="s">
        <v>1377</v>
      </c>
      <c r="S19" t="s">
        <v>79</v>
      </c>
      <c r="T19" t="s">
        <v>178</v>
      </c>
    </row>
    <row r="20" spans="1:20" ht="44.25">
      <c r="A20" s="54">
        <v>19</v>
      </c>
      <c r="B20" s="54">
        <f xml:space="preserve"> IF(MOD(韻母表[[#This Row],[序號]],2)=0, 韻母表[[#This Row],[序號]]/2, ROUNDUP(韻母表[[#This Row],[序號]]/2,0))</f>
        <v>10</v>
      </c>
      <c r="C20" s="55" t="s">
        <v>260</v>
      </c>
      <c r="D20" s="56" t="s">
        <v>80</v>
      </c>
      <c r="E20" s="86" t="s">
        <v>179</v>
      </c>
      <c r="F20" s="86"/>
      <c r="G20" s="57" t="s">
        <v>179</v>
      </c>
      <c r="H20" s="57" t="s">
        <v>179</v>
      </c>
      <c r="I20" s="57" t="s">
        <v>1101</v>
      </c>
      <c r="J20" s="57" t="s">
        <v>179</v>
      </c>
      <c r="K20" s="57" t="s">
        <v>179</v>
      </c>
      <c r="L20" s="57" t="s">
        <v>1102</v>
      </c>
      <c r="M20" s="57" t="s">
        <v>1102</v>
      </c>
      <c r="S20" t="s">
        <v>80</v>
      </c>
      <c r="T20" t="s">
        <v>179</v>
      </c>
    </row>
    <row r="21" spans="1:20" ht="44.25">
      <c r="A21" s="54">
        <v>20</v>
      </c>
      <c r="B21" s="54">
        <f xml:space="preserve"> IF(MOD(韻母表[[#This Row],[序號]],2)=0, 韻母表[[#This Row],[序號]]/2, ROUNDUP(韻母表[[#This Row],[序號]]/2,0))</f>
        <v>10</v>
      </c>
      <c r="C21" s="55" t="s">
        <v>261</v>
      </c>
      <c r="D21" s="56" t="s">
        <v>81</v>
      </c>
      <c r="E21" s="86" t="s">
        <v>1103</v>
      </c>
      <c r="F21" s="86"/>
      <c r="G21" s="57" t="s">
        <v>180</v>
      </c>
      <c r="H21" s="57" t="s">
        <v>180</v>
      </c>
      <c r="I21" s="57" t="s">
        <v>1104</v>
      </c>
      <c r="J21" s="57" t="s">
        <v>180</v>
      </c>
      <c r="K21" s="57" t="s">
        <v>180</v>
      </c>
      <c r="L21" s="57" t="s">
        <v>1105</v>
      </c>
      <c r="M21" s="57" t="s">
        <v>1106</v>
      </c>
      <c r="S21" t="s">
        <v>81</v>
      </c>
      <c r="T21" t="s">
        <v>180</v>
      </c>
    </row>
    <row r="22" spans="1:20" ht="44.25">
      <c r="A22" s="54">
        <v>21</v>
      </c>
      <c r="B22" s="54">
        <f xml:space="preserve"> IF(MOD(韻母表[[#This Row],[序號]],2)=0, 韻母表[[#This Row],[序號]]/2, ROUNDUP(韻母表[[#This Row],[序號]]/2,0))</f>
        <v>11</v>
      </c>
      <c r="C22" s="55" t="s">
        <v>262</v>
      </c>
      <c r="D22" s="56" t="s">
        <v>82</v>
      </c>
      <c r="E22" s="86" t="s">
        <v>1336</v>
      </c>
      <c r="F22" s="86" t="s">
        <v>1378</v>
      </c>
      <c r="G22" s="57" t="s">
        <v>181</v>
      </c>
      <c r="H22" s="57" t="s">
        <v>181</v>
      </c>
      <c r="I22" s="57" t="s">
        <v>1108</v>
      </c>
      <c r="J22" s="57" t="s">
        <v>181</v>
      </c>
      <c r="K22" s="57" t="s">
        <v>181</v>
      </c>
      <c r="L22" s="57" t="s">
        <v>1109</v>
      </c>
      <c r="M22" s="57" t="s">
        <v>1110</v>
      </c>
      <c r="S22" t="s">
        <v>82</v>
      </c>
      <c r="T22" t="s">
        <v>181</v>
      </c>
    </row>
    <row r="23" spans="1:20" ht="44.25">
      <c r="A23" s="54">
        <v>22</v>
      </c>
      <c r="B23" s="54">
        <f xml:space="preserve"> IF(MOD(韻母表[[#This Row],[序號]],2)=0, 韻母表[[#This Row],[序號]]/2, ROUNDUP(韻母表[[#This Row],[序號]]/2,0))</f>
        <v>11</v>
      </c>
      <c r="C23" s="55"/>
      <c r="D23" s="56" t="s">
        <v>1384</v>
      </c>
      <c r="E23" s="86" t="str">
        <f xml:space="preserve"> _xlfn.CONCAT(E22, "h")</f>
        <v>ɔh</v>
      </c>
      <c r="F23" s="86"/>
      <c r="G23" s="57" t="str">
        <f xml:space="preserve"> IF(G22="", "", _xlfn.CONCAT(G22, "h"))</f>
        <v>ooh</v>
      </c>
      <c r="H23" s="57" t="str">
        <f t="shared" ref="H23" si="5" xml:space="preserve"> IF(H22="", "", _xlfn.CONCAT(H22, "h"))</f>
        <v>ooh</v>
      </c>
      <c r="I23" s="57" t="str">
        <f t="shared" ref="I23" si="6" xml:space="preserve"> IF(I22="", "", _xlfn.CONCAT(I22, "h"))</f>
        <v>o͘h</v>
      </c>
      <c r="J23" s="57" t="str">
        <f t="shared" ref="J23" si="7" xml:space="preserve"> IF(J22="", "", _xlfn.CONCAT(J22, "h"))</f>
        <v>ooh</v>
      </c>
      <c r="K23" s="57" t="str">
        <f t="shared" ref="K23" si="8" xml:space="preserve"> IF(K22="", "", _xlfn.CONCAT(K22, "h"))</f>
        <v>ooh</v>
      </c>
      <c r="L23" s="368" t="str">
        <f xml:space="preserve"> IF(L22="", "", _xlfn.CONCAT(L22, "ㆷ"))</f>
        <v>ㆦㆷ</v>
      </c>
      <c r="M23" s="368" t="str">
        <f xml:space="preserve"> IF(M22="", "", _xlfn.CONCAT(M22, "ㄏ"))</f>
        <v>ㄛㄏ</v>
      </c>
      <c r="S23" t="s">
        <v>83</v>
      </c>
      <c r="T23" t="s">
        <v>253</v>
      </c>
    </row>
    <row r="24" spans="1:20" ht="44.25">
      <c r="A24" s="54">
        <v>23</v>
      </c>
      <c r="B24" s="54">
        <f xml:space="preserve"> IF(MOD(韻母表[[#This Row],[序號]],2)=0, 韻母表[[#This Row],[序號]]/2, ROUNDUP(韻母表[[#This Row],[序號]]/2,0))</f>
        <v>12</v>
      </c>
      <c r="C24" s="55" t="s">
        <v>263</v>
      </c>
      <c r="D24" s="56" t="s">
        <v>84</v>
      </c>
      <c r="E24" s="86" t="s">
        <v>1337</v>
      </c>
      <c r="F24" s="86"/>
      <c r="G24" s="57" t="s">
        <v>182</v>
      </c>
      <c r="H24" s="57" t="s">
        <v>182</v>
      </c>
      <c r="I24" s="57" t="s">
        <v>182</v>
      </c>
      <c r="J24" s="57" t="s">
        <v>1111</v>
      </c>
      <c r="K24" s="57" t="s">
        <v>182</v>
      </c>
      <c r="L24" s="57" t="s">
        <v>1112</v>
      </c>
      <c r="M24" s="57" t="s">
        <v>1112</v>
      </c>
      <c r="S24" t="s">
        <v>84</v>
      </c>
      <c r="T24" t="s">
        <v>182</v>
      </c>
    </row>
    <row r="25" spans="1:20" ht="44.25">
      <c r="A25" s="54">
        <v>24</v>
      </c>
      <c r="B25" s="54">
        <f xml:space="preserve"> IF(MOD(韻母表[[#This Row],[序號]],2)=0, 韻母表[[#This Row],[序號]]/2, ROUNDUP(韻母表[[#This Row],[序號]]/2,0))</f>
        <v>12</v>
      </c>
      <c r="C25" s="62" t="s">
        <v>264</v>
      </c>
      <c r="D25" s="63" t="s">
        <v>85</v>
      </c>
      <c r="E25" s="86" t="s">
        <v>1338</v>
      </c>
      <c r="F25" s="86"/>
      <c r="G25" s="57" t="s">
        <v>183</v>
      </c>
      <c r="H25" s="57" t="s">
        <v>183</v>
      </c>
      <c r="I25" s="57" t="s">
        <v>183</v>
      </c>
      <c r="J25" s="57" t="s">
        <v>1113</v>
      </c>
      <c r="K25" s="57" t="s">
        <v>183</v>
      </c>
      <c r="L25" s="57" t="s">
        <v>1114</v>
      </c>
      <c r="M25" s="57" t="s">
        <v>1115</v>
      </c>
      <c r="S25" t="s">
        <v>85</v>
      </c>
      <c r="T25" t="s">
        <v>183</v>
      </c>
    </row>
    <row r="26" spans="1:20" ht="44.25">
      <c r="A26" s="54">
        <v>25</v>
      </c>
      <c r="B26" s="54">
        <f xml:space="preserve"> IF(MOD(韻母表[[#This Row],[序號]],2)=0, 韻母表[[#This Row],[序號]]/2, ROUNDUP(韻母表[[#This Row],[序號]]/2,0))</f>
        <v>13</v>
      </c>
      <c r="C26" s="59" t="s">
        <v>265</v>
      </c>
      <c r="D26" s="60" t="s">
        <v>86</v>
      </c>
      <c r="E26" s="86" t="s">
        <v>1328</v>
      </c>
      <c r="F26" s="86" t="s">
        <v>1116</v>
      </c>
      <c r="G26" s="57" t="s">
        <v>184</v>
      </c>
      <c r="H26" s="57" t="s">
        <v>1116</v>
      </c>
      <c r="I26" s="57" t="s">
        <v>184</v>
      </c>
      <c r="J26" s="57" t="s">
        <v>184</v>
      </c>
      <c r="K26" s="57" t="s">
        <v>184</v>
      </c>
      <c r="L26" s="57" t="s">
        <v>1117</v>
      </c>
      <c r="M26" s="57" t="s">
        <v>1081</v>
      </c>
      <c r="S26" t="s">
        <v>86</v>
      </c>
      <c r="T26" t="s">
        <v>184</v>
      </c>
    </row>
    <row r="27" spans="1:20" ht="44.25">
      <c r="A27" s="54">
        <v>26</v>
      </c>
      <c r="B27" s="54">
        <f xml:space="preserve"> IF(MOD(韻母表[[#This Row],[序號]],2)=0, 韻母表[[#This Row],[序號]]/2, ROUNDUP(韻母表[[#This Row],[序號]]/2,0))</f>
        <v>13</v>
      </c>
      <c r="C27" s="62"/>
      <c r="D27" s="63"/>
      <c r="E27" s="86" t="s">
        <v>1079</v>
      </c>
      <c r="F27" s="86"/>
      <c r="G27" s="57" t="str">
        <f xml:space="preserve"> IF(G26="", "", _xlfn.CONCAT(G26, "h"))</f>
        <v>eh</v>
      </c>
      <c r="H27" s="57" t="str">
        <f t="shared" ref="H27" si="9" xml:space="preserve"> IF(H26="", "", _xlfn.CONCAT(H26, "h"))</f>
        <v>eih</v>
      </c>
      <c r="I27" s="57" t="str">
        <f t="shared" ref="I27" si="10" xml:space="preserve"> IF(I26="", "", _xlfn.CONCAT(I26, "h"))</f>
        <v>eh</v>
      </c>
      <c r="J27" s="57" t="str">
        <f t="shared" ref="J27" si="11" xml:space="preserve"> IF(J26="", "", _xlfn.CONCAT(J26, "h"))</f>
        <v>eh</v>
      </c>
      <c r="K27" s="57" t="str">
        <f t="shared" ref="K27" si="12" xml:space="preserve"> IF(K26="", "", _xlfn.CONCAT(K26, "h"))</f>
        <v>eh</v>
      </c>
      <c r="L27" s="368" t="str">
        <f xml:space="preserve"> IF(L26="", "", _xlfn.CONCAT(L26, "ㆷ"))</f>
        <v>ㆤㆷ</v>
      </c>
      <c r="M27" s="368" t="str">
        <f xml:space="preserve"> IF(M26="", "", _xlfn.CONCAT(M26, "ㄏ"))</f>
        <v>ㄝㄏ</v>
      </c>
      <c r="T27" t="s">
        <v>227</v>
      </c>
    </row>
    <row r="28" spans="1:20" ht="44.25">
      <c r="A28" s="54">
        <v>27</v>
      </c>
      <c r="B28" s="54">
        <f xml:space="preserve"> IF(MOD(韻母表[[#This Row],[序號]],2)=0, 韻母表[[#This Row],[序號]]/2, ROUNDUP(韻母表[[#This Row],[序號]]/2,0))</f>
        <v>14</v>
      </c>
      <c r="C28" s="55" t="s">
        <v>266</v>
      </c>
      <c r="D28" s="56" t="s">
        <v>88</v>
      </c>
      <c r="E28" s="86" t="s">
        <v>1339</v>
      </c>
      <c r="F28" s="86"/>
      <c r="G28" s="57" t="s">
        <v>185</v>
      </c>
      <c r="H28" s="57" t="s">
        <v>185</v>
      </c>
      <c r="I28" s="57" t="s">
        <v>185</v>
      </c>
      <c r="J28" s="57" t="s">
        <v>185</v>
      </c>
      <c r="K28" s="57" t="s">
        <v>185</v>
      </c>
      <c r="L28" s="57" t="s">
        <v>1118</v>
      </c>
      <c r="M28" s="57" t="s">
        <v>1119</v>
      </c>
      <c r="S28" t="s">
        <v>88</v>
      </c>
      <c r="T28" t="s">
        <v>185</v>
      </c>
    </row>
    <row r="29" spans="1:20" ht="44.25">
      <c r="A29" s="54">
        <v>28</v>
      </c>
      <c r="B29" s="54">
        <f xml:space="preserve"> IF(MOD(韻母表[[#This Row],[序號]],2)=0, 韻母表[[#This Row],[序號]]/2, ROUNDUP(韻母表[[#This Row],[序號]]/2,0))</f>
        <v>14</v>
      </c>
      <c r="C29" s="55" t="s">
        <v>267</v>
      </c>
      <c r="D29" s="56" t="s">
        <v>89</v>
      </c>
      <c r="E29" s="86" t="s">
        <v>1340</v>
      </c>
      <c r="F29" s="86"/>
      <c r="G29" s="57" t="s">
        <v>186</v>
      </c>
      <c r="H29" s="57" t="s">
        <v>186</v>
      </c>
      <c r="I29" s="57" t="s">
        <v>186</v>
      </c>
      <c r="J29" s="57" t="s">
        <v>186</v>
      </c>
      <c r="K29" s="57" t="s">
        <v>1120</v>
      </c>
      <c r="L29" s="57" t="s">
        <v>1121</v>
      </c>
      <c r="M29" s="57" t="s">
        <v>1122</v>
      </c>
      <c r="S29" t="s">
        <v>89</v>
      </c>
      <c r="T29" t="s">
        <v>186</v>
      </c>
    </row>
    <row r="30" spans="1:20" ht="44.25">
      <c r="A30" s="54">
        <v>29</v>
      </c>
      <c r="B30" s="54">
        <f xml:space="preserve"> IF(MOD(韻母表[[#This Row],[序號]],2)=0, 韻母表[[#This Row],[序號]]/2, ROUNDUP(韻母表[[#This Row],[序號]]/2,0))</f>
        <v>15</v>
      </c>
      <c r="C30" s="55" t="s">
        <v>268</v>
      </c>
      <c r="D30" s="56" t="s">
        <v>90</v>
      </c>
      <c r="E30" s="86" t="s">
        <v>1123</v>
      </c>
      <c r="F30" s="86"/>
      <c r="G30" s="57" t="s">
        <v>187</v>
      </c>
      <c r="H30" s="57" t="s">
        <v>187</v>
      </c>
      <c r="I30" s="57" t="s">
        <v>187</v>
      </c>
      <c r="J30" s="57" t="s">
        <v>187</v>
      </c>
      <c r="K30" s="57" t="s">
        <v>1124</v>
      </c>
      <c r="L30" s="57" t="s">
        <v>1125</v>
      </c>
      <c r="M30" s="57" t="s">
        <v>1125</v>
      </c>
      <c r="S30" t="s">
        <v>90</v>
      </c>
      <c r="T30" t="s">
        <v>187</v>
      </c>
    </row>
    <row r="31" spans="1:20" ht="44.25">
      <c r="A31" s="54">
        <v>30</v>
      </c>
      <c r="B31" s="54">
        <f xml:space="preserve"> IF(MOD(韻母表[[#This Row],[序號]],2)=0, 韻母表[[#This Row],[序號]]/2, ROUNDUP(韻母表[[#This Row],[序號]]/2,0))</f>
        <v>15</v>
      </c>
      <c r="C31" s="55" t="s">
        <v>269</v>
      </c>
      <c r="D31" s="56" t="s">
        <v>91</v>
      </c>
      <c r="E31" s="86" t="s">
        <v>1126</v>
      </c>
      <c r="F31" s="86"/>
      <c r="G31" s="57" t="str">
        <f xml:space="preserve"> IF(G30="", "", _xlfn.CONCAT(G30, "h"))</f>
        <v>oh</v>
      </c>
      <c r="H31" s="57" t="str">
        <f t="shared" ref="H31" si="13" xml:space="preserve"> IF(H30="", "", _xlfn.CONCAT(H30, "h"))</f>
        <v>oh</v>
      </c>
      <c r="I31" s="57" t="str">
        <f t="shared" ref="I31" si="14" xml:space="preserve"> IF(I30="", "", _xlfn.CONCAT(I30, "h"))</f>
        <v>oh</v>
      </c>
      <c r="J31" s="57" t="str">
        <f t="shared" ref="J31" si="15" xml:space="preserve"> IF(J30="", "", _xlfn.CONCAT(J30, "h"))</f>
        <v>oh</v>
      </c>
      <c r="K31" s="57" t="str">
        <f t="shared" ref="K31" si="16" xml:space="preserve"> IF(K30="", "", _xlfn.CONCAT(K30, "h"))</f>
        <v>orh</v>
      </c>
      <c r="L31" s="368" t="str">
        <f xml:space="preserve"> IF(L30="", "", _xlfn.CONCAT(L30, "ㆷ"))</f>
        <v>ㄜㆷ</v>
      </c>
      <c r="M31" s="368" t="str">
        <f xml:space="preserve"> IF(M30="", "", _xlfn.CONCAT(M30, "ㄏ"))</f>
        <v>ㄜㄏ</v>
      </c>
      <c r="S31" t="s">
        <v>91</v>
      </c>
      <c r="T31" t="s">
        <v>188</v>
      </c>
    </row>
    <row r="32" spans="1:20" ht="44.25">
      <c r="A32" s="54">
        <v>31</v>
      </c>
      <c r="B32" s="54">
        <f xml:space="preserve"> IF(MOD(韻母表[[#This Row],[序號]],2)=0, 韻母表[[#This Row],[序號]]/2, ROUNDUP(韻母表[[#This Row],[序號]]/2,0))</f>
        <v>16</v>
      </c>
      <c r="C32" s="55" t="s">
        <v>270</v>
      </c>
      <c r="D32" s="56" t="s">
        <v>92</v>
      </c>
      <c r="E32" s="86" t="s">
        <v>1341</v>
      </c>
      <c r="F32" s="86"/>
      <c r="G32" s="57" t="s">
        <v>189</v>
      </c>
      <c r="H32" s="57" t="s">
        <v>189</v>
      </c>
      <c r="I32" s="57" t="s">
        <v>189</v>
      </c>
      <c r="J32" s="57" t="s">
        <v>189</v>
      </c>
      <c r="K32" s="57" t="s">
        <v>189</v>
      </c>
      <c r="L32" s="57" t="s">
        <v>1130</v>
      </c>
      <c r="M32" s="57" t="s">
        <v>1130</v>
      </c>
      <c r="S32" t="s">
        <v>92</v>
      </c>
      <c r="T32" t="s">
        <v>189</v>
      </c>
    </row>
    <row r="33" spans="1:20" ht="44.25">
      <c r="A33" s="54">
        <v>32</v>
      </c>
      <c r="B33" s="54">
        <f xml:space="preserve"> IF(MOD(韻母表[[#This Row],[序號]],2)=0, 韻母表[[#This Row],[序號]]/2, ROUNDUP(韻母表[[#This Row],[序號]]/2,0))</f>
        <v>16</v>
      </c>
      <c r="C33" s="62"/>
      <c r="D33" s="63"/>
      <c r="E33" s="86"/>
      <c r="F33" s="86"/>
      <c r="G33" s="57" t="str">
        <f xml:space="preserve"> IF(G32="", "", _xlfn.CONCAT(G32, "h"))</f>
        <v>aih</v>
      </c>
      <c r="H33" s="57" t="str">
        <f t="shared" ref="H33" si="17" xml:space="preserve"> IF(H32="", "", _xlfn.CONCAT(H32, "h"))</f>
        <v>aih</v>
      </c>
      <c r="I33" s="57" t="str">
        <f t="shared" ref="I33" si="18" xml:space="preserve"> IF(I32="", "", _xlfn.CONCAT(I32, "h"))</f>
        <v>aih</v>
      </c>
      <c r="J33" s="57" t="str">
        <f t="shared" ref="J33" si="19" xml:space="preserve"> IF(J32="", "", _xlfn.CONCAT(J32, "h"))</f>
        <v>aih</v>
      </c>
      <c r="K33" s="57" t="str">
        <f t="shared" ref="K33" si="20" xml:space="preserve"> IF(K32="", "", _xlfn.CONCAT(K32, "h"))</f>
        <v>aih</v>
      </c>
      <c r="L33" s="368" t="str">
        <f xml:space="preserve"> IF(L32="", "", _xlfn.CONCAT(L32, "ㆷ"))</f>
        <v>ㄞㆷ</v>
      </c>
      <c r="M33" s="368" t="str">
        <f xml:space="preserve"> IF(M32="", "", _xlfn.CONCAT(M32, "ㄏ"))</f>
        <v>ㄞㄏ</v>
      </c>
      <c r="T33" t="s">
        <v>2571</v>
      </c>
    </row>
    <row r="34" spans="1:20" ht="44.25">
      <c r="A34" s="54">
        <v>33</v>
      </c>
      <c r="B34" s="54">
        <f xml:space="preserve"> IF(MOD(韻母表[[#This Row],[序號]],2)=0, 韻母表[[#This Row],[序號]]/2, ROUNDUP(韻母表[[#This Row],[序號]]/2,0))</f>
        <v>17</v>
      </c>
      <c r="C34" s="55" t="s">
        <v>271</v>
      </c>
      <c r="D34" s="56" t="s">
        <v>94</v>
      </c>
      <c r="E34" s="86" t="s">
        <v>190</v>
      </c>
      <c r="F34" s="86"/>
      <c r="G34" s="57" t="s">
        <v>190</v>
      </c>
      <c r="H34" s="57" t="s">
        <v>190</v>
      </c>
      <c r="I34" s="57" t="s">
        <v>190</v>
      </c>
      <c r="J34" s="57" t="s">
        <v>190</v>
      </c>
      <c r="K34" s="57" t="s">
        <v>190</v>
      </c>
      <c r="L34" s="57" t="s">
        <v>1131</v>
      </c>
      <c r="M34" s="57" t="s">
        <v>1131</v>
      </c>
      <c r="S34" t="s">
        <v>94</v>
      </c>
      <c r="T34" t="s">
        <v>190</v>
      </c>
    </row>
    <row r="35" spans="1:20" ht="44.25">
      <c r="A35" s="54">
        <v>34</v>
      </c>
      <c r="B35" s="54">
        <f xml:space="preserve"> IF(MOD(韻母表[[#This Row],[序號]],2)=0, 韻母表[[#This Row],[序號]]/2, ROUNDUP(韻母表[[#This Row],[序號]]/2,0))</f>
        <v>17</v>
      </c>
      <c r="C35" s="55" t="s">
        <v>272</v>
      </c>
      <c r="D35" s="56" t="s">
        <v>95</v>
      </c>
      <c r="E35" s="86" t="s">
        <v>1132</v>
      </c>
      <c r="F35" s="86"/>
      <c r="G35" s="57" t="s">
        <v>191</v>
      </c>
      <c r="H35" s="57" t="s">
        <v>191</v>
      </c>
      <c r="I35" s="57" t="s">
        <v>191</v>
      </c>
      <c r="J35" s="57" t="s">
        <v>191</v>
      </c>
      <c r="K35" s="57" t="s">
        <v>191</v>
      </c>
      <c r="L35" s="57" t="s">
        <v>1133</v>
      </c>
      <c r="M35" s="57" t="s">
        <v>1134</v>
      </c>
      <c r="S35" t="s">
        <v>95</v>
      </c>
      <c r="T35" t="s">
        <v>191</v>
      </c>
    </row>
    <row r="36" spans="1:20" ht="44.25">
      <c r="A36" s="54">
        <v>35</v>
      </c>
      <c r="B36" s="54">
        <f xml:space="preserve"> IF(MOD(韻母表[[#This Row],[序號]],2)=0, 韻母表[[#This Row],[序號]]/2, ROUNDUP(韻母表[[#This Row],[序號]]/2,0))</f>
        <v>18</v>
      </c>
      <c r="C36" s="55" t="s">
        <v>274</v>
      </c>
      <c r="D36" s="56" t="s">
        <v>96</v>
      </c>
      <c r="E36" s="86" t="s">
        <v>1342</v>
      </c>
      <c r="F36" s="86"/>
      <c r="G36" s="57" t="s">
        <v>192</v>
      </c>
      <c r="H36" s="57" t="s">
        <v>192</v>
      </c>
      <c r="I36" s="57" t="s">
        <v>192</v>
      </c>
      <c r="J36" s="57" t="s">
        <v>192</v>
      </c>
      <c r="K36" s="57" t="s">
        <v>192</v>
      </c>
      <c r="L36" s="57" t="s">
        <v>1135</v>
      </c>
      <c r="M36" s="57" t="s">
        <v>1135</v>
      </c>
      <c r="S36" t="s">
        <v>96</v>
      </c>
      <c r="T36" t="s">
        <v>192</v>
      </c>
    </row>
    <row r="37" spans="1:20" ht="44.25">
      <c r="A37" s="54">
        <v>36</v>
      </c>
      <c r="B37" s="54">
        <f xml:space="preserve"> IF(MOD(韻母表[[#This Row],[序號]],2)=0, 韻母表[[#This Row],[序號]]/2, ROUNDUP(韻母表[[#This Row],[序號]]/2,0))</f>
        <v>18</v>
      </c>
      <c r="C37" s="55" t="s">
        <v>275</v>
      </c>
      <c r="D37" s="56" t="s">
        <v>97</v>
      </c>
      <c r="E37" s="86" t="s">
        <v>1343</v>
      </c>
      <c r="F37" s="86"/>
      <c r="G37" s="57" t="s">
        <v>193</v>
      </c>
      <c r="H37" s="57" t="s">
        <v>193</v>
      </c>
      <c r="I37" s="57" t="s">
        <v>193</v>
      </c>
      <c r="J37" s="57" t="s">
        <v>193</v>
      </c>
      <c r="K37" s="57" t="s">
        <v>193</v>
      </c>
      <c r="L37" s="57" t="s">
        <v>1136</v>
      </c>
      <c r="M37" s="57" t="s">
        <v>1137</v>
      </c>
      <c r="S37" t="s">
        <v>97</v>
      </c>
      <c r="T37" t="s">
        <v>193</v>
      </c>
    </row>
    <row r="38" spans="1:20" ht="44.25">
      <c r="A38" s="54">
        <v>37</v>
      </c>
      <c r="B38" s="54">
        <f xml:space="preserve"> IF(MOD(韻母表[[#This Row],[序號]],2)=0, 韻母表[[#This Row],[序號]]/2, ROUNDUP(韻母表[[#This Row],[序號]]/2,0))</f>
        <v>19</v>
      </c>
      <c r="C38" s="55" t="s">
        <v>276</v>
      </c>
      <c r="D38" s="56" t="s">
        <v>98</v>
      </c>
      <c r="E38" s="86" t="s">
        <v>194</v>
      </c>
      <c r="F38" s="86"/>
      <c r="G38" s="57" t="s">
        <v>194</v>
      </c>
      <c r="H38" s="57" t="s">
        <v>194</v>
      </c>
      <c r="I38" s="57" t="s">
        <v>194</v>
      </c>
      <c r="J38" s="57" t="s">
        <v>194</v>
      </c>
      <c r="K38" s="57" t="s">
        <v>194</v>
      </c>
      <c r="L38" s="57" t="s">
        <v>1138</v>
      </c>
      <c r="M38" s="57" t="s">
        <v>1139</v>
      </c>
      <c r="S38" t="s">
        <v>98</v>
      </c>
      <c r="T38" t="s">
        <v>194</v>
      </c>
    </row>
    <row r="39" spans="1:20" ht="44.25">
      <c r="A39" s="54">
        <v>38</v>
      </c>
      <c r="B39" s="54">
        <f xml:space="preserve"> IF(MOD(韻母表[[#This Row],[序號]],2)=0, 韻母表[[#This Row],[序號]]/2, ROUNDUP(韻母表[[#This Row],[序號]]/2,0))</f>
        <v>19</v>
      </c>
      <c r="C39" s="55" t="s">
        <v>277</v>
      </c>
      <c r="D39" s="56" t="s">
        <v>99</v>
      </c>
      <c r="E39" s="86" t="s">
        <v>1140</v>
      </c>
      <c r="F39" s="86"/>
      <c r="G39" s="57" t="s">
        <v>195</v>
      </c>
      <c r="H39" s="57" t="s">
        <v>195</v>
      </c>
      <c r="I39" s="57" t="s">
        <v>195</v>
      </c>
      <c r="J39" s="57" t="s">
        <v>195</v>
      </c>
      <c r="K39" s="57" t="s">
        <v>195</v>
      </c>
      <c r="L39" s="57" t="s">
        <v>1141</v>
      </c>
      <c r="M39" s="57" t="s">
        <v>1142</v>
      </c>
      <c r="S39" t="s">
        <v>99</v>
      </c>
      <c r="T39" t="s">
        <v>195</v>
      </c>
    </row>
    <row r="40" spans="1:20" ht="44.25">
      <c r="A40" s="54">
        <v>39</v>
      </c>
      <c r="B40" s="54">
        <f xml:space="preserve"> IF(MOD(韻母表[[#This Row],[序號]],2)=0, 韻母表[[#This Row],[序號]]/2, ROUNDUP(韻母表[[#This Row],[序號]]/2,0))</f>
        <v>20</v>
      </c>
      <c r="C40" s="55" t="s">
        <v>278</v>
      </c>
      <c r="D40" s="56" t="s">
        <v>100</v>
      </c>
      <c r="E40" s="86" t="s">
        <v>196</v>
      </c>
      <c r="F40" s="86"/>
      <c r="G40" s="57" t="s">
        <v>196</v>
      </c>
      <c r="H40" s="57" t="s">
        <v>196</v>
      </c>
      <c r="I40" s="57" t="s">
        <v>1143</v>
      </c>
      <c r="J40" s="57" t="s">
        <v>196</v>
      </c>
      <c r="K40" s="57" t="s">
        <v>196</v>
      </c>
      <c r="L40" s="57" t="s">
        <v>1144</v>
      </c>
      <c r="M40" s="57" t="s">
        <v>1144</v>
      </c>
      <c r="S40" t="s">
        <v>100</v>
      </c>
      <c r="T40" t="s">
        <v>196</v>
      </c>
    </row>
    <row r="41" spans="1:20" ht="44.25">
      <c r="A41" s="54">
        <v>40</v>
      </c>
      <c r="B41" s="54">
        <f xml:space="preserve"> IF(MOD(韻母表[[#This Row],[序號]],2)=0, 韻母表[[#This Row],[序號]]/2, ROUNDUP(韻母表[[#This Row],[序號]]/2,0))</f>
        <v>20</v>
      </c>
      <c r="C41" s="55" t="s">
        <v>279</v>
      </c>
      <c r="D41" s="56" t="s">
        <v>101</v>
      </c>
      <c r="E41" s="86" t="s">
        <v>1145</v>
      </c>
      <c r="F41" s="86"/>
      <c r="G41" s="57" t="str">
        <f xml:space="preserve"> IF(G40="", "", _xlfn.CONCAT(G40, "h"))</f>
        <v>uah</v>
      </c>
      <c r="H41" s="57" t="str">
        <f t="shared" ref="H41" si="21" xml:space="preserve"> IF(H40="", "", _xlfn.CONCAT(H40, "h"))</f>
        <v>uah</v>
      </c>
      <c r="I41" s="57" t="str">
        <f t="shared" ref="I41" si="22" xml:space="preserve"> IF(I40="", "", _xlfn.CONCAT(I40, "h"))</f>
        <v>oah</v>
      </c>
      <c r="J41" s="57" t="str">
        <f t="shared" ref="J41" si="23" xml:space="preserve"> IF(J40="", "", _xlfn.CONCAT(J40, "h"))</f>
        <v>uah</v>
      </c>
      <c r="K41" s="57" t="str">
        <f t="shared" ref="K41" si="24" xml:space="preserve"> IF(K40="", "", _xlfn.CONCAT(K40, "h"))</f>
        <v>uah</v>
      </c>
      <c r="L41" s="368" t="str">
        <f xml:space="preserve"> IF(L40="", "", _xlfn.CONCAT(L40, "ㆷ"))</f>
        <v>ㄨㄚㆷ</v>
      </c>
      <c r="M41" s="368" t="str">
        <f xml:space="preserve"> IF(M40="", "", _xlfn.CONCAT(M40, "ㄏ"))</f>
        <v>ㄨㄚㄏ</v>
      </c>
      <c r="S41" t="s">
        <v>101</v>
      </c>
      <c r="T41" t="s">
        <v>197</v>
      </c>
    </row>
    <row r="42" spans="1:20" ht="44.25">
      <c r="A42" s="54">
        <v>41</v>
      </c>
      <c r="B42" s="54">
        <f xml:space="preserve"> IF(MOD(韻母表[[#This Row],[序號]],2)=0, 韻母表[[#This Row],[序號]]/2, ROUNDUP(韻母表[[#This Row],[序號]]/2,0))</f>
        <v>21</v>
      </c>
      <c r="C42" s="55" t="s">
        <v>280</v>
      </c>
      <c r="D42" s="56" t="s">
        <v>102</v>
      </c>
      <c r="E42" s="86" t="s">
        <v>1344</v>
      </c>
      <c r="F42" s="86"/>
      <c r="G42" s="57" t="s">
        <v>198</v>
      </c>
      <c r="H42" s="57" t="s">
        <v>198</v>
      </c>
      <c r="I42" s="57" t="s">
        <v>198</v>
      </c>
      <c r="J42" s="57" t="s">
        <v>198</v>
      </c>
      <c r="K42" s="57" t="s">
        <v>198</v>
      </c>
      <c r="L42" s="57" t="s">
        <v>1149</v>
      </c>
      <c r="M42" s="57" t="s">
        <v>1149</v>
      </c>
      <c r="S42" t="s">
        <v>102</v>
      </c>
      <c r="T42" t="s">
        <v>198</v>
      </c>
    </row>
    <row r="43" spans="1:20" ht="44.25">
      <c r="A43" s="54">
        <v>42</v>
      </c>
      <c r="B43" s="54">
        <f xml:space="preserve"> IF(MOD(韻母表[[#This Row],[序號]],2)=0, 韻母表[[#This Row],[序號]]/2, ROUNDUP(韻母表[[#This Row],[序號]]/2,0))</f>
        <v>21</v>
      </c>
      <c r="C43" s="55" t="s">
        <v>281</v>
      </c>
      <c r="D43" s="56" t="s">
        <v>103</v>
      </c>
      <c r="E43" s="86" t="s">
        <v>1150</v>
      </c>
      <c r="F43" s="86"/>
      <c r="G43" s="57" t="s">
        <v>199</v>
      </c>
      <c r="H43" s="57" t="s">
        <v>199</v>
      </c>
      <c r="I43" s="57" t="s">
        <v>199</v>
      </c>
      <c r="J43" s="57" t="s">
        <v>199</v>
      </c>
      <c r="K43" s="57" t="s">
        <v>199</v>
      </c>
      <c r="L43" s="57" t="s">
        <v>1151</v>
      </c>
      <c r="M43" s="57" t="s">
        <v>1152</v>
      </c>
      <c r="S43" t="s">
        <v>103</v>
      </c>
      <c r="T43" t="s">
        <v>199</v>
      </c>
    </row>
    <row r="44" spans="1:20" ht="44.25">
      <c r="A44" s="54">
        <v>43</v>
      </c>
      <c r="B44" s="54">
        <f xml:space="preserve"> IF(MOD(韻母表[[#This Row],[序號]],2)=0, 韻母表[[#This Row],[序號]]/2, ROUNDUP(韻母表[[#This Row],[序號]]/2,0))</f>
        <v>22</v>
      </c>
      <c r="C44" s="55" t="s">
        <v>282</v>
      </c>
      <c r="D44" s="56" t="s">
        <v>104</v>
      </c>
      <c r="E44" s="86" t="s">
        <v>1345</v>
      </c>
      <c r="F44" s="86"/>
      <c r="G44" s="57" t="s">
        <v>200</v>
      </c>
      <c r="H44" s="57" t="s">
        <v>200</v>
      </c>
      <c r="I44" s="57" t="s">
        <v>200</v>
      </c>
      <c r="J44" s="57" t="s">
        <v>200</v>
      </c>
      <c r="K44" s="57" t="s">
        <v>200</v>
      </c>
      <c r="L44" s="57" t="s">
        <v>1153</v>
      </c>
      <c r="M44" s="57" t="s">
        <v>1154</v>
      </c>
      <c r="S44" t="s">
        <v>104</v>
      </c>
      <c r="T44" t="s">
        <v>200</v>
      </c>
    </row>
    <row r="45" spans="1:20" ht="44.25">
      <c r="A45" s="54">
        <v>44</v>
      </c>
      <c r="B45" s="54">
        <f xml:space="preserve"> IF(MOD(韻母表[[#This Row],[序號]],2)=0, 韻母表[[#This Row],[序號]]/2, ROUNDUP(韻母表[[#This Row],[序號]]/2,0))</f>
        <v>22</v>
      </c>
      <c r="C45" s="55" t="s">
        <v>283</v>
      </c>
      <c r="D45" s="56" t="s">
        <v>105</v>
      </c>
      <c r="E45" s="86" t="s">
        <v>1346</v>
      </c>
      <c r="F45" s="86"/>
      <c r="G45" s="57" t="s">
        <v>201</v>
      </c>
      <c r="H45" s="57" t="s">
        <v>201</v>
      </c>
      <c r="I45" s="57" t="s">
        <v>201</v>
      </c>
      <c r="J45" s="57" t="s">
        <v>201</v>
      </c>
      <c r="K45" s="57" t="s">
        <v>201</v>
      </c>
      <c r="L45" s="57" t="s">
        <v>1155</v>
      </c>
      <c r="M45" s="57" t="s">
        <v>1156</v>
      </c>
      <c r="S45" t="s">
        <v>105</v>
      </c>
      <c r="T45" t="s">
        <v>201</v>
      </c>
    </row>
    <row r="46" spans="1:20" ht="44.25">
      <c r="A46" s="54">
        <v>45</v>
      </c>
      <c r="B46" s="54">
        <f xml:space="preserve"> IF(MOD(韻母表[[#This Row],[序號]],2)=0, 韻母表[[#This Row],[序號]]/2, ROUNDUP(韻母表[[#This Row],[序號]]/2,0))</f>
        <v>23</v>
      </c>
      <c r="C46" s="55" t="s">
        <v>284</v>
      </c>
      <c r="D46" s="56" t="s">
        <v>106</v>
      </c>
      <c r="E46" s="86" t="s">
        <v>1347</v>
      </c>
      <c r="F46" s="86"/>
      <c r="G46" s="57" t="s">
        <v>202</v>
      </c>
      <c r="H46" s="57" t="s">
        <v>202</v>
      </c>
      <c r="I46" s="57" t="s">
        <v>202</v>
      </c>
      <c r="J46" s="57" t="s">
        <v>1157</v>
      </c>
      <c r="K46" s="57" t="s">
        <v>202</v>
      </c>
      <c r="L46" s="57" t="s">
        <v>1158</v>
      </c>
      <c r="M46" s="57" t="s">
        <v>1158</v>
      </c>
      <c r="S46" t="s">
        <v>106</v>
      </c>
      <c r="T46" t="s">
        <v>202</v>
      </c>
    </row>
    <row r="47" spans="1:20" ht="44.25">
      <c r="A47" s="54">
        <v>46</v>
      </c>
      <c r="B47" s="54">
        <f xml:space="preserve"> IF(MOD(韻母表[[#This Row],[序號]],2)=0, 韻母表[[#This Row],[序號]]/2, ROUNDUP(韻母表[[#This Row],[序號]]/2,0))</f>
        <v>23</v>
      </c>
      <c r="C47" s="55" t="s">
        <v>285</v>
      </c>
      <c r="D47" s="56" t="s">
        <v>107</v>
      </c>
      <c r="E47" s="86" t="s">
        <v>1159</v>
      </c>
      <c r="F47" s="86"/>
      <c r="G47" s="57" t="str">
        <f xml:space="preserve"> IF(G46="", "", _xlfn.CONCAT(G46, "h"))</f>
        <v>auh</v>
      </c>
      <c r="H47" s="57" t="str">
        <f t="shared" ref="H47" si="25" xml:space="preserve"> IF(H46="", "", _xlfn.CONCAT(H46, "h"))</f>
        <v>auh</v>
      </c>
      <c r="I47" s="57" t="str">
        <f t="shared" ref="I47" si="26" xml:space="preserve"> IF(I46="", "", _xlfn.CONCAT(I46, "h"))</f>
        <v>auh</v>
      </c>
      <c r="J47" s="57" t="str">
        <f t="shared" ref="J47" si="27" xml:space="preserve"> IF(J46="", "", _xlfn.CONCAT(J46, "h"))</f>
        <v>aoh</v>
      </c>
      <c r="K47" s="57" t="str">
        <f t="shared" ref="K47" si="28" xml:space="preserve"> IF(K46="", "", _xlfn.CONCAT(K46, "h"))</f>
        <v>auh</v>
      </c>
      <c r="L47" s="368" t="str">
        <f xml:space="preserve"> IF(L46="", "", _xlfn.CONCAT(L46, "ㆷ"))</f>
        <v>ㄠㆷ</v>
      </c>
      <c r="M47" s="368" t="str">
        <f xml:space="preserve"> IF(M46="", "", _xlfn.CONCAT(M46, "ㄏ"))</f>
        <v>ㄠㄏ</v>
      </c>
      <c r="S47" t="s">
        <v>107</v>
      </c>
      <c r="T47" t="s">
        <v>203</v>
      </c>
    </row>
    <row r="48" spans="1:20" ht="44.25">
      <c r="A48" s="54">
        <v>47</v>
      </c>
      <c r="B48" s="54">
        <f xml:space="preserve"> IF(MOD(韻母表[[#This Row],[序號]],2)=0, 韻母表[[#This Row],[序號]]/2, ROUNDUP(韻母表[[#This Row],[序號]]/2,0))</f>
        <v>24</v>
      </c>
      <c r="C48" s="55" t="s">
        <v>286</v>
      </c>
      <c r="D48" s="56" t="s">
        <v>108</v>
      </c>
      <c r="E48" s="86" t="s">
        <v>1348</v>
      </c>
      <c r="F48" s="86"/>
      <c r="G48" s="57" t="s">
        <v>204</v>
      </c>
      <c r="H48" s="57" t="s">
        <v>204</v>
      </c>
      <c r="I48" s="57" t="s">
        <v>204</v>
      </c>
      <c r="J48" s="57" t="s">
        <v>204</v>
      </c>
      <c r="K48" s="57" t="s">
        <v>204</v>
      </c>
      <c r="L48" s="57" t="s">
        <v>1163</v>
      </c>
      <c r="M48" s="57" t="s">
        <v>1163</v>
      </c>
      <c r="S48" t="s">
        <v>108</v>
      </c>
      <c r="T48" t="s">
        <v>204</v>
      </c>
    </row>
    <row r="49" spans="1:20" ht="44.25">
      <c r="A49" s="54">
        <v>48</v>
      </c>
      <c r="B49" s="54">
        <f xml:space="preserve"> IF(MOD(韻母表[[#This Row],[序號]],2)=0, 韻母表[[#This Row],[序號]]/2, ROUNDUP(韻母表[[#This Row],[序號]]/2,0))</f>
        <v>24</v>
      </c>
      <c r="C49" s="55" t="s">
        <v>287</v>
      </c>
      <c r="D49" s="56" t="s">
        <v>109</v>
      </c>
      <c r="E49" s="86" t="s">
        <v>1349</v>
      </c>
      <c r="F49" s="86"/>
      <c r="G49" s="57" t="str">
        <f xml:space="preserve"> IF(G48="", "", _xlfn.CONCAT(G48, "h"))</f>
        <v>iah</v>
      </c>
      <c r="H49" s="57" t="str">
        <f t="shared" ref="H49" si="29" xml:space="preserve"> IF(H48="", "", _xlfn.CONCAT(H48, "h"))</f>
        <v>iah</v>
      </c>
      <c r="I49" s="57" t="str">
        <f t="shared" ref="I49" si="30" xml:space="preserve"> IF(I48="", "", _xlfn.CONCAT(I48, "h"))</f>
        <v>iah</v>
      </c>
      <c r="J49" s="57" t="str">
        <f t="shared" ref="J49" si="31" xml:space="preserve"> IF(J48="", "", _xlfn.CONCAT(J48, "h"))</f>
        <v>iah</v>
      </c>
      <c r="K49" s="57" t="str">
        <f t="shared" ref="K49" si="32" xml:space="preserve"> IF(K48="", "", _xlfn.CONCAT(K48, "h"))</f>
        <v>iah</v>
      </c>
      <c r="L49" s="368" t="str">
        <f xml:space="preserve"> IF(L48="", "", _xlfn.CONCAT(L48, "ㆷ"))</f>
        <v>ㄧㄚㆷ</v>
      </c>
      <c r="M49" s="368" t="str">
        <f xml:space="preserve"> IF(M48="", "", _xlfn.CONCAT(M48, "ㄏ"))</f>
        <v>ㄧㄚㄏ</v>
      </c>
      <c r="S49" t="s">
        <v>109</v>
      </c>
      <c r="T49" t="s">
        <v>205</v>
      </c>
    </row>
    <row r="50" spans="1:20" ht="44.25">
      <c r="A50" s="54">
        <v>49</v>
      </c>
      <c r="B50" s="54">
        <f xml:space="preserve"> IF(MOD(韻母表[[#This Row],[序號]],2)=0, 韻母表[[#This Row],[序號]]/2, ROUNDUP(韻母表[[#This Row],[序號]]/2,0))</f>
        <v>25</v>
      </c>
      <c r="C50" s="55" t="s">
        <v>288</v>
      </c>
      <c r="D50" s="56" t="s">
        <v>110</v>
      </c>
      <c r="E50" s="86" t="s">
        <v>1380</v>
      </c>
      <c r="F50" s="86" t="s">
        <v>1326</v>
      </c>
      <c r="G50" s="57" t="s">
        <v>206</v>
      </c>
      <c r="H50" s="57" t="s">
        <v>206</v>
      </c>
      <c r="I50" s="57" t="s">
        <v>1166</v>
      </c>
      <c r="J50" s="57" t="s">
        <v>206</v>
      </c>
      <c r="K50" s="57" t="s">
        <v>206</v>
      </c>
      <c r="L50" s="57" t="s">
        <v>1167</v>
      </c>
      <c r="M50" s="57" t="s">
        <v>1168</v>
      </c>
      <c r="S50" t="s">
        <v>110</v>
      </c>
      <c r="T50" t="s">
        <v>206</v>
      </c>
    </row>
    <row r="51" spans="1:20" ht="44.25">
      <c r="A51" s="54">
        <v>50</v>
      </c>
      <c r="B51" s="54">
        <f xml:space="preserve"> IF(MOD(韻母表[[#This Row],[序號]],2)=0, 韻母表[[#This Row],[序號]]/2, ROUNDUP(韻母表[[#This Row],[序號]]/2,0))</f>
        <v>25</v>
      </c>
      <c r="C51" s="55" t="s">
        <v>289</v>
      </c>
      <c r="D51" s="56" t="s">
        <v>111</v>
      </c>
      <c r="E51" s="86" t="s">
        <v>1381</v>
      </c>
      <c r="F51" s="86" t="s">
        <v>1379</v>
      </c>
      <c r="G51" s="57" t="str">
        <f xml:space="preserve"> IF(G50="", "", _xlfn.CONCAT(G50, "h"))</f>
        <v>ueh</v>
      </c>
      <c r="H51" s="57" t="str">
        <f t="shared" ref="H51" si="33" xml:space="preserve"> IF(H50="", "", _xlfn.CONCAT(H50, "h"))</f>
        <v>ueh</v>
      </c>
      <c r="I51" s="57" t="str">
        <f t="shared" ref="I51" si="34" xml:space="preserve"> IF(I50="", "", _xlfn.CONCAT(I50, "h"))</f>
        <v>oeh</v>
      </c>
      <c r="J51" s="57" t="str">
        <f t="shared" ref="J51" si="35" xml:space="preserve"> IF(J50="", "", _xlfn.CONCAT(J50, "h"))</f>
        <v>ueh</v>
      </c>
      <c r="K51" s="57" t="str">
        <f t="shared" ref="K51" si="36" xml:space="preserve"> IF(K50="", "", _xlfn.CONCAT(K50, "h"))</f>
        <v>ueh</v>
      </c>
      <c r="L51" s="368" t="str">
        <f xml:space="preserve"> IF(L50="", "", _xlfn.CONCAT(L50, "ㆷ"))</f>
        <v>ㄨㆤㆷ</v>
      </c>
      <c r="M51" s="368" t="str">
        <f xml:space="preserve"> IF(M50="", "", _xlfn.CONCAT(M50, "ㄏ"))</f>
        <v>ㄨㄝㄏ</v>
      </c>
      <c r="S51" t="s">
        <v>111</v>
      </c>
      <c r="T51" t="s">
        <v>207</v>
      </c>
    </row>
    <row r="52" spans="1:20" ht="44.25">
      <c r="A52" s="54">
        <v>51</v>
      </c>
      <c r="B52" s="54">
        <f xml:space="preserve"> IF(MOD(韻母表[[#This Row],[序號]],2)=0, 韻母表[[#This Row],[序號]]/2, ROUNDUP(韻母表[[#This Row],[序號]]/2,0))</f>
        <v>26</v>
      </c>
      <c r="C52" s="55" t="s">
        <v>290</v>
      </c>
      <c r="D52" s="56" t="s">
        <v>112</v>
      </c>
      <c r="E52" s="86" t="s">
        <v>1172</v>
      </c>
      <c r="F52" s="86"/>
      <c r="G52" s="57" t="s">
        <v>208</v>
      </c>
      <c r="H52" s="57" t="s">
        <v>208</v>
      </c>
      <c r="I52" s="57" t="s">
        <v>1173</v>
      </c>
      <c r="J52" s="57" t="s">
        <v>335</v>
      </c>
      <c r="K52" s="57" t="s">
        <v>208</v>
      </c>
      <c r="L52" s="57" t="s">
        <v>1174</v>
      </c>
      <c r="M52" s="57" t="s">
        <v>1175</v>
      </c>
      <c r="S52" t="s">
        <v>112</v>
      </c>
      <c r="T52" t="s">
        <v>208</v>
      </c>
    </row>
    <row r="53" spans="1:20" ht="44.25">
      <c r="A53" s="54">
        <v>52</v>
      </c>
      <c r="B53" s="54">
        <f xml:space="preserve"> IF(MOD(韻母表[[#This Row],[序號]],2)=0, 韻母表[[#This Row],[序號]]/2, ROUNDUP(韻母表[[#This Row],[序號]]/2,0))</f>
        <v>26</v>
      </c>
      <c r="C53" s="64" t="s">
        <v>291</v>
      </c>
      <c r="D53" s="56" t="s">
        <v>113</v>
      </c>
      <c r="E53" s="86" t="s">
        <v>1176</v>
      </c>
      <c r="F53" s="86"/>
      <c r="G53" s="57" t="str">
        <f xml:space="preserve"> IF(G52="", "", _xlfn.CONCAT(G52, "h"))</f>
        <v>annh</v>
      </c>
      <c r="H53" s="57" t="str">
        <f t="shared" ref="H53" si="37" xml:space="preserve"> IF(H52="", "", _xlfn.CONCAT(H52, "h"))</f>
        <v>annh</v>
      </c>
      <c r="I53" s="57" t="str">
        <f t="shared" ref="I53" si="38" xml:space="preserve"> IF(I52="", "", _xlfn.CONCAT(I52, "h"))</f>
        <v>aⁿh</v>
      </c>
      <c r="J53" s="57" t="str">
        <f t="shared" ref="J53" si="39" xml:space="preserve"> IF(J52="", "", _xlfn.CONCAT(J52, "h"))</f>
        <v>nah</v>
      </c>
      <c r="K53" s="57" t="str">
        <f t="shared" ref="K53" si="40" xml:space="preserve"> IF(K52="", "", _xlfn.CONCAT(K52, "h"))</f>
        <v>annh</v>
      </c>
      <c r="L53" s="368" t="str">
        <f xml:space="preserve"> IF(L52="", "", _xlfn.CONCAT(L52, "ㆷ"))</f>
        <v>ㆩㆷ</v>
      </c>
      <c r="M53" s="368" t="str">
        <f xml:space="preserve"> IF(M52="", "", _xlfn.CONCAT(M52, "ㄏ"))</f>
        <v>⁰ㄚㄏ</v>
      </c>
      <c r="S53" t="s">
        <v>113</v>
      </c>
      <c r="T53" t="s">
        <v>209</v>
      </c>
    </row>
    <row r="54" spans="1:20" ht="44.25">
      <c r="A54" s="54">
        <v>53</v>
      </c>
      <c r="B54" s="54">
        <f xml:space="preserve"> IF(MOD(韻母表[[#This Row],[序號]],2)=0, 韻母表[[#This Row],[序號]]/2, ROUNDUP(韻母表[[#This Row],[序號]]/2,0))</f>
        <v>27</v>
      </c>
      <c r="C54" s="55" t="s">
        <v>292</v>
      </c>
      <c r="D54" s="56" t="s">
        <v>114</v>
      </c>
      <c r="E54" s="86" t="s">
        <v>210</v>
      </c>
      <c r="F54" s="86"/>
      <c r="G54" s="57" t="s">
        <v>210</v>
      </c>
      <c r="H54" s="57" t="s">
        <v>210</v>
      </c>
      <c r="I54" s="57" t="s">
        <v>210</v>
      </c>
      <c r="J54" s="57" t="s">
        <v>210</v>
      </c>
      <c r="K54" s="57" t="s">
        <v>210</v>
      </c>
      <c r="L54" s="57" t="s">
        <v>1180</v>
      </c>
      <c r="M54" s="57" t="s">
        <v>1180</v>
      </c>
      <c r="S54" t="s">
        <v>114</v>
      </c>
      <c r="T54" t="s">
        <v>210</v>
      </c>
    </row>
    <row r="55" spans="1:20" ht="44.25">
      <c r="A55" s="54">
        <v>54</v>
      </c>
      <c r="B55" s="54">
        <f xml:space="preserve"> IF(MOD(韻母表[[#This Row],[序號]],2)=0, 韻母表[[#This Row],[序號]]/2, ROUNDUP(韻母表[[#This Row],[序號]]/2,0))</f>
        <v>27</v>
      </c>
      <c r="C55" s="55" t="s">
        <v>293</v>
      </c>
      <c r="D55" s="56" t="s">
        <v>115</v>
      </c>
      <c r="E55" s="86" t="s">
        <v>1181</v>
      </c>
      <c r="F55" s="86"/>
      <c r="G55" s="57" t="str">
        <f xml:space="preserve"> IF(G54="", "", _xlfn.CONCAT(G54, "h"))</f>
        <v>uh</v>
      </c>
      <c r="H55" s="57" t="str">
        <f t="shared" ref="H55" si="41" xml:space="preserve"> IF(H54="", "", _xlfn.CONCAT(H54, "h"))</f>
        <v>uh</v>
      </c>
      <c r="I55" s="57" t="str">
        <f t="shared" ref="I55" si="42" xml:space="preserve"> IF(I54="", "", _xlfn.CONCAT(I54, "h"))</f>
        <v>uh</v>
      </c>
      <c r="J55" s="57" t="str">
        <f t="shared" ref="J55" si="43" xml:space="preserve"> IF(J54="", "", _xlfn.CONCAT(J54, "h"))</f>
        <v>uh</v>
      </c>
      <c r="K55" s="57" t="str">
        <f t="shared" ref="K55" si="44" xml:space="preserve"> IF(K54="", "", _xlfn.CONCAT(K54, "h"))</f>
        <v>uh</v>
      </c>
      <c r="L55" s="368" t="str">
        <f xml:space="preserve"> IF(L54="", "", _xlfn.CONCAT(L54, "ㆷ"))</f>
        <v>ㄨㆷ</v>
      </c>
      <c r="M55" s="368" t="str">
        <f xml:space="preserve"> IF(M54="", "", _xlfn.CONCAT(M54, "ㄏ"))</f>
        <v>ㄨㄏ</v>
      </c>
      <c r="S55" t="s">
        <v>115</v>
      </c>
      <c r="T55" t="s">
        <v>211</v>
      </c>
    </row>
    <row r="56" spans="1:20" ht="44.25">
      <c r="A56" s="54">
        <v>55</v>
      </c>
      <c r="B56" s="54">
        <f xml:space="preserve"> IF(MOD(韻母表[[#This Row],[序號]],2)=0, 韻母表[[#This Row],[序號]]/2, ROUNDUP(韻母表[[#This Row],[序號]]/2,0))</f>
        <v>28</v>
      </c>
      <c r="C56" s="55" t="s">
        <v>294</v>
      </c>
      <c r="D56" s="56" t="s">
        <v>116</v>
      </c>
      <c r="E56" s="86" t="s">
        <v>212</v>
      </c>
      <c r="F56" s="86"/>
      <c r="G56" s="57" t="s">
        <v>212</v>
      </c>
      <c r="H56" s="57" t="s">
        <v>212</v>
      </c>
      <c r="I56" s="57" t="s">
        <v>212</v>
      </c>
      <c r="J56" s="57" t="s">
        <v>212</v>
      </c>
      <c r="K56" s="57" t="s">
        <v>212</v>
      </c>
      <c r="L56" s="57" t="s">
        <v>1184</v>
      </c>
      <c r="M56" s="57" t="s">
        <v>1184</v>
      </c>
      <c r="S56" t="s">
        <v>116</v>
      </c>
      <c r="T56" t="s">
        <v>212</v>
      </c>
    </row>
    <row r="57" spans="1:20" ht="44.25">
      <c r="A57" s="54">
        <v>56</v>
      </c>
      <c r="B57" s="54">
        <f xml:space="preserve"> IF(MOD(韻母表[[#This Row],[序號]],2)=0, 韻母表[[#This Row],[序號]]/2, ROUNDUP(韻母表[[#This Row],[序號]]/2,0))</f>
        <v>28</v>
      </c>
      <c r="C57" s="55" t="s">
        <v>295</v>
      </c>
      <c r="D57" s="56" t="s">
        <v>117</v>
      </c>
      <c r="E57" s="86" t="s">
        <v>1185</v>
      </c>
      <c r="F57" s="86"/>
      <c r="G57" s="57" t="str">
        <f xml:space="preserve"> IF(G56="", "", _xlfn.CONCAT(G56, "h"))</f>
        <v>ah</v>
      </c>
      <c r="H57" s="57" t="str">
        <f t="shared" ref="H57" si="45" xml:space="preserve"> IF(H56="", "", _xlfn.CONCAT(H56, "h"))</f>
        <v>ah</v>
      </c>
      <c r="I57" s="57" t="str">
        <f t="shared" ref="I57" si="46" xml:space="preserve"> IF(I56="", "", _xlfn.CONCAT(I56, "h"))</f>
        <v>ah</v>
      </c>
      <c r="J57" s="57" t="str">
        <f t="shared" ref="J57" si="47" xml:space="preserve"> IF(J56="", "", _xlfn.CONCAT(J56, "h"))</f>
        <v>ah</v>
      </c>
      <c r="K57" s="57" t="str">
        <f t="shared" ref="K57" si="48" xml:space="preserve"> IF(K56="", "", _xlfn.CONCAT(K56, "h"))</f>
        <v>ah</v>
      </c>
      <c r="L57" s="368" t="str">
        <f xml:space="preserve"> IF(L56="", "", _xlfn.CONCAT(L56, "ㆷ"))</f>
        <v>ㄚㆷ</v>
      </c>
      <c r="M57" s="368" t="str">
        <f xml:space="preserve"> IF(M56="", "", _xlfn.CONCAT(M56, "ㄏ"))</f>
        <v>ㄚㄏ</v>
      </c>
      <c r="S57" t="s">
        <v>117</v>
      </c>
      <c r="T57" t="s">
        <v>213</v>
      </c>
    </row>
    <row r="58" spans="1:20" ht="44.25">
      <c r="A58" s="54">
        <v>57</v>
      </c>
      <c r="B58" s="54">
        <f xml:space="preserve"> IF(MOD(韻母表[[#This Row],[序號]],2)=0, 韻母表[[#This Row],[序號]]/2, ROUNDUP(韻母表[[#This Row],[序號]]/2,0))</f>
        <v>29</v>
      </c>
      <c r="C58" s="55" t="s">
        <v>246</v>
      </c>
      <c r="D58" s="56" t="s">
        <v>118</v>
      </c>
      <c r="E58" s="86" t="s">
        <v>214</v>
      </c>
      <c r="F58" s="86"/>
      <c r="G58" s="57" t="s">
        <v>214</v>
      </c>
      <c r="H58" s="57" t="s">
        <v>214</v>
      </c>
      <c r="I58" s="57" t="s">
        <v>214</v>
      </c>
      <c r="J58" s="57" t="s">
        <v>214</v>
      </c>
      <c r="K58" s="57" t="s">
        <v>214</v>
      </c>
      <c r="L58" s="57" t="s">
        <v>1188</v>
      </c>
      <c r="M58" s="57" t="s">
        <v>1188</v>
      </c>
      <c r="S58" t="s">
        <v>118</v>
      </c>
      <c r="T58" t="s">
        <v>214</v>
      </c>
    </row>
    <row r="59" spans="1:20" ht="44.25">
      <c r="A59" s="54">
        <v>58</v>
      </c>
      <c r="B59" s="54">
        <f xml:space="preserve"> IF(MOD(韻母表[[#This Row],[序號]],2)=0, 韻母表[[#This Row],[序號]]/2, ROUNDUP(韻母表[[#This Row],[序號]]/2,0))</f>
        <v>29</v>
      </c>
      <c r="C59" s="55" t="s">
        <v>296</v>
      </c>
      <c r="D59" s="56" t="s">
        <v>119</v>
      </c>
      <c r="E59" s="86" t="s">
        <v>1189</v>
      </c>
      <c r="F59" s="86"/>
      <c r="G59" s="57" t="str">
        <f xml:space="preserve"> IF(G58="", "", _xlfn.CONCAT(G58, "h"))</f>
        <v>ih</v>
      </c>
      <c r="H59" s="57" t="str">
        <f t="shared" ref="H59" si="49" xml:space="preserve"> IF(H58="", "", _xlfn.CONCAT(H58, "h"))</f>
        <v>ih</v>
      </c>
      <c r="I59" s="57" t="str">
        <f t="shared" ref="I59" si="50" xml:space="preserve"> IF(I58="", "", _xlfn.CONCAT(I58, "h"))</f>
        <v>ih</v>
      </c>
      <c r="J59" s="57" t="str">
        <f t="shared" ref="J59" si="51" xml:space="preserve"> IF(J58="", "", _xlfn.CONCAT(J58, "h"))</f>
        <v>ih</v>
      </c>
      <c r="K59" s="57" t="str">
        <f t="shared" ref="K59" si="52" xml:space="preserve"> IF(K58="", "", _xlfn.CONCAT(K58, "h"))</f>
        <v>ih</v>
      </c>
      <c r="L59" s="368" t="str">
        <f xml:space="preserve"> IF(L58="", "", _xlfn.CONCAT(L58, "ㆷ"))</f>
        <v>ㄧㆷ</v>
      </c>
      <c r="M59" s="368" t="str">
        <f xml:space="preserve"> IF(M58="", "", _xlfn.CONCAT(M58, "ㄏ"))</f>
        <v>ㄧㄏ</v>
      </c>
      <c r="S59" t="s">
        <v>119</v>
      </c>
      <c r="T59" t="s">
        <v>215</v>
      </c>
    </row>
    <row r="60" spans="1:20" ht="44.25">
      <c r="A60" s="54">
        <v>59</v>
      </c>
      <c r="B60" s="54">
        <f xml:space="preserve"> IF(MOD(韻母表[[#This Row],[序號]],2)=0, 韻母表[[#This Row],[序號]]/2, ROUNDUP(韻母表[[#This Row],[序號]]/2,0))</f>
        <v>30</v>
      </c>
      <c r="C60" s="55" t="s">
        <v>297</v>
      </c>
      <c r="D60" s="56" t="s">
        <v>120</v>
      </c>
      <c r="E60" s="86" t="s">
        <v>1350</v>
      </c>
      <c r="F60" s="86"/>
      <c r="G60" s="57" t="s">
        <v>216</v>
      </c>
      <c r="H60" s="57" t="s">
        <v>216</v>
      </c>
      <c r="I60" s="57" t="s">
        <v>216</v>
      </c>
      <c r="J60" s="57" t="s">
        <v>216</v>
      </c>
      <c r="K60" s="57" t="s">
        <v>216</v>
      </c>
      <c r="L60" s="57" t="s">
        <v>1192</v>
      </c>
      <c r="M60" s="57" t="s">
        <v>1192</v>
      </c>
      <c r="S60" t="s">
        <v>120</v>
      </c>
      <c r="T60" t="s">
        <v>216</v>
      </c>
    </row>
    <row r="61" spans="1:20" ht="44.25">
      <c r="A61" s="54">
        <v>60</v>
      </c>
      <c r="B61" s="54">
        <f xml:space="preserve"> IF(MOD(韻母表[[#This Row],[序號]],2)=0, 韻母表[[#This Row],[序號]]/2, ROUNDUP(韻母表[[#This Row],[序號]]/2,0))</f>
        <v>30</v>
      </c>
      <c r="C61" s="62"/>
      <c r="D61" s="63"/>
      <c r="E61" s="86" t="s">
        <v>1079</v>
      </c>
      <c r="F61" s="86"/>
      <c r="G61" s="57" t="str">
        <f xml:space="preserve"> IF(G60="", "", _xlfn.CONCAT(G60, "h"))</f>
        <v>iuh</v>
      </c>
      <c r="H61" s="57" t="str">
        <f t="shared" ref="H61" si="53" xml:space="preserve"> IF(H60="", "", _xlfn.CONCAT(H60, "h"))</f>
        <v>iuh</v>
      </c>
      <c r="I61" s="57" t="str">
        <f t="shared" ref="I61" si="54" xml:space="preserve"> IF(I60="", "", _xlfn.CONCAT(I60, "h"))</f>
        <v>iuh</v>
      </c>
      <c r="J61" s="57" t="str">
        <f t="shared" ref="J61" si="55" xml:space="preserve"> IF(J60="", "", _xlfn.CONCAT(J60, "h"))</f>
        <v>iuh</v>
      </c>
      <c r="K61" s="57" t="str">
        <f t="shared" ref="K61" si="56" xml:space="preserve"> IF(K60="", "", _xlfn.CONCAT(K60, "h"))</f>
        <v>iuh</v>
      </c>
      <c r="L61" s="368" t="str">
        <f xml:space="preserve"> IF(L60="", "", _xlfn.CONCAT(L60, "ㆷ"))</f>
        <v>ㄧㄨㆷ</v>
      </c>
      <c r="M61" s="368" t="str">
        <f xml:space="preserve"> IF(M60="", "", _xlfn.CONCAT(M60, "ㄏ"))</f>
        <v>ㄧㄨㄏ</v>
      </c>
      <c r="T61" t="s">
        <v>2572</v>
      </c>
    </row>
    <row r="62" spans="1:20" ht="44.25">
      <c r="A62" s="54">
        <v>61</v>
      </c>
      <c r="B62" s="54">
        <f xml:space="preserve"> IF(MOD(韻母表[[#This Row],[序號]],2)=0, 韻母表[[#This Row],[序號]]/2, ROUNDUP(韻母表[[#This Row],[序號]]/2,0))</f>
        <v>31</v>
      </c>
      <c r="C62" s="55" t="s">
        <v>298</v>
      </c>
      <c r="D62" s="56" t="s">
        <v>122</v>
      </c>
      <c r="E62" s="86" t="str">
        <f xml:space="preserve"> _xlfn.CONCAT("e", _xlfn.UNICHAR(HEX2DEC(RIGHT("U+0303",4))))</f>
        <v>ẽ</v>
      </c>
      <c r="F62" s="86" t="str">
        <f xml:space="preserve"> _xlfn.CONCAT("ɛ", _xlfn.UNICHAR(HEX2DEC(RIGHT("U+0303",4))))</f>
        <v>ɛ̃</v>
      </c>
      <c r="G62" s="57" t="s">
        <v>217</v>
      </c>
      <c r="H62" s="57" t="s">
        <v>217</v>
      </c>
      <c r="I62" s="57" t="s">
        <v>1193</v>
      </c>
      <c r="J62" s="57" t="s">
        <v>489</v>
      </c>
      <c r="K62" s="57" t="s">
        <v>217</v>
      </c>
      <c r="L62" s="57" t="s">
        <v>1194</v>
      </c>
      <c r="M62" s="57" t="s">
        <v>1195</v>
      </c>
      <c r="S62" t="s">
        <v>122</v>
      </c>
      <c r="T62" t="s">
        <v>217</v>
      </c>
    </row>
    <row r="63" spans="1:20" ht="44.25">
      <c r="A63" s="54">
        <v>62</v>
      </c>
      <c r="B63" s="54">
        <f xml:space="preserve"> IF(MOD(韻母表[[#This Row],[序號]],2)=0, 韻母表[[#This Row],[序號]]/2, ROUNDUP(韻母表[[#This Row],[序號]]/2,0))</f>
        <v>31</v>
      </c>
      <c r="C63" s="55" t="s">
        <v>299</v>
      </c>
      <c r="D63" s="56" t="s">
        <v>123</v>
      </c>
      <c r="E63" s="86" t="str">
        <f xml:space="preserve"> _xlfn.CONCAT(E62, _xlfn.UNICHAR(HEX2DEC(RIGHT("U+0294",4))))</f>
        <v>ẽʔ</v>
      </c>
      <c r="F63" s="86" t="str">
        <f xml:space="preserve"> _xlfn.CONCAT(F62, _xlfn.UNICHAR(HEX2DEC(RIGHT("U+0294",4))))</f>
        <v>ɛ̃ʔ</v>
      </c>
      <c r="G63" s="57" t="str">
        <f xml:space="preserve"> IF(G62="", "", _xlfn.CONCAT(G62, "h"))</f>
        <v>ennh</v>
      </c>
      <c r="H63" s="57" t="str">
        <f t="shared" ref="H63" si="57" xml:space="preserve"> IF(H62="", "", _xlfn.CONCAT(H62, "h"))</f>
        <v>ennh</v>
      </c>
      <c r="I63" s="57" t="str">
        <f t="shared" ref="I63" si="58" xml:space="preserve"> IF(I62="", "", _xlfn.CONCAT(I62, "h"))</f>
        <v>eⁿh</v>
      </c>
      <c r="J63" s="57" t="str">
        <f t="shared" ref="J63" si="59" xml:space="preserve"> IF(J62="", "", _xlfn.CONCAT(J62, "h"))</f>
        <v>neh</v>
      </c>
      <c r="K63" s="57" t="str">
        <f t="shared" ref="K63" si="60" xml:space="preserve"> IF(K62="", "", _xlfn.CONCAT(K62, "h"))</f>
        <v>ennh</v>
      </c>
      <c r="L63" s="368" t="str">
        <f xml:space="preserve"> IF(L62="", "", _xlfn.CONCAT(L62, "ㆷ"))</f>
        <v>ㆥㆷ</v>
      </c>
      <c r="M63" s="368" t="str">
        <f xml:space="preserve"> IF(M62="", "", _xlfn.CONCAT(M62, "ㄏ"))</f>
        <v>⁰ㄝㄏ</v>
      </c>
      <c r="S63" t="s">
        <v>123</v>
      </c>
      <c r="T63" t="s">
        <v>218</v>
      </c>
    </row>
    <row r="64" spans="1:20" ht="44.25">
      <c r="A64" s="54">
        <v>63</v>
      </c>
      <c r="B64" s="54">
        <f xml:space="preserve"> IF(MOD(韻母表[[#This Row],[序號]],2)=0, 韻母表[[#This Row],[序號]]/2, ROUNDUP(韻母表[[#This Row],[序號]]/2,0))</f>
        <v>32</v>
      </c>
      <c r="C64" s="55" t="s">
        <v>1327</v>
      </c>
      <c r="D64" s="63" t="s">
        <v>124</v>
      </c>
      <c r="E64" s="86" t="s">
        <v>1199</v>
      </c>
      <c r="F64" s="86"/>
      <c r="G64" s="57" t="s">
        <v>219</v>
      </c>
      <c r="H64" s="57" t="s">
        <v>219</v>
      </c>
      <c r="I64" s="57" t="s">
        <v>1200</v>
      </c>
      <c r="J64" s="57" t="s">
        <v>1201</v>
      </c>
      <c r="K64" s="57" t="s">
        <v>219</v>
      </c>
      <c r="L64" s="57" t="s">
        <v>1202</v>
      </c>
      <c r="M64" s="57" t="s">
        <v>1203</v>
      </c>
      <c r="S64" t="s">
        <v>124</v>
      </c>
      <c r="T64" t="s">
        <v>219</v>
      </c>
    </row>
    <row r="65" spans="1:20" ht="44.25">
      <c r="A65" s="54">
        <v>64</v>
      </c>
      <c r="B65" s="54">
        <f xml:space="preserve"> IF(MOD(韻母表[[#This Row],[序號]],2)=0, 韻母表[[#This Row],[序號]]/2, ROUNDUP(韻母表[[#This Row],[序號]]/2,0))</f>
        <v>32</v>
      </c>
      <c r="C65" s="62"/>
      <c r="D65" s="63"/>
      <c r="E65" s="86"/>
      <c r="F65" s="86"/>
      <c r="G65" s="57" t="str">
        <f xml:space="preserve"> IF(G64="", "", _xlfn.CONCAT(G64, "h"))</f>
        <v>uinnh</v>
      </c>
      <c r="H65" s="57" t="str">
        <f t="shared" ref="H65" si="61" xml:space="preserve"> IF(H64="", "", _xlfn.CONCAT(H64, "h"))</f>
        <v>uinnh</v>
      </c>
      <c r="I65" s="57" t="str">
        <f t="shared" ref="I65" si="62" xml:space="preserve"> IF(I64="", "", _xlfn.CONCAT(I64, "h"))</f>
        <v>uiⁿh</v>
      </c>
      <c r="J65" s="57" t="str">
        <f t="shared" ref="J65" si="63" xml:space="preserve"> IF(J64="", "", _xlfn.CONCAT(J64, "h"))</f>
        <v>nuih</v>
      </c>
      <c r="K65" s="57" t="str">
        <f t="shared" ref="K65" si="64" xml:space="preserve"> IF(K64="", "", _xlfn.CONCAT(K64, "h"))</f>
        <v>uinnh</v>
      </c>
      <c r="L65" s="368" t="str">
        <f xml:space="preserve"> IF(L64="", "", _xlfn.CONCAT(L64, "ㆷ"))</f>
        <v>ㄨㆪㆷ</v>
      </c>
      <c r="M65" s="368" t="str">
        <f xml:space="preserve"> IF(M64="", "", _xlfn.CONCAT(M64, "ㄏ"))</f>
        <v>⁰ㄨㄧㄏ</v>
      </c>
      <c r="T65" t="s">
        <v>2573</v>
      </c>
    </row>
    <row r="66" spans="1:20" ht="44.25">
      <c r="A66" s="54">
        <v>65</v>
      </c>
      <c r="B66" s="54">
        <f xml:space="preserve"> IF(MOD(韻母表[[#This Row],[序號]],2)=0, 韻母表[[#This Row],[序號]]/2, ROUNDUP(韻母表[[#This Row],[序號]]/2,0))</f>
        <v>33</v>
      </c>
      <c r="C66" s="55" t="s">
        <v>300</v>
      </c>
      <c r="D66" s="56" t="s">
        <v>126</v>
      </c>
      <c r="E66" s="86" t="s">
        <v>1351</v>
      </c>
      <c r="F66" s="86"/>
      <c r="G66" s="57" t="s">
        <v>220</v>
      </c>
      <c r="H66" s="57" t="s">
        <v>220</v>
      </c>
      <c r="I66" s="57" t="s">
        <v>220</v>
      </c>
      <c r="J66" s="57" t="s">
        <v>220</v>
      </c>
      <c r="K66" s="57" t="s">
        <v>1204</v>
      </c>
      <c r="L66" s="57" t="s">
        <v>1205</v>
      </c>
      <c r="M66" s="57" t="s">
        <v>1205</v>
      </c>
      <c r="S66" t="s">
        <v>126</v>
      </c>
      <c r="T66" t="s">
        <v>220</v>
      </c>
    </row>
    <row r="67" spans="1:20" ht="44.25">
      <c r="A67" s="54">
        <v>66</v>
      </c>
      <c r="B67" s="54">
        <f xml:space="preserve"> IF(MOD(韻母表[[#This Row],[序號]],2)=0, 韻母表[[#This Row],[序號]]/2, ROUNDUP(韻母表[[#This Row],[序號]]/2,0))</f>
        <v>33</v>
      </c>
      <c r="C67" s="55" t="s">
        <v>301</v>
      </c>
      <c r="D67" s="56" t="s">
        <v>127</v>
      </c>
      <c r="E67" s="86" t="s">
        <v>1352</v>
      </c>
      <c r="F67" s="86"/>
      <c r="G67" s="57" t="str">
        <f xml:space="preserve"> IF(G66="", "", _xlfn.CONCAT(G66, "h"))</f>
        <v>ioh</v>
      </c>
      <c r="H67" s="57" t="str">
        <f t="shared" ref="H67" si="65" xml:space="preserve"> IF(H66="", "", _xlfn.CONCAT(H66, "h"))</f>
        <v>ioh</v>
      </c>
      <c r="I67" s="57" t="str">
        <f t="shared" ref="I67" si="66" xml:space="preserve"> IF(I66="", "", _xlfn.CONCAT(I66, "h"))</f>
        <v>ioh</v>
      </c>
      <c r="J67" s="57" t="str">
        <f t="shared" ref="J67" si="67" xml:space="preserve"> IF(J66="", "", _xlfn.CONCAT(J66, "h"))</f>
        <v>ioh</v>
      </c>
      <c r="K67" s="57" t="str">
        <f t="shared" ref="K67" si="68" xml:space="preserve"> IF(K66="", "", _xlfn.CONCAT(K66, "h"))</f>
        <v>iorh</v>
      </c>
      <c r="L67" s="368" t="str">
        <f xml:space="preserve"> IF(L66="", "", _xlfn.CONCAT(L66, "ㆷ"))</f>
        <v>ㄧㄜㆷ</v>
      </c>
      <c r="M67" s="368" t="str">
        <f xml:space="preserve"> IF(M66="", "", _xlfn.CONCAT(M66, "ㄏ"))</f>
        <v>ㄧㄜㄏ</v>
      </c>
      <c r="S67" t="s">
        <v>127</v>
      </c>
      <c r="T67" t="s">
        <v>221</v>
      </c>
    </row>
    <row r="68" spans="1:20" ht="44.25">
      <c r="A68" s="54">
        <v>67</v>
      </c>
      <c r="B68" s="54">
        <f xml:space="preserve"> IF(MOD(韻母表[[#This Row],[序號]],2)=0, 韻母表[[#This Row],[序號]]/2, ROUNDUP(韻母表[[#This Row],[序號]]/2,0))</f>
        <v>34</v>
      </c>
      <c r="C68" s="55" t="s">
        <v>302</v>
      </c>
      <c r="D68" s="56" t="s">
        <v>128</v>
      </c>
      <c r="E68" s="86" t="s">
        <v>1209</v>
      </c>
      <c r="F68" s="86"/>
      <c r="G68" s="57" t="s">
        <v>222</v>
      </c>
      <c r="H68" s="57" t="s">
        <v>222</v>
      </c>
      <c r="I68" s="57" t="s">
        <v>1210</v>
      </c>
      <c r="J68" s="57" t="s">
        <v>532</v>
      </c>
      <c r="K68" s="57" t="s">
        <v>222</v>
      </c>
      <c r="L68" s="57" t="s">
        <v>1211</v>
      </c>
      <c r="M68" s="57" t="s">
        <v>1212</v>
      </c>
      <c r="S68" t="s">
        <v>128</v>
      </c>
      <c r="T68" t="s">
        <v>222</v>
      </c>
    </row>
    <row r="69" spans="1:20" ht="44.25">
      <c r="A69" s="54">
        <v>68</v>
      </c>
      <c r="B69" s="54">
        <f xml:space="preserve"> IF(MOD(韻母表[[#This Row],[序號]],2)=0, 韻母表[[#This Row],[序號]]/2, ROUNDUP(韻母表[[#This Row],[序號]]/2,0))</f>
        <v>34</v>
      </c>
      <c r="C69" s="62"/>
      <c r="D69" s="63" t="s">
        <v>129</v>
      </c>
      <c r="E69" s="86" t="s">
        <v>1353</v>
      </c>
      <c r="F69" s="86"/>
      <c r="G69" s="57" t="str">
        <f xml:space="preserve"> IF(G68="", "", _xlfn.CONCAT(G68, "h"))</f>
        <v>innh</v>
      </c>
      <c r="H69" s="57" t="str">
        <f t="shared" ref="H69" si="69" xml:space="preserve"> IF(H68="", "", _xlfn.CONCAT(H68, "h"))</f>
        <v>innh</v>
      </c>
      <c r="I69" s="57" t="str">
        <f t="shared" ref="I69" si="70" xml:space="preserve"> IF(I68="", "", _xlfn.CONCAT(I68, "h"))</f>
        <v>iⁿh</v>
      </c>
      <c r="J69" s="57" t="str">
        <f t="shared" ref="J69" si="71" xml:space="preserve"> IF(J68="", "", _xlfn.CONCAT(J68, "h"))</f>
        <v>nih</v>
      </c>
      <c r="K69" s="57" t="str">
        <f t="shared" ref="K69" si="72" xml:space="preserve"> IF(K68="", "", _xlfn.CONCAT(K68, "h"))</f>
        <v>innh</v>
      </c>
      <c r="L69" s="368" t="str">
        <f xml:space="preserve"> IF(L68="", "", _xlfn.CONCAT(L68, "ㆷ"))</f>
        <v>ㆪㆷ</v>
      </c>
      <c r="M69" s="368" t="str">
        <f xml:space="preserve"> IF(M68="", "", _xlfn.CONCAT(M68, "ㄏ"))</f>
        <v>⁰ㄧㄏ</v>
      </c>
      <c r="S69" t="s">
        <v>129</v>
      </c>
      <c r="T69" t="s">
        <v>223</v>
      </c>
    </row>
    <row r="70" spans="1:20" ht="44.25">
      <c r="A70" s="54">
        <v>69</v>
      </c>
      <c r="B70" s="54">
        <f xml:space="preserve"> IF(MOD(韻母表[[#This Row],[序號]],2)=0, 韻母表[[#This Row],[序號]]/2, ROUNDUP(韻母表[[#This Row],[序號]]/2,0))</f>
        <v>35</v>
      </c>
      <c r="C70" s="65" t="s">
        <v>303</v>
      </c>
      <c r="D70" s="63" t="s">
        <v>130</v>
      </c>
      <c r="E70" s="86" t="s">
        <v>1354</v>
      </c>
      <c r="F70" s="86"/>
      <c r="G70" s="57" t="s">
        <v>224</v>
      </c>
      <c r="H70" s="57" t="s">
        <v>224</v>
      </c>
      <c r="I70" s="57" t="s">
        <v>1213</v>
      </c>
      <c r="J70" s="57" t="s">
        <v>1214</v>
      </c>
      <c r="K70" s="57" t="s">
        <v>1215</v>
      </c>
      <c r="L70" s="57" t="s">
        <v>1216</v>
      </c>
      <c r="M70" s="57" t="s">
        <v>1217</v>
      </c>
      <c r="S70" t="s">
        <v>130</v>
      </c>
      <c r="T70" t="s">
        <v>224</v>
      </c>
    </row>
    <row r="71" spans="1:20" ht="44.25">
      <c r="A71" s="54">
        <v>70</v>
      </c>
      <c r="B71" s="54">
        <f xml:space="preserve"> IF(MOD(韻母表[[#This Row],[序號]],2)=0, 韻母表[[#This Row],[序號]]/2, ROUNDUP(韻母表[[#This Row],[序號]]/2,0))</f>
        <v>35</v>
      </c>
      <c r="C71" s="62"/>
      <c r="D71" s="63"/>
      <c r="E71" s="86" t="s">
        <v>1079</v>
      </c>
      <c r="F71" s="86"/>
      <c r="G71" s="57" t="str">
        <f xml:space="preserve"> IF(G70="", "", _xlfn.CONCAT(G70, "h"))</f>
        <v>ionnh</v>
      </c>
      <c r="H71" s="57" t="str">
        <f t="shared" ref="H71" si="73" xml:space="preserve"> IF(H70="", "", _xlfn.CONCAT(H70, "h"))</f>
        <v>ionnh</v>
      </c>
      <c r="I71" s="57" t="str">
        <f t="shared" ref="I71" si="74" xml:space="preserve"> IF(I70="", "", _xlfn.CONCAT(I70, "h"))</f>
        <v>ioⁿh</v>
      </c>
      <c r="J71" s="57" t="str">
        <f t="shared" ref="J71" si="75" xml:space="preserve"> IF(J70="", "", _xlfn.CONCAT(J70, "h"))</f>
        <v>niooh</v>
      </c>
      <c r="K71" s="57" t="str">
        <f t="shared" ref="K71" si="76" xml:space="preserve"> IF(K70="", "", _xlfn.CONCAT(K70, "h"))</f>
        <v>ioonnh</v>
      </c>
      <c r="L71" s="368" t="str">
        <f xml:space="preserve"> IF(L70="", "", _xlfn.CONCAT(L70, "ㆷ"))</f>
        <v>ㄧㆧㆷ</v>
      </c>
      <c r="M71" s="368" t="str">
        <f xml:space="preserve"> IF(M70="", "", _xlfn.CONCAT(M70, "ㄏ"))</f>
        <v>⁰ㄧㄛㄏ</v>
      </c>
      <c r="T71" t="s">
        <v>2574</v>
      </c>
    </row>
    <row r="72" spans="1:20" ht="44.25">
      <c r="A72" s="54">
        <v>71</v>
      </c>
      <c r="B72" s="54">
        <f xml:space="preserve"> IF(MOD(韻母表[[#This Row],[序號]],2)=0, 韻母表[[#This Row],[序號]]/2, ROUNDUP(韻母表[[#This Row],[序號]]/2,0))</f>
        <v>36</v>
      </c>
      <c r="C72" s="55" t="s">
        <v>304</v>
      </c>
      <c r="D72" s="56" t="s">
        <v>132</v>
      </c>
      <c r="E72" s="86" t="s">
        <v>1355</v>
      </c>
      <c r="F72" s="86"/>
      <c r="G72" s="57" t="s">
        <v>305</v>
      </c>
      <c r="H72" s="57" t="s">
        <v>305</v>
      </c>
      <c r="I72" s="57" t="s">
        <v>1218</v>
      </c>
      <c r="J72" s="57" t="s">
        <v>543</v>
      </c>
      <c r="K72" s="57" t="s">
        <v>305</v>
      </c>
      <c r="L72" s="57" t="s">
        <v>1219</v>
      </c>
      <c r="M72" s="57" t="s">
        <v>1220</v>
      </c>
      <c r="S72" t="s">
        <v>132</v>
      </c>
      <c r="T72" t="s">
        <v>305</v>
      </c>
    </row>
    <row r="73" spans="1:20" ht="44.25">
      <c r="A73" s="54">
        <v>72</v>
      </c>
      <c r="B73" s="54">
        <f xml:space="preserve"> IF(MOD(韻母表[[#This Row],[序號]],2)=0, 韻母表[[#This Row],[序號]]/2, ROUNDUP(韻母表[[#This Row],[序號]]/2,0))</f>
        <v>36</v>
      </c>
      <c r="C73" s="62"/>
      <c r="D73" s="56" t="s">
        <v>1386</v>
      </c>
      <c r="E73" s="86" t="str">
        <f xml:space="preserve"> _xlfn.CONCAT(E72, "h")</f>
        <v>ɪãh</v>
      </c>
      <c r="F73" s="86"/>
      <c r="G73" s="57" t="str">
        <f xml:space="preserve"> IF(G72="", "", _xlfn.CONCAT(G72, "h"))</f>
        <v>iannh</v>
      </c>
      <c r="H73" s="57" t="str">
        <f t="shared" ref="H73" si="77" xml:space="preserve"> IF(H72="", "", _xlfn.CONCAT(H72, "h"))</f>
        <v>iannh</v>
      </c>
      <c r="I73" s="57" t="str">
        <f t="shared" ref="I73" si="78" xml:space="preserve"> IF(I72="", "", _xlfn.CONCAT(I72, "h"))</f>
        <v>iaⁿh</v>
      </c>
      <c r="J73" s="57" t="str">
        <f t="shared" ref="J73" si="79" xml:space="preserve"> IF(J72="", "", _xlfn.CONCAT(J72, "h"))</f>
        <v>niah</v>
      </c>
      <c r="K73" s="57" t="str">
        <f t="shared" ref="K73" si="80" xml:space="preserve"> IF(K72="", "", _xlfn.CONCAT(K72, "h"))</f>
        <v>iannh</v>
      </c>
      <c r="L73" s="368" t="str">
        <f xml:space="preserve"> IF(L72="", "", _xlfn.CONCAT(L72, "ㆷ"))</f>
        <v>ㄧㆩㆷ</v>
      </c>
      <c r="M73" s="368" t="str">
        <f xml:space="preserve"> IF(M72="", "", _xlfn.CONCAT(M72, "ㄏ"))</f>
        <v>⁰ㄧㄚㄏ</v>
      </c>
      <c r="S73" t="s">
        <v>133</v>
      </c>
      <c r="T73" t="s">
        <v>225</v>
      </c>
    </row>
    <row r="74" spans="1:20" ht="44.25">
      <c r="A74" s="54">
        <v>73</v>
      </c>
      <c r="B74" s="54">
        <f xml:space="preserve"> IF(MOD(韻母表[[#This Row],[序號]],2)=0, 韻母表[[#This Row],[序號]]/2, ROUNDUP(韻母表[[#This Row],[序號]]/2,0))</f>
        <v>37</v>
      </c>
      <c r="C74" s="55" t="s">
        <v>307</v>
      </c>
      <c r="D74" s="56" t="s">
        <v>134</v>
      </c>
      <c r="E74" s="86" t="s">
        <v>1221</v>
      </c>
      <c r="F74" s="86"/>
      <c r="G74" s="57" t="s">
        <v>226</v>
      </c>
      <c r="H74" s="57" t="s">
        <v>226</v>
      </c>
      <c r="I74" s="57" t="s">
        <v>1222</v>
      </c>
      <c r="J74" s="57" t="s">
        <v>923</v>
      </c>
      <c r="K74" s="57" t="s">
        <v>226</v>
      </c>
      <c r="L74" s="57" t="s">
        <v>1223</v>
      </c>
      <c r="M74" s="57" t="s">
        <v>1224</v>
      </c>
      <c r="S74" t="s">
        <v>134</v>
      </c>
      <c r="T74" t="s">
        <v>226</v>
      </c>
    </row>
    <row r="75" spans="1:20" ht="44.25">
      <c r="A75" s="54">
        <v>74</v>
      </c>
      <c r="B75" s="54">
        <f xml:space="preserve"> IF(MOD(韻母表[[#This Row],[序號]],2)=0, 韻母表[[#This Row],[序號]]/2, ROUNDUP(韻母表[[#This Row],[序號]]/2,0))</f>
        <v>37</v>
      </c>
      <c r="C75" s="62"/>
      <c r="D75" s="63"/>
      <c r="E75" s="86" t="s">
        <v>1079</v>
      </c>
      <c r="F75" s="86"/>
      <c r="G75" s="57" t="str">
        <f xml:space="preserve"> IF(G74="", "", _xlfn.CONCAT(G74, "h"))</f>
        <v>uannh</v>
      </c>
      <c r="H75" s="57" t="str">
        <f t="shared" ref="H75" si="81" xml:space="preserve"> IF(H74="", "", _xlfn.CONCAT(H74, "h"))</f>
        <v>uannh</v>
      </c>
      <c r="I75" s="57" t="str">
        <f t="shared" ref="I75" si="82" xml:space="preserve"> IF(I74="", "", _xlfn.CONCAT(I74, "h"))</f>
        <v>oaⁿh</v>
      </c>
      <c r="J75" s="57" t="str">
        <f t="shared" ref="J75" si="83" xml:space="preserve"> IF(J74="", "", _xlfn.CONCAT(J74, "h"))</f>
        <v>nuah</v>
      </c>
      <c r="K75" s="57" t="str">
        <f t="shared" ref="K75" si="84" xml:space="preserve"> IF(K74="", "", _xlfn.CONCAT(K74, "h"))</f>
        <v>uannh</v>
      </c>
      <c r="L75" s="368" t="str">
        <f xml:space="preserve"> IF(L74="", "", _xlfn.CONCAT(L74, "ㆷ"))</f>
        <v>ㄨㆩㆷ</v>
      </c>
      <c r="M75" s="368" t="str">
        <f xml:space="preserve"> IF(M74="", "", _xlfn.CONCAT(M74, "ㄏ"))</f>
        <v>⁰ㄨㄚㄏ</v>
      </c>
      <c r="T75" t="s">
        <v>2575</v>
      </c>
    </row>
    <row r="76" spans="1:20" ht="44.25">
      <c r="A76" s="54">
        <v>75</v>
      </c>
      <c r="B76" s="54">
        <f xml:space="preserve"> IF(MOD(韻母表[[#This Row],[序號]],2)=0, 韻母表[[#This Row],[序號]]/2, ROUNDUP(韻母表[[#This Row],[序號]]/2,0))</f>
        <v>38</v>
      </c>
      <c r="C76" s="55" t="s">
        <v>273</v>
      </c>
      <c r="D76" s="56" t="s">
        <v>136</v>
      </c>
      <c r="E76" s="86" t="s">
        <v>1356</v>
      </c>
      <c r="F76" s="86"/>
      <c r="G76" s="57" t="s">
        <v>52</v>
      </c>
      <c r="H76" s="57" t="s">
        <v>52</v>
      </c>
      <c r="I76" s="57" t="s">
        <v>52</v>
      </c>
      <c r="J76" s="57" t="s">
        <v>52</v>
      </c>
      <c r="K76" s="57" t="s">
        <v>52</v>
      </c>
      <c r="L76" s="57" t="s">
        <v>1225</v>
      </c>
      <c r="M76" s="57" t="s">
        <v>1226</v>
      </c>
      <c r="S76" t="s">
        <v>136</v>
      </c>
      <c r="T76" t="s">
        <v>52</v>
      </c>
    </row>
    <row r="77" spans="1:20" ht="44.25">
      <c r="A77" s="54">
        <v>76</v>
      </c>
      <c r="B77" s="54">
        <f xml:space="preserve"> IF(MOD(韻母表[[#This Row],[序號]],2)=0, 韻母表[[#This Row],[序號]]/2, ROUNDUP(韻母表[[#This Row],[序號]]/2,0))</f>
        <v>38</v>
      </c>
      <c r="C77" s="62"/>
      <c r="D77" s="56" t="s">
        <v>1387</v>
      </c>
      <c r="E77" s="86" t="str">
        <f xml:space="preserve"> _xlfn.CONCAT(E76, "h")</f>
        <v>ŋ̍h</v>
      </c>
      <c r="F77" s="86"/>
      <c r="G77" s="57" t="str">
        <f xml:space="preserve"> IF(G76="", "", _xlfn.CONCAT(G76, "h"))</f>
        <v>ngh</v>
      </c>
      <c r="H77" s="57" t="str">
        <f t="shared" ref="H77" si="85" xml:space="preserve"> IF(H76="", "", _xlfn.CONCAT(H76, "h"))</f>
        <v>ngh</v>
      </c>
      <c r="I77" s="57" t="str">
        <f t="shared" ref="I77" si="86" xml:space="preserve"> IF(I76="", "", _xlfn.CONCAT(I76, "h"))</f>
        <v>ngh</v>
      </c>
      <c r="J77" s="57" t="str">
        <f t="shared" ref="J77" si="87" xml:space="preserve"> IF(J76="", "", _xlfn.CONCAT(J76, "h"))</f>
        <v>ngh</v>
      </c>
      <c r="K77" s="57" t="str">
        <f t="shared" ref="K77" si="88" xml:space="preserve"> IF(K76="", "", _xlfn.CONCAT(K76, "h"))</f>
        <v>ngh</v>
      </c>
      <c r="L77" s="368" t="str">
        <f xml:space="preserve"> IF(L76="", "", _xlfn.CONCAT(L76, "ㆷ"))</f>
        <v>ㆭㆷ</v>
      </c>
      <c r="M77" s="368" t="str">
        <f xml:space="preserve"> IF(M76="", "", _xlfn.CONCAT(M76, "ㄏ"))</f>
        <v>ㄥㄏ</v>
      </c>
      <c r="S77" t="s">
        <v>137</v>
      </c>
      <c r="T77" t="s">
        <v>826</v>
      </c>
    </row>
    <row r="78" spans="1:20" ht="44.25">
      <c r="A78" s="54">
        <v>77</v>
      </c>
      <c r="B78" s="54">
        <f xml:space="preserve"> IF(MOD(韻母表[[#This Row],[序號]],2)=0, 韻母表[[#This Row],[序號]]/2, ROUNDUP(韻母表[[#This Row],[序號]]/2,0))</f>
        <v>39</v>
      </c>
      <c r="C78" s="55" t="s">
        <v>308</v>
      </c>
      <c r="D78" s="56" t="s">
        <v>138</v>
      </c>
      <c r="E78" s="86" t="s">
        <v>1328</v>
      </c>
      <c r="F78" s="86"/>
      <c r="G78" s="57" t="s">
        <v>1328</v>
      </c>
      <c r="H78" s="57" t="s">
        <v>1328</v>
      </c>
      <c r="I78" s="57" t="s">
        <v>1328</v>
      </c>
      <c r="J78" s="57" t="s">
        <v>1328</v>
      </c>
      <c r="K78" s="57" t="s">
        <v>1328</v>
      </c>
      <c r="L78" s="367" t="s">
        <v>2525</v>
      </c>
      <c r="M78" s="369" t="s">
        <v>2536</v>
      </c>
      <c r="S78" t="s">
        <v>138</v>
      </c>
      <c r="T78" t="s">
        <v>184</v>
      </c>
    </row>
    <row r="79" spans="1:20" ht="44.25">
      <c r="A79" s="54">
        <v>78</v>
      </c>
      <c r="B79" s="54">
        <f xml:space="preserve"> IF(MOD(韻母表[[#This Row],[序號]],2)=0, 韻母表[[#This Row],[序號]]/2, ROUNDUP(韻母表[[#This Row],[序號]]/2,0))</f>
        <v>39</v>
      </c>
      <c r="C79" s="55" t="s">
        <v>309</v>
      </c>
      <c r="D79" s="56" t="s">
        <v>139</v>
      </c>
      <c r="E79" s="86" t="s">
        <v>1227</v>
      </c>
      <c r="F79" s="86"/>
      <c r="G79" s="57" t="str">
        <f xml:space="preserve"> IF(G78="", "", _xlfn.CONCAT(G78, "h"))</f>
        <v>eh</v>
      </c>
      <c r="H79" s="57" t="str">
        <f t="shared" ref="H79" si="89" xml:space="preserve"> IF(H78="", "", _xlfn.CONCAT(H78, "h"))</f>
        <v>eh</v>
      </c>
      <c r="I79" s="57" t="str">
        <f t="shared" ref="I79" si="90" xml:space="preserve"> IF(I78="", "", _xlfn.CONCAT(I78, "h"))</f>
        <v>eh</v>
      </c>
      <c r="J79" s="57" t="str">
        <f t="shared" ref="J79" si="91" xml:space="preserve"> IF(J78="", "", _xlfn.CONCAT(J78, "h"))</f>
        <v>eh</v>
      </c>
      <c r="K79" s="57" t="str">
        <f t="shared" ref="K79" si="92" xml:space="preserve"> IF(K78="", "", _xlfn.CONCAT(K78, "h"))</f>
        <v>eh</v>
      </c>
      <c r="L79" s="368" t="str">
        <f xml:space="preserve"> IF(L78="", "", _xlfn.CONCAT(L78, "ㆷ"))</f>
        <v>ㆤㆷ</v>
      </c>
      <c r="M79" s="368" t="str">
        <f xml:space="preserve"> IF(M78="", "", _xlfn.CONCAT(M78, "ㄏ"))</f>
        <v>ㄝㄏ</v>
      </c>
      <c r="S79" t="s">
        <v>139</v>
      </c>
      <c r="T79" t="s">
        <v>227</v>
      </c>
    </row>
    <row r="80" spans="1:20" ht="44.25">
      <c r="A80" s="54">
        <v>79</v>
      </c>
      <c r="B80" s="54">
        <f xml:space="preserve"> IF(MOD(韻母表[[#This Row],[序號]],2)=0, 韻母表[[#This Row],[序號]]/2, ROUNDUP(韻母表[[#This Row],[序號]]/2,0))</f>
        <v>40</v>
      </c>
      <c r="C80" s="55" t="s">
        <v>310</v>
      </c>
      <c r="D80" s="56" t="s">
        <v>140</v>
      </c>
      <c r="E80" s="86" t="s">
        <v>1357</v>
      </c>
      <c r="F80" s="86"/>
      <c r="G80" s="57" t="s">
        <v>228</v>
      </c>
      <c r="H80" s="57" t="s">
        <v>228</v>
      </c>
      <c r="I80" s="57" t="s">
        <v>1229</v>
      </c>
      <c r="J80" s="57" t="s">
        <v>364</v>
      </c>
      <c r="K80" s="57" t="s">
        <v>228</v>
      </c>
      <c r="L80" s="57" t="s">
        <v>1230</v>
      </c>
      <c r="M80" s="57" t="s">
        <v>1231</v>
      </c>
      <c r="S80" t="s">
        <v>140</v>
      </c>
      <c r="T80" t="s">
        <v>228</v>
      </c>
    </row>
    <row r="81" spans="1:20" ht="44.25">
      <c r="A81" s="54">
        <v>80</v>
      </c>
      <c r="B81" s="54">
        <f xml:space="preserve"> IF(MOD(韻母表[[#This Row],[序號]],2)=0, 韻母表[[#This Row],[序號]]/2, ROUNDUP(韻母表[[#This Row],[序號]]/2,0))</f>
        <v>40</v>
      </c>
      <c r="C81" s="62"/>
      <c r="D81" s="63"/>
      <c r="E81" s="86" t="s">
        <v>1079</v>
      </c>
      <c r="F81" s="86"/>
      <c r="G81" s="57" t="str">
        <f xml:space="preserve"> IF(G80="", "", _xlfn.CONCAT(G80, "h"))</f>
        <v>ainnh</v>
      </c>
      <c r="H81" s="57" t="str">
        <f t="shared" ref="H81" si="93" xml:space="preserve"> IF(H80="", "", _xlfn.CONCAT(H80, "h"))</f>
        <v>ainnh</v>
      </c>
      <c r="I81" s="57" t="str">
        <f t="shared" ref="I81" si="94" xml:space="preserve"> IF(I80="", "", _xlfn.CONCAT(I80, "h"))</f>
        <v>aiⁿh</v>
      </c>
      <c r="J81" s="57" t="str">
        <f t="shared" ref="J81" si="95" xml:space="preserve"> IF(J80="", "", _xlfn.CONCAT(J80, "h"))</f>
        <v>naih</v>
      </c>
      <c r="K81" s="57" t="str">
        <f t="shared" ref="K81" si="96" xml:space="preserve"> IF(K80="", "", _xlfn.CONCAT(K80, "h"))</f>
        <v>ainnh</v>
      </c>
      <c r="L81" s="368" t="str">
        <f xml:space="preserve"> IF(L80="", "", _xlfn.CONCAT(L80, "ㆷ"))</f>
        <v>ㆮㆷ</v>
      </c>
      <c r="M81" s="368" t="str">
        <f xml:space="preserve"> IF(M80="", "", _xlfn.CONCAT(M80, "ㄏ"))</f>
        <v>⁰ㄞㄏ</v>
      </c>
      <c r="T81" t="s">
        <v>2576</v>
      </c>
    </row>
    <row r="82" spans="1:20" ht="44.25">
      <c r="A82" s="54">
        <v>81</v>
      </c>
      <c r="B82" s="54">
        <f xml:space="preserve"> IF(MOD(韻母表[[#This Row],[序號]],2)=0, 韻母表[[#This Row],[序號]]/2, ROUNDUP(韻母表[[#This Row],[序號]]/2,0))</f>
        <v>41</v>
      </c>
      <c r="C82" s="62" t="s">
        <v>262</v>
      </c>
      <c r="D82" s="63" t="s">
        <v>142</v>
      </c>
      <c r="E82" s="86" t="str">
        <f xml:space="preserve"> _xlfn.CONCAT("ɔ", _xlfn.UNICHAR(HEX2DEC(RIGHT("U+0303",4))))</f>
        <v>ɔ̃</v>
      </c>
      <c r="F82" s="86" t="str">
        <f xml:space="preserve"> _xlfn.CONCAT("o", _xlfn.UNICHAR(HEX2DEC(RIGHT("U+0303",4))), "u")</f>
        <v>õu</v>
      </c>
      <c r="G82" s="57" t="s">
        <v>229</v>
      </c>
      <c r="H82" s="57" t="s">
        <v>229</v>
      </c>
      <c r="I82" s="57" t="s">
        <v>1232</v>
      </c>
      <c r="J82" s="57" t="s">
        <v>892</v>
      </c>
      <c r="K82" s="57" t="s">
        <v>1233</v>
      </c>
      <c r="L82" s="57" t="s">
        <v>1234</v>
      </c>
      <c r="M82" s="57" t="s">
        <v>1235</v>
      </c>
      <c r="S82" t="s">
        <v>142</v>
      </c>
      <c r="T82" t="s">
        <v>229</v>
      </c>
    </row>
    <row r="83" spans="1:20" ht="44.25">
      <c r="A83" s="54">
        <v>82</v>
      </c>
      <c r="B83" s="54">
        <f xml:space="preserve"> IF(MOD(韻母表[[#This Row],[序號]],2)=0, 韻母表[[#This Row],[序號]]/2, ROUNDUP(韻母表[[#This Row],[序號]]/2,0))</f>
        <v>41</v>
      </c>
      <c r="C83" s="62"/>
      <c r="D83" s="63"/>
      <c r="E83" s="86" t="s">
        <v>1079</v>
      </c>
      <c r="F83" s="86"/>
      <c r="G83" s="57" t="str">
        <f xml:space="preserve"> IF(G82="", "", _xlfn.CONCAT(G82, "h"))</f>
        <v>onnh</v>
      </c>
      <c r="H83" s="57" t="str">
        <f t="shared" ref="H83" si="97" xml:space="preserve"> IF(H82="", "", _xlfn.CONCAT(H82, "h"))</f>
        <v>onnh</v>
      </c>
      <c r="I83" s="57" t="str">
        <f t="shared" ref="I83" si="98" xml:space="preserve"> IF(I82="", "", _xlfn.CONCAT(I82, "h"))</f>
        <v>oⁿh</v>
      </c>
      <c r="J83" s="57" t="str">
        <f t="shared" ref="J83" si="99" xml:space="preserve"> IF(J82="", "", _xlfn.CONCAT(J82, "h"))</f>
        <v>nooh</v>
      </c>
      <c r="K83" s="57" t="str">
        <f t="shared" ref="K83" si="100" xml:space="preserve"> IF(K82="", "", _xlfn.CONCAT(K82, "h"))</f>
        <v>oonnh</v>
      </c>
      <c r="L83" s="368" t="str">
        <f xml:space="preserve"> IF(L82="", "", _xlfn.CONCAT(L82, "ㆷ"))</f>
        <v>ㆧㆷ</v>
      </c>
      <c r="M83" s="368" t="str">
        <f xml:space="preserve"> IF(M82="", "", _xlfn.CONCAT(M82, "ㄏ"))</f>
        <v>⁰ㄛㄏ</v>
      </c>
      <c r="T83" t="s">
        <v>238</v>
      </c>
    </row>
    <row r="84" spans="1:20" ht="44.25">
      <c r="A84" s="54">
        <v>83</v>
      </c>
      <c r="B84" s="54">
        <f xml:space="preserve"> IF(MOD(韻母表[[#This Row],[序號]],2)=0, 韻母表[[#This Row],[序號]]/2, ROUNDUP(韻母表[[#This Row],[序號]]/2,0))</f>
        <v>42</v>
      </c>
      <c r="C84" s="55" t="s">
        <v>311</v>
      </c>
      <c r="D84" s="56" t="s">
        <v>144</v>
      </c>
      <c r="E84" s="86" t="s">
        <v>1236</v>
      </c>
      <c r="F84" s="86"/>
      <c r="G84" s="57" t="s">
        <v>44</v>
      </c>
      <c r="H84" s="57" t="s">
        <v>44</v>
      </c>
      <c r="I84" s="57" t="s">
        <v>44</v>
      </c>
      <c r="J84" s="57" t="s">
        <v>44</v>
      </c>
      <c r="K84" s="57" t="s">
        <v>44</v>
      </c>
      <c r="L84" s="57" t="s">
        <v>1237</v>
      </c>
      <c r="M84" s="57" t="s">
        <v>1238</v>
      </c>
      <c r="S84" t="s">
        <v>144</v>
      </c>
      <c r="T84" t="s">
        <v>44</v>
      </c>
    </row>
    <row r="85" spans="1:20" ht="44.25">
      <c r="A85" s="54">
        <v>84</v>
      </c>
      <c r="B85" s="54">
        <f xml:space="preserve"> IF(MOD(韻母表[[#This Row],[序號]],2)=0, 韻母表[[#This Row],[序號]]/2, ROUNDUP(韻母表[[#This Row],[序號]]/2,0))</f>
        <v>42</v>
      </c>
      <c r="C85" s="62"/>
      <c r="D85" s="56" t="s">
        <v>1388</v>
      </c>
      <c r="E85" s="86" t="str">
        <f xml:space="preserve"> _xlfn.CONCAT(E84, "h")</f>
        <v>m̩h</v>
      </c>
      <c r="F85" s="86"/>
      <c r="G85" s="57" t="str">
        <f xml:space="preserve"> IF(G84="", "", _xlfn.CONCAT(G84, "h"))</f>
        <v>mh</v>
      </c>
      <c r="H85" s="57" t="str">
        <f t="shared" ref="H85" si="101" xml:space="preserve"> IF(H84="", "", _xlfn.CONCAT(H84, "h"))</f>
        <v>mh</v>
      </c>
      <c r="I85" s="57" t="str">
        <f t="shared" ref="I85" si="102" xml:space="preserve"> IF(I84="", "", _xlfn.CONCAT(I84, "h"))</f>
        <v>mh</v>
      </c>
      <c r="J85" s="57" t="str">
        <f t="shared" ref="J85" si="103" xml:space="preserve"> IF(J84="", "", _xlfn.CONCAT(J84, "h"))</f>
        <v>mh</v>
      </c>
      <c r="K85" s="57" t="str">
        <f t="shared" ref="K85" si="104" xml:space="preserve"> IF(K84="", "", _xlfn.CONCAT(K84, "h"))</f>
        <v>mh</v>
      </c>
      <c r="L85" s="368" t="str">
        <f xml:space="preserve"> IF(L84="", "", _xlfn.CONCAT(L84, "ㆷ"))</f>
        <v>ㆬㆷ</v>
      </c>
      <c r="M85" s="368" t="str">
        <f xml:space="preserve"> IF(M84="", "", _xlfn.CONCAT(M84, "ㄏ"))</f>
        <v>ㄇㄏ</v>
      </c>
      <c r="S85" t="s">
        <v>145</v>
      </c>
      <c r="T85" t="s">
        <v>813</v>
      </c>
    </row>
    <row r="86" spans="1:20" ht="44.25">
      <c r="A86" s="54">
        <v>85</v>
      </c>
      <c r="B86" s="54">
        <f xml:space="preserve"> IF(MOD(韻母表[[#This Row],[序號]],2)=0, 韻母表[[#This Row],[序號]]/2, ROUNDUP(韻母表[[#This Row],[序號]]/2,0))</f>
        <v>43</v>
      </c>
      <c r="C86" s="55" t="s">
        <v>312</v>
      </c>
      <c r="D86" s="56" t="s">
        <v>146</v>
      </c>
      <c r="E86" s="86" t="s">
        <v>1358</v>
      </c>
      <c r="F86" s="86"/>
      <c r="G86" s="57" t="s">
        <v>230</v>
      </c>
      <c r="H86" s="57" t="s">
        <v>230</v>
      </c>
      <c r="I86" s="57" t="s">
        <v>1239</v>
      </c>
      <c r="J86" s="57" t="s">
        <v>230</v>
      </c>
      <c r="K86" s="57" t="s">
        <v>230</v>
      </c>
      <c r="L86" s="57" t="s">
        <v>1240</v>
      </c>
      <c r="M86" s="57" t="s">
        <v>1240</v>
      </c>
      <c r="S86" t="s">
        <v>146</v>
      </c>
      <c r="T86" t="s">
        <v>230</v>
      </c>
    </row>
    <row r="87" spans="1:20" ht="44.25">
      <c r="A87" s="54">
        <v>86</v>
      </c>
      <c r="B87" s="54">
        <f xml:space="preserve"> IF(MOD(韻母表[[#This Row],[序號]],2)=0, 韻母表[[#This Row],[序號]]/2, ROUNDUP(韻母表[[#This Row],[序號]]/2,0))</f>
        <v>43</v>
      </c>
      <c r="C87" s="62"/>
      <c r="D87" s="63" t="s">
        <v>147</v>
      </c>
      <c r="E87" s="86" t="s">
        <v>1329</v>
      </c>
      <c r="F87" s="86"/>
      <c r="G87" s="57" t="str">
        <f xml:space="preserve"> IF(G86="", "", _xlfn.CONCAT(G86, "h"))</f>
        <v>uangh</v>
      </c>
      <c r="H87" s="57" t="str">
        <f t="shared" ref="H87" si="105" xml:space="preserve"> IF(H86="", "", _xlfn.CONCAT(H86, "h"))</f>
        <v>uangh</v>
      </c>
      <c r="I87" s="57" t="str">
        <f t="shared" ref="I87" si="106" xml:space="preserve"> IF(I86="", "", _xlfn.CONCAT(I86, "h"))</f>
        <v>oangh</v>
      </c>
      <c r="J87" s="57" t="str">
        <f t="shared" ref="J87" si="107" xml:space="preserve"> IF(J86="", "", _xlfn.CONCAT(J86, "h"))</f>
        <v>uangh</v>
      </c>
      <c r="K87" s="57" t="str">
        <f t="shared" ref="K87" si="108" xml:space="preserve"> IF(K86="", "", _xlfn.CONCAT(K86, "h"))</f>
        <v>uangh</v>
      </c>
      <c r="L87" s="368" t="str">
        <f xml:space="preserve"> IF(L86="", "", _xlfn.CONCAT(L86, "ㆷ"))</f>
        <v>ㄨㄤㆷ</v>
      </c>
      <c r="M87" s="368" t="str">
        <f xml:space="preserve"> IF(M86="", "", _xlfn.CONCAT(M86, "ㄏ"))</f>
        <v>ㄨㄤㄏ</v>
      </c>
      <c r="S87" t="s">
        <v>147</v>
      </c>
      <c r="T87" t="s">
        <v>2577</v>
      </c>
    </row>
    <row r="88" spans="1:20" ht="44.25">
      <c r="A88" s="54">
        <v>87</v>
      </c>
      <c r="B88" s="54">
        <f xml:space="preserve"> IF(MOD(韻母表[[#This Row],[序號]],2)=0, 韻母表[[#This Row],[序號]]/2, ROUNDUP(韻母表[[#This Row],[序號]]/2,0))</f>
        <v>44</v>
      </c>
      <c r="C88" s="62"/>
      <c r="D88" s="63" t="s">
        <v>148</v>
      </c>
      <c r="E88" s="86" t="s">
        <v>1241</v>
      </c>
      <c r="F88" s="86"/>
      <c r="G88" s="57" t="s">
        <v>232</v>
      </c>
      <c r="H88" s="57" t="s">
        <v>232</v>
      </c>
      <c r="I88" s="57" t="s">
        <v>1242</v>
      </c>
      <c r="J88" s="57" t="s">
        <v>1243</v>
      </c>
      <c r="K88" s="57" t="s">
        <v>232</v>
      </c>
      <c r="L88" s="57" t="s">
        <v>1244</v>
      </c>
      <c r="M88" s="57" t="s">
        <v>2534</v>
      </c>
      <c r="S88" t="s">
        <v>148</v>
      </c>
      <c r="T88" t="s">
        <v>232</v>
      </c>
    </row>
    <row r="89" spans="1:20" ht="44.25">
      <c r="A89" s="54">
        <v>88</v>
      </c>
      <c r="B89" s="54">
        <f xml:space="preserve"> IF(MOD(韻母表[[#This Row],[序號]],2)=0, 韻母表[[#This Row],[序號]]/2, ROUNDUP(韻母表[[#This Row],[序號]]/2,0))</f>
        <v>44</v>
      </c>
      <c r="C89" s="62"/>
      <c r="D89" s="63" t="s">
        <v>149</v>
      </c>
      <c r="E89" s="86" t="s">
        <v>1246</v>
      </c>
      <c r="F89" s="86"/>
      <c r="G89" s="57" t="str">
        <f xml:space="preserve"> IF(G88="", "", _xlfn.CONCAT(G88, "h"))</f>
        <v>uainnh</v>
      </c>
      <c r="H89" s="57" t="str">
        <f t="shared" ref="H89" si="109" xml:space="preserve"> IF(H88="", "", _xlfn.CONCAT(H88, "h"))</f>
        <v>uainnh</v>
      </c>
      <c r="I89" s="57" t="str">
        <f t="shared" ref="I89" si="110" xml:space="preserve"> IF(I88="", "", _xlfn.CONCAT(I88, "h"))</f>
        <v>oaiⁿh</v>
      </c>
      <c r="J89" s="57" t="str">
        <f t="shared" ref="J89" si="111" xml:space="preserve"> IF(J88="", "", _xlfn.CONCAT(J88, "h"))</f>
        <v>nuaih</v>
      </c>
      <c r="K89" s="57" t="str">
        <f t="shared" ref="K89" si="112" xml:space="preserve"> IF(K88="", "", _xlfn.CONCAT(K88, "h"))</f>
        <v>uainnh</v>
      </c>
      <c r="L89" s="368" t="str">
        <f xml:space="preserve"> IF(L88="", "", _xlfn.CONCAT(L88, "ㆷ"))</f>
        <v>ㄨㆮㆷ</v>
      </c>
      <c r="M89" s="368" t="str">
        <f xml:space="preserve"> IF(M88="", "", _xlfn.CONCAT(M88, "ㄏ"))</f>
        <v>⁰ㄨㄞㄏ</v>
      </c>
      <c r="S89" t="s">
        <v>149</v>
      </c>
      <c r="T89" t="s">
        <v>233</v>
      </c>
    </row>
    <row r="90" spans="1:20" ht="44.25">
      <c r="A90" s="54">
        <v>89</v>
      </c>
      <c r="B90" s="54">
        <f xml:space="preserve"> IF(MOD(韻母表[[#This Row],[序號]],2)=0, 韻母表[[#This Row],[序號]]/2, ROUNDUP(韻母表[[#This Row],[序號]]/2,0))</f>
        <v>45</v>
      </c>
      <c r="C90" s="65" t="s">
        <v>313</v>
      </c>
      <c r="D90" s="63" t="s">
        <v>150</v>
      </c>
      <c r="E90" s="86" t="s">
        <v>1365</v>
      </c>
      <c r="F90" s="86"/>
      <c r="G90" s="57" t="s">
        <v>1380</v>
      </c>
      <c r="H90" s="57" t="s">
        <v>1380</v>
      </c>
      <c r="I90" s="57" t="s">
        <v>1881</v>
      </c>
      <c r="J90" s="57" t="s">
        <v>1380</v>
      </c>
      <c r="K90" s="57" t="s">
        <v>1380</v>
      </c>
      <c r="L90" s="367" t="s">
        <v>2533</v>
      </c>
      <c r="M90" s="57" t="s">
        <v>2535</v>
      </c>
      <c r="O90" s="95"/>
      <c r="S90" t="s">
        <v>150</v>
      </c>
      <c r="T90" t="s">
        <v>206</v>
      </c>
    </row>
    <row r="91" spans="1:20" ht="44.25">
      <c r="A91" s="54">
        <v>90</v>
      </c>
      <c r="B91" s="54">
        <f xml:space="preserve"> IF(MOD(韻母表[[#This Row],[序號]],2)=0, 韻母表[[#This Row],[序號]]/2, ROUNDUP(韻母表[[#This Row],[序號]]/2,0))</f>
        <v>45</v>
      </c>
      <c r="C91" s="65" t="s">
        <v>314</v>
      </c>
      <c r="D91" s="63" t="s">
        <v>151</v>
      </c>
      <c r="E91" s="86" t="s">
        <v>1364</v>
      </c>
      <c r="F91" s="86"/>
      <c r="G91" s="57" t="str">
        <f xml:space="preserve"> IF(G90="", "", _xlfn.CONCAT(G90, "h"))</f>
        <v>ueh</v>
      </c>
      <c r="H91" s="57" t="str">
        <f t="shared" ref="H91" si="113" xml:space="preserve"> IF(H90="", "", _xlfn.CONCAT(H90, "h"))</f>
        <v>ueh</v>
      </c>
      <c r="I91" s="57" t="str">
        <f t="shared" ref="I91" si="114" xml:space="preserve"> IF(I90="", "", _xlfn.CONCAT(I90, "h"))</f>
        <v>oeh</v>
      </c>
      <c r="J91" s="57" t="str">
        <f t="shared" ref="J91" si="115" xml:space="preserve"> IF(J90="", "", _xlfn.CONCAT(J90, "h"))</f>
        <v>ueh</v>
      </c>
      <c r="K91" s="57" t="str">
        <f t="shared" ref="K91" si="116" xml:space="preserve"> IF(K90="", "", _xlfn.CONCAT(K90, "h"))</f>
        <v>ueh</v>
      </c>
      <c r="L91" s="368" t="str">
        <f xml:space="preserve"> IF(L90="", "", _xlfn.CONCAT(L90, "ㆷ"))</f>
        <v>ㄨㆥㆷ</v>
      </c>
      <c r="M91" s="368" t="str">
        <f xml:space="preserve"> IF(M90="", "", _xlfn.CONCAT(M90, "ㄏ"))</f>
        <v>⁰ㄨㄝㄏ</v>
      </c>
      <c r="S91" t="s">
        <v>151</v>
      </c>
      <c r="T91" t="s">
        <v>207</v>
      </c>
    </row>
    <row r="92" spans="1:20" ht="44.25">
      <c r="A92" s="54">
        <v>91</v>
      </c>
      <c r="B92" s="54">
        <f xml:space="preserve"> IF(MOD(韻母表[[#This Row],[序號]],2)=0, 韻母表[[#This Row],[序號]]/2, ROUNDUP(韻母表[[#This Row],[序號]]/2,0))</f>
        <v>46</v>
      </c>
      <c r="C92" s="55" t="s">
        <v>316</v>
      </c>
      <c r="D92" s="63" t="s">
        <v>152</v>
      </c>
      <c r="E92" s="86" t="s">
        <v>1359</v>
      </c>
      <c r="F92" s="86"/>
      <c r="G92" s="57" t="s">
        <v>235</v>
      </c>
      <c r="H92" s="57" t="s">
        <v>235</v>
      </c>
      <c r="I92" s="57" t="s">
        <v>2530</v>
      </c>
      <c r="J92" s="57" t="s">
        <v>1252</v>
      </c>
      <c r="K92" s="57" t="s">
        <v>235</v>
      </c>
      <c r="L92" s="57" t="s">
        <v>1253</v>
      </c>
      <c r="M92" s="57" t="s">
        <v>1254</v>
      </c>
      <c r="S92" t="s">
        <v>152</v>
      </c>
      <c r="T92" t="s">
        <v>235</v>
      </c>
    </row>
    <row r="93" spans="1:20" ht="44.25">
      <c r="A93" s="54">
        <v>92</v>
      </c>
      <c r="B93" s="54">
        <f xml:space="preserve"> IF(MOD(韻母表[[#This Row],[序號]],2)=0, 韻母表[[#This Row],[序號]]/2, ROUNDUP(韻母表[[#This Row],[序號]]/2,0))</f>
        <v>46</v>
      </c>
      <c r="C93" s="55" t="s">
        <v>318</v>
      </c>
      <c r="D93" s="63" t="s">
        <v>153</v>
      </c>
      <c r="E93" s="86" t="s">
        <v>1366</v>
      </c>
      <c r="F93" s="86"/>
      <c r="G93" s="57" t="str">
        <f xml:space="preserve"> IF(G92="", "", _xlfn.CONCAT(G92, "h"))</f>
        <v>iaunnh</v>
      </c>
      <c r="H93" s="57" t="str">
        <f t="shared" ref="H93" si="117" xml:space="preserve"> IF(H92="", "", _xlfn.CONCAT(H92, "h"))</f>
        <v>iaunnh</v>
      </c>
      <c r="I93" s="57" t="str">
        <f t="shared" ref="I93" si="118" xml:space="preserve"> IF(I92="", "", _xlfn.CONCAT(I92, "h"))</f>
        <v>iauⁿh</v>
      </c>
      <c r="J93" s="57" t="str">
        <f t="shared" ref="J93" si="119" xml:space="preserve"> IF(J92="", "", _xlfn.CONCAT(J92, "h"))</f>
        <v>niaoh</v>
      </c>
      <c r="K93" s="57" t="str">
        <f t="shared" ref="K93" si="120" xml:space="preserve"> IF(K92="", "", _xlfn.CONCAT(K92, "h"))</f>
        <v>iaunnh</v>
      </c>
      <c r="L93" s="368" t="str">
        <f xml:space="preserve"> IF(L92="", "", _xlfn.CONCAT(L92, "ㆷ"))</f>
        <v>ㄧㆯㆷ</v>
      </c>
      <c r="M93" s="368" t="str">
        <f xml:space="preserve"> IF(M92="", "", _xlfn.CONCAT(M92, "ㄏ"))</f>
        <v>⁰ㄧㄠㄏ</v>
      </c>
      <c r="S93" t="s">
        <v>153</v>
      </c>
      <c r="T93" t="s">
        <v>2578</v>
      </c>
    </row>
    <row r="94" spans="1:20" ht="44.25">
      <c r="A94" s="54">
        <v>93</v>
      </c>
      <c r="B94" s="54">
        <f xml:space="preserve"> IF(MOD(韻母表[[#This Row],[序號]],2)=0, 韻母表[[#This Row],[序號]]/2, ROUNDUP(韻母表[[#This Row],[序號]]/2,0))</f>
        <v>47</v>
      </c>
      <c r="C94" s="55" t="s">
        <v>319</v>
      </c>
      <c r="D94" s="56" t="s">
        <v>154</v>
      </c>
      <c r="E94" s="86" t="s">
        <v>1360</v>
      </c>
      <c r="F94" s="86"/>
      <c r="G94" s="57" t="s">
        <v>236</v>
      </c>
      <c r="H94" s="57" t="s">
        <v>236</v>
      </c>
      <c r="I94" s="57" t="s">
        <v>236</v>
      </c>
      <c r="J94" s="57" t="s">
        <v>236</v>
      </c>
      <c r="K94" s="57" t="s">
        <v>1255</v>
      </c>
      <c r="L94" s="57" t="s">
        <v>1256</v>
      </c>
      <c r="M94" s="57" t="s">
        <v>1257</v>
      </c>
      <c r="S94" t="s">
        <v>154</v>
      </c>
      <c r="T94" t="s">
        <v>236</v>
      </c>
    </row>
    <row r="95" spans="1:20" ht="44.25">
      <c r="A95" s="54">
        <v>94</v>
      </c>
      <c r="B95" s="54">
        <f xml:space="preserve"> IF(MOD(韻母表[[#This Row],[序號]],2)=0, 韻母表[[#This Row],[序號]]/2, ROUNDUP(韻母表[[#This Row],[序號]]/2,0))</f>
        <v>47</v>
      </c>
      <c r="C95" s="55" t="s">
        <v>320</v>
      </c>
      <c r="D95" s="63" t="s">
        <v>155</v>
      </c>
      <c r="E95" s="86" t="s">
        <v>1361</v>
      </c>
      <c r="F95" s="86"/>
      <c r="G95" s="57" t="s">
        <v>1258</v>
      </c>
      <c r="H95" s="57" t="s">
        <v>1258</v>
      </c>
      <c r="I95" s="57" t="s">
        <v>1258</v>
      </c>
      <c r="J95" s="57" t="s">
        <v>1258</v>
      </c>
      <c r="K95" s="57" t="s">
        <v>1259</v>
      </c>
      <c r="L95" s="57" t="s">
        <v>1260</v>
      </c>
      <c r="M95" s="57" t="s">
        <v>1261</v>
      </c>
      <c r="S95" t="s">
        <v>155</v>
      </c>
      <c r="T95" t="s">
        <v>1258</v>
      </c>
    </row>
    <row r="96" spans="1:20" ht="32.25">
      <c r="A96" s="54">
        <v>95</v>
      </c>
      <c r="B96" s="54">
        <f xml:space="preserve"> IF(MOD(韻母表[[#This Row],[序號]],2)=0, 韻母表[[#This Row],[序號]]/2, ROUNDUP(韻母表[[#This Row],[序號]]/2,0))</f>
        <v>48</v>
      </c>
      <c r="C96" s="66" t="s">
        <v>322</v>
      </c>
      <c r="D96" s="56" t="s">
        <v>156</v>
      </c>
      <c r="E96" s="86" t="s">
        <v>1367</v>
      </c>
      <c r="F96" s="86"/>
      <c r="G96" s="57" t="s">
        <v>2529</v>
      </c>
      <c r="H96" s="57" t="s">
        <v>2529</v>
      </c>
      <c r="I96" s="57" t="s">
        <v>2531</v>
      </c>
      <c r="J96" s="57" t="s">
        <v>2532</v>
      </c>
      <c r="K96" s="57" t="s">
        <v>2529</v>
      </c>
      <c r="L96" s="367" t="s">
        <v>2527</v>
      </c>
      <c r="M96" s="57" t="s">
        <v>2528</v>
      </c>
      <c r="S96" t="s">
        <v>156</v>
      </c>
      <c r="T96" t="s">
        <v>237</v>
      </c>
    </row>
    <row r="97" spans="1:20" ht="44.25">
      <c r="A97" s="54">
        <v>96</v>
      </c>
      <c r="B97" s="54">
        <f xml:space="preserve"> IF(MOD(韻母表[[#This Row],[序號]],2)=0, 韻母表[[#This Row],[序號]]/2, ROUNDUP(韻母表[[#This Row],[序號]]/2,0))</f>
        <v>48</v>
      </c>
      <c r="C97" s="55"/>
      <c r="D97" s="63"/>
      <c r="E97" s="86" t="s">
        <v>1079</v>
      </c>
      <c r="F97" s="86"/>
      <c r="G97" s="57" t="str">
        <f xml:space="preserve"> IF(G96="", "", _xlfn.CONCAT(G96, "h"))</f>
        <v>aunnh</v>
      </c>
      <c r="H97" s="57" t="str">
        <f t="shared" ref="H97" si="121" xml:space="preserve"> IF(H96="", "", _xlfn.CONCAT(H96, "h"))</f>
        <v>aunnh</v>
      </c>
      <c r="I97" s="57" t="str">
        <f t="shared" ref="I97" si="122" xml:space="preserve"> IF(I96="", "", _xlfn.CONCAT(I96, "h"))</f>
        <v>aoⁿh</v>
      </c>
      <c r="J97" s="57" t="str">
        <f t="shared" ref="J97" si="123" xml:space="preserve"> IF(J96="", "", _xlfn.CONCAT(J96, "h"))</f>
        <v>nauh</v>
      </c>
      <c r="K97" s="57" t="str">
        <f t="shared" ref="K97" si="124" xml:space="preserve"> IF(K96="", "", _xlfn.CONCAT(K96, "h"))</f>
        <v>aunnh</v>
      </c>
      <c r="L97" s="368" t="str">
        <f xml:space="preserve"> IF(L96="", "", _xlfn.CONCAT(L96, "ㆷ"))</f>
        <v>ㆯㆷ</v>
      </c>
      <c r="M97" s="368" t="str">
        <f xml:space="preserve"> IF(M96="", "", _xlfn.CONCAT(M96, "ㄏ"))</f>
        <v>⁰ㄠㄏ</v>
      </c>
      <c r="T97" t="s">
        <v>2579</v>
      </c>
    </row>
    <row r="98" spans="1:20" ht="44.25">
      <c r="A98" s="54">
        <v>97</v>
      </c>
      <c r="B98" s="54">
        <f xml:space="preserve"> IF(MOD(韻母表[[#This Row],[序號]],2)=0, 韻母表[[#This Row],[序號]]/2, ROUNDUP(韻母表[[#This Row],[序號]]/2,0))</f>
        <v>49</v>
      </c>
      <c r="C98" s="55"/>
      <c r="D98" s="63" t="s">
        <v>158</v>
      </c>
      <c r="E98" s="89" t="s">
        <v>1368</v>
      </c>
      <c r="F98" s="89"/>
      <c r="G98" s="57" t="s">
        <v>1535</v>
      </c>
      <c r="H98" s="57" t="s">
        <v>1535</v>
      </c>
      <c r="I98" s="57"/>
      <c r="J98" s="57"/>
      <c r="K98" s="57" t="s">
        <v>1535</v>
      </c>
      <c r="L98" s="57" t="s">
        <v>1079</v>
      </c>
      <c r="M98" s="57" t="s">
        <v>1079</v>
      </c>
      <c r="S98" t="s">
        <v>158</v>
      </c>
      <c r="T98" t="s">
        <v>229</v>
      </c>
    </row>
    <row r="99" spans="1:20" ht="44.25">
      <c r="A99" s="54">
        <v>98</v>
      </c>
      <c r="B99" s="54">
        <f xml:space="preserve"> IF(MOD(韻母表[[#This Row],[序號]],2)=0, 韻母表[[#This Row],[序號]]/2, ROUNDUP(韻母表[[#This Row],[序號]]/2,0))</f>
        <v>49</v>
      </c>
      <c r="C99" s="55"/>
      <c r="D99" s="63" t="s">
        <v>159</v>
      </c>
      <c r="E99" s="86" t="s">
        <v>1362</v>
      </c>
      <c r="F99" s="86"/>
      <c r="G99" s="57" t="s">
        <v>238</v>
      </c>
      <c r="H99" s="57" t="s">
        <v>1262</v>
      </c>
      <c r="I99" s="57" t="s">
        <v>1263</v>
      </c>
      <c r="J99" s="57"/>
      <c r="K99" s="57" t="s">
        <v>238</v>
      </c>
      <c r="L99" s="57" t="s">
        <v>1265</v>
      </c>
      <c r="M99" s="57" t="s">
        <v>1266</v>
      </c>
      <c r="S99" t="s">
        <v>159</v>
      </c>
      <c r="T99" t="s">
        <v>238</v>
      </c>
    </row>
    <row r="100" spans="1:20" ht="44.25">
      <c r="A100" s="54">
        <v>99</v>
      </c>
      <c r="B100" s="54">
        <f xml:space="preserve"> IF(MOD(韻母表[[#This Row],[序號]],2)=0, 韻母表[[#This Row],[序號]]/2, ROUNDUP(韻母表[[#This Row],[序號]]/2,0))</f>
        <v>50</v>
      </c>
      <c r="C100" s="55" t="s">
        <v>303</v>
      </c>
      <c r="D100" s="56" t="s">
        <v>160</v>
      </c>
      <c r="E100" s="86" t="s">
        <v>1363</v>
      </c>
      <c r="F100" s="86"/>
      <c r="G100" s="57" t="s">
        <v>239</v>
      </c>
      <c r="H100" s="57" t="s">
        <v>239</v>
      </c>
      <c r="I100" s="57" t="s">
        <v>1267</v>
      </c>
      <c r="J100" s="57" t="s">
        <v>796</v>
      </c>
      <c r="K100" s="57" t="s">
        <v>239</v>
      </c>
      <c r="L100" s="57" t="s">
        <v>1268</v>
      </c>
      <c r="M100" s="57" t="s">
        <v>1269</v>
      </c>
      <c r="S100" t="s">
        <v>160</v>
      </c>
      <c r="T100" t="s">
        <v>239</v>
      </c>
    </row>
    <row r="101" spans="1:20" ht="44.25">
      <c r="A101" s="67">
        <v>100</v>
      </c>
      <c r="B101" s="67">
        <f xml:space="preserve"> IF(MOD(韻母表[[#This Row],[序號]],2)=0, 韻母表[[#This Row],[序號]]/2, ROUNDUP(韻母表[[#This Row],[序號]]/2,0))</f>
        <v>50</v>
      </c>
      <c r="C101" s="68"/>
      <c r="D101" s="90" t="s">
        <v>161</v>
      </c>
      <c r="E101" s="91" t="s">
        <v>1369</v>
      </c>
      <c r="F101" s="91"/>
      <c r="G101" s="92" t="s">
        <v>810</v>
      </c>
      <c r="H101" s="92" t="s">
        <v>810</v>
      </c>
      <c r="I101" s="92" t="s">
        <v>1270</v>
      </c>
      <c r="J101" s="92" t="s">
        <v>1264</v>
      </c>
      <c r="K101" s="92" t="s">
        <v>810</v>
      </c>
      <c r="L101" s="92" t="s">
        <v>1271</v>
      </c>
      <c r="M101" s="92" t="s">
        <v>1272</v>
      </c>
      <c r="S101" t="s">
        <v>161</v>
      </c>
      <c r="T101" t="s">
        <v>810</v>
      </c>
    </row>
  </sheetData>
  <phoneticPr fontId="2" type="noConversion"/>
  <conditionalFormatting sqref="A2:M101">
    <cfRule type="expression" dxfId="23" priority="1">
      <formula>MOD($B2,2)&lt;&gt;0</formula>
    </cfRule>
    <cfRule type="expression" dxfId="22" priority="2">
      <formula>MOD($A2,2)&lt;&gt;0</formula>
    </cfRule>
    <cfRule type="expression" dxfId="21" priority="3">
      <formula>MOD($A2,2)=0</formula>
    </cfRule>
  </conditionalFormatting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75227-57C4-4844-A39D-F2B25DB9903D}">
  <dimension ref="A1:AD115"/>
  <sheetViews>
    <sheetView workbookViewId="0"/>
  </sheetViews>
  <sheetFormatPr defaultRowHeight="22.5"/>
  <cols>
    <col min="1" max="2" width="8.125" customWidth="1"/>
    <col min="3" max="3" width="10.625" customWidth="1"/>
    <col min="4" max="13" width="14.25" customWidth="1"/>
    <col min="18" max="18" width="13.25" customWidth="1"/>
    <col min="19" max="19" width="16.375" style="41" customWidth="1"/>
    <col min="20" max="20" width="34.5" style="41" bestFit="1" customWidth="1"/>
    <col min="21" max="21" width="38.75" style="41" customWidth="1"/>
    <col min="22" max="22" width="9" style="41"/>
    <col min="23" max="23" width="42.125" style="41" customWidth="1"/>
    <col min="24" max="30" width="9" style="41"/>
  </cols>
  <sheetData>
    <row r="1" spans="1:23" ht="25.5">
      <c r="A1" s="80" t="s">
        <v>1054</v>
      </c>
      <c r="B1" s="80" t="s">
        <v>1056</v>
      </c>
      <c r="C1" s="80" t="s">
        <v>17</v>
      </c>
      <c r="D1" s="80" t="s">
        <v>324</v>
      </c>
      <c r="E1" s="80" t="s">
        <v>1057</v>
      </c>
      <c r="F1" s="80" t="s">
        <v>1370</v>
      </c>
      <c r="G1" s="80" t="s">
        <v>40</v>
      </c>
      <c r="H1" s="93" t="s">
        <v>1063</v>
      </c>
      <c r="I1" s="93" t="s">
        <v>1058</v>
      </c>
      <c r="J1" s="93" t="s">
        <v>1059</v>
      </c>
      <c r="K1" s="93" t="s">
        <v>1060</v>
      </c>
      <c r="L1" s="93" t="s">
        <v>1061</v>
      </c>
      <c r="M1" s="93" t="s">
        <v>1062</v>
      </c>
      <c r="O1" t="str">
        <f xml:space="preserve"> _xlfn.CONCAT("ɛ", _xlfn.UNICHAR(HEX2DEC(RIGHT("U+0303",4))))</f>
        <v>ɛ̃</v>
      </c>
      <c r="P1" t="str">
        <f xml:space="preserve"> _xlfn.CONCAT("ɛ", _xlfn.UNICHAR(HEX2DEC(RIGHT("U+0294",4))))</f>
        <v>ɛʔ</v>
      </c>
      <c r="Q1" t="s">
        <v>1107</v>
      </c>
      <c r="R1" t="s">
        <v>1402</v>
      </c>
      <c r="S1" s="104" t="s">
        <v>1470</v>
      </c>
      <c r="T1" s="41" t="s">
        <v>1471</v>
      </c>
      <c r="U1" s="41" t="s">
        <v>1471</v>
      </c>
    </row>
    <row r="2" spans="1:23" ht="44.25">
      <c r="A2" s="76">
        <v>1</v>
      </c>
      <c r="B2" s="76">
        <f xml:space="preserve"> IF(MOD(韻母表_4[[#This Row],[序號]],2)=0, 韻母表_4[[#This Row],[序號]]/2, ROUNDUP(韻母表_4[[#This Row],[序號]]/2,0))</f>
        <v>1</v>
      </c>
      <c r="C2" s="77" t="s">
        <v>240</v>
      </c>
      <c r="D2" s="78" t="s">
        <v>1383</v>
      </c>
      <c r="E2" s="85" t="s">
        <v>162</v>
      </c>
      <c r="F2" s="85"/>
      <c r="G2" s="79" t="s">
        <v>162</v>
      </c>
      <c r="H2" s="79" t="s">
        <v>162</v>
      </c>
      <c r="I2" s="79" t="s">
        <v>162</v>
      </c>
      <c r="J2" s="79" t="s">
        <v>162</v>
      </c>
      <c r="K2" s="79" t="s">
        <v>162</v>
      </c>
      <c r="L2" s="79" t="s">
        <v>1066</v>
      </c>
      <c r="M2" s="79" t="s">
        <v>1066</v>
      </c>
      <c r="R2" t="b">
        <f>IF(韻母表_4[[#This Row],[台羅拼音]]="", FALSE, ISNUMBER(FIND(RIGHT(韻母表_4[[#This Row],[台羅拼音]],1), "ptkh")))</f>
        <v>0</v>
      </c>
      <c r="S2" s="41">
        <f>IF(OR(韻母表_4[[#This Row],[台羅拼音]]="", R2=TRUE), "", LEN(韻母表_4[[#This Row],[台羅拼音]]))</f>
        <v>2</v>
      </c>
      <c r="T2" s="41" t="str">
        <f ca="1" xml:space="preserve"> IF(OR(韻母表_4[[#This Row],[台羅拼音]]="", $R2=TRUE), "", _xlfn.CONCAT("    ", "- xform/", 韻母表_4[[#This Row],[台羅拼音]], "([48?])/", OFFSET(韻母表_4[[#This Row],[台羅拼音]],1,0), "$1", "/    # ", LEFT(韻母表_4[[#This Row],[十五音]],1)))</f>
        <v xml:space="preserve">    - xform/un([48?])/ut$1/    # 君</v>
      </c>
      <c r="U2" s="41" t="str">
        <f ca="1" xml:space="preserve"> IF(OR(韻母表_4[[#This Row],[台羅拼音]]="", R2=TRUE), "", _xlfn.CONCAT("    ", "- xform/", 韻母表_4[[#This Row],[台羅拼音]], "([48])/", OFFSET(韻母表_4[[#This Row],[台羅拼音]],1,0), "$1", "/    # ", LEFT(韻母表_4[[#This Row],[十五音]],1)))</f>
        <v xml:space="preserve">    - xform/un([48])/ut$1/    # 君</v>
      </c>
      <c r="W2" s="41" t="s">
        <v>1403</v>
      </c>
    </row>
    <row r="3" spans="1:23" ht="44.25">
      <c r="A3" s="54">
        <v>2</v>
      </c>
      <c r="B3" s="54">
        <f xml:space="preserve"> IF(MOD(韻母表_4[[#This Row],[序號]],2)=0, 韻母表_4[[#This Row],[序號]]/2, ROUNDUP(韻母表_4[[#This Row],[序號]]/2,0))</f>
        <v>1</v>
      </c>
      <c r="C3" s="55" t="s">
        <v>242</v>
      </c>
      <c r="D3" s="56" t="s">
        <v>63</v>
      </c>
      <c r="E3" s="86" t="s">
        <v>1067</v>
      </c>
      <c r="F3" s="86"/>
      <c r="G3" s="57" t="s">
        <v>163</v>
      </c>
      <c r="H3" s="57" t="s">
        <v>163</v>
      </c>
      <c r="I3" s="57" t="s">
        <v>163</v>
      </c>
      <c r="J3" s="57" t="s">
        <v>163</v>
      </c>
      <c r="K3" s="57" t="s">
        <v>163</v>
      </c>
      <c r="L3" s="57" t="s">
        <v>1068</v>
      </c>
      <c r="M3" s="57" t="s">
        <v>1069</v>
      </c>
      <c r="R3" t="b">
        <f>IF(韻母表_4[[#This Row],[台羅拼音]]="", FALSE, ISNUMBER(FIND(RIGHT(韻母表_4[[#This Row],[台羅拼音]],1), "ptkh")))</f>
        <v>1</v>
      </c>
      <c r="S3" s="41" t="str">
        <f>IF(OR(韻母表_4[[#This Row],[台羅拼音]]="", R3=TRUE), "", LEN(韻母表_4[[#This Row],[台羅拼音]]))</f>
        <v/>
      </c>
      <c r="T3" s="41" t="str">
        <f ca="1" xml:space="preserve"> IF(OR(韻母表_4[[#This Row],[台羅拼音]]="", $R3=TRUE), "", _xlfn.CONCAT("    ", "- xform/", 韻母表_4[[#This Row],[台羅拼音]], "([48?])/", OFFSET(韻母表_4[[#This Row],[台羅拼音]],1,0), "$1", "/    # ", LEFT(韻母表_4[[#This Row],[十五音]],1)))</f>
        <v/>
      </c>
      <c r="U3" s="41" t="str">
        <f ca="1" xml:space="preserve"> IF(OR(韻母表_4[[#This Row],[台羅拼音]]="", R3=TRUE), "", _xlfn.CONCAT("    ", "- xform/", 韻母表_4[[#This Row],[台羅拼音]], "([48])/", OFFSET(韻母表_4[[#This Row],[台羅拼音]],1,0), "$1", "/    # ", LEFT(韻母表_4[[#This Row],[十五音]],1)))</f>
        <v/>
      </c>
      <c r="W3" s="41" t="s">
        <v>1079</v>
      </c>
    </row>
    <row r="4" spans="1:23" ht="44.25">
      <c r="A4" s="54">
        <v>3</v>
      </c>
      <c r="B4" s="54">
        <f xml:space="preserve"> IF(MOD(韻母表_4[[#This Row],[序號]],2)=0, 韻母表_4[[#This Row],[序號]]/2, ROUNDUP(韻母表_4[[#This Row],[序號]]/2,0))</f>
        <v>2</v>
      </c>
      <c r="C4" s="55" t="s">
        <v>241</v>
      </c>
      <c r="D4" s="56" t="s">
        <v>64</v>
      </c>
      <c r="E4" s="86" t="s">
        <v>1330</v>
      </c>
      <c r="F4" s="86"/>
      <c r="G4" s="57" t="s">
        <v>164</v>
      </c>
      <c r="H4" s="57" t="s">
        <v>164</v>
      </c>
      <c r="I4" s="57" t="s">
        <v>164</v>
      </c>
      <c r="J4" s="57" t="s">
        <v>164</v>
      </c>
      <c r="K4" s="57" t="s">
        <v>164</v>
      </c>
      <c r="L4" s="57" t="s">
        <v>1070</v>
      </c>
      <c r="M4" s="57" t="s">
        <v>1070</v>
      </c>
      <c r="R4" t="b">
        <f>IF(韻母表_4[[#This Row],[台羅拼音]]="", FALSE, ISNUMBER(FIND(RIGHT(韻母表_4[[#This Row],[台羅拼音]],1), "ptkh")))</f>
        <v>0</v>
      </c>
      <c r="S4" s="41">
        <f>IF(OR(韻母表_4[[#This Row],[台羅拼音]]="", R4=TRUE), "", LEN(韻母表_4[[#This Row],[台羅拼音]]))</f>
        <v>3</v>
      </c>
      <c r="T4" s="41" t="str">
        <f ca="1" xml:space="preserve"> IF(OR(韻母表_4[[#This Row],[台羅拼音]]="", $R4=TRUE), "", _xlfn.CONCAT("    ", "- xform/", 韻母表_4[[#This Row],[台羅拼音]], "([48?])/", OFFSET(韻母表_4[[#This Row],[台羅拼音]],1,0), "$1", "/    # ", LEFT(韻母表_4[[#This Row],[十五音]],1)))</f>
        <v xml:space="preserve">    - xform/ian([48?])/iat$1/    # 堅</v>
      </c>
      <c r="U4" s="41" t="str">
        <f ca="1" xml:space="preserve"> IF(OR(韻母表_4[[#This Row],[台羅拼音]]="", R4=TRUE), "", _xlfn.CONCAT("    ", "- xform/", 韻母表_4[[#This Row],[台羅拼音]], "([48])/", OFFSET(韻母表_4[[#This Row],[台羅拼音]],1,0), "$1", "/    # ", LEFT(韻母表_4[[#This Row],[十五音]],1)))</f>
        <v xml:space="preserve">    - xform/ian([48])/iat$1/    # 堅</v>
      </c>
      <c r="W4" s="41" t="s">
        <v>1404</v>
      </c>
    </row>
    <row r="5" spans="1:23" ht="44.25">
      <c r="A5" s="54">
        <v>4</v>
      </c>
      <c r="B5" s="54">
        <f xml:space="preserve"> IF(MOD(韻母表_4[[#This Row],[序號]],2)=0, 韻母表_4[[#This Row],[序號]]/2, ROUNDUP(韻母表_4[[#This Row],[序號]]/2,0))</f>
        <v>2</v>
      </c>
      <c r="C5" s="55" t="s">
        <v>243</v>
      </c>
      <c r="D5" s="56" t="s">
        <v>65</v>
      </c>
      <c r="E5" s="86" t="s">
        <v>1331</v>
      </c>
      <c r="F5" s="86"/>
      <c r="G5" s="57" t="s">
        <v>165</v>
      </c>
      <c r="H5" s="57" t="s">
        <v>165</v>
      </c>
      <c r="I5" s="57" t="s">
        <v>165</v>
      </c>
      <c r="J5" s="57" t="s">
        <v>165</v>
      </c>
      <c r="K5" s="57" t="s">
        <v>165</v>
      </c>
      <c r="L5" s="57" t="s">
        <v>1071</v>
      </c>
      <c r="M5" s="57" t="s">
        <v>1072</v>
      </c>
      <c r="R5" t="b">
        <f>IF(韻母表_4[[#This Row],[台羅拼音]]="", FALSE, ISNUMBER(FIND(RIGHT(韻母表_4[[#This Row],[台羅拼音]],1), "ptkh")))</f>
        <v>1</v>
      </c>
      <c r="S5" s="41" t="str">
        <f>IF(OR(韻母表_4[[#This Row],[台羅拼音]]="", R5=TRUE), "", LEN(韻母表_4[[#This Row],[台羅拼音]]))</f>
        <v/>
      </c>
      <c r="T5" s="41" t="str">
        <f ca="1" xml:space="preserve"> IF(OR(韻母表_4[[#This Row],[台羅拼音]]="", $R5=TRUE), "", _xlfn.CONCAT("    ", "- xform/", 韻母表_4[[#This Row],[台羅拼音]], "([48?])/", OFFSET(韻母表_4[[#This Row],[台羅拼音]],1,0), "$1", "/    # ", LEFT(韻母表_4[[#This Row],[十五音]],1)))</f>
        <v/>
      </c>
      <c r="U5" s="41" t="str">
        <f ca="1" xml:space="preserve"> IF(OR(韻母表_4[[#This Row],[台羅拼音]]="", R5=TRUE), "", _xlfn.CONCAT("    ", "- xform/", 韻母表_4[[#This Row],[台羅拼音]], "([48])/", OFFSET(韻母表_4[[#This Row],[台羅拼音]],1,0), "$1", "/    # ", LEFT(韻母表_4[[#This Row],[十五音]],1)))</f>
        <v/>
      </c>
      <c r="W5" s="41" t="s">
        <v>1079</v>
      </c>
    </row>
    <row r="6" spans="1:23" ht="44.25">
      <c r="A6" s="54">
        <v>5</v>
      </c>
      <c r="B6" s="54">
        <f xml:space="preserve"> IF(MOD(韻母表_4[[#This Row],[序號]],2)=0, 韻母表_4[[#This Row],[序號]]/2, ROUNDUP(韻母表_4[[#This Row],[序號]]/2,0))</f>
        <v>3</v>
      </c>
      <c r="C6" s="55" t="s">
        <v>244</v>
      </c>
      <c r="D6" s="56" t="s">
        <v>66</v>
      </c>
      <c r="E6" s="86" t="s">
        <v>166</v>
      </c>
      <c r="F6" s="86"/>
      <c r="G6" s="57" t="s">
        <v>166</v>
      </c>
      <c r="H6" s="57" t="s">
        <v>166</v>
      </c>
      <c r="I6" s="57" t="s">
        <v>166</v>
      </c>
      <c r="J6" s="57" t="s">
        <v>166</v>
      </c>
      <c r="K6" s="57" t="s">
        <v>166</v>
      </c>
      <c r="L6" s="57" t="s">
        <v>1073</v>
      </c>
      <c r="M6" s="57" t="s">
        <v>1074</v>
      </c>
      <c r="R6" t="b">
        <f>IF(韻母表_4[[#This Row],[台羅拼音]]="", FALSE, ISNUMBER(FIND(RIGHT(韻母表_4[[#This Row],[台羅拼音]],1), "ptkh")))</f>
        <v>0</v>
      </c>
      <c r="S6" s="41">
        <f>IF(OR(韻母表_4[[#This Row],[台羅拼音]]="", R6=TRUE), "", LEN(韻母表_4[[#This Row],[台羅拼音]]))</f>
        <v>2</v>
      </c>
      <c r="T6" s="41" t="str">
        <f ca="1" xml:space="preserve"> IF(OR(韻母表_4[[#This Row],[台羅拼音]]="", $R6=TRUE), "", _xlfn.CONCAT("    ", "- xform/", 韻母表_4[[#This Row],[台羅拼音]], "([48?])/", OFFSET(韻母表_4[[#This Row],[台羅拼音]],1,0), "$1", "/    # ", LEFT(韻母表_4[[#This Row],[十五音]],1)))</f>
        <v xml:space="preserve">    - xform/im([48?])/ip$1/    # 金</v>
      </c>
      <c r="U6" s="41" t="str">
        <f ca="1" xml:space="preserve"> IF(OR(韻母表_4[[#This Row],[台羅拼音]]="", R6=TRUE), "", _xlfn.CONCAT("    ", "- xform/", 韻母表_4[[#This Row],[台羅拼音]], "([48])/", OFFSET(韻母表_4[[#This Row],[台羅拼音]],1,0), "$1", "/    # ", LEFT(韻母表_4[[#This Row],[十五音]],1)))</f>
        <v xml:space="preserve">    - xform/im([48])/ip$1/    # 金</v>
      </c>
      <c r="W6" s="41" t="s">
        <v>1405</v>
      </c>
    </row>
    <row r="7" spans="1:23" ht="44.25">
      <c r="A7" s="54">
        <v>6</v>
      </c>
      <c r="B7" s="54">
        <f xml:space="preserve"> IF(MOD(韻母表_4[[#This Row],[序號]],2)=0, 韻母表_4[[#This Row],[序號]]/2, ROUNDUP(韻母表_4[[#This Row],[序號]]/2,0))</f>
        <v>3</v>
      </c>
      <c r="C7" s="55" t="s">
        <v>247</v>
      </c>
      <c r="D7" s="56" t="s">
        <v>67</v>
      </c>
      <c r="E7" s="86" t="s">
        <v>1075</v>
      </c>
      <c r="F7" s="86"/>
      <c r="G7" s="57" t="s">
        <v>167</v>
      </c>
      <c r="H7" s="57" t="s">
        <v>167</v>
      </c>
      <c r="I7" s="57" t="s">
        <v>167</v>
      </c>
      <c r="J7" s="57" t="s">
        <v>167</v>
      </c>
      <c r="K7" s="57" t="s">
        <v>167</v>
      </c>
      <c r="L7" s="57" t="s">
        <v>1076</v>
      </c>
      <c r="M7" s="57" t="s">
        <v>1077</v>
      </c>
      <c r="R7" t="b">
        <f>IF(韻母表_4[[#This Row],[台羅拼音]]="", FALSE, ISNUMBER(FIND(RIGHT(韻母表_4[[#This Row],[台羅拼音]],1), "ptkh")))</f>
        <v>1</v>
      </c>
      <c r="S7" s="41" t="str">
        <f>IF(OR(韻母表_4[[#This Row],[台羅拼音]]="", R7=TRUE), "", LEN(韻母表_4[[#This Row],[台羅拼音]]))</f>
        <v/>
      </c>
      <c r="T7" s="41" t="str">
        <f ca="1" xml:space="preserve"> IF(OR(韻母表_4[[#This Row],[台羅拼音]]="", $R7=TRUE), "", _xlfn.CONCAT("    ", "- xform/", 韻母表_4[[#This Row],[台羅拼音]], "([48?])/", OFFSET(韻母表_4[[#This Row],[台羅拼音]],1,0), "$1", "/    # ", LEFT(韻母表_4[[#This Row],[十五音]],1)))</f>
        <v/>
      </c>
      <c r="U7" s="41" t="str">
        <f ca="1" xml:space="preserve"> IF(OR(韻母表_4[[#This Row],[台羅拼音]]="", R7=TRUE), "", _xlfn.CONCAT("    ", "- xform/", 韻母表_4[[#This Row],[台羅拼音]], "([48])/", OFFSET(韻母表_4[[#This Row],[台羅拼音]],1,0), "$1", "/    # ", LEFT(韻母表_4[[#This Row],[十五音]],1)))</f>
        <v/>
      </c>
      <c r="W7" s="41" t="s">
        <v>1079</v>
      </c>
    </row>
    <row r="8" spans="1:23" ht="44.25">
      <c r="A8" s="54">
        <v>7</v>
      </c>
      <c r="B8" s="54">
        <f xml:space="preserve"> IF(MOD(韻母表_4[[#This Row],[序號]],2)=0, 韻母表_4[[#This Row],[序號]]/2, ROUNDUP(韻母表_4[[#This Row],[序號]]/2,0))</f>
        <v>4</v>
      </c>
      <c r="C8" s="55" t="s">
        <v>248</v>
      </c>
      <c r="D8" s="56" t="s">
        <v>68</v>
      </c>
      <c r="E8" s="86" t="s">
        <v>168</v>
      </c>
      <c r="F8" s="86"/>
      <c r="G8" s="57" t="s">
        <v>168</v>
      </c>
      <c r="H8" s="57" t="s">
        <v>168</v>
      </c>
      <c r="I8" s="57" t="s">
        <v>168</v>
      </c>
      <c r="J8" s="57" t="s">
        <v>168</v>
      </c>
      <c r="K8" s="57" t="s">
        <v>168</v>
      </c>
      <c r="L8" s="57" t="s">
        <v>1078</v>
      </c>
      <c r="M8" s="57" t="s">
        <v>1078</v>
      </c>
      <c r="R8" t="b">
        <f>IF(韻母表_4[[#This Row],[台羅拼音]]="", FALSE, ISNUMBER(FIND(RIGHT(韻母表_4[[#This Row],[台羅拼音]],1), "ptkh")))</f>
        <v>0</v>
      </c>
      <c r="S8" s="41">
        <f>IF(OR(韻母表_4[[#This Row],[台羅拼音]]="", R8=TRUE), "", LEN(韻母表_4[[#This Row],[台羅拼音]]))</f>
        <v>2</v>
      </c>
      <c r="T8" s="41" t="str">
        <f ca="1" xml:space="preserve"> IF(OR(韻母表_4[[#This Row],[台羅拼音]]="", $R8=TRUE), "", _xlfn.CONCAT("    ", "- xform/", 韻母表_4[[#This Row],[台羅拼音]], "([48?])/", OFFSET(韻母表_4[[#This Row],[台羅拼音]],1,0), "$1", "/    # ", LEFT(韻母表_4[[#This Row],[十五音]],1)))</f>
        <v xml:space="preserve">    - xform/ui([48?])/$1/    # 規</v>
      </c>
      <c r="U8" s="41" t="str">
        <f ca="1" xml:space="preserve"> IF(OR(韻母表_4[[#This Row],[台羅拼音]]="", R8=TRUE), "", _xlfn.CONCAT("    ", "- xform/", 韻母表_4[[#This Row],[台羅拼音]], "([48])/", OFFSET(韻母表_4[[#This Row],[台羅拼音]],1,0), "$1", "/    # ", LEFT(韻母表_4[[#This Row],[十五音]],1)))</f>
        <v xml:space="preserve">    - xform/ui([48])/$1/    # 規</v>
      </c>
      <c r="W8" s="41" t="s">
        <v>1406</v>
      </c>
    </row>
    <row r="9" spans="1:23" ht="32.25">
      <c r="A9" s="81">
        <v>8</v>
      </c>
      <c r="B9" s="81">
        <f xml:space="preserve"> IF(MOD(韻母表_4[[#This Row],[序號]],2)=0, 韻母表_4[[#This Row],[序號]]/2, ROUNDUP(韻母表_4[[#This Row],[序號]]/2,0))</f>
        <v>4</v>
      </c>
      <c r="C9" s="82"/>
      <c r="D9" s="83" t="s">
        <v>69</v>
      </c>
      <c r="E9" s="87" t="s">
        <v>1079</v>
      </c>
      <c r="F9" s="87"/>
      <c r="G9" s="88" t="s">
        <v>1079</v>
      </c>
      <c r="H9" s="88" t="s">
        <v>1079</v>
      </c>
      <c r="I9" s="88" t="s">
        <v>1079</v>
      </c>
      <c r="J9" s="88" t="s">
        <v>1079</v>
      </c>
      <c r="K9" s="88" t="s">
        <v>1079</v>
      </c>
      <c r="L9" s="84" t="s">
        <v>1079</v>
      </c>
      <c r="M9" s="84" t="s">
        <v>1079</v>
      </c>
      <c r="R9" t="b">
        <f>IF(韻母表_4[[#This Row],[台羅拼音]]="", FALSE, ISNUMBER(FIND(RIGHT(韻母表_4[[#This Row],[台羅拼音]],1), "ptkh")))</f>
        <v>0</v>
      </c>
      <c r="S9" s="41" t="str">
        <f>IF(OR(韻母表_4[[#This Row],[台羅拼音]]="", R9=TRUE), "", LEN(韻母表_4[[#This Row],[台羅拼音]]))</f>
        <v/>
      </c>
      <c r="T9" s="41" t="str">
        <f ca="1" xml:space="preserve"> IF(OR(韻母表_4[[#This Row],[台羅拼音]]="", $R9=TRUE), "", _xlfn.CONCAT("    ", "- xform/", 韻母表_4[[#This Row],[台羅拼音]], "([48?])/", OFFSET(韻母表_4[[#This Row],[台羅拼音]],1,0), "$1", "/    # ", LEFT(韻母表_4[[#This Row],[十五音]],1)))</f>
        <v/>
      </c>
      <c r="U9" s="41" t="str">
        <f ca="1" xml:space="preserve"> IF(OR(韻母表_4[[#This Row],[台羅拼音]]="", R9=TRUE), "", _xlfn.CONCAT("    ", "- xform/", 韻母表_4[[#This Row],[台羅拼音]], "([48])/", OFFSET(韻母表_4[[#This Row],[台羅拼音]],1,0), "$1", "/    # ", LEFT(韻母表_4[[#This Row],[十五音]],1)))</f>
        <v/>
      </c>
      <c r="W9" s="41" t="s">
        <v>1407</v>
      </c>
    </row>
    <row r="10" spans="1:23" ht="44.25">
      <c r="A10" s="54">
        <v>9</v>
      </c>
      <c r="B10" s="54">
        <f xml:space="preserve"> IF(MOD(韻母表_4[[#This Row],[序號]],2)=0, 韻母表_4[[#This Row],[序號]]/2, ROUNDUP(韻母表_4[[#This Row],[序號]]/2,0))</f>
        <v>5</v>
      </c>
      <c r="C10" s="59" t="s">
        <v>249</v>
      </c>
      <c r="D10" s="60" t="s">
        <v>70</v>
      </c>
      <c r="E10" s="86" t="s">
        <v>1328</v>
      </c>
      <c r="F10" s="86" t="s">
        <v>1080</v>
      </c>
      <c r="G10" s="57" t="s">
        <v>169</v>
      </c>
      <c r="H10" s="57" t="s">
        <v>169</v>
      </c>
      <c r="I10" s="57">
        <v>0</v>
      </c>
      <c r="J10" s="57">
        <v>0</v>
      </c>
      <c r="K10" s="57">
        <v>0</v>
      </c>
      <c r="L10" s="57" t="s">
        <v>1081</v>
      </c>
      <c r="M10" s="57" t="s">
        <v>1081</v>
      </c>
      <c r="R10" t="b">
        <f>IF(韻母表_4[[#This Row],[台羅拼音]]="", FALSE, ISNUMBER(FIND(RIGHT(韻母表_4[[#This Row],[台羅拼音]],1), "ptkh")))</f>
        <v>0</v>
      </c>
      <c r="S10" s="41">
        <f>IF(OR(韻母表_4[[#This Row],[台羅拼音]]="", R10=TRUE), "", LEN(韻母表_4[[#This Row],[台羅拼音]]))</f>
        <v>2</v>
      </c>
      <c r="T10" s="41" t="str">
        <f ca="1" xml:space="preserve"> IF(OR(韻母表_4[[#This Row],[台羅拼音]]="", $R10=TRUE), "", _xlfn.CONCAT("    ", "- xform/", 韻母表_4[[#This Row],[台羅拼音]], "([48?])/", OFFSET(韻母表_4[[#This Row],[台羅拼音]],1,0), "$1", "/    # ", LEFT(韻母表_4[[#This Row],[十五音]],1)))</f>
        <v xml:space="preserve">    - xform/ee([48?])/eeh$1/    # 嘉</v>
      </c>
      <c r="U10" s="41" t="str">
        <f ca="1" xml:space="preserve"> IF(OR(韻母表_4[[#This Row],[台羅拼音]]="", R10=TRUE), "", _xlfn.CONCAT("    ", "- xform/", 韻母表_4[[#This Row],[台羅拼音]], "([48])/", OFFSET(韻母表_4[[#This Row],[台羅拼音]],1,0), "$1", "/    # ", LEFT(韻母表_4[[#This Row],[十五音]],1)))</f>
        <v xml:space="preserve">    - xform/ee([48])/eeh$1/    # 嘉</v>
      </c>
      <c r="W10" s="41" t="s">
        <v>1408</v>
      </c>
    </row>
    <row r="11" spans="1:23" ht="44.25">
      <c r="A11" s="54">
        <v>10</v>
      </c>
      <c r="B11" s="54">
        <f xml:space="preserve"> IF(MOD(韻母表_4[[#This Row],[序號]],2)=0, 韻母表_4[[#This Row],[序號]]/2, ROUNDUP(韻母表_4[[#This Row],[序號]]/2,0))</f>
        <v>5</v>
      </c>
      <c r="C11" s="59" t="s">
        <v>250</v>
      </c>
      <c r="D11" s="60" t="s">
        <v>71</v>
      </c>
      <c r="E11" s="86" t="s">
        <v>1382</v>
      </c>
      <c r="F11" s="86" t="s">
        <v>1082</v>
      </c>
      <c r="G11" s="57" t="s">
        <v>170</v>
      </c>
      <c r="H11" s="57" t="s">
        <v>170</v>
      </c>
      <c r="I11" s="57">
        <v>0</v>
      </c>
      <c r="J11" s="57">
        <v>0</v>
      </c>
      <c r="K11" s="57">
        <v>0</v>
      </c>
      <c r="L11" s="57" t="s">
        <v>1083</v>
      </c>
      <c r="M11" s="57" t="s">
        <v>1084</v>
      </c>
      <c r="R11" t="b">
        <f>IF(韻母表_4[[#This Row],[台羅拼音]]="", FALSE, ISNUMBER(FIND(RIGHT(韻母表_4[[#This Row],[台羅拼音]],1), "ptkh")))</f>
        <v>1</v>
      </c>
      <c r="S11" s="41" t="str">
        <f>IF(OR(韻母表_4[[#This Row],[台羅拼音]]="", R11=TRUE), "", LEN(韻母表_4[[#This Row],[台羅拼音]]))</f>
        <v/>
      </c>
      <c r="T11" s="41" t="str">
        <f ca="1" xml:space="preserve"> IF(OR(韻母表_4[[#This Row],[台羅拼音]]="", $R11=TRUE), "", _xlfn.CONCAT("    ", "- xform/", 韻母表_4[[#This Row],[台羅拼音]], "([48?])/", OFFSET(韻母表_4[[#This Row],[台羅拼音]],1,0), "$1", "/    # ", LEFT(韻母表_4[[#This Row],[十五音]],1)))</f>
        <v/>
      </c>
      <c r="U11" s="41" t="str">
        <f ca="1" xml:space="preserve"> IF(OR(韻母表_4[[#This Row],[台羅拼音]]="", R11=TRUE), "", _xlfn.CONCAT("    ", "- xform/", 韻母表_4[[#This Row],[台羅拼音]], "([48])/", OFFSET(韻母表_4[[#This Row],[台羅拼音]],1,0), "$1", "/    # ", LEFT(韻母表_4[[#This Row],[十五音]],1)))</f>
        <v/>
      </c>
      <c r="W11" s="41" t="s">
        <v>1079</v>
      </c>
    </row>
    <row r="12" spans="1:23" ht="44.25">
      <c r="A12" s="54">
        <v>11</v>
      </c>
      <c r="B12" s="54">
        <f xml:space="preserve"> IF(MOD(韻母表_4[[#This Row],[序號]],2)=0, 韻母表_4[[#This Row],[序號]]/2, ROUNDUP(韻母表_4[[#This Row],[序號]]/2,0))</f>
        <v>6</v>
      </c>
      <c r="C12" s="55" t="s">
        <v>251</v>
      </c>
      <c r="D12" s="56" t="s">
        <v>72</v>
      </c>
      <c r="E12" s="86" t="s">
        <v>171</v>
      </c>
      <c r="F12" s="86"/>
      <c r="G12" s="57" t="s">
        <v>171</v>
      </c>
      <c r="H12" s="57" t="s">
        <v>171</v>
      </c>
      <c r="I12" s="57" t="s">
        <v>171</v>
      </c>
      <c r="J12" s="57" t="s">
        <v>171</v>
      </c>
      <c r="K12" s="57" t="s">
        <v>171</v>
      </c>
      <c r="L12" s="57" t="s">
        <v>1085</v>
      </c>
      <c r="M12" s="57" t="s">
        <v>1085</v>
      </c>
      <c r="R12" t="b">
        <f>IF(韻母表_4[[#This Row],[台羅拼音]]="", FALSE, ISNUMBER(FIND(RIGHT(韻母表_4[[#This Row],[台羅拼音]],1), "ptkh")))</f>
        <v>0</v>
      </c>
      <c r="S12" s="41">
        <f>IF(OR(韻母表_4[[#This Row],[台羅拼音]]="", R12=TRUE), "", LEN(韻母表_4[[#This Row],[台羅拼音]]))</f>
        <v>2</v>
      </c>
      <c r="T12" s="41" t="str">
        <f ca="1" xml:space="preserve"> IF(OR(韻母表_4[[#This Row],[台羅拼音]]="", $R12=TRUE), "", _xlfn.CONCAT("    ", "- xform/", 韻母表_4[[#This Row],[台羅拼音]], "([48?])/", OFFSET(韻母表_4[[#This Row],[台羅拼音]],1,0), "$1", "/    # ", LEFT(韻母表_4[[#This Row],[十五音]],1)))</f>
        <v xml:space="preserve">    - xform/an([48?])/at$1/    # 干</v>
      </c>
      <c r="U12" s="41" t="str">
        <f ca="1" xml:space="preserve"> IF(OR(韻母表_4[[#This Row],[台羅拼音]]="", R12=TRUE), "", _xlfn.CONCAT("    ", "- xform/", 韻母表_4[[#This Row],[台羅拼音]], "([48])/", OFFSET(韻母表_4[[#This Row],[台羅拼音]],1,0), "$1", "/    # ", LEFT(韻母表_4[[#This Row],[十五音]],1)))</f>
        <v xml:space="preserve">    - xform/an([48])/at$1/    # 干</v>
      </c>
      <c r="W12" s="41" t="s">
        <v>1409</v>
      </c>
    </row>
    <row r="13" spans="1:23" ht="44.25">
      <c r="A13" s="54">
        <v>12</v>
      </c>
      <c r="B13" s="54">
        <f xml:space="preserve"> IF(MOD(韻母表_4[[#This Row],[序號]],2)=0, 韻母表_4[[#This Row],[序號]]/2, ROUNDUP(韻母表_4[[#This Row],[序號]]/2,0))</f>
        <v>6</v>
      </c>
      <c r="C13" s="55" t="s">
        <v>245</v>
      </c>
      <c r="D13" s="56" t="s">
        <v>73</v>
      </c>
      <c r="E13" s="86" t="s">
        <v>1086</v>
      </c>
      <c r="F13" s="86"/>
      <c r="G13" s="57" t="s">
        <v>172</v>
      </c>
      <c r="H13" s="57" t="s">
        <v>172</v>
      </c>
      <c r="I13" s="57" t="s">
        <v>172</v>
      </c>
      <c r="J13" s="57" t="s">
        <v>172</v>
      </c>
      <c r="K13" s="57" t="s">
        <v>172</v>
      </c>
      <c r="L13" s="57" t="s">
        <v>1087</v>
      </c>
      <c r="M13" s="57" t="s">
        <v>1088</v>
      </c>
      <c r="R13" t="b">
        <f>IF(韻母表_4[[#This Row],[台羅拼音]]="", FALSE, ISNUMBER(FIND(RIGHT(韻母表_4[[#This Row],[台羅拼音]],1), "ptkh")))</f>
        <v>1</v>
      </c>
      <c r="S13" s="41" t="str">
        <f>IF(OR(韻母表_4[[#This Row],[台羅拼音]]="", R13=TRUE), "", LEN(韻母表_4[[#This Row],[台羅拼音]]))</f>
        <v/>
      </c>
      <c r="T13" s="41" t="str">
        <f ca="1" xml:space="preserve"> IF(OR(韻母表_4[[#This Row],[台羅拼音]]="", $R13=TRUE), "", _xlfn.CONCAT("    ", "- xform/", 韻母表_4[[#This Row],[台羅拼音]], "([48?])/", OFFSET(韻母表_4[[#This Row],[台羅拼音]],1,0), "$1", "/    # ", LEFT(韻母表_4[[#This Row],[十五音]],1)))</f>
        <v/>
      </c>
      <c r="U13" s="41" t="str">
        <f ca="1" xml:space="preserve"> IF(OR(韻母表_4[[#This Row],[台羅拼音]]="", R13=TRUE), "", _xlfn.CONCAT("    ", "- xform/", 韻母表_4[[#This Row],[台羅拼音]], "([48])/", OFFSET(韻母表_4[[#This Row],[台羅拼音]],1,0), "$1", "/    # ", LEFT(韻母表_4[[#This Row],[十五音]],1)))</f>
        <v/>
      </c>
      <c r="W13" s="41" t="s">
        <v>1079</v>
      </c>
    </row>
    <row r="14" spans="1:23" ht="44.25">
      <c r="A14" s="54">
        <v>13</v>
      </c>
      <c r="B14" s="54">
        <f xml:space="preserve"> IF(MOD(韻母表_4[[#This Row],[序號]],2)=0, 韻母表_4[[#This Row],[序號]]/2, ROUNDUP(韻母表_4[[#This Row],[序號]]/2,0))</f>
        <v>7</v>
      </c>
      <c r="C14" s="55" t="s">
        <v>255</v>
      </c>
      <c r="D14" s="56" t="s">
        <v>74</v>
      </c>
      <c r="E14" s="86" t="s">
        <v>1332</v>
      </c>
      <c r="F14" s="86"/>
      <c r="G14" s="57" t="s">
        <v>173</v>
      </c>
      <c r="H14" s="57" t="s">
        <v>173</v>
      </c>
      <c r="I14" s="57" t="s">
        <v>173</v>
      </c>
      <c r="J14" s="57" t="s">
        <v>173</v>
      </c>
      <c r="K14" s="57" t="s">
        <v>173</v>
      </c>
      <c r="L14" s="57" t="s">
        <v>1089</v>
      </c>
      <c r="M14" s="57" t="s">
        <v>1090</v>
      </c>
      <c r="R14" t="b">
        <f>IF(韻母表_4[[#This Row],[台羅拼音]]="", FALSE, ISNUMBER(FIND(RIGHT(韻母表_4[[#This Row],[台羅拼音]],1), "ptkh")))</f>
        <v>0</v>
      </c>
      <c r="S14" s="41">
        <f>IF(OR(韻母表_4[[#This Row],[台羅拼音]]="", R14=TRUE), "", LEN(韻母表_4[[#This Row],[台羅拼音]]))</f>
        <v>3</v>
      </c>
      <c r="T14" s="41" t="str">
        <f ca="1" xml:space="preserve"> IF(OR(韻母表_4[[#This Row],[台羅拼音]]="", $R14=TRUE), "", _xlfn.CONCAT("    ", "- xform/", 韻母表_4[[#This Row],[台羅拼音]], "([48?])/", OFFSET(韻母表_4[[#This Row],[台羅拼音]],1,0), "$1", "/    # ", LEFT(韻母表_4[[#This Row],[十五音]],1)))</f>
        <v xml:space="preserve">    - xform/ong([48?])/ok$1/    # 公</v>
      </c>
      <c r="U14" s="41" t="str">
        <f ca="1" xml:space="preserve"> IF(OR(韻母表_4[[#This Row],[台羅拼音]]="", R14=TRUE), "", _xlfn.CONCAT("    ", "- xform/", 韻母表_4[[#This Row],[台羅拼音]], "([48])/", OFFSET(韻母表_4[[#This Row],[台羅拼音]],1,0), "$1", "/    # ", LEFT(韻母表_4[[#This Row],[十五音]],1)))</f>
        <v xml:space="preserve">    - xform/ong([48])/ok$1/    # 公</v>
      </c>
      <c r="W14" s="41" t="s">
        <v>1410</v>
      </c>
    </row>
    <row r="15" spans="1:23" ht="44.25">
      <c r="A15" s="54">
        <v>14</v>
      </c>
      <c r="B15" s="54">
        <f xml:space="preserve"> IF(MOD(韻母表_4[[#This Row],[序號]],2)=0, 韻母表_4[[#This Row],[序號]]/2, ROUNDUP(韻母表_4[[#This Row],[序號]]/2,0))</f>
        <v>7</v>
      </c>
      <c r="C15" s="55" t="s">
        <v>256</v>
      </c>
      <c r="D15" s="56" t="s">
        <v>75</v>
      </c>
      <c r="E15" s="86" t="s">
        <v>1333</v>
      </c>
      <c r="F15" s="86"/>
      <c r="G15" s="57" t="s">
        <v>174</v>
      </c>
      <c r="H15" s="57" t="s">
        <v>174</v>
      </c>
      <c r="I15" s="57" t="s">
        <v>174</v>
      </c>
      <c r="J15" s="57" t="s">
        <v>174</v>
      </c>
      <c r="K15" s="57" t="s">
        <v>174</v>
      </c>
      <c r="L15" s="57" t="s">
        <v>1091</v>
      </c>
      <c r="M15" s="57" t="s">
        <v>1092</v>
      </c>
      <c r="R15" t="b">
        <f>IF(韻母表_4[[#This Row],[台羅拼音]]="", FALSE, ISNUMBER(FIND(RIGHT(韻母表_4[[#This Row],[台羅拼音]],1), "ptkh")))</f>
        <v>1</v>
      </c>
      <c r="S15" s="41" t="str">
        <f>IF(OR(韻母表_4[[#This Row],[台羅拼音]]="", R15=TRUE), "", LEN(韻母表_4[[#This Row],[台羅拼音]]))</f>
        <v/>
      </c>
      <c r="T15" s="41" t="str">
        <f ca="1" xml:space="preserve"> IF(OR(韻母表_4[[#This Row],[台羅拼音]]="", $R15=TRUE), "", _xlfn.CONCAT("    ", "- xform/", 韻母表_4[[#This Row],[台羅拼音]], "([48?])/", OFFSET(韻母表_4[[#This Row],[台羅拼音]],1,0), "$1", "/    # ", LEFT(韻母表_4[[#This Row],[十五音]],1)))</f>
        <v/>
      </c>
      <c r="U15" s="41" t="str">
        <f ca="1" xml:space="preserve"> IF(OR(韻母表_4[[#This Row],[台羅拼音]]="", R15=TRUE), "", _xlfn.CONCAT("    ", "- xform/", 韻母表_4[[#This Row],[台羅拼音]], "([48])/", OFFSET(韻母表_4[[#This Row],[台羅拼音]],1,0), "$1", "/    # ", LEFT(韻母表_4[[#This Row],[十五音]],1)))</f>
        <v/>
      </c>
      <c r="W15" s="41" t="s">
        <v>1079</v>
      </c>
    </row>
    <row r="16" spans="1:23" ht="44.25">
      <c r="A16" s="54">
        <v>15</v>
      </c>
      <c r="B16" s="54">
        <f xml:space="preserve"> IF(MOD(韻母表_4[[#This Row],[序號]],2)=0, 韻母表_4[[#This Row],[序號]]/2, ROUNDUP(韻母表_4[[#This Row],[序號]]/2,0))</f>
        <v>8</v>
      </c>
      <c r="C16" s="55" t="s">
        <v>257</v>
      </c>
      <c r="D16" s="56" t="s">
        <v>76</v>
      </c>
      <c r="E16" s="86" t="s">
        <v>175</v>
      </c>
      <c r="F16" s="86"/>
      <c r="G16" s="57" t="s">
        <v>175</v>
      </c>
      <c r="H16" s="57" t="s">
        <v>175</v>
      </c>
      <c r="I16" s="57" t="s">
        <v>1093</v>
      </c>
      <c r="J16" s="57" t="s">
        <v>175</v>
      </c>
      <c r="K16" s="57" t="s">
        <v>175</v>
      </c>
      <c r="L16" s="57" t="s">
        <v>1094</v>
      </c>
      <c r="M16" s="57" t="s">
        <v>1094</v>
      </c>
      <c r="R16" t="b">
        <f>IF(韻母表_4[[#This Row],[台羅拼音]]="", FALSE, ISNUMBER(FIND(RIGHT(韻母表_4[[#This Row],[台羅拼音]],1), "ptkh")))</f>
        <v>0</v>
      </c>
      <c r="S16" s="41">
        <f>IF(OR(韻母表_4[[#This Row],[台羅拼音]]="", R16=TRUE), "", LEN(韻母表_4[[#This Row],[台羅拼音]]))</f>
        <v>3</v>
      </c>
      <c r="T16" s="41" t="str">
        <f ca="1" xml:space="preserve"> IF(OR(韻母表_4[[#This Row],[台羅拼音]]="", $R16=TRUE), "", _xlfn.CONCAT("    ", "- xform/", 韻母表_4[[#This Row],[台羅拼音]], "([48?])/", OFFSET(韻母表_4[[#This Row],[台羅拼音]],1,0), "$1", "/    # ", LEFT(韻母表_4[[#This Row],[十五音]],1)))</f>
        <v xml:space="preserve">    - xform/uai([48?])/uaih$1/    # 乖</v>
      </c>
      <c r="U16" s="41" t="str">
        <f ca="1" xml:space="preserve"> IF(OR(韻母表_4[[#This Row],[台羅拼音]]="", R16=TRUE), "", _xlfn.CONCAT("    ", "- xform/", 韻母表_4[[#This Row],[台羅拼音]], "([48])/", OFFSET(韻母表_4[[#This Row],[台羅拼音]],1,0), "$1", "/    # ", LEFT(韻母表_4[[#This Row],[十五音]],1)))</f>
        <v xml:space="preserve">    - xform/uai([48])/uaih$1/    # 乖</v>
      </c>
      <c r="W16" s="41" t="s">
        <v>1411</v>
      </c>
    </row>
    <row r="17" spans="1:23" ht="44.25">
      <c r="A17" s="54">
        <v>16</v>
      </c>
      <c r="B17" s="54">
        <f xml:space="preserve"> IF(MOD(韻母表_4[[#This Row],[序號]],2)=0, 韻母表_4[[#This Row],[序號]]/2, ROUNDUP(韻母表_4[[#This Row],[序號]]/2,0))</f>
        <v>8</v>
      </c>
      <c r="C17" s="61" t="s">
        <v>258</v>
      </c>
      <c r="D17" s="58" t="s">
        <v>77</v>
      </c>
      <c r="E17" s="86" t="s">
        <v>1095</v>
      </c>
      <c r="F17" s="86"/>
      <c r="G17" s="57" t="s">
        <v>176</v>
      </c>
      <c r="H17" s="57" t="s">
        <v>176</v>
      </c>
      <c r="I17" s="57" t="s">
        <v>1096</v>
      </c>
      <c r="J17" s="57" t="s">
        <v>176</v>
      </c>
      <c r="K17" s="57" t="s">
        <v>176</v>
      </c>
      <c r="L17" s="57" t="s">
        <v>1097</v>
      </c>
      <c r="M17" s="57" t="s">
        <v>1098</v>
      </c>
      <c r="R17" t="b">
        <f>IF(韻母表_4[[#This Row],[台羅拼音]]="", FALSE, ISNUMBER(FIND(RIGHT(韻母表_4[[#This Row],[台羅拼音]],1), "ptkh")))</f>
        <v>1</v>
      </c>
      <c r="S17" s="41" t="str">
        <f>IF(OR(韻母表_4[[#This Row],[台羅拼音]]="", R17=TRUE), "", LEN(韻母表_4[[#This Row],[台羅拼音]]))</f>
        <v/>
      </c>
      <c r="T17" s="41" t="str">
        <f ca="1" xml:space="preserve"> IF(OR(韻母表_4[[#This Row],[台羅拼音]]="", $R17=TRUE), "", _xlfn.CONCAT("    ", "- xform/", 韻母表_4[[#This Row],[台羅拼音]], "([48?])/", OFFSET(韻母表_4[[#This Row],[台羅拼音]],1,0), "$1", "/    # ", LEFT(韻母表_4[[#This Row],[十五音]],1)))</f>
        <v/>
      </c>
      <c r="U17" s="41" t="str">
        <f ca="1" xml:space="preserve"> IF(OR(韻母表_4[[#This Row],[台羅拼音]]="", R17=TRUE), "", _xlfn.CONCAT("    ", "- xform/", 韻母表_4[[#This Row],[台羅拼音]], "([48])/", OFFSET(韻母表_4[[#This Row],[台羅拼音]],1,0), "$1", "/    # ", LEFT(韻母表_4[[#This Row],[十五音]],1)))</f>
        <v/>
      </c>
      <c r="W17" s="41" t="s">
        <v>1079</v>
      </c>
    </row>
    <row r="18" spans="1:23" ht="44.25">
      <c r="A18" s="54">
        <v>17</v>
      </c>
      <c r="B18" s="54">
        <f xml:space="preserve"> IF(MOD(韻母表_4[[#This Row],[序號]],2)=0, 韻母表_4[[#This Row],[序號]]/2, ROUNDUP(韻母表_4[[#This Row],[序號]]/2,0))</f>
        <v>9</v>
      </c>
      <c r="C18" s="55" t="s">
        <v>259</v>
      </c>
      <c r="D18" s="56" t="s">
        <v>78</v>
      </c>
      <c r="E18" s="86" t="s">
        <v>1334</v>
      </c>
      <c r="F18" s="86" t="s">
        <v>1371</v>
      </c>
      <c r="G18" s="57" t="s">
        <v>1373</v>
      </c>
      <c r="H18" s="57" t="s">
        <v>1373</v>
      </c>
      <c r="I18" s="57" t="s">
        <v>1099</v>
      </c>
      <c r="J18" s="57" t="s">
        <v>1373</v>
      </c>
      <c r="K18" s="57" t="s">
        <v>1373</v>
      </c>
      <c r="L18" s="57" t="s">
        <v>1375</v>
      </c>
      <c r="M18" s="57" t="s">
        <v>1375</v>
      </c>
      <c r="R18" t="b">
        <f>IF(韻母表_4[[#This Row],[台羅拼音]]="", FALSE, ISNUMBER(FIND(RIGHT(韻母表_4[[#This Row],[台羅拼音]],1), "ptkh")))</f>
        <v>0</v>
      </c>
      <c r="S18" s="41">
        <f>IF(OR(韻母表_4[[#This Row],[台羅拼音]]="", R18=TRUE), "", LEN(韻母表_4[[#This Row],[台羅拼音]]))</f>
        <v>3</v>
      </c>
      <c r="T18" s="41" t="str">
        <f ca="1" xml:space="preserve"> IF(OR(韻母表_4[[#This Row],[台羅拼音]]="", $R18=TRUE), "", _xlfn.CONCAT("    ", "- xform/", 韻母表_4[[#This Row],[台羅拼音]], "([48?])/", OFFSET(韻母表_4[[#This Row],[台羅拼音]],1,0), "$1", "/    # ", LEFT(韻母表_4[[#This Row],[十五音]],1)))</f>
        <v xml:space="preserve">    - xform/ing([48?])/ik$1/    # 經</v>
      </c>
      <c r="U18" s="41" t="str">
        <f ca="1" xml:space="preserve"> IF(OR(韻母表_4[[#This Row],[台羅拼音]]="", R18=TRUE), "", _xlfn.CONCAT("    ", "- xform/", 韻母表_4[[#This Row],[台羅拼音]], "([48])/", OFFSET(韻母表_4[[#This Row],[台羅拼音]],1,0), "$1", "/    # ", LEFT(韻母表_4[[#This Row],[十五音]],1)))</f>
        <v xml:space="preserve">    - xform/ing([48])/ik$1/    # 經</v>
      </c>
      <c r="W18" s="41" t="s">
        <v>1412</v>
      </c>
    </row>
    <row r="19" spans="1:23" ht="44.25">
      <c r="A19" s="54">
        <v>18</v>
      </c>
      <c r="B19" s="54">
        <f xml:space="preserve"> IF(MOD(韻母表_4[[#This Row],[序號]],2)=0, 韻母表_4[[#This Row],[序號]]/2, ROUNDUP(韻母表_4[[#This Row],[序號]]/2,0))</f>
        <v>9</v>
      </c>
      <c r="C19" s="55" t="s">
        <v>35</v>
      </c>
      <c r="D19" s="56" t="s">
        <v>79</v>
      </c>
      <c r="E19" s="86" t="s">
        <v>1335</v>
      </c>
      <c r="F19" s="86" t="s">
        <v>1372</v>
      </c>
      <c r="G19" s="57" t="s">
        <v>1374</v>
      </c>
      <c r="H19" s="57" t="s">
        <v>1374</v>
      </c>
      <c r="I19" s="57" t="s">
        <v>1100</v>
      </c>
      <c r="J19" s="57" t="s">
        <v>1374</v>
      </c>
      <c r="K19" s="57" t="s">
        <v>1374</v>
      </c>
      <c r="L19" s="57" t="s">
        <v>1376</v>
      </c>
      <c r="M19" s="57" t="s">
        <v>1377</v>
      </c>
      <c r="R19" t="b">
        <f>IF(韻母表_4[[#This Row],[台羅拼音]]="", FALSE, ISNUMBER(FIND(RIGHT(韻母表_4[[#This Row],[台羅拼音]],1), "ptkh")))</f>
        <v>1</v>
      </c>
      <c r="S19" s="41" t="str">
        <f>IF(OR(韻母表_4[[#This Row],[台羅拼音]]="", R19=TRUE), "", LEN(韻母表_4[[#This Row],[台羅拼音]]))</f>
        <v/>
      </c>
      <c r="T19" s="41" t="str">
        <f ca="1" xml:space="preserve"> IF(OR(韻母表_4[[#This Row],[台羅拼音]]="", $R19=TRUE), "", _xlfn.CONCAT("    ", "- xform/", 韻母表_4[[#This Row],[台羅拼音]], "([48?])/", OFFSET(韻母表_4[[#This Row],[台羅拼音]],1,0), "$1", "/    # ", LEFT(韻母表_4[[#This Row],[十五音]],1)))</f>
        <v/>
      </c>
      <c r="U19" s="41" t="str">
        <f ca="1" xml:space="preserve"> IF(OR(韻母表_4[[#This Row],[台羅拼音]]="", R19=TRUE), "", _xlfn.CONCAT("    ", "- xform/", 韻母表_4[[#This Row],[台羅拼音]], "([48])/", OFFSET(韻母表_4[[#This Row],[台羅拼音]],1,0), "$1", "/    # ", LEFT(韻母表_4[[#This Row],[十五音]],1)))</f>
        <v/>
      </c>
      <c r="W19" s="41" t="s">
        <v>1079</v>
      </c>
    </row>
    <row r="20" spans="1:23" ht="44.25">
      <c r="A20" s="54">
        <v>19</v>
      </c>
      <c r="B20" s="54">
        <f xml:space="preserve"> IF(MOD(韻母表_4[[#This Row],[序號]],2)=0, 韻母表_4[[#This Row],[序號]]/2, ROUNDUP(韻母表_4[[#This Row],[序號]]/2,0))</f>
        <v>10</v>
      </c>
      <c r="C20" s="55" t="s">
        <v>260</v>
      </c>
      <c r="D20" s="56" t="s">
        <v>80</v>
      </c>
      <c r="E20" s="86" t="s">
        <v>179</v>
      </c>
      <c r="F20" s="86"/>
      <c r="G20" s="57" t="s">
        <v>179</v>
      </c>
      <c r="H20" s="57" t="s">
        <v>179</v>
      </c>
      <c r="I20" s="57" t="s">
        <v>1101</v>
      </c>
      <c r="J20" s="57" t="s">
        <v>179</v>
      </c>
      <c r="K20" s="57" t="s">
        <v>179</v>
      </c>
      <c r="L20" s="57" t="s">
        <v>1102</v>
      </c>
      <c r="M20" s="57" t="s">
        <v>1102</v>
      </c>
      <c r="R20" t="b">
        <f>IF(韻母表_4[[#This Row],[台羅拼音]]="", FALSE, ISNUMBER(FIND(RIGHT(韻母表_4[[#This Row],[台羅拼音]],1), "ptkh")))</f>
        <v>0</v>
      </c>
      <c r="S20" s="41">
        <f>IF(OR(韻母表_4[[#This Row],[台羅拼音]]="", R20=TRUE), "", LEN(韻母表_4[[#This Row],[台羅拼音]]))</f>
        <v>3</v>
      </c>
      <c r="T20" s="41" t="str">
        <f ca="1" xml:space="preserve"> IF(OR(韻母表_4[[#This Row],[台羅拼音]]="", $R20=TRUE), "", _xlfn.CONCAT("    ", "- xform/", 韻母表_4[[#This Row],[台羅拼音]], "([48?])/", OFFSET(韻母表_4[[#This Row],[台羅拼音]],1,0), "$1", "/    # ", LEFT(韻母表_4[[#This Row],[十五音]],1)))</f>
        <v xml:space="preserve">    - xform/uan([48?])/uat$1/    # 觀</v>
      </c>
      <c r="U20" s="41" t="str">
        <f ca="1" xml:space="preserve"> IF(OR(韻母表_4[[#This Row],[台羅拼音]]="", R20=TRUE), "", _xlfn.CONCAT("    ", "- xform/", 韻母表_4[[#This Row],[台羅拼音]], "([48])/", OFFSET(韻母表_4[[#This Row],[台羅拼音]],1,0), "$1", "/    # ", LEFT(韻母表_4[[#This Row],[十五音]],1)))</f>
        <v xml:space="preserve">    - xform/uan([48])/uat$1/    # 觀</v>
      </c>
      <c r="W20" s="41" t="s">
        <v>1413</v>
      </c>
    </row>
    <row r="21" spans="1:23" ht="44.25">
      <c r="A21" s="54">
        <v>20</v>
      </c>
      <c r="B21" s="54">
        <f xml:space="preserve"> IF(MOD(韻母表_4[[#This Row],[序號]],2)=0, 韻母表_4[[#This Row],[序號]]/2, ROUNDUP(韻母表_4[[#This Row],[序號]]/2,0))</f>
        <v>10</v>
      </c>
      <c r="C21" s="55" t="s">
        <v>261</v>
      </c>
      <c r="D21" s="56" t="s">
        <v>81</v>
      </c>
      <c r="E21" s="86" t="s">
        <v>1103</v>
      </c>
      <c r="F21" s="86"/>
      <c r="G21" s="57" t="s">
        <v>180</v>
      </c>
      <c r="H21" s="57" t="s">
        <v>180</v>
      </c>
      <c r="I21" s="57" t="s">
        <v>1104</v>
      </c>
      <c r="J21" s="57" t="s">
        <v>180</v>
      </c>
      <c r="K21" s="57" t="s">
        <v>180</v>
      </c>
      <c r="L21" s="57" t="s">
        <v>1105</v>
      </c>
      <c r="M21" s="57" t="s">
        <v>1106</v>
      </c>
      <c r="R21" t="b">
        <f>IF(韻母表_4[[#This Row],[台羅拼音]]="", FALSE, ISNUMBER(FIND(RIGHT(韻母表_4[[#This Row],[台羅拼音]],1), "ptkh")))</f>
        <v>1</v>
      </c>
      <c r="S21" s="41" t="str">
        <f>IF(OR(韻母表_4[[#This Row],[台羅拼音]]="", R21=TRUE), "", LEN(韻母表_4[[#This Row],[台羅拼音]]))</f>
        <v/>
      </c>
      <c r="T21" s="41" t="str">
        <f ca="1" xml:space="preserve"> IF(OR(韻母表_4[[#This Row],[台羅拼音]]="", $R21=TRUE), "", _xlfn.CONCAT("    ", "- xform/", 韻母表_4[[#This Row],[台羅拼音]], "([48?])/", OFFSET(韻母表_4[[#This Row],[台羅拼音]],1,0), "$1", "/    # ", LEFT(韻母表_4[[#This Row],[十五音]],1)))</f>
        <v/>
      </c>
      <c r="U21" s="41" t="str">
        <f ca="1" xml:space="preserve"> IF(OR(韻母表_4[[#This Row],[台羅拼音]]="", R21=TRUE), "", _xlfn.CONCAT("    ", "- xform/", 韻母表_4[[#This Row],[台羅拼音]], "([48])/", OFFSET(韻母表_4[[#This Row],[台羅拼音]],1,0), "$1", "/    # ", LEFT(韻母表_4[[#This Row],[十五音]],1)))</f>
        <v/>
      </c>
      <c r="W21" s="41" t="s">
        <v>1079</v>
      </c>
    </row>
    <row r="22" spans="1:23" ht="44.25">
      <c r="A22" s="54">
        <v>21</v>
      </c>
      <c r="B22" s="54">
        <f xml:space="preserve"> IF(MOD(韻母表_4[[#This Row],[序號]],2)=0, 韻母表_4[[#This Row],[序號]]/2, ROUNDUP(韻母表_4[[#This Row],[序號]]/2,0))</f>
        <v>11</v>
      </c>
      <c r="C22" s="55" t="s">
        <v>262</v>
      </c>
      <c r="D22" s="56" t="s">
        <v>82</v>
      </c>
      <c r="E22" s="86" t="s">
        <v>1336</v>
      </c>
      <c r="F22" s="86" t="s">
        <v>1378</v>
      </c>
      <c r="G22" s="57" t="s">
        <v>181</v>
      </c>
      <c r="H22" s="57" t="s">
        <v>181</v>
      </c>
      <c r="I22" s="57" t="s">
        <v>1108</v>
      </c>
      <c r="J22" s="57" t="s">
        <v>181</v>
      </c>
      <c r="K22" s="57" t="s">
        <v>181</v>
      </c>
      <c r="L22" s="57" t="s">
        <v>1109</v>
      </c>
      <c r="M22" s="57" t="s">
        <v>1110</v>
      </c>
      <c r="R22" t="b">
        <f>IF(韻母表_4[[#This Row],[台羅拼音]]="", FALSE, ISNUMBER(FIND(RIGHT(韻母表_4[[#This Row],[台羅拼音]],1), "ptkh")))</f>
        <v>0</v>
      </c>
      <c r="S22" s="41">
        <f>IF(OR(韻母表_4[[#This Row],[台羅拼音]]="", R22=TRUE), "", LEN(韻母表_4[[#This Row],[台羅拼音]]))</f>
        <v>2</v>
      </c>
      <c r="T22" s="41" t="str">
        <f ca="1" xml:space="preserve"> IF(OR(韻母表_4[[#This Row],[台羅拼音]]="", $R22=TRUE), "", _xlfn.CONCAT("    ", "- xform/", 韻母表_4[[#This Row],[台羅拼音]], "([48?])/", OFFSET(韻母表_4[[#This Row],[台羅拼音]],1,0), "$1", "/    # ", LEFT(韻母表_4[[#This Row],[十五音]],1)))</f>
        <v xml:space="preserve">    - xform/oo([48?])/ooh$1/    # 沽</v>
      </c>
      <c r="U22" s="41" t="str">
        <f ca="1" xml:space="preserve"> IF(OR(韻母表_4[[#This Row],[台羅拼音]]="", R22=TRUE), "", _xlfn.CONCAT("    ", "- xform/", 韻母表_4[[#This Row],[台羅拼音]], "([48])/", OFFSET(韻母表_4[[#This Row],[台羅拼音]],1,0), "$1", "/    # ", LEFT(韻母表_4[[#This Row],[十五音]],1)))</f>
        <v xml:space="preserve">    - xform/oo([48])/ooh$1/    # 沽</v>
      </c>
      <c r="W22" s="41" t="s">
        <v>1414</v>
      </c>
    </row>
    <row r="23" spans="1:23" ht="44.25">
      <c r="A23" s="54">
        <v>22</v>
      </c>
      <c r="B23" s="54">
        <f xml:space="preserve"> IF(MOD(韻母表_4[[#This Row],[序號]],2)=0, 韻母表_4[[#This Row],[序號]]/2, ROUNDUP(韻母表_4[[#This Row],[序號]]/2,0))</f>
        <v>11</v>
      </c>
      <c r="C23" s="55"/>
      <c r="D23" s="56" t="s">
        <v>1384</v>
      </c>
      <c r="E23" s="86" t="str">
        <f xml:space="preserve"> _xlfn.CONCAT(E22, "h")</f>
        <v>ɔh</v>
      </c>
      <c r="F23" s="86"/>
      <c r="G23" s="57" t="str">
        <f xml:space="preserve"> _xlfn.CONCAT(G22, "h")</f>
        <v>ooh</v>
      </c>
      <c r="H23" s="57" t="str">
        <f xml:space="preserve"> _xlfn.CONCAT(H22, "h")</f>
        <v>ooh</v>
      </c>
      <c r="I23" s="57" t="str">
        <f xml:space="preserve"> _xlfn.CONCAT(I22, "h")</f>
        <v>o͘h</v>
      </c>
      <c r="J23" s="57" t="str">
        <f xml:space="preserve"> _xlfn.CONCAT(J22, "h")</f>
        <v>ooh</v>
      </c>
      <c r="K23" s="57" t="str">
        <f xml:space="preserve"> _xlfn.CONCAT(K22, "h")</f>
        <v>ooh</v>
      </c>
      <c r="L23" s="57" t="str">
        <f xml:space="preserve"> _xlfn.CONCAT(L22, "ㆷ")</f>
        <v>ㆦㆷ</v>
      </c>
      <c r="M23" s="57" t="str">
        <f xml:space="preserve"> _xlfn.CONCAT(M22, "ㄏ")</f>
        <v>ㄛㄏ</v>
      </c>
      <c r="R23" t="b">
        <f>IF(韻母表_4[[#This Row],[台羅拼音]]="", FALSE, ISNUMBER(FIND(RIGHT(韻母表_4[[#This Row],[台羅拼音]],1), "ptkh")))</f>
        <v>1</v>
      </c>
      <c r="S23" s="41" t="str">
        <f>IF(OR(韻母表_4[[#This Row],[台羅拼音]]="", R23=TRUE), "", LEN(韻母表_4[[#This Row],[台羅拼音]]))</f>
        <v/>
      </c>
      <c r="T23" s="41" t="str">
        <f ca="1" xml:space="preserve"> IF(OR(韻母表_4[[#This Row],[台羅拼音]]="", $R23=TRUE), "", _xlfn.CONCAT("    ", "- xform/", 韻母表_4[[#This Row],[台羅拼音]], "([48?])/", OFFSET(韻母表_4[[#This Row],[台羅拼音]],1,0), "$1", "/    # ", LEFT(韻母表_4[[#This Row],[十五音]],1)))</f>
        <v/>
      </c>
      <c r="U23" s="41" t="str">
        <f ca="1" xml:space="preserve"> IF(OR(韻母表_4[[#This Row],[台羅拼音]]="", R23=TRUE), "", _xlfn.CONCAT("    ", "- xform/", 韻母表_4[[#This Row],[台羅拼音]], "([48])/", OFFSET(韻母表_4[[#This Row],[台羅拼音]],1,0), "$1", "/    # ", LEFT(韻母表_4[[#This Row],[十五音]],1)))</f>
        <v/>
      </c>
      <c r="W23" s="41" t="s">
        <v>1079</v>
      </c>
    </row>
    <row r="24" spans="1:23" ht="44.25">
      <c r="A24" s="54">
        <v>23</v>
      </c>
      <c r="B24" s="54">
        <f xml:space="preserve"> IF(MOD(韻母表_4[[#This Row],[序號]],2)=0, 韻母表_4[[#This Row],[序號]]/2, ROUNDUP(韻母表_4[[#This Row],[序號]]/2,0))</f>
        <v>12</v>
      </c>
      <c r="C24" s="55" t="s">
        <v>263</v>
      </c>
      <c r="D24" s="56" t="s">
        <v>84</v>
      </c>
      <c r="E24" s="86" t="s">
        <v>1337</v>
      </c>
      <c r="F24" s="86"/>
      <c r="G24" s="57" t="s">
        <v>182</v>
      </c>
      <c r="H24" s="57" t="s">
        <v>182</v>
      </c>
      <c r="I24" s="57" t="s">
        <v>182</v>
      </c>
      <c r="J24" s="57" t="s">
        <v>1111</v>
      </c>
      <c r="K24" s="57" t="s">
        <v>182</v>
      </c>
      <c r="L24" s="57" t="s">
        <v>1112</v>
      </c>
      <c r="M24" s="57" t="s">
        <v>1112</v>
      </c>
      <c r="R24" t="b">
        <f>IF(韻母表_4[[#This Row],[台羅拼音]]="", FALSE, ISNUMBER(FIND(RIGHT(韻母表_4[[#This Row],[台羅拼音]],1), "ptkh")))</f>
        <v>0</v>
      </c>
      <c r="S24" s="41">
        <f>IF(OR(韻母表_4[[#This Row],[台羅拼音]]="", R24=TRUE), "", LEN(韻母表_4[[#This Row],[台羅拼音]]))</f>
        <v>3</v>
      </c>
      <c r="T24" s="41" t="str">
        <f ca="1" xml:space="preserve"> IF(OR(韻母表_4[[#This Row],[台羅拼音]]="", $R24=TRUE), "", _xlfn.CONCAT("    ", "- xform/", 韻母表_4[[#This Row],[台羅拼音]], "([48?])/", OFFSET(韻母表_4[[#This Row],[台羅拼音]],1,0), "$1", "/    # ", LEFT(韻母表_4[[#This Row],[十五音]],1)))</f>
        <v xml:space="preserve">    - xform/iau([48?])/iauh$1/    # 嬌</v>
      </c>
      <c r="U24" s="41" t="str">
        <f ca="1" xml:space="preserve"> IF(OR(韻母表_4[[#This Row],[台羅拼音]]="", R24=TRUE), "", _xlfn.CONCAT("    ", "- xform/", 韻母表_4[[#This Row],[台羅拼音]], "([48])/", OFFSET(韻母表_4[[#This Row],[台羅拼音]],1,0), "$1", "/    # ", LEFT(韻母表_4[[#This Row],[十五音]],1)))</f>
        <v xml:space="preserve">    - xform/iau([48])/iauh$1/    # 嬌</v>
      </c>
      <c r="W24" s="41" t="s">
        <v>1415</v>
      </c>
    </row>
    <row r="25" spans="1:23" ht="44.25">
      <c r="A25" s="54">
        <v>24</v>
      </c>
      <c r="B25" s="54">
        <f xml:space="preserve"> IF(MOD(韻母表_4[[#This Row],[序號]],2)=0, 韻母表_4[[#This Row],[序號]]/2, ROUNDUP(韻母表_4[[#This Row],[序號]]/2,0))</f>
        <v>12</v>
      </c>
      <c r="C25" s="62" t="s">
        <v>264</v>
      </c>
      <c r="D25" s="63" t="s">
        <v>85</v>
      </c>
      <c r="E25" s="86" t="s">
        <v>1338</v>
      </c>
      <c r="F25" s="86"/>
      <c r="G25" s="57" t="s">
        <v>183</v>
      </c>
      <c r="H25" s="57" t="s">
        <v>183</v>
      </c>
      <c r="I25" s="57" t="s">
        <v>183</v>
      </c>
      <c r="J25" s="57" t="s">
        <v>1113</v>
      </c>
      <c r="K25" s="57" t="s">
        <v>183</v>
      </c>
      <c r="L25" s="57" t="s">
        <v>1114</v>
      </c>
      <c r="M25" s="57" t="s">
        <v>1115</v>
      </c>
      <c r="R25" t="b">
        <f>IF(韻母表_4[[#This Row],[台羅拼音]]="", FALSE, ISNUMBER(FIND(RIGHT(韻母表_4[[#This Row],[台羅拼音]],1), "ptkh")))</f>
        <v>1</v>
      </c>
      <c r="S25" s="41" t="str">
        <f>IF(OR(韻母表_4[[#This Row],[台羅拼音]]="", R25=TRUE), "", LEN(韻母表_4[[#This Row],[台羅拼音]]))</f>
        <v/>
      </c>
      <c r="T25" s="41" t="str">
        <f ca="1" xml:space="preserve"> IF(OR(韻母表_4[[#This Row],[台羅拼音]]="", $R25=TRUE), "", _xlfn.CONCAT("    ", "- xform/", 韻母表_4[[#This Row],[台羅拼音]], "([48?])/", OFFSET(韻母表_4[[#This Row],[台羅拼音]],1,0), "$1", "/    # ", LEFT(韻母表_4[[#This Row],[十五音]],1)))</f>
        <v/>
      </c>
      <c r="U25" s="41" t="str">
        <f ca="1" xml:space="preserve"> IF(OR(韻母表_4[[#This Row],[台羅拼音]]="", R25=TRUE), "", _xlfn.CONCAT("    ", "- xform/", 韻母表_4[[#This Row],[台羅拼音]], "([48])/", OFFSET(韻母表_4[[#This Row],[台羅拼音]],1,0), "$1", "/    # ", LEFT(韻母表_4[[#This Row],[十五音]],1)))</f>
        <v/>
      </c>
      <c r="W25" s="41" t="s">
        <v>1079</v>
      </c>
    </row>
    <row r="26" spans="1:23" ht="44.25">
      <c r="A26" s="54">
        <v>25</v>
      </c>
      <c r="B26" s="54">
        <f xml:space="preserve"> IF(MOD(韻母表_4[[#This Row],[序號]],2)=0, 韻母表_4[[#This Row],[序號]]/2, ROUNDUP(韻母表_4[[#This Row],[序號]]/2,0))</f>
        <v>13</v>
      </c>
      <c r="C26" s="59" t="s">
        <v>265</v>
      </c>
      <c r="D26" s="60" t="s">
        <v>86</v>
      </c>
      <c r="E26" s="86" t="s">
        <v>1328</v>
      </c>
      <c r="F26" s="86" t="s">
        <v>1116</v>
      </c>
      <c r="G26" s="57" t="s">
        <v>184</v>
      </c>
      <c r="H26" s="57" t="s">
        <v>1116</v>
      </c>
      <c r="I26" s="57" t="s">
        <v>184</v>
      </c>
      <c r="J26" s="57" t="s">
        <v>184</v>
      </c>
      <c r="K26" s="57" t="s">
        <v>184</v>
      </c>
      <c r="L26" s="57" t="s">
        <v>1117</v>
      </c>
      <c r="M26" s="57" t="s">
        <v>1081</v>
      </c>
      <c r="R26" t="b">
        <f>IF(韻母表_4[[#This Row],[台羅拼音]]="", FALSE, ISNUMBER(FIND(RIGHT(韻母表_4[[#This Row],[台羅拼音]],1), "ptkh")))</f>
        <v>0</v>
      </c>
      <c r="S26" s="41">
        <f>IF(OR(韻母表_4[[#This Row],[台羅拼音]]="", R26=TRUE), "", LEN(韻母表_4[[#This Row],[台羅拼音]]))</f>
        <v>1</v>
      </c>
      <c r="T26" s="41" t="str">
        <f ca="1" xml:space="preserve"> IF(OR(韻母表_4[[#This Row],[台羅拼音]]="", $R26=TRUE), "", _xlfn.CONCAT("    ", "- xform/", 韻母表_4[[#This Row],[台羅拼音]], "([48?])/", OFFSET(韻母表_4[[#This Row],[台羅拼音]],1,0), "$1", "/    # ", LEFT(韻母表_4[[#This Row],[十五音]],1)))</f>
        <v xml:space="preserve">    - xform/e([48?])/$1/    # 稽</v>
      </c>
      <c r="U26" s="41" t="str">
        <f ca="1" xml:space="preserve"> IF(OR(韻母表_4[[#This Row],[台羅拼音]]="", R26=TRUE), "", _xlfn.CONCAT("    ", "- xform/", 韻母表_4[[#This Row],[台羅拼音]], "([48])/", OFFSET(韻母表_4[[#This Row],[台羅拼音]],1,0), "$1", "/    # ", LEFT(韻母表_4[[#This Row],[十五音]],1)))</f>
        <v xml:space="preserve">    - xform/e([48])/$1/    # 稽</v>
      </c>
      <c r="W26" s="41" t="s">
        <v>1416</v>
      </c>
    </row>
    <row r="27" spans="1:23" ht="44.25">
      <c r="A27" s="54">
        <v>26</v>
      </c>
      <c r="B27" s="54">
        <f xml:space="preserve"> IF(MOD(韻母表_4[[#This Row],[序號]],2)=0, 韻母表_4[[#This Row],[序號]]/2, ROUNDUP(韻母表_4[[#This Row],[序號]]/2,0))</f>
        <v>13</v>
      </c>
      <c r="C27" s="62"/>
      <c r="D27" s="63"/>
      <c r="E27" s="86" t="s">
        <v>1079</v>
      </c>
      <c r="F27" s="86"/>
      <c r="G27" s="57" t="s">
        <v>1079</v>
      </c>
      <c r="H27" s="57" t="s">
        <v>1079</v>
      </c>
      <c r="I27" s="57" t="s">
        <v>1079</v>
      </c>
      <c r="J27" s="57" t="s">
        <v>1079</v>
      </c>
      <c r="K27" s="57" t="s">
        <v>1079</v>
      </c>
      <c r="L27" s="57" t="s">
        <v>1079</v>
      </c>
      <c r="M27" s="57" t="s">
        <v>1079</v>
      </c>
      <c r="R27" t="b">
        <f>IF(韻母表_4[[#This Row],[台羅拼音]]="", FALSE, ISNUMBER(FIND(RIGHT(韻母表_4[[#This Row],[台羅拼音]],1), "ptkh")))</f>
        <v>0</v>
      </c>
      <c r="S27" s="41" t="str">
        <f>IF(OR(韻母表_4[[#This Row],[台羅拼音]]="", R27=TRUE), "", LEN(韻母表_4[[#This Row],[台羅拼音]]))</f>
        <v/>
      </c>
      <c r="T27" s="41" t="str">
        <f ca="1" xml:space="preserve"> IF(OR(韻母表_4[[#This Row],[台羅拼音]]="", $R27=TRUE), "", _xlfn.CONCAT("    ", "- xform/", 韻母表_4[[#This Row],[台羅拼音]], "([48?])/", OFFSET(韻母表_4[[#This Row],[台羅拼音]],1,0), "$1", "/    # ", LEFT(韻母表_4[[#This Row],[十五音]],1)))</f>
        <v/>
      </c>
      <c r="U27" s="41" t="str">
        <f ca="1" xml:space="preserve"> IF(OR(韻母表_4[[#This Row],[台羅拼音]]="", R27=TRUE), "", _xlfn.CONCAT("    ", "- xform/", 韻母表_4[[#This Row],[台羅拼音]], "([48])/", OFFSET(韻母表_4[[#This Row],[台羅拼音]],1,0), "$1", "/    # ", LEFT(韻母表_4[[#This Row],[十五音]],1)))</f>
        <v/>
      </c>
      <c r="W27" s="41" t="s">
        <v>1417</v>
      </c>
    </row>
    <row r="28" spans="1:23" ht="44.25">
      <c r="A28" s="54">
        <v>27</v>
      </c>
      <c r="B28" s="54">
        <f xml:space="preserve"> IF(MOD(韻母表_4[[#This Row],[序號]],2)=0, 韻母表_4[[#This Row],[序號]]/2, ROUNDUP(韻母表_4[[#This Row],[序號]]/2,0))</f>
        <v>14</v>
      </c>
      <c r="C28" s="55" t="s">
        <v>266</v>
      </c>
      <c r="D28" s="56" t="s">
        <v>88</v>
      </c>
      <c r="E28" s="86" t="s">
        <v>1339</v>
      </c>
      <c r="F28" s="86"/>
      <c r="G28" s="57" t="s">
        <v>185</v>
      </c>
      <c r="H28" s="57" t="s">
        <v>185</v>
      </c>
      <c r="I28" s="57" t="s">
        <v>185</v>
      </c>
      <c r="J28" s="57" t="s">
        <v>185</v>
      </c>
      <c r="K28" s="57" t="s">
        <v>185</v>
      </c>
      <c r="L28" s="57" t="s">
        <v>1118</v>
      </c>
      <c r="M28" s="57" t="s">
        <v>1119</v>
      </c>
      <c r="R28" t="b">
        <f>IF(韻母表_4[[#This Row],[台羅拼音]]="", FALSE, ISNUMBER(FIND(RIGHT(韻母表_4[[#This Row],[台羅拼音]],1), "ptkh")))</f>
        <v>0</v>
      </c>
      <c r="S28" s="41">
        <f>IF(OR(韻母表_4[[#This Row],[台羅拼音]]="", R28=TRUE), "", LEN(韻母表_4[[#This Row],[台羅拼音]]))</f>
        <v>4</v>
      </c>
      <c r="T28" s="41" t="str">
        <f ca="1" xml:space="preserve"> IF(OR(韻母表_4[[#This Row],[台羅拼音]]="", $R28=TRUE), "", _xlfn.CONCAT("    ", "- xform/", 韻母表_4[[#This Row],[台羅拼音]], "([48?])/", OFFSET(韻母表_4[[#This Row],[台羅拼音]],1,0), "$1", "/    # ", LEFT(韻母表_4[[#This Row],[十五音]],1)))</f>
        <v xml:space="preserve">    - xform/iong([48?])/iok$1/    # 恭</v>
      </c>
      <c r="U28" s="41" t="str">
        <f ca="1" xml:space="preserve"> IF(OR(韻母表_4[[#This Row],[台羅拼音]]="", R28=TRUE), "", _xlfn.CONCAT("    ", "- xform/", 韻母表_4[[#This Row],[台羅拼音]], "([48])/", OFFSET(韻母表_4[[#This Row],[台羅拼音]],1,0), "$1", "/    # ", LEFT(韻母表_4[[#This Row],[十五音]],1)))</f>
        <v xml:space="preserve">    - xform/iong([48])/iok$1/    # 恭</v>
      </c>
      <c r="W28" s="41" t="s">
        <v>1418</v>
      </c>
    </row>
    <row r="29" spans="1:23" ht="44.25">
      <c r="A29" s="54">
        <v>28</v>
      </c>
      <c r="B29" s="54">
        <f xml:space="preserve"> IF(MOD(韻母表_4[[#This Row],[序號]],2)=0, 韻母表_4[[#This Row],[序號]]/2, ROUNDUP(韻母表_4[[#This Row],[序號]]/2,0))</f>
        <v>14</v>
      </c>
      <c r="C29" s="55" t="s">
        <v>267</v>
      </c>
      <c r="D29" s="56" t="s">
        <v>89</v>
      </c>
      <c r="E29" s="86" t="s">
        <v>1340</v>
      </c>
      <c r="F29" s="86"/>
      <c r="G29" s="57" t="s">
        <v>186</v>
      </c>
      <c r="H29" s="57" t="s">
        <v>186</v>
      </c>
      <c r="I29" s="57" t="s">
        <v>186</v>
      </c>
      <c r="J29" s="57" t="s">
        <v>186</v>
      </c>
      <c r="K29" s="57" t="s">
        <v>1120</v>
      </c>
      <c r="L29" s="57" t="s">
        <v>1121</v>
      </c>
      <c r="M29" s="57" t="s">
        <v>1122</v>
      </c>
      <c r="R29" t="b">
        <f>IF(韻母表_4[[#This Row],[台羅拼音]]="", FALSE, ISNUMBER(FIND(RIGHT(韻母表_4[[#This Row],[台羅拼音]],1), "ptkh")))</f>
        <v>1</v>
      </c>
      <c r="S29" s="41" t="str">
        <f>IF(OR(韻母表_4[[#This Row],[台羅拼音]]="", R29=TRUE), "", LEN(韻母表_4[[#This Row],[台羅拼音]]))</f>
        <v/>
      </c>
      <c r="T29" s="41" t="str">
        <f ca="1" xml:space="preserve"> IF(OR(韻母表_4[[#This Row],[台羅拼音]]="", $R29=TRUE), "", _xlfn.CONCAT("    ", "- xform/", 韻母表_4[[#This Row],[台羅拼音]], "([48?])/", OFFSET(韻母表_4[[#This Row],[台羅拼音]],1,0), "$1", "/    # ", LEFT(韻母表_4[[#This Row],[十五音]],1)))</f>
        <v/>
      </c>
      <c r="U29" s="41" t="str">
        <f ca="1" xml:space="preserve"> IF(OR(韻母表_4[[#This Row],[台羅拼音]]="", R29=TRUE), "", _xlfn.CONCAT("    ", "- xform/", 韻母表_4[[#This Row],[台羅拼音]], "([48])/", OFFSET(韻母表_4[[#This Row],[台羅拼音]],1,0), "$1", "/    # ", LEFT(韻母表_4[[#This Row],[十五音]],1)))</f>
        <v/>
      </c>
      <c r="W29" s="41" t="s">
        <v>1079</v>
      </c>
    </row>
    <row r="30" spans="1:23" ht="44.25">
      <c r="A30" s="54">
        <v>29</v>
      </c>
      <c r="B30" s="54">
        <f xml:space="preserve"> IF(MOD(韻母表_4[[#This Row],[序號]],2)=0, 韻母表_4[[#This Row],[序號]]/2, ROUNDUP(韻母表_4[[#This Row],[序號]]/2,0))</f>
        <v>15</v>
      </c>
      <c r="C30" s="55" t="s">
        <v>268</v>
      </c>
      <c r="D30" s="56" t="s">
        <v>90</v>
      </c>
      <c r="E30" s="86" t="s">
        <v>1123</v>
      </c>
      <c r="F30" s="86"/>
      <c r="G30" s="57" t="s">
        <v>187</v>
      </c>
      <c r="H30" s="57" t="s">
        <v>187</v>
      </c>
      <c r="I30" s="57" t="s">
        <v>187</v>
      </c>
      <c r="J30" s="57" t="s">
        <v>187</v>
      </c>
      <c r="K30" s="57" t="s">
        <v>1124</v>
      </c>
      <c r="L30" s="57" t="s">
        <v>1125</v>
      </c>
      <c r="M30" s="57" t="s">
        <v>1125</v>
      </c>
      <c r="R30" t="b">
        <f>IF(韻母表_4[[#This Row],[台羅拼音]]="", FALSE, ISNUMBER(FIND(RIGHT(韻母表_4[[#This Row],[台羅拼音]],1), "ptkh")))</f>
        <v>0</v>
      </c>
      <c r="S30" s="41">
        <f>IF(OR(韻母表_4[[#This Row],[台羅拼音]]="", R30=TRUE), "", LEN(韻母表_4[[#This Row],[台羅拼音]]))</f>
        <v>1</v>
      </c>
      <c r="T30" s="41" t="str">
        <f ca="1" xml:space="preserve"> IF(OR(韻母表_4[[#This Row],[台羅拼音]]="", $R30=TRUE), "", _xlfn.CONCAT("    ", "- xform/", 韻母表_4[[#This Row],[台羅拼音]], "([48?])/", OFFSET(韻母表_4[[#This Row],[台羅拼音]],1,0), "$1", "/    # ", LEFT(韻母表_4[[#This Row],[十五音]],1)))</f>
        <v xml:space="preserve">    - xform/o([48?])/oh$1/    # 高</v>
      </c>
      <c r="U30" s="41" t="str">
        <f ca="1" xml:space="preserve"> IF(OR(韻母表_4[[#This Row],[台羅拼音]]="", R30=TRUE), "", _xlfn.CONCAT("    ", "- xform/", 韻母表_4[[#This Row],[台羅拼音]], "([48])/", OFFSET(韻母表_4[[#This Row],[台羅拼音]],1,0), "$1", "/    # ", LEFT(韻母表_4[[#This Row],[十五音]],1)))</f>
        <v xml:space="preserve">    - xform/o([48])/oh$1/    # 高</v>
      </c>
      <c r="W30" s="41" t="s">
        <v>1419</v>
      </c>
    </row>
    <row r="31" spans="1:23" ht="44.25">
      <c r="A31" s="54">
        <v>30</v>
      </c>
      <c r="B31" s="54">
        <f xml:space="preserve"> IF(MOD(韻母表_4[[#This Row],[序號]],2)=0, 韻母表_4[[#This Row],[序號]]/2, ROUNDUP(韻母表_4[[#This Row],[序號]]/2,0))</f>
        <v>15</v>
      </c>
      <c r="C31" s="55" t="s">
        <v>269</v>
      </c>
      <c r="D31" s="56" t="s">
        <v>91</v>
      </c>
      <c r="E31" s="86" t="s">
        <v>1126</v>
      </c>
      <c r="F31" s="86"/>
      <c r="G31" s="57" t="s">
        <v>188</v>
      </c>
      <c r="H31" s="57" t="s">
        <v>188</v>
      </c>
      <c r="I31" s="57" t="s">
        <v>188</v>
      </c>
      <c r="J31" s="57" t="s">
        <v>188</v>
      </c>
      <c r="K31" s="57" t="s">
        <v>1127</v>
      </c>
      <c r="L31" s="57" t="s">
        <v>1128</v>
      </c>
      <c r="M31" s="57" t="s">
        <v>1129</v>
      </c>
      <c r="R31" t="b">
        <f>IF(韻母表_4[[#This Row],[台羅拼音]]="", FALSE, ISNUMBER(FIND(RIGHT(韻母表_4[[#This Row],[台羅拼音]],1), "ptkh")))</f>
        <v>1</v>
      </c>
      <c r="S31" s="41" t="str">
        <f>IF(OR(韻母表_4[[#This Row],[台羅拼音]]="", R31=TRUE), "", LEN(韻母表_4[[#This Row],[台羅拼音]]))</f>
        <v/>
      </c>
      <c r="T31" s="41" t="str">
        <f ca="1" xml:space="preserve"> IF(OR(韻母表_4[[#This Row],[台羅拼音]]="", $R31=TRUE), "", _xlfn.CONCAT("    ", "- xform/", 韻母表_4[[#This Row],[台羅拼音]], "([48?])/", OFFSET(韻母表_4[[#This Row],[台羅拼音]],1,0), "$1", "/    # ", LEFT(韻母表_4[[#This Row],[十五音]],1)))</f>
        <v/>
      </c>
      <c r="U31" s="41" t="str">
        <f ca="1" xml:space="preserve"> IF(OR(韻母表_4[[#This Row],[台羅拼音]]="", R31=TRUE), "", _xlfn.CONCAT("    ", "- xform/", 韻母表_4[[#This Row],[台羅拼音]], "([48])/", OFFSET(韻母表_4[[#This Row],[台羅拼音]],1,0), "$1", "/    # ", LEFT(韻母表_4[[#This Row],[十五音]],1)))</f>
        <v/>
      </c>
      <c r="W31" s="41" t="s">
        <v>1079</v>
      </c>
    </row>
    <row r="32" spans="1:23" ht="44.25">
      <c r="A32" s="54">
        <v>31</v>
      </c>
      <c r="B32" s="54">
        <f xml:space="preserve"> IF(MOD(韻母表_4[[#This Row],[序號]],2)=0, 韻母表_4[[#This Row],[序號]]/2, ROUNDUP(韻母表_4[[#This Row],[序號]]/2,0))</f>
        <v>16</v>
      </c>
      <c r="C32" s="55" t="s">
        <v>270</v>
      </c>
      <c r="D32" s="56" t="s">
        <v>92</v>
      </c>
      <c r="E32" s="86" t="s">
        <v>1341</v>
      </c>
      <c r="F32" s="86"/>
      <c r="G32" s="57" t="s">
        <v>189</v>
      </c>
      <c r="H32" s="57" t="s">
        <v>189</v>
      </c>
      <c r="I32" s="57" t="s">
        <v>189</v>
      </c>
      <c r="J32" s="57" t="s">
        <v>189</v>
      </c>
      <c r="K32" s="57" t="s">
        <v>189</v>
      </c>
      <c r="L32" s="57" t="s">
        <v>1130</v>
      </c>
      <c r="M32" s="57" t="s">
        <v>1130</v>
      </c>
      <c r="R32" t="b">
        <f>IF(韻母表_4[[#This Row],[台羅拼音]]="", FALSE, ISNUMBER(FIND(RIGHT(韻母表_4[[#This Row],[台羅拼音]],1), "ptkh")))</f>
        <v>0</v>
      </c>
      <c r="S32" s="41">
        <f>IF(OR(韻母表_4[[#This Row],[台羅拼音]]="", R32=TRUE), "", LEN(韻母表_4[[#This Row],[台羅拼音]]))</f>
        <v>2</v>
      </c>
      <c r="T32" s="41" t="str">
        <f ca="1" xml:space="preserve"> IF(OR(韻母表_4[[#This Row],[台羅拼音]]="", $R32=TRUE), "", _xlfn.CONCAT("    ", "- xform/", 韻母表_4[[#This Row],[台羅拼音]], "([48?])/", OFFSET(韻母表_4[[#This Row],[台羅拼音]],1,0), "$1", "/    # ", LEFT(韻母表_4[[#This Row],[十五音]],1)))</f>
        <v xml:space="preserve">    - xform/ai([48?])/$1/    # 皆</v>
      </c>
      <c r="U32" s="41" t="str">
        <f ca="1" xml:space="preserve"> IF(OR(韻母表_4[[#This Row],[台羅拼音]]="", R32=TRUE), "", _xlfn.CONCAT("    ", "- xform/", 韻母表_4[[#This Row],[台羅拼音]], "([48])/", OFFSET(韻母表_4[[#This Row],[台羅拼音]],1,0), "$1", "/    # ", LEFT(韻母表_4[[#This Row],[十五音]],1)))</f>
        <v xml:space="preserve">    - xform/ai([48])/$1/    # 皆</v>
      </c>
      <c r="W32" s="41" t="s">
        <v>1420</v>
      </c>
    </row>
    <row r="33" spans="1:23" ht="44.25">
      <c r="A33" s="54">
        <v>32</v>
      </c>
      <c r="B33" s="54">
        <f xml:space="preserve"> IF(MOD(韻母表_4[[#This Row],[序號]],2)=0, 韻母表_4[[#This Row],[序號]]/2, ROUNDUP(韻母表_4[[#This Row],[序號]]/2,0))</f>
        <v>16</v>
      </c>
      <c r="C33" s="62"/>
      <c r="D33" s="63"/>
      <c r="E33" s="86"/>
      <c r="F33" s="86"/>
      <c r="G33" s="57"/>
      <c r="H33" s="57"/>
      <c r="I33" s="57"/>
      <c r="J33" s="57"/>
      <c r="K33" s="57"/>
      <c r="L33" s="57"/>
      <c r="M33" s="57"/>
      <c r="R33" t="b">
        <f>IF(韻母表_4[[#This Row],[台羅拼音]]="", FALSE, ISNUMBER(FIND(RIGHT(韻母表_4[[#This Row],[台羅拼音]],1), "ptkh")))</f>
        <v>0</v>
      </c>
      <c r="S33" s="41" t="str">
        <f>IF(OR(韻母表_4[[#This Row],[台羅拼音]]="", R33=TRUE), "", LEN(韻母表_4[[#This Row],[台羅拼音]]))</f>
        <v/>
      </c>
      <c r="T33" s="41" t="str">
        <f ca="1" xml:space="preserve"> IF(OR(韻母表_4[[#This Row],[台羅拼音]]="", $R33=TRUE), "", _xlfn.CONCAT("    ", "- xform/", 韻母表_4[[#This Row],[台羅拼音]], "([48?])/", OFFSET(韻母表_4[[#This Row],[台羅拼音]],1,0), "$1", "/    # ", LEFT(韻母表_4[[#This Row],[十五音]],1)))</f>
        <v/>
      </c>
      <c r="U33" s="41" t="str">
        <f ca="1" xml:space="preserve"> IF(OR(韻母表_4[[#This Row],[台羅拼音]]="", R33=TRUE), "", _xlfn.CONCAT("    ", "- xform/", 韻母表_4[[#This Row],[台羅拼音]], "([48])/", OFFSET(韻母表_4[[#This Row],[台羅拼音]],1,0), "$1", "/    # ", LEFT(韻母表_4[[#This Row],[十五音]],1)))</f>
        <v/>
      </c>
      <c r="W33" s="41" t="s">
        <v>1421</v>
      </c>
    </row>
    <row r="34" spans="1:23" ht="44.25">
      <c r="A34" s="54">
        <v>33</v>
      </c>
      <c r="B34" s="54">
        <f xml:space="preserve"> IF(MOD(韻母表_4[[#This Row],[序號]],2)=0, 韻母表_4[[#This Row],[序號]]/2, ROUNDUP(韻母表_4[[#This Row],[序號]]/2,0))</f>
        <v>17</v>
      </c>
      <c r="C34" s="55" t="s">
        <v>271</v>
      </c>
      <c r="D34" s="56" t="s">
        <v>94</v>
      </c>
      <c r="E34" s="86" t="s">
        <v>190</v>
      </c>
      <c r="F34" s="86"/>
      <c r="G34" s="57" t="s">
        <v>190</v>
      </c>
      <c r="H34" s="57" t="s">
        <v>190</v>
      </c>
      <c r="I34" s="57" t="s">
        <v>190</v>
      </c>
      <c r="J34" s="57" t="s">
        <v>190</v>
      </c>
      <c r="K34" s="57" t="s">
        <v>190</v>
      </c>
      <c r="L34" s="57" t="s">
        <v>1131</v>
      </c>
      <c r="M34" s="57" t="s">
        <v>1131</v>
      </c>
      <c r="R34" t="b">
        <f>IF(韻母表_4[[#This Row],[台羅拼音]]="", FALSE, ISNUMBER(FIND(RIGHT(韻母表_4[[#This Row],[台羅拼音]],1), "ptkh")))</f>
        <v>0</v>
      </c>
      <c r="S34" s="41">
        <f>IF(OR(韻母表_4[[#This Row],[台羅拼音]]="", R34=TRUE), "", LEN(韻母表_4[[#This Row],[台羅拼音]]))</f>
        <v>2</v>
      </c>
      <c r="T34" s="41" t="str">
        <f ca="1" xml:space="preserve"> IF(OR(韻母表_4[[#This Row],[台羅拼音]]="", $R34=TRUE), "", _xlfn.CONCAT("    ", "- xform/", 韻母表_4[[#This Row],[台羅拼音]], "([48?])/", OFFSET(韻母表_4[[#This Row],[台羅拼音]],1,0), "$1", "/    # ", LEFT(韻母表_4[[#This Row],[十五音]],1)))</f>
        <v xml:space="preserve">    - xform/in([48?])/it$1/    # 巾</v>
      </c>
      <c r="U34" s="41" t="str">
        <f ca="1" xml:space="preserve"> IF(OR(韻母表_4[[#This Row],[台羅拼音]]="", R34=TRUE), "", _xlfn.CONCAT("    ", "- xform/", 韻母表_4[[#This Row],[台羅拼音]], "([48])/", OFFSET(韻母表_4[[#This Row],[台羅拼音]],1,0), "$1", "/    # ", LEFT(韻母表_4[[#This Row],[十五音]],1)))</f>
        <v xml:space="preserve">    - xform/in([48])/it$1/    # 巾</v>
      </c>
      <c r="W34" s="41" t="s">
        <v>1422</v>
      </c>
    </row>
    <row r="35" spans="1:23" ht="44.25">
      <c r="A35" s="54">
        <v>34</v>
      </c>
      <c r="B35" s="54">
        <f xml:space="preserve"> IF(MOD(韻母表_4[[#This Row],[序號]],2)=0, 韻母表_4[[#This Row],[序號]]/2, ROUNDUP(韻母表_4[[#This Row],[序號]]/2,0))</f>
        <v>17</v>
      </c>
      <c r="C35" s="55" t="s">
        <v>272</v>
      </c>
      <c r="D35" s="56" t="s">
        <v>95</v>
      </c>
      <c r="E35" s="86" t="s">
        <v>1132</v>
      </c>
      <c r="F35" s="86"/>
      <c r="G35" s="57" t="s">
        <v>191</v>
      </c>
      <c r="H35" s="57" t="s">
        <v>191</v>
      </c>
      <c r="I35" s="57" t="s">
        <v>191</v>
      </c>
      <c r="J35" s="57" t="s">
        <v>191</v>
      </c>
      <c r="K35" s="57" t="s">
        <v>191</v>
      </c>
      <c r="L35" s="57" t="s">
        <v>1133</v>
      </c>
      <c r="M35" s="57" t="s">
        <v>1134</v>
      </c>
      <c r="R35" t="b">
        <f>IF(韻母表_4[[#This Row],[台羅拼音]]="", FALSE, ISNUMBER(FIND(RIGHT(韻母表_4[[#This Row],[台羅拼音]],1), "ptkh")))</f>
        <v>1</v>
      </c>
      <c r="S35" s="41" t="str">
        <f>IF(OR(韻母表_4[[#This Row],[台羅拼音]]="", R35=TRUE), "", LEN(韻母表_4[[#This Row],[台羅拼音]]))</f>
        <v/>
      </c>
      <c r="T35" s="41" t="str">
        <f ca="1" xml:space="preserve"> IF(OR(韻母表_4[[#This Row],[台羅拼音]]="", $R35=TRUE), "", _xlfn.CONCAT("    ", "- xform/", 韻母表_4[[#This Row],[台羅拼音]], "([48?])/", OFFSET(韻母表_4[[#This Row],[台羅拼音]],1,0), "$1", "/    # ", LEFT(韻母表_4[[#This Row],[十五音]],1)))</f>
        <v/>
      </c>
      <c r="U35" s="41" t="str">
        <f ca="1" xml:space="preserve"> IF(OR(韻母表_4[[#This Row],[台羅拼音]]="", R35=TRUE), "", _xlfn.CONCAT("    ", "- xform/", 韻母表_4[[#This Row],[台羅拼音]], "([48])/", OFFSET(韻母表_4[[#This Row],[台羅拼音]],1,0), "$1", "/    # ", LEFT(韻母表_4[[#This Row],[十五音]],1)))</f>
        <v/>
      </c>
      <c r="W35" s="41" t="s">
        <v>1079</v>
      </c>
    </row>
    <row r="36" spans="1:23" ht="44.25">
      <c r="A36" s="54">
        <v>35</v>
      </c>
      <c r="B36" s="54">
        <f xml:space="preserve"> IF(MOD(韻母表_4[[#This Row],[序號]],2)=0, 韻母表_4[[#This Row],[序號]]/2, ROUNDUP(韻母表_4[[#This Row],[序號]]/2,0))</f>
        <v>18</v>
      </c>
      <c r="C36" s="55" t="s">
        <v>274</v>
      </c>
      <c r="D36" s="56" t="s">
        <v>96</v>
      </c>
      <c r="E36" s="86" t="s">
        <v>1342</v>
      </c>
      <c r="F36" s="86"/>
      <c r="G36" s="57" t="s">
        <v>192</v>
      </c>
      <c r="H36" s="57" t="s">
        <v>192</v>
      </c>
      <c r="I36" s="57" t="s">
        <v>192</v>
      </c>
      <c r="J36" s="57" t="s">
        <v>192</v>
      </c>
      <c r="K36" s="57" t="s">
        <v>192</v>
      </c>
      <c r="L36" s="57" t="s">
        <v>1135</v>
      </c>
      <c r="M36" s="57" t="s">
        <v>1135</v>
      </c>
      <c r="R36" t="b">
        <f>IF(韻母表_4[[#This Row],[台羅拼音]]="", FALSE, ISNUMBER(FIND(RIGHT(韻母表_4[[#This Row],[台羅拼音]],1), "ptkh")))</f>
        <v>0</v>
      </c>
      <c r="S36" s="41">
        <f>IF(OR(韻母表_4[[#This Row],[台羅拼音]]="", R36=TRUE), "", LEN(韻母表_4[[#This Row],[台羅拼音]]))</f>
        <v>4</v>
      </c>
      <c r="T36" s="41" t="str">
        <f ca="1" xml:space="preserve"> IF(OR(韻母表_4[[#This Row],[台羅拼音]]="", $R36=TRUE), "", _xlfn.CONCAT("    ", "- xform/", 韻母表_4[[#This Row],[台羅拼音]], "([48?])/", OFFSET(韻母表_4[[#This Row],[台羅拼音]],1,0), "$1", "/    # ", LEFT(韻母表_4[[#This Row],[十五音]],1)))</f>
        <v xml:space="preserve">    - xform/iang([48?])/iak$1/    # 姜</v>
      </c>
      <c r="U36" s="41" t="str">
        <f ca="1" xml:space="preserve"> IF(OR(韻母表_4[[#This Row],[台羅拼音]]="", R36=TRUE), "", _xlfn.CONCAT("    ", "- xform/", 韻母表_4[[#This Row],[台羅拼音]], "([48])/", OFFSET(韻母表_4[[#This Row],[台羅拼音]],1,0), "$1", "/    # ", LEFT(韻母表_4[[#This Row],[十五音]],1)))</f>
        <v xml:space="preserve">    - xform/iang([48])/iak$1/    # 姜</v>
      </c>
      <c r="W36" s="41" t="s">
        <v>1423</v>
      </c>
    </row>
    <row r="37" spans="1:23" ht="44.25">
      <c r="A37" s="54">
        <v>36</v>
      </c>
      <c r="B37" s="54">
        <f xml:space="preserve"> IF(MOD(韻母表_4[[#This Row],[序號]],2)=0, 韻母表_4[[#This Row],[序號]]/2, ROUNDUP(韻母表_4[[#This Row],[序號]]/2,0))</f>
        <v>18</v>
      </c>
      <c r="C37" s="55" t="s">
        <v>275</v>
      </c>
      <c r="D37" s="56" t="s">
        <v>97</v>
      </c>
      <c r="E37" s="86" t="s">
        <v>1343</v>
      </c>
      <c r="F37" s="86"/>
      <c r="G37" s="57" t="s">
        <v>193</v>
      </c>
      <c r="H37" s="57" t="s">
        <v>193</v>
      </c>
      <c r="I37" s="57" t="s">
        <v>193</v>
      </c>
      <c r="J37" s="57" t="s">
        <v>193</v>
      </c>
      <c r="K37" s="57" t="s">
        <v>193</v>
      </c>
      <c r="L37" s="57" t="s">
        <v>1136</v>
      </c>
      <c r="M37" s="57" t="s">
        <v>1137</v>
      </c>
      <c r="R37" t="b">
        <f>IF(韻母表_4[[#This Row],[台羅拼音]]="", FALSE, ISNUMBER(FIND(RIGHT(韻母表_4[[#This Row],[台羅拼音]],1), "ptkh")))</f>
        <v>1</v>
      </c>
      <c r="S37" s="41" t="str">
        <f>IF(OR(韻母表_4[[#This Row],[台羅拼音]]="", R37=TRUE), "", LEN(韻母表_4[[#This Row],[台羅拼音]]))</f>
        <v/>
      </c>
      <c r="T37" s="41" t="str">
        <f ca="1" xml:space="preserve"> IF(OR(韻母表_4[[#This Row],[台羅拼音]]="", $R37=TRUE), "", _xlfn.CONCAT("    ", "- xform/", 韻母表_4[[#This Row],[台羅拼音]], "([48?])/", OFFSET(韻母表_4[[#This Row],[台羅拼音]],1,0), "$1", "/    # ", LEFT(韻母表_4[[#This Row],[十五音]],1)))</f>
        <v/>
      </c>
      <c r="U37" s="41" t="str">
        <f ca="1" xml:space="preserve"> IF(OR(韻母表_4[[#This Row],[台羅拼音]]="", R37=TRUE), "", _xlfn.CONCAT("    ", "- xform/", 韻母表_4[[#This Row],[台羅拼音]], "([48])/", OFFSET(韻母表_4[[#This Row],[台羅拼音]],1,0), "$1", "/    # ", LEFT(韻母表_4[[#This Row],[十五音]],1)))</f>
        <v/>
      </c>
      <c r="W37" s="41" t="s">
        <v>1079</v>
      </c>
    </row>
    <row r="38" spans="1:23" ht="44.25">
      <c r="A38" s="54">
        <v>37</v>
      </c>
      <c r="B38" s="54">
        <f xml:space="preserve"> IF(MOD(韻母表_4[[#This Row],[序號]],2)=0, 韻母表_4[[#This Row],[序號]]/2, ROUNDUP(韻母表_4[[#This Row],[序號]]/2,0))</f>
        <v>19</v>
      </c>
      <c r="C38" s="55" t="s">
        <v>276</v>
      </c>
      <c r="D38" s="56" t="s">
        <v>98</v>
      </c>
      <c r="E38" s="86" t="s">
        <v>194</v>
      </c>
      <c r="F38" s="86"/>
      <c r="G38" s="57" t="s">
        <v>194</v>
      </c>
      <c r="H38" s="57" t="s">
        <v>194</v>
      </c>
      <c r="I38" s="57" t="s">
        <v>194</v>
      </c>
      <c r="J38" s="57" t="s">
        <v>194</v>
      </c>
      <c r="K38" s="57" t="s">
        <v>194</v>
      </c>
      <c r="L38" s="57" t="s">
        <v>1138</v>
      </c>
      <c r="M38" s="57" t="s">
        <v>1139</v>
      </c>
      <c r="R38" t="b">
        <f>IF(韻母表_4[[#This Row],[台羅拼音]]="", FALSE, ISNUMBER(FIND(RIGHT(韻母表_4[[#This Row],[台羅拼音]],1), "ptkh")))</f>
        <v>0</v>
      </c>
      <c r="S38" s="41">
        <f>IF(OR(韻母表_4[[#This Row],[台羅拼音]]="", R38=TRUE), "", LEN(韻母表_4[[#This Row],[台羅拼音]]))</f>
        <v>2</v>
      </c>
      <c r="T38" s="41" t="str">
        <f ca="1" xml:space="preserve"> IF(OR(韻母表_4[[#This Row],[台羅拼音]]="", $R38=TRUE), "", _xlfn.CONCAT("    ", "- xform/", 韻母表_4[[#This Row],[台羅拼音]], "([48?])/", OFFSET(韻母表_4[[#This Row],[台羅拼音]],1,0), "$1", "/    # ", LEFT(韻母表_4[[#This Row],[十五音]],1)))</f>
        <v xml:space="preserve">    - xform/am([48?])/ap$1/    # 甘</v>
      </c>
      <c r="U38" s="41" t="str">
        <f ca="1" xml:space="preserve"> IF(OR(韻母表_4[[#This Row],[台羅拼音]]="", R38=TRUE), "", _xlfn.CONCAT("    ", "- xform/", 韻母表_4[[#This Row],[台羅拼音]], "([48])/", OFFSET(韻母表_4[[#This Row],[台羅拼音]],1,0), "$1", "/    # ", LEFT(韻母表_4[[#This Row],[十五音]],1)))</f>
        <v xml:space="preserve">    - xform/am([48])/ap$1/    # 甘</v>
      </c>
      <c r="W38" s="41" t="s">
        <v>1424</v>
      </c>
    </row>
    <row r="39" spans="1:23" ht="44.25">
      <c r="A39" s="54">
        <v>38</v>
      </c>
      <c r="B39" s="54">
        <f xml:space="preserve"> IF(MOD(韻母表_4[[#This Row],[序號]],2)=0, 韻母表_4[[#This Row],[序號]]/2, ROUNDUP(韻母表_4[[#This Row],[序號]]/2,0))</f>
        <v>19</v>
      </c>
      <c r="C39" s="55" t="s">
        <v>277</v>
      </c>
      <c r="D39" s="56" t="s">
        <v>99</v>
      </c>
      <c r="E39" s="86" t="s">
        <v>1140</v>
      </c>
      <c r="F39" s="86"/>
      <c r="G39" s="57" t="s">
        <v>195</v>
      </c>
      <c r="H39" s="57" t="s">
        <v>195</v>
      </c>
      <c r="I39" s="57" t="s">
        <v>195</v>
      </c>
      <c r="J39" s="57" t="s">
        <v>195</v>
      </c>
      <c r="K39" s="57" t="s">
        <v>195</v>
      </c>
      <c r="L39" s="57" t="s">
        <v>1141</v>
      </c>
      <c r="M39" s="57" t="s">
        <v>1142</v>
      </c>
      <c r="R39" t="b">
        <f>IF(韻母表_4[[#This Row],[台羅拼音]]="", FALSE, ISNUMBER(FIND(RIGHT(韻母表_4[[#This Row],[台羅拼音]],1), "ptkh")))</f>
        <v>1</v>
      </c>
      <c r="S39" s="41" t="str">
        <f>IF(OR(韻母表_4[[#This Row],[台羅拼音]]="", R39=TRUE), "", LEN(韻母表_4[[#This Row],[台羅拼音]]))</f>
        <v/>
      </c>
      <c r="T39" s="41" t="str">
        <f ca="1" xml:space="preserve"> IF(OR(韻母表_4[[#This Row],[台羅拼音]]="", $R39=TRUE), "", _xlfn.CONCAT("    ", "- xform/", 韻母表_4[[#This Row],[台羅拼音]], "([48?])/", OFFSET(韻母表_4[[#This Row],[台羅拼音]],1,0), "$1", "/    # ", LEFT(韻母表_4[[#This Row],[十五音]],1)))</f>
        <v/>
      </c>
      <c r="U39" s="41" t="str">
        <f ca="1" xml:space="preserve"> IF(OR(韻母表_4[[#This Row],[台羅拼音]]="", R39=TRUE), "", _xlfn.CONCAT("    ", "- xform/", 韻母表_4[[#This Row],[台羅拼音]], "([48])/", OFFSET(韻母表_4[[#This Row],[台羅拼音]],1,0), "$1", "/    # ", LEFT(韻母表_4[[#This Row],[十五音]],1)))</f>
        <v/>
      </c>
      <c r="W39" s="41" t="s">
        <v>1079</v>
      </c>
    </row>
    <row r="40" spans="1:23" ht="44.25">
      <c r="A40" s="54">
        <v>39</v>
      </c>
      <c r="B40" s="54">
        <f xml:space="preserve"> IF(MOD(韻母表_4[[#This Row],[序號]],2)=0, 韻母表_4[[#This Row],[序號]]/2, ROUNDUP(韻母表_4[[#This Row],[序號]]/2,0))</f>
        <v>20</v>
      </c>
      <c r="C40" s="55" t="s">
        <v>278</v>
      </c>
      <c r="D40" s="56" t="s">
        <v>100</v>
      </c>
      <c r="E40" s="86" t="s">
        <v>196</v>
      </c>
      <c r="F40" s="86"/>
      <c r="G40" s="57" t="s">
        <v>196</v>
      </c>
      <c r="H40" s="57" t="s">
        <v>196</v>
      </c>
      <c r="I40" s="57" t="s">
        <v>1143</v>
      </c>
      <c r="J40" s="57" t="s">
        <v>196</v>
      </c>
      <c r="K40" s="57" t="s">
        <v>196</v>
      </c>
      <c r="L40" s="57" t="s">
        <v>1144</v>
      </c>
      <c r="M40" s="57" t="s">
        <v>1144</v>
      </c>
      <c r="R40" t="b">
        <f>IF(韻母表_4[[#This Row],[台羅拼音]]="", FALSE, ISNUMBER(FIND(RIGHT(韻母表_4[[#This Row],[台羅拼音]],1), "ptkh")))</f>
        <v>0</v>
      </c>
      <c r="S40" s="41">
        <f>IF(OR(韻母表_4[[#This Row],[台羅拼音]]="", R40=TRUE), "", LEN(韻母表_4[[#This Row],[台羅拼音]]))</f>
        <v>2</v>
      </c>
      <c r="T40" s="41" t="str">
        <f ca="1" xml:space="preserve"> IF(OR(韻母表_4[[#This Row],[台羅拼音]]="", $R40=TRUE), "", _xlfn.CONCAT("    ", "- xform/", 韻母表_4[[#This Row],[台羅拼音]], "([48?])/", OFFSET(韻母表_4[[#This Row],[台羅拼音]],1,0), "$1", "/    # ", LEFT(韻母表_4[[#This Row],[十五音]],1)))</f>
        <v xml:space="preserve">    - xform/ua([48?])/uah$1/    # 瓜</v>
      </c>
      <c r="U40" s="41" t="str">
        <f ca="1" xml:space="preserve"> IF(OR(韻母表_4[[#This Row],[台羅拼音]]="", R40=TRUE), "", _xlfn.CONCAT("    ", "- xform/", 韻母表_4[[#This Row],[台羅拼音]], "([48])/", OFFSET(韻母表_4[[#This Row],[台羅拼音]],1,0), "$1", "/    # ", LEFT(韻母表_4[[#This Row],[十五音]],1)))</f>
        <v xml:space="preserve">    - xform/ua([48])/uah$1/    # 瓜</v>
      </c>
      <c r="W40" s="41" t="s">
        <v>1425</v>
      </c>
    </row>
    <row r="41" spans="1:23" ht="44.25">
      <c r="A41" s="54">
        <v>40</v>
      </c>
      <c r="B41" s="54">
        <f xml:space="preserve"> IF(MOD(韻母表_4[[#This Row],[序號]],2)=0, 韻母表_4[[#This Row],[序號]]/2, ROUNDUP(韻母表_4[[#This Row],[序號]]/2,0))</f>
        <v>20</v>
      </c>
      <c r="C41" s="55" t="s">
        <v>279</v>
      </c>
      <c r="D41" s="56" t="s">
        <v>101</v>
      </c>
      <c r="E41" s="86" t="s">
        <v>1145</v>
      </c>
      <c r="F41" s="86"/>
      <c r="G41" s="57" t="s">
        <v>197</v>
      </c>
      <c r="H41" s="57" t="s">
        <v>197</v>
      </c>
      <c r="I41" s="57" t="s">
        <v>1146</v>
      </c>
      <c r="J41" s="57" t="s">
        <v>197</v>
      </c>
      <c r="K41" s="57" t="s">
        <v>197</v>
      </c>
      <c r="L41" s="57" t="s">
        <v>1147</v>
      </c>
      <c r="M41" s="57" t="s">
        <v>1148</v>
      </c>
      <c r="R41" t="b">
        <f>IF(韻母表_4[[#This Row],[台羅拼音]]="", FALSE, ISNUMBER(FIND(RIGHT(韻母表_4[[#This Row],[台羅拼音]],1), "ptkh")))</f>
        <v>1</v>
      </c>
      <c r="S41" s="41" t="str">
        <f>IF(OR(韻母表_4[[#This Row],[台羅拼音]]="", R41=TRUE), "", LEN(韻母表_4[[#This Row],[台羅拼音]]))</f>
        <v/>
      </c>
      <c r="T41" s="41" t="str">
        <f ca="1" xml:space="preserve"> IF(OR(韻母表_4[[#This Row],[台羅拼音]]="", $R41=TRUE), "", _xlfn.CONCAT("    ", "- xform/", 韻母表_4[[#This Row],[台羅拼音]], "([48?])/", OFFSET(韻母表_4[[#This Row],[台羅拼音]],1,0), "$1", "/    # ", LEFT(韻母表_4[[#This Row],[十五音]],1)))</f>
        <v/>
      </c>
      <c r="U41" s="41" t="str">
        <f ca="1" xml:space="preserve"> IF(OR(韻母表_4[[#This Row],[台羅拼音]]="", R41=TRUE), "", _xlfn.CONCAT("    ", "- xform/", 韻母表_4[[#This Row],[台羅拼音]], "([48])/", OFFSET(韻母表_4[[#This Row],[台羅拼音]],1,0), "$1", "/    # ", LEFT(韻母表_4[[#This Row],[十五音]],1)))</f>
        <v/>
      </c>
      <c r="W41" s="41" t="s">
        <v>1079</v>
      </c>
    </row>
    <row r="42" spans="1:23" ht="44.25">
      <c r="A42" s="54">
        <v>41</v>
      </c>
      <c r="B42" s="54">
        <f xml:space="preserve"> IF(MOD(韻母表_4[[#This Row],[序號]],2)=0, 韻母表_4[[#This Row],[序號]]/2, ROUNDUP(韻母表_4[[#This Row],[序號]]/2,0))</f>
        <v>21</v>
      </c>
      <c r="C42" s="55" t="s">
        <v>280</v>
      </c>
      <c r="D42" s="56" t="s">
        <v>102</v>
      </c>
      <c r="E42" s="86" t="s">
        <v>1344</v>
      </c>
      <c r="F42" s="86"/>
      <c r="G42" s="57" t="s">
        <v>198</v>
      </c>
      <c r="H42" s="57" t="s">
        <v>198</v>
      </c>
      <c r="I42" s="57" t="s">
        <v>198</v>
      </c>
      <c r="J42" s="57" t="s">
        <v>198</v>
      </c>
      <c r="K42" s="57" t="s">
        <v>198</v>
      </c>
      <c r="L42" s="57" t="s">
        <v>1149</v>
      </c>
      <c r="M42" s="57" t="s">
        <v>1149</v>
      </c>
      <c r="R42" t="b">
        <f>IF(韻母表_4[[#This Row],[台羅拼音]]="", FALSE, ISNUMBER(FIND(RIGHT(韻母表_4[[#This Row],[台羅拼音]],1), "ptkh")))</f>
        <v>0</v>
      </c>
      <c r="S42" s="41">
        <f>IF(OR(韻母表_4[[#This Row],[台羅拼音]]="", R42=TRUE), "", LEN(韻母表_4[[#This Row],[台羅拼音]]))</f>
        <v>3</v>
      </c>
      <c r="T42" s="41" t="str">
        <f ca="1" xml:space="preserve"> IF(OR(韻母表_4[[#This Row],[台羅拼音]]="", $R42=TRUE), "", _xlfn.CONCAT("    ", "- xform/", 韻母表_4[[#This Row],[台羅拼音]], "([48?])/", OFFSET(韻母表_4[[#This Row],[台羅拼音]],1,0), "$1", "/    # ", LEFT(韻母表_4[[#This Row],[十五音]],1)))</f>
        <v xml:space="preserve">    - xform/ang([48?])/ak$1/    # 江</v>
      </c>
      <c r="U42" s="41" t="str">
        <f ca="1" xml:space="preserve"> IF(OR(韻母表_4[[#This Row],[台羅拼音]]="", R42=TRUE), "", _xlfn.CONCAT("    ", "- xform/", 韻母表_4[[#This Row],[台羅拼音]], "([48])/", OFFSET(韻母表_4[[#This Row],[台羅拼音]],1,0), "$1", "/    # ", LEFT(韻母表_4[[#This Row],[十五音]],1)))</f>
        <v xml:space="preserve">    - xform/ang([48])/ak$1/    # 江</v>
      </c>
      <c r="W42" s="41" t="s">
        <v>1426</v>
      </c>
    </row>
    <row r="43" spans="1:23" ht="44.25">
      <c r="A43" s="54">
        <v>42</v>
      </c>
      <c r="B43" s="54">
        <f xml:space="preserve"> IF(MOD(韻母表_4[[#This Row],[序號]],2)=0, 韻母表_4[[#This Row],[序號]]/2, ROUNDUP(韻母表_4[[#This Row],[序號]]/2,0))</f>
        <v>21</v>
      </c>
      <c r="C43" s="55" t="s">
        <v>281</v>
      </c>
      <c r="D43" s="56" t="s">
        <v>103</v>
      </c>
      <c r="E43" s="86" t="s">
        <v>1150</v>
      </c>
      <c r="F43" s="86"/>
      <c r="G43" s="57" t="s">
        <v>199</v>
      </c>
      <c r="H43" s="57" t="s">
        <v>199</v>
      </c>
      <c r="I43" s="57" t="s">
        <v>199</v>
      </c>
      <c r="J43" s="57" t="s">
        <v>199</v>
      </c>
      <c r="K43" s="57" t="s">
        <v>199</v>
      </c>
      <c r="L43" s="57" t="s">
        <v>1151</v>
      </c>
      <c r="M43" s="57" t="s">
        <v>1152</v>
      </c>
      <c r="R43" t="b">
        <f>IF(韻母表_4[[#This Row],[台羅拼音]]="", FALSE, ISNUMBER(FIND(RIGHT(韻母表_4[[#This Row],[台羅拼音]],1), "ptkh")))</f>
        <v>1</v>
      </c>
      <c r="S43" s="41" t="str">
        <f>IF(OR(韻母表_4[[#This Row],[台羅拼音]]="", R43=TRUE), "", LEN(韻母表_4[[#This Row],[台羅拼音]]))</f>
        <v/>
      </c>
      <c r="T43" s="41" t="str">
        <f ca="1" xml:space="preserve"> IF(OR(韻母表_4[[#This Row],[台羅拼音]]="", $R43=TRUE), "", _xlfn.CONCAT("    ", "- xform/", 韻母表_4[[#This Row],[台羅拼音]], "([48?])/", OFFSET(韻母表_4[[#This Row],[台羅拼音]],1,0), "$1", "/    # ", LEFT(韻母表_4[[#This Row],[十五音]],1)))</f>
        <v/>
      </c>
      <c r="U43" s="41" t="str">
        <f ca="1" xml:space="preserve"> IF(OR(韻母表_4[[#This Row],[台羅拼音]]="", R43=TRUE), "", _xlfn.CONCAT("    ", "- xform/", 韻母表_4[[#This Row],[台羅拼音]], "([48])/", OFFSET(韻母表_4[[#This Row],[台羅拼音]],1,0), "$1", "/    # ", LEFT(韻母表_4[[#This Row],[十五音]],1)))</f>
        <v/>
      </c>
      <c r="W43" s="41" t="s">
        <v>1079</v>
      </c>
    </row>
    <row r="44" spans="1:23" ht="44.25">
      <c r="A44" s="54">
        <v>43</v>
      </c>
      <c r="B44" s="54">
        <f xml:space="preserve"> IF(MOD(韻母表_4[[#This Row],[序號]],2)=0, 韻母表_4[[#This Row],[序號]]/2, ROUNDUP(韻母表_4[[#This Row],[序號]]/2,0))</f>
        <v>22</v>
      </c>
      <c r="C44" s="55" t="s">
        <v>282</v>
      </c>
      <c r="D44" s="56" t="s">
        <v>104</v>
      </c>
      <c r="E44" s="86" t="s">
        <v>1345</v>
      </c>
      <c r="F44" s="86"/>
      <c r="G44" s="57" t="s">
        <v>200</v>
      </c>
      <c r="H44" s="57" t="s">
        <v>200</v>
      </c>
      <c r="I44" s="57" t="s">
        <v>200</v>
      </c>
      <c r="J44" s="57" t="s">
        <v>200</v>
      </c>
      <c r="K44" s="57" t="s">
        <v>200</v>
      </c>
      <c r="L44" s="57" t="s">
        <v>1153</v>
      </c>
      <c r="M44" s="57" t="s">
        <v>1154</v>
      </c>
      <c r="R44" t="b">
        <f>IF(韻母表_4[[#This Row],[台羅拼音]]="", FALSE, ISNUMBER(FIND(RIGHT(韻母表_4[[#This Row],[台羅拼音]],1), "ptkh")))</f>
        <v>0</v>
      </c>
      <c r="S44" s="41">
        <f>IF(OR(韻母表_4[[#This Row],[台羅拼音]]="", R44=TRUE), "", LEN(韻母表_4[[#This Row],[台羅拼音]]))</f>
        <v>3</v>
      </c>
      <c r="T44" s="41" t="str">
        <f ca="1" xml:space="preserve"> IF(OR(韻母表_4[[#This Row],[台羅拼音]]="", $R44=TRUE), "", _xlfn.CONCAT("    ", "- xform/", 韻母表_4[[#This Row],[台羅拼音]], "([48?])/", OFFSET(韻母表_4[[#This Row],[台羅拼音]],1,0), "$1", "/    # ", LEFT(韻母表_4[[#This Row],[十五音]],1)))</f>
        <v xml:space="preserve">    - xform/iam([48?])/iap$1/    # 兼</v>
      </c>
      <c r="U44" s="41" t="str">
        <f ca="1" xml:space="preserve"> IF(OR(韻母表_4[[#This Row],[台羅拼音]]="", R44=TRUE), "", _xlfn.CONCAT("    ", "- xform/", 韻母表_4[[#This Row],[台羅拼音]], "([48])/", OFFSET(韻母表_4[[#This Row],[台羅拼音]],1,0), "$1", "/    # ", LEFT(韻母表_4[[#This Row],[十五音]],1)))</f>
        <v xml:space="preserve">    - xform/iam([48])/iap$1/    # 兼</v>
      </c>
      <c r="W44" s="41" t="s">
        <v>1427</v>
      </c>
    </row>
    <row r="45" spans="1:23" ht="44.25">
      <c r="A45" s="54">
        <v>44</v>
      </c>
      <c r="B45" s="54">
        <f xml:space="preserve"> IF(MOD(韻母表_4[[#This Row],[序號]],2)=0, 韻母表_4[[#This Row],[序號]]/2, ROUNDUP(韻母表_4[[#This Row],[序號]]/2,0))</f>
        <v>22</v>
      </c>
      <c r="C45" s="55" t="s">
        <v>283</v>
      </c>
      <c r="D45" s="56" t="s">
        <v>105</v>
      </c>
      <c r="E45" s="86" t="s">
        <v>1346</v>
      </c>
      <c r="F45" s="86"/>
      <c r="G45" s="57" t="s">
        <v>201</v>
      </c>
      <c r="H45" s="57" t="s">
        <v>201</v>
      </c>
      <c r="I45" s="57" t="s">
        <v>201</v>
      </c>
      <c r="J45" s="57" t="s">
        <v>201</v>
      </c>
      <c r="K45" s="57" t="s">
        <v>201</v>
      </c>
      <c r="L45" s="57" t="s">
        <v>1155</v>
      </c>
      <c r="M45" s="57" t="s">
        <v>1156</v>
      </c>
      <c r="R45" t="b">
        <f>IF(韻母表_4[[#This Row],[台羅拼音]]="", FALSE, ISNUMBER(FIND(RIGHT(韻母表_4[[#This Row],[台羅拼音]],1), "ptkh")))</f>
        <v>1</v>
      </c>
      <c r="S45" s="41" t="str">
        <f>IF(OR(韻母表_4[[#This Row],[台羅拼音]]="", R45=TRUE), "", LEN(韻母表_4[[#This Row],[台羅拼音]]))</f>
        <v/>
      </c>
      <c r="T45" s="41" t="str">
        <f ca="1" xml:space="preserve"> IF(OR(韻母表_4[[#This Row],[台羅拼音]]="", $R45=TRUE), "", _xlfn.CONCAT("    ", "- xform/", 韻母表_4[[#This Row],[台羅拼音]], "([48?])/", OFFSET(韻母表_4[[#This Row],[台羅拼音]],1,0), "$1", "/    # ", LEFT(韻母表_4[[#This Row],[十五音]],1)))</f>
        <v/>
      </c>
      <c r="U45" s="41" t="str">
        <f ca="1" xml:space="preserve"> IF(OR(韻母表_4[[#This Row],[台羅拼音]]="", R45=TRUE), "", _xlfn.CONCAT("    ", "- xform/", 韻母表_4[[#This Row],[台羅拼音]], "([48])/", OFFSET(韻母表_4[[#This Row],[台羅拼音]],1,0), "$1", "/    # ", LEFT(韻母表_4[[#This Row],[十五音]],1)))</f>
        <v/>
      </c>
      <c r="W45" s="41" t="s">
        <v>1079</v>
      </c>
    </row>
    <row r="46" spans="1:23" ht="44.25">
      <c r="A46" s="54">
        <v>45</v>
      </c>
      <c r="B46" s="54">
        <f xml:space="preserve"> IF(MOD(韻母表_4[[#This Row],[序號]],2)=0, 韻母表_4[[#This Row],[序號]]/2, ROUNDUP(韻母表_4[[#This Row],[序號]]/2,0))</f>
        <v>23</v>
      </c>
      <c r="C46" s="55" t="s">
        <v>284</v>
      </c>
      <c r="D46" s="56" t="s">
        <v>106</v>
      </c>
      <c r="E46" s="86" t="s">
        <v>1347</v>
      </c>
      <c r="F46" s="86"/>
      <c r="G46" s="57" t="s">
        <v>202</v>
      </c>
      <c r="H46" s="57" t="s">
        <v>202</v>
      </c>
      <c r="I46" s="57" t="s">
        <v>202</v>
      </c>
      <c r="J46" s="57" t="s">
        <v>1157</v>
      </c>
      <c r="K46" s="57" t="s">
        <v>202</v>
      </c>
      <c r="L46" s="57" t="s">
        <v>1158</v>
      </c>
      <c r="M46" s="57" t="s">
        <v>1158</v>
      </c>
      <c r="R46" t="b">
        <f>IF(韻母表_4[[#This Row],[台羅拼音]]="", FALSE, ISNUMBER(FIND(RIGHT(韻母表_4[[#This Row],[台羅拼音]],1), "ptkh")))</f>
        <v>0</v>
      </c>
      <c r="S46" s="41">
        <f>IF(OR(韻母表_4[[#This Row],[台羅拼音]]="", R46=TRUE), "", LEN(韻母表_4[[#This Row],[台羅拼音]]))</f>
        <v>2</v>
      </c>
      <c r="T46" s="41" t="str">
        <f ca="1" xml:space="preserve"> IF(OR(韻母表_4[[#This Row],[台羅拼音]]="", $R46=TRUE), "", _xlfn.CONCAT("    ", "- xform/", 韻母表_4[[#This Row],[台羅拼音]], "([48?])/", OFFSET(韻母表_4[[#This Row],[台羅拼音]],1,0), "$1", "/    # ", LEFT(韻母表_4[[#This Row],[十五音]],1)))</f>
        <v xml:space="preserve">    - xform/au([48?])/auh$1/    # 交</v>
      </c>
      <c r="U46" s="41" t="str">
        <f ca="1" xml:space="preserve"> IF(OR(韻母表_4[[#This Row],[台羅拼音]]="", R46=TRUE), "", _xlfn.CONCAT("    ", "- xform/", 韻母表_4[[#This Row],[台羅拼音]], "([48])/", OFFSET(韻母表_4[[#This Row],[台羅拼音]],1,0), "$1", "/    # ", LEFT(韻母表_4[[#This Row],[十五音]],1)))</f>
        <v xml:space="preserve">    - xform/au([48])/auh$1/    # 交</v>
      </c>
      <c r="W46" s="41" t="s">
        <v>1428</v>
      </c>
    </row>
    <row r="47" spans="1:23" ht="44.25">
      <c r="A47" s="54">
        <v>46</v>
      </c>
      <c r="B47" s="54">
        <f xml:space="preserve"> IF(MOD(韻母表_4[[#This Row],[序號]],2)=0, 韻母表_4[[#This Row],[序號]]/2, ROUNDUP(韻母表_4[[#This Row],[序號]]/2,0))</f>
        <v>23</v>
      </c>
      <c r="C47" s="55" t="s">
        <v>285</v>
      </c>
      <c r="D47" s="56" t="s">
        <v>107</v>
      </c>
      <c r="E47" s="86" t="s">
        <v>1159</v>
      </c>
      <c r="F47" s="86"/>
      <c r="G47" s="57" t="s">
        <v>203</v>
      </c>
      <c r="H47" s="57" t="s">
        <v>203</v>
      </c>
      <c r="I47" s="57" t="s">
        <v>203</v>
      </c>
      <c r="J47" s="57" t="s">
        <v>1160</v>
      </c>
      <c r="K47" s="57" t="s">
        <v>203</v>
      </c>
      <c r="L47" s="57" t="s">
        <v>1161</v>
      </c>
      <c r="M47" s="57" t="s">
        <v>1162</v>
      </c>
      <c r="R47" t="b">
        <f>IF(韻母表_4[[#This Row],[台羅拼音]]="", FALSE, ISNUMBER(FIND(RIGHT(韻母表_4[[#This Row],[台羅拼音]],1), "ptkh")))</f>
        <v>1</v>
      </c>
      <c r="S47" s="41" t="str">
        <f>IF(OR(韻母表_4[[#This Row],[台羅拼音]]="", R47=TRUE), "", LEN(韻母表_4[[#This Row],[台羅拼音]]))</f>
        <v/>
      </c>
      <c r="T47" s="41" t="str">
        <f ca="1" xml:space="preserve"> IF(OR(韻母表_4[[#This Row],[台羅拼音]]="", $R47=TRUE), "", _xlfn.CONCAT("    ", "- xform/", 韻母表_4[[#This Row],[台羅拼音]], "([48?])/", OFFSET(韻母表_4[[#This Row],[台羅拼音]],1,0), "$1", "/    # ", LEFT(韻母表_4[[#This Row],[十五音]],1)))</f>
        <v/>
      </c>
      <c r="U47" s="41" t="str">
        <f ca="1" xml:space="preserve"> IF(OR(韻母表_4[[#This Row],[台羅拼音]]="", R47=TRUE), "", _xlfn.CONCAT("    ", "- xform/", 韻母表_4[[#This Row],[台羅拼音]], "([48])/", OFFSET(韻母表_4[[#This Row],[台羅拼音]],1,0), "$1", "/    # ", LEFT(韻母表_4[[#This Row],[十五音]],1)))</f>
        <v/>
      </c>
      <c r="W47" s="41" t="s">
        <v>1079</v>
      </c>
    </row>
    <row r="48" spans="1:23" ht="44.25">
      <c r="A48" s="54">
        <v>47</v>
      </c>
      <c r="B48" s="54">
        <f xml:space="preserve"> IF(MOD(韻母表_4[[#This Row],[序號]],2)=0, 韻母表_4[[#This Row],[序號]]/2, ROUNDUP(韻母表_4[[#This Row],[序號]]/2,0))</f>
        <v>24</v>
      </c>
      <c r="C48" s="55" t="s">
        <v>286</v>
      </c>
      <c r="D48" s="56" t="s">
        <v>108</v>
      </c>
      <c r="E48" s="86" t="s">
        <v>1348</v>
      </c>
      <c r="F48" s="86"/>
      <c r="G48" s="57" t="s">
        <v>204</v>
      </c>
      <c r="H48" s="57" t="s">
        <v>204</v>
      </c>
      <c r="I48" s="57" t="s">
        <v>204</v>
      </c>
      <c r="J48" s="57" t="s">
        <v>204</v>
      </c>
      <c r="K48" s="57" t="s">
        <v>204</v>
      </c>
      <c r="L48" s="57" t="s">
        <v>1163</v>
      </c>
      <c r="M48" s="57" t="s">
        <v>1163</v>
      </c>
      <c r="R48" t="b">
        <f>IF(韻母表_4[[#This Row],[台羅拼音]]="", FALSE, ISNUMBER(FIND(RIGHT(韻母表_4[[#This Row],[台羅拼音]],1), "ptkh")))</f>
        <v>0</v>
      </c>
      <c r="S48" s="41">
        <f>IF(OR(韻母表_4[[#This Row],[台羅拼音]]="", R48=TRUE), "", LEN(韻母表_4[[#This Row],[台羅拼音]]))</f>
        <v>2</v>
      </c>
      <c r="T48" s="41" t="str">
        <f ca="1" xml:space="preserve"> IF(OR(韻母表_4[[#This Row],[台羅拼音]]="", $R48=TRUE), "", _xlfn.CONCAT("    ", "- xform/", 韻母表_4[[#This Row],[台羅拼音]], "([48?])/", OFFSET(韻母表_4[[#This Row],[台羅拼音]],1,0), "$1", "/    # ", LEFT(韻母表_4[[#This Row],[十五音]],1)))</f>
        <v xml:space="preserve">    - xform/ia([48?])/iah$1/    # 迦</v>
      </c>
      <c r="U48" s="41" t="str">
        <f ca="1" xml:space="preserve"> IF(OR(韻母表_4[[#This Row],[台羅拼音]]="", R48=TRUE), "", _xlfn.CONCAT("    ", "- xform/", 韻母表_4[[#This Row],[台羅拼音]], "([48])/", OFFSET(韻母表_4[[#This Row],[台羅拼音]],1,0), "$1", "/    # ", LEFT(韻母表_4[[#This Row],[十五音]],1)))</f>
        <v xml:space="preserve">    - xform/ia([48])/iah$1/    # 迦</v>
      </c>
      <c r="W48" s="41" t="s">
        <v>1429</v>
      </c>
    </row>
    <row r="49" spans="1:23" ht="44.25">
      <c r="A49" s="54">
        <v>48</v>
      </c>
      <c r="B49" s="54">
        <f xml:space="preserve"> IF(MOD(韻母表_4[[#This Row],[序號]],2)=0, 韻母表_4[[#This Row],[序號]]/2, ROUNDUP(韻母表_4[[#This Row],[序號]]/2,0))</f>
        <v>24</v>
      </c>
      <c r="C49" s="55" t="s">
        <v>287</v>
      </c>
      <c r="D49" s="56" t="s">
        <v>109</v>
      </c>
      <c r="E49" s="86" t="s">
        <v>1349</v>
      </c>
      <c r="F49" s="86"/>
      <c r="G49" s="57" t="s">
        <v>205</v>
      </c>
      <c r="H49" s="57" t="s">
        <v>205</v>
      </c>
      <c r="I49" s="57" t="s">
        <v>205</v>
      </c>
      <c r="J49" s="57" t="s">
        <v>205</v>
      </c>
      <c r="K49" s="57" t="s">
        <v>205</v>
      </c>
      <c r="L49" s="57" t="s">
        <v>1164</v>
      </c>
      <c r="M49" s="57" t="s">
        <v>1165</v>
      </c>
      <c r="R49" t="b">
        <f>IF(韻母表_4[[#This Row],[台羅拼音]]="", FALSE, ISNUMBER(FIND(RIGHT(韻母表_4[[#This Row],[台羅拼音]],1), "ptkh")))</f>
        <v>1</v>
      </c>
      <c r="S49" s="41" t="str">
        <f>IF(OR(韻母表_4[[#This Row],[台羅拼音]]="", R49=TRUE), "", LEN(韻母表_4[[#This Row],[台羅拼音]]))</f>
        <v/>
      </c>
      <c r="T49" s="41" t="str">
        <f ca="1" xml:space="preserve"> IF(OR(韻母表_4[[#This Row],[台羅拼音]]="", $R49=TRUE), "", _xlfn.CONCAT("    ", "- xform/", 韻母表_4[[#This Row],[台羅拼音]], "([48?])/", OFFSET(韻母表_4[[#This Row],[台羅拼音]],1,0), "$1", "/    # ", LEFT(韻母表_4[[#This Row],[十五音]],1)))</f>
        <v/>
      </c>
      <c r="U49" s="41" t="str">
        <f ca="1" xml:space="preserve"> IF(OR(韻母表_4[[#This Row],[台羅拼音]]="", R49=TRUE), "", _xlfn.CONCAT("    ", "- xform/", 韻母表_4[[#This Row],[台羅拼音]], "([48])/", OFFSET(韻母表_4[[#This Row],[台羅拼音]],1,0), "$1", "/    # ", LEFT(韻母表_4[[#This Row],[十五音]],1)))</f>
        <v/>
      </c>
      <c r="W49" s="41" t="s">
        <v>1079</v>
      </c>
    </row>
    <row r="50" spans="1:23" ht="44.25">
      <c r="A50" s="54">
        <v>49</v>
      </c>
      <c r="B50" s="54">
        <f xml:space="preserve"> IF(MOD(韻母表_4[[#This Row],[序號]],2)=0, 韻母表_4[[#This Row],[序號]]/2, ROUNDUP(韻母表_4[[#This Row],[序號]]/2,0))</f>
        <v>25</v>
      </c>
      <c r="C50" s="55" t="s">
        <v>288</v>
      </c>
      <c r="D50" s="56" t="s">
        <v>110</v>
      </c>
      <c r="E50" s="86" t="s">
        <v>1380</v>
      </c>
      <c r="F50" s="86" t="s">
        <v>1326</v>
      </c>
      <c r="G50" s="57" t="s">
        <v>206</v>
      </c>
      <c r="H50" s="57" t="s">
        <v>206</v>
      </c>
      <c r="I50" s="57" t="s">
        <v>1166</v>
      </c>
      <c r="J50" s="57" t="s">
        <v>206</v>
      </c>
      <c r="K50" s="57" t="s">
        <v>206</v>
      </c>
      <c r="L50" s="57" t="s">
        <v>1167</v>
      </c>
      <c r="M50" s="57" t="s">
        <v>1168</v>
      </c>
      <c r="R50" t="b">
        <f>IF(韻母表_4[[#This Row],[台羅拼音]]="", FALSE, ISNUMBER(FIND(RIGHT(韻母表_4[[#This Row],[台羅拼音]],1), "ptkh")))</f>
        <v>0</v>
      </c>
      <c r="S50" s="41">
        <f>IF(OR(韻母表_4[[#This Row],[台羅拼音]]="", R50=TRUE), "", LEN(韻母表_4[[#This Row],[台羅拼音]]))</f>
        <v>2</v>
      </c>
      <c r="T50" s="41" t="str">
        <f ca="1" xml:space="preserve"> IF(OR(韻母表_4[[#This Row],[台羅拼音]]="", $R50=TRUE), "", _xlfn.CONCAT("    ", "- xform/", 韻母表_4[[#This Row],[台羅拼音]], "([48?])/", OFFSET(韻母表_4[[#This Row],[台羅拼音]],1,0), "$1", "/    # ", LEFT(韻母表_4[[#This Row],[十五音]],1)))</f>
        <v xml:space="preserve">    - xform/ue([48?])/ueh$1/    # 檜</v>
      </c>
      <c r="U50" s="41" t="str">
        <f ca="1" xml:space="preserve"> IF(OR(韻母表_4[[#This Row],[台羅拼音]]="", R50=TRUE), "", _xlfn.CONCAT("    ", "- xform/", 韻母表_4[[#This Row],[台羅拼音]], "([48])/", OFFSET(韻母表_4[[#This Row],[台羅拼音]],1,0), "$1", "/    # ", LEFT(韻母表_4[[#This Row],[十五音]],1)))</f>
        <v xml:space="preserve">    - xform/ue([48])/ueh$1/    # 檜</v>
      </c>
      <c r="W50" s="41" t="s">
        <v>1430</v>
      </c>
    </row>
    <row r="51" spans="1:23" ht="44.25">
      <c r="A51" s="54">
        <v>50</v>
      </c>
      <c r="B51" s="54">
        <f xml:space="preserve"> IF(MOD(韻母表_4[[#This Row],[序號]],2)=0, 韻母表_4[[#This Row],[序號]]/2, ROUNDUP(韻母表_4[[#This Row],[序號]]/2,0))</f>
        <v>25</v>
      </c>
      <c r="C51" s="55" t="s">
        <v>289</v>
      </c>
      <c r="D51" s="56" t="s">
        <v>111</v>
      </c>
      <c r="E51" s="86" t="s">
        <v>1381</v>
      </c>
      <c r="F51" s="86" t="s">
        <v>1379</v>
      </c>
      <c r="G51" s="57" t="s">
        <v>207</v>
      </c>
      <c r="H51" s="57" t="s">
        <v>207</v>
      </c>
      <c r="I51" s="57" t="s">
        <v>1169</v>
      </c>
      <c r="J51" s="57" t="s">
        <v>207</v>
      </c>
      <c r="K51" s="57" t="s">
        <v>207</v>
      </c>
      <c r="L51" s="57" t="s">
        <v>1170</v>
      </c>
      <c r="M51" s="57" t="s">
        <v>1171</v>
      </c>
      <c r="R51" t="b">
        <f>IF(韻母表_4[[#This Row],[台羅拼音]]="", FALSE, ISNUMBER(FIND(RIGHT(韻母表_4[[#This Row],[台羅拼音]],1), "ptkh")))</f>
        <v>1</v>
      </c>
      <c r="S51" s="41" t="str">
        <f>IF(OR(韻母表_4[[#This Row],[台羅拼音]]="", R51=TRUE), "", LEN(韻母表_4[[#This Row],[台羅拼音]]))</f>
        <v/>
      </c>
      <c r="T51" s="41" t="str">
        <f ca="1" xml:space="preserve"> IF(OR(韻母表_4[[#This Row],[台羅拼音]]="", $R51=TRUE), "", _xlfn.CONCAT("    ", "- xform/", 韻母表_4[[#This Row],[台羅拼音]], "([48?])/", OFFSET(韻母表_4[[#This Row],[台羅拼音]],1,0), "$1", "/    # ", LEFT(韻母表_4[[#This Row],[十五音]],1)))</f>
        <v/>
      </c>
      <c r="U51" s="41" t="str">
        <f ca="1" xml:space="preserve"> IF(OR(韻母表_4[[#This Row],[台羅拼音]]="", R51=TRUE), "", _xlfn.CONCAT("    ", "- xform/", 韻母表_4[[#This Row],[台羅拼音]], "([48])/", OFFSET(韻母表_4[[#This Row],[台羅拼音]],1,0), "$1", "/    # ", LEFT(韻母表_4[[#This Row],[十五音]],1)))</f>
        <v/>
      </c>
      <c r="W51" s="41" t="s">
        <v>1079</v>
      </c>
    </row>
    <row r="52" spans="1:23" ht="44.25">
      <c r="A52" s="54">
        <v>51</v>
      </c>
      <c r="B52" s="54">
        <f xml:space="preserve"> IF(MOD(韻母表_4[[#This Row],[序號]],2)=0, 韻母表_4[[#This Row],[序號]]/2, ROUNDUP(韻母表_4[[#This Row],[序號]]/2,0))</f>
        <v>26</v>
      </c>
      <c r="C52" s="55" t="s">
        <v>290</v>
      </c>
      <c r="D52" s="56" t="s">
        <v>112</v>
      </c>
      <c r="E52" s="86" t="s">
        <v>1172</v>
      </c>
      <c r="F52" s="86"/>
      <c r="G52" s="57" t="s">
        <v>208</v>
      </c>
      <c r="H52" s="57" t="s">
        <v>208</v>
      </c>
      <c r="I52" s="57" t="s">
        <v>1173</v>
      </c>
      <c r="J52" s="57" t="s">
        <v>335</v>
      </c>
      <c r="K52" s="57" t="s">
        <v>208</v>
      </c>
      <c r="L52" s="57" t="s">
        <v>1174</v>
      </c>
      <c r="M52" s="57" t="s">
        <v>1175</v>
      </c>
      <c r="R52" t="b">
        <f>IF(韻母表_4[[#This Row],[台羅拼音]]="", FALSE, ISNUMBER(FIND(RIGHT(韻母表_4[[#This Row],[台羅拼音]],1), "ptkh")))</f>
        <v>0</v>
      </c>
      <c r="S52" s="41">
        <f>IF(OR(韻母表_4[[#This Row],[台羅拼音]]="", R52=TRUE), "", LEN(韻母表_4[[#This Row],[台羅拼音]]))</f>
        <v>3</v>
      </c>
      <c r="T52" s="41" t="str">
        <f ca="1" xml:space="preserve"> IF(OR(韻母表_4[[#This Row],[台羅拼音]]="", $R52=TRUE), "", _xlfn.CONCAT("    ", "- xform/", 韻母表_4[[#This Row],[台羅拼音]], "([48?])/", OFFSET(韻母表_4[[#This Row],[台羅拼音]],1,0), "$1", "/    # ", LEFT(韻母表_4[[#This Row],[十五音]],1)))</f>
        <v xml:space="preserve">    - xform/ann([48?])/annh$1/    # 監</v>
      </c>
      <c r="U52" s="41" t="str">
        <f ca="1" xml:space="preserve"> IF(OR(韻母表_4[[#This Row],[台羅拼音]]="", R52=TRUE), "", _xlfn.CONCAT("    ", "- xform/", 韻母表_4[[#This Row],[台羅拼音]], "([48])/", OFFSET(韻母表_4[[#This Row],[台羅拼音]],1,0), "$1", "/    # ", LEFT(韻母表_4[[#This Row],[十五音]],1)))</f>
        <v xml:space="preserve">    - xform/ann([48])/annh$1/    # 監</v>
      </c>
      <c r="W52" s="41" t="s">
        <v>1431</v>
      </c>
    </row>
    <row r="53" spans="1:23" ht="44.25">
      <c r="A53" s="54">
        <v>52</v>
      </c>
      <c r="B53" s="54">
        <f xml:space="preserve"> IF(MOD(韻母表_4[[#This Row],[序號]],2)=0, 韻母表_4[[#This Row],[序號]]/2, ROUNDUP(韻母表_4[[#This Row],[序號]]/2,0))</f>
        <v>26</v>
      </c>
      <c r="C53" s="64" t="s">
        <v>291</v>
      </c>
      <c r="D53" s="56" t="s">
        <v>113</v>
      </c>
      <c r="E53" s="86" t="s">
        <v>1176</v>
      </c>
      <c r="F53" s="86"/>
      <c r="G53" s="57" t="s">
        <v>209</v>
      </c>
      <c r="H53" s="57" t="s">
        <v>209</v>
      </c>
      <c r="I53" s="57" t="s">
        <v>1177</v>
      </c>
      <c r="J53" s="57" t="s">
        <v>349</v>
      </c>
      <c r="K53" s="57" t="s">
        <v>209</v>
      </c>
      <c r="L53" s="57" t="s">
        <v>1178</v>
      </c>
      <c r="M53" s="57" t="s">
        <v>1179</v>
      </c>
      <c r="R53" t="b">
        <f>IF(韻母表_4[[#This Row],[台羅拼音]]="", FALSE, ISNUMBER(FIND(RIGHT(韻母表_4[[#This Row],[台羅拼音]],1), "ptkh")))</f>
        <v>1</v>
      </c>
      <c r="S53" s="41" t="str">
        <f>IF(OR(韻母表_4[[#This Row],[台羅拼音]]="", R53=TRUE), "", LEN(韻母表_4[[#This Row],[台羅拼音]]))</f>
        <v/>
      </c>
      <c r="T53" s="41" t="str">
        <f ca="1" xml:space="preserve"> IF(OR(韻母表_4[[#This Row],[台羅拼音]]="", $R53=TRUE), "", _xlfn.CONCAT("    ", "- xform/", 韻母表_4[[#This Row],[台羅拼音]], "([48?])/", OFFSET(韻母表_4[[#This Row],[台羅拼音]],1,0), "$1", "/    # ", LEFT(韻母表_4[[#This Row],[十五音]],1)))</f>
        <v/>
      </c>
      <c r="U53" s="41" t="str">
        <f ca="1" xml:space="preserve"> IF(OR(韻母表_4[[#This Row],[台羅拼音]]="", R53=TRUE), "", _xlfn.CONCAT("    ", "- xform/", 韻母表_4[[#This Row],[台羅拼音]], "([48])/", OFFSET(韻母表_4[[#This Row],[台羅拼音]],1,0), "$1", "/    # ", LEFT(韻母表_4[[#This Row],[十五音]],1)))</f>
        <v/>
      </c>
      <c r="W53" s="41" t="s">
        <v>1079</v>
      </c>
    </row>
    <row r="54" spans="1:23" ht="44.25">
      <c r="A54" s="54">
        <v>53</v>
      </c>
      <c r="B54" s="54">
        <f xml:space="preserve"> IF(MOD(韻母表_4[[#This Row],[序號]],2)=0, 韻母表_4[[#This Row],[序號]]/2, ROUNDUP(韻母表_4[[#This Row],[序號]]/2,0))</f>
        <v>27</v>
      </c>
      <c r="C54" s="55" t="s">
        <v>292</v>
      </c>
      <c r="D54" s="56" t="s">
        <v>114</v>
      </c>
      <c r="E54" s="86" t="s">
        <v>210</v>
      </c>
      <c r="F54" s="86"/>
      <c r="G54" s="57" t="s">
        <v>210</v>
      </c>
      <c r="H54" s="57" t="s">
        <v>210</v>
      </c>
      <c r="I54" s="57" t="s">
        <v>210</v>
      </c>
      <c r="J54" s="57" t="s">
        <v>210</v>
      </c>
      <c r="K54" s="57" t="s">
        <v>210</v>
      </c>
      <c r="L54" s="57" t="s">
        <v>1180</v>
      </c>
      <c r="M54" s="57" t="s">
        <v>1180</v>
      </c>
      <c r="R54" t="b">
        <f>IF(韻母表_4[[#This Row],[台羅拼音]]="", FALSE, ISNUMBER(FIND(RIGHT(韻母表_4[[#This Row],[台羅拼音]],1), "ptkh")))</f>
        <v>0</v>
      </c>
      <c r="S54" s="41">
        <f>IF(OR(韻母表_4[[#This Row],[台羅拼音]]="", R54=TRUE), "", LEN(韻母表_4[[#This Row],[台羅拼音]]))</f>
        <v>1</v>
      </c>
      <c r="T54" s="41" t="str">
        <f ca="1" xml:space="preserve"> IF(OR(韻母表_4[[#This Row],[台羅拼音]]="", $R54=TRUE), "", _xlfn.CONCAT("    ", "- xform/", 韻母表_4[[#This Row],[台羅拼音]], "([48?])/", OFFSET(韻母表_4[[#This Row],[台羅拼音]],1,0), "$1", "/    # ", LEFT(韻母表_4[[#This Row],[十五音]],1)))</f>
        <v xml:space="preserve">    - xform/u([48?])/uh$1/    # 艍</v>
      </c>
      <c r="U54" s="41" t="str">
        <f ca="1" xml:space="preserve"> IF(OR(韻母表_4[[#This Row],[台羅拼音]]="", R54=TRUE), "", _xlfn.CONCAT("    ", "- xform/", 韻母表_4[[#This Row],[台羅拼音]], "([48])/", OFFSET(韻母表_4[[#This Row],[台羅拼音]],1,0), "$1", "/    # ", LEFT(韻母表_4[[#This Row],[十五音]],1)))</f>
        <v xml:space="preserve">    - xform/u([48])/uh$1/    # 艍</v>
      </c>
      <c r="W54" s="41" t="s">
        <v>1432</v>
      </c>
    </row>
    <row r="55" spans="1:23" ht="44.25">
      <c r="A55" s="54">
        <v>54</v>
      </c>
      <c r="B55" s="54">
        <f xml:space="preserve"> IF(MOD(韻母表_4[[#This Row],[序號]],2)=0, 韻母表_4[[#This Row],[序號]]/2, ROUNDUP(韻母表_4[[#This Row],[序號]]/2,0))</f>
        <v>27</v>
      </c>
      <c r="C55" s="55" t="s">
        <v>293</v>
      </c>
      <c r="D55" s="56" t="s">
        <v>115</v>
      </c>
      <c r="E55" s="86" t="s">
        <v>1181</v>
      </c>
      <c r="F55" s="86"/>
      <c r="G55" s="57" t="s">
        <v>211</v>
      </c>
      <c r="H55" s="57" t="s">
        <v>211</v>
      </c>
      <c r="I55" s="57" t="s">
        <v>211</v>
      </c>
      <c r="J55" s="57" t="s">
        <v>211</v>
      </c>
      <c r="K55" s="57" t="s">
        <v>211</v>
      </c>
      <c r="L55" s="57" t="s">
        <v>1182</v>
      </c>
      <c r="M55" s="57" t="s">
        <v>1183</v>
      </c>
      <c r="R55" t="b">
        <f>IF(韻母表_4[[#This Row],[台羅拼音]]="", FALSE, ISNUMBER(FIND(RIGHT(韻母表_4[[#This Row],[台羅拼音]],1), "ptkh")))</f>
        <v>1</v>
      </c>
      <c r="S55" s="41" t="str">
        <f>IF(OR(韻母表_4[[#This Row],[台羅拼音]]="", R55=TRUE), "", LEN(韻母表_4[[#This Row],[台羅拼音]]))</f>
        <v/>
      </c>
      <c r="T55" s="41" t="str">
        <f ca="1" xml:space="preserve"> IF(OR(韻母表_4[[#This Row],[台羅拼音]]="", $R55=TRUE), "", _xlfn.CONCAT("    ", "- xform/", 韻母表_4[[#This Row],[台羅拼音]], "([48?])/", OFFSET(韻母表_4[[#This Row],[台羅拼音]],1,0), "$1", "/    # ", LEFT(韻母表_4[[#This Row],[十五音]],1)))</f>
        <v/>
      </c>
      <c r="U55" s="41" t="str">
        <f ca="1" xml:space="preserve"> IF(OR(韻母表_4[[#This Row],[台羅拼音]]="", R55=TRUE), "", _xlfn.CONCAT("    ", "- xform/", 韻母表_4[[#This Row],[台羅拼音]], "([48])/", OFFSET(韻母表_4[[#This Row],[台羅拼音]],1,0), "$1", "/    # ", LEFT(韻母表_4[[#This Row],[十五音]],1)))</f>
        <v/>
      </c>
      <c r="W55" s="41" t="s">
        <v>1079</v>
      </c>
    </row>
    <row r="56" spans="1:23" ht="44.25">
      <c r="A56" s="54">
        <v>55</v>
      </c>
      <c r="B56" s="54">
        <f xml:space="preserve"> IF(MOD(韻母表_4[[#This Row],[序號]],2)=0, 韻母表_4[[#This Row],[序號]]/2, ROUNDUP(韻母表_4[[#This Row],[序號]]/2,0))</f>
        <v>28</v>
      </c>
      <c r="C56" s="55" t="s">
        <v>294</v>
      </c>
      <c r="D56" s="56" t="s">
        <v>116</v>
      </c>
      <c r="E56" s="86" t="s">
        <v>212</v>
      </c>
      <c r="F56" s="86"/>
      <c r="G56" s="57" t="s">
        <v>212</v>
      </c>
      <c r="H56" s="57" t="s">
        <v>212</v>
      </c>
      <c r="I56" s="57" t="s">
        <v>212</v>
      </c>
      <c r="J56" s="57" t="s">
        <v>212</v>
      </c>
      <c r="K56" s="57" t="s">
        <v>212</v>
      </c>
      <c r="L56" s="57" t="s">
        <v>1184</v>
      </c>
      <c r="M56" s="57" t="s">
        <v>1184</v>
      </c>
      <c r="R56" t="b">
        <f>IF(韻母表_4[[#This Row],[台羅拼音]]="", FALSE, ISNUMBER(FIND(RIGHT(韻母表_4[[#This Row],[台羅拼音]],1), "ptkh")))</f>
        <v>0</v>
      </c>
      <c r="S56" s="41">
        <f>IF(OR(韻母表_4[[#This Row],[台羅拼音]]="", R56=TRUE), "", LEN(韻母表_4[[#This Row],[台羅拼音]]))</f>
        <v>1</v>
      </c>
      <c r="T56" s="41" t="str">
        <f ca="1" xml:space="preserve"> IF(OR(韻母表_4[[#This Row],[台羅拼音]]="", $R56=TRUE), "", _xlfn.CONCAT("    ", "- xform/", 韻母表_4[[#This Row],[台羅拼音]], "([48?])/", OFFSET(韻母表_4[[#This Row],[台羅拼音]],1,0), "$1", "/    # ", LEFT(韻母表_4[[#This Row],[十五音]],1)))</f>
        <v xml:space="preserve">    - xform/a([48?])/ah$1/    # 膠</v>
      </c>
      <c r="U56" s="41" t="str">
        <f ca="1" xml:space="preserve"> IF(OR(韻母表_4[[#This Row],[台羅拼音]]="", R56=TRUE), "", _xlfn.CONCAT("    ", "- xform/", 韻母表_4[[#This Row],[台羅拼音]], "([48])/", OFFSET(韻母表_4[[#This Row],[台羅拼音]],1,0), "$1", "/    # ", LEFT(韻母表_4[[#This Row],[十五音]],1)))</f>
        <v xml:space="preserve">    - xform/a([48])/ah$1/    # 膠</v>
      </c>
      <c r="W56" s="41" t="s">
        <v>1433</v>
      </c>
    </row>
    <row r="57" spans="1:23" ht="44.25">
      <c r="A57" s="54">
        <v>56</v>
      </c>
      <c r="B57" s="54">
        <f xml:space="preserve"> IF(MOD(韻母表_4[[#This Row],[序號]],2)=0, 韻母表_4[[#This Row],[序號]]/2, ROUNDUP(韻母表_4[[#This Row],[序號]]/2,0))</f>
        <v>28</v>
      </c>
      <c r="C57" s="55" t="s">
        <v>295</v>
      </c>
      <c r="D57" s="56" t="s">
        <v>117</v>
      </c>
      <c r="E57" s="86" t="s">
        <v>1185</v>
      </c>
      <c r="F57" s="86"/>
      <c r="G57" s="57" t="s">
        <v>213</v>
      </c>
      <c r="H57" s="57" t="s">
        <v>213</v>
      </c>
      <c r="I57" s="57" t="s">
        <v>213</v>
      </c>
      <c r="J57" s="57" t="s">
        <v>213</v>
      </c>
      <c r="K57" s="57" t="s">
        <v>213</v>
      </c>
      <c r="L57" s="57" t="s">
        <v>1186</v>
      </c>
      <c r="M57" s="57" t="s">
        <v>1187</v>
      </c>
      <c r="R57" t="b">
        <f>IF(韻母表_4[[#This Row],[台羅拼音]]="", FALSE, ISNUMBER(FIND(RIGHT(韻母表_4[[#This Row],[台羅拼音]],1), "ptkh")))</f>
        <v>1</v>
      </c>
      <c r="S57" s="41" t="str">
        <f>IF(OR(韻母表_4[[#This Row],[台羅拼音]]="", R57=TRUE), "", LEN(韻母表_4[[#This Row],[台羅拼音]]))</f>
        <v/>
      </c>
      <c r="T57" s="41" t="str">
        <f ca="1" xml:space="preserve"> IF(OR(韻母表_4[[#This Row],[台羅拼音]]="", $R57=TRUE), "", _xlfn.CONCAT("    ", "- xform/", 韻母表_4[[#This Row],[台羅拼音]], "([48?])/", OFFSET(韻母表_4[[#This Row],[台羅拼音]],1,0), "$1", "/    # ", LEFT(韻母表_4[[#This Row],[十五音]],1)))</f>
        <v/>
      </c>
      <c r="U57" s="41" t="str">
        <f ca="1" xml:space="preserve"> IF(OR(韻母表_4[[#This Row],[台羅拼音]]="", R57=TRUE), "", _xlfn.CONCAT("    ", "- xform/", 韻母表_4[[#This Row],[台羅拼音]], "([48])/", OFFSET(韻母表_4[[#This Row],[台羅拼音]],1,0), "$1", "/    # ", LEFT(韻母表_4[[#This Row],[十五音]],1)))</f>
        <v/>
      </c>
      <c r="W57" s="41" t="s">
        <v>1079</v>
      </c>
    </row>
    <row r="58" spans="1:23" ht="44.25">
      <c r="A58" s="54">
        <v>57</v>
      </c>
      <c r="B58" s="54">
        <f xml:space="preserve"> IF(MOD(韻母表_4[[#This Row],[序號]],2)=0, 韻母表_4[[#This Row],[序號]]/2, ROUNDUP(韻母表_4[[#This Row],[序號]]/2,0))</f>
        <v>29</v>
      </c>
      <c r="C58" s="55" t="s">
        <v>246</v>
      </c>
      <c r="D58" s="56" t="s">
        <v>118</v>
      </c>
      <c r="E58" s="86" t="s">
        <v>214</v>
      </c>
      <c r="F58" s="86"/>
      <c r="G58" s="57" t="s">
        <v>214</v>
      </c>
      <c r="H58" s="57" t="s">
        <v>214</v>
      </c>
      <c r="I58" s="57" t="s">
        <v>214</v>
      </c>
      <c r="J58" s="57" t="s">
        <v>214</v>
      </c>
      <c r="K58" s="57" t="s">
        <v>214</v>
      </c>
      <c r="L58" s="57" t="s">
        <v>1188</v>
      </c>
      <c r="M58" s="57" t="s">
        <v>1188</v>
      </c>
      <c r="R58" t="b">
        <f>IF(韻母表_4[[#This Row],[台羅拼音]]="", FALSE, ISNUMBER(FIND(RIGHT(韻母表_4[[#This Row],[台羅拼音]],1), "ptkh")))</f>
        <v>0</v>
      </c>
      <c r="S58" s="41">
        <f>IF(OR(韻母表_4[[#This Row],[台羅拼音]]="", R58=TRUE), "", LEN(韻母表_4[[#This Row],[台羅拼音]]))</f>
        <v>1</v>
      </c>
      <c r="T58" s="41" t="str">
        <f ca="1" xml:space="preserve"> IF(OR(韻母表_4[[#This Row],[台羅拼音]]="", $R58=TRUE), "", _xlfn.CONCAT("    ", "- xform/", 韻母表_4[[#This Row],[台羅拼音]], "([48?])/", OFFSET(韻母表_4[[#This Row],[台羅拼音]],1,0), "$1", "/    # ", LEFT(韻母表_4[[#This Row],[十五音]],1)))</f>
        <v xml:space="preserve">    - xform/i([48?])/ih$1/    # 居</v>
      </c>
      <c r="U58" s="41" t="str">
        <f ca="1" xml:space="preserve"> IF(OR(韻母表_4[[#This Row],[台羅拼音]]="", R58=TRUE), "", _xlfn.CONCAT("    ", "- xform/", 韻母表_4[[#This Row],[台羅拼音]], "([48])/", OFFSET(韻母表_4[[#This Row],[台羅拼音]],1,0), "$1", "/    # ", LEFT(韻母表_4[[#This Row],[十五音]],1)))</f>
        <v xml:space="preserve">    - xform/i([48])/ih$1/    # 居</v>
      </c>
      <c r="W58" s="41" t="s">
        <v>1434</v>
      </c>
    </row>
    <row r="59" spans="1:23" ht="44.25">
      <c r="A59" s="54">
        <v>58</v>
      </c>
      <c r="B59" s="54">
        <f xml:space="preserve"> IF(MOD(韻母表_4[[#This Row],[序號]],2)=0, 韻母表_4[[#This Row],[序號]]/2, ROUNDUP(韻母表_4[[#This Row],[序號]]/2,0))</f>
        <v>29</v>
      </c>
      <c r="C59" s="55" t="s">
        <v>296</v>
      </c>
      <c r="D59" s="56" t="s">
        <v>119</v>
      </c>
      <c r="E59" s="86" t="s">
        <v>1189</v>
      </c>
      <c r="F59" s="86"/>
      <c r="G59" s="57" t="s">
        <v>215</v>
      </c>
      <c r="H59" s="57" t="s">
        <v>215</v>
      </c>
      <c r="I59" s="57" t="s">
        <v>215</v>
      </c>
      <c r="J59" s="57" t="s">
        <v>215</v>
      </c>
      <c r="K59" s="57" t="s">
        <v>215</v>
      </c>
      <c r="L59" s="57" t="s">
        <v>1190</v>
      </c>
      <c r="M59" s="57" t="s">
        <v>1191</v>
      </c>
      <c r="R59" t="b">
        <f>IF(韻母表_4[[#This Row],[台羅拼音]]="", FALSE, ISNUMBER(FIND(RIGHT(韻母表_4[[#This Row],[台羅拼音]],1), "ptkh")))</f>
        <v>1</v>
      </c>
      <c r="S59" s="41" t="str">
        <f>IF(OR(韻母表_4[[#This Row],[台羅拼音]]="", R59=TRUE), "", LEN(韻母表_4[[#This Row],[台羅拼音]]))</f>
        <v/>
      </c>
      <c r="T59" s="41" t="str">
        <f ca="1" xml:space="preserve"> IF(OR(韻母表_4[[#This Row],[台羅拼音]]="", $R59=TRUE), "", _xlfn.CONCAT("    ", "- xform/", 韻母表_4[[#This Row],[台羅拼音]], "([48?])/", OFFSET(韻母表_4[[#This Row],[台羅拼音]],1,0), "$1", "/    # ", LEFT(韻母表_4[[#This Row],[十五音]],1)))</f>
        <v/>
      </c>
      <c r="U59" s="41" t="str">
        <f ca="1" xml:space="preserve"> IF(OR(韻母表_4[[#This Row],[台羅拼音]]="", R59=TRUE), "", _xlfn.CONCAT("    ", "- xform/", 韻母表_4[[#This Row],[台羅拼音]], "([48])/", OFFSET(韻母表_4[[#This Row],[台羅拼音]],1,0), "$1", "/    # ", LEFT(韻母表_4[[#This Row],[十五音]],1)))</f>
        <v/>
      </c>
      <c r="W59" s="41" t="s">
        <v>1079</v>
      </c>
    </row>
    <row r="60" spans="1:23" ht="44.25">
      <c r="A60" s="54">
        <v>59</v>
      </c>
      <c r="B60" s="54">
        <f xml:space="preserve"> IF(MOD(韻母表_4[[#This Row],[序號]],2)=0, 韻母表_4[[#This Row],[序號]]/2, ROUNDUP(韻母表_4[[#This Row],[序號]]/2,0))</f>
        <v>30</v>
      </c>
      <c r="C60" s="55" t="s">
        <v>297</v>
      </c>
      <c r="D60" s="56" t="s">
        <v>120</v>
      </c>
      <c r="E60" s="86" t="s">
        <v>1350</v>
      </c>
      <c r="F60" s="86"/>
      <c r="G60" s="57" t="s">
        <v>216</v>
      </c>
      <c r="H60" s="57" t="s">
        <v>216</v>
      </c>
      <c r="I60" s="57" t="s">
        <v>216</v>
      </c>
      <c r="J60" s="57" t="s">
        <v>216</v>
      </c>
      <c r="K60" s="57" t="s">
        <v>216</v>
      </c>
      <c r="L60" s="57" t="s">
        <v>1192</v>
      </c>
      <c r="M60" s="57" t="s">
        <v>1192</v>
      </c>
      <c r="R60" t="b">
        <f>IF(韻母表_4[[#This Row],[台羅拼音]]="", FALSE, ISNUMBER(FIND(RIGHT(韻母表_4[[#This Row],[台羅拼音]],1), "ptkh")))</f>
        <v>0</v>
      </c>
      <c r="S60" s="41">
        <f>IF(OR(韻母表_4[[#This Row],[台羅拼音]]="", R60=TRUE), "", LEN(韻母表_4[[#This Row],[台羅拼音]]))</f>
        <v>2</v>
      </c>
      <c r="T60" s="41" t="str">
        <f ca="1" xml:space="preserve"> IF(OR(韻母表_4[[#This Row],[台羅拼音]]="", $R60=TRUE), "", _xlfn.CONCAT("    ", "- xform/", 韻母表_4[[#This Row],[台羅拼音]], "([48?])/", OFFSET(韻母表_4[[#This Row],[台羅拼音]],1,0), "$1", "/    # ", LEFT(韻母表_4[[#This Row],[十五音]],1)))</f>
        <v xml:space="preserve">    - xform/iu([48?])/$1/    # 丩</v>
      </c>
      <c r="U60" s="41" t="str">
        <f ca="1" xml:space="preserve"> IF(OR(韻母表_4[[#This Row],[台羅拼音]]="", R60=TRUE), "", _xlfn.CONCAT("    ", "- xform/", 韻母表_4[[#This Row],[台羅拼音]], "([48])/", OFFSET(韻母表_4[[#This Row],[台羅拼音]],1,0), "$1", "/    # ", LEFT(韻母表_4[[#This Row],[十五音]],1)))</f>
        <v xml:space="preserve">    - xform/iu([48])/$1/    # 丩</v>
      </c>
      <c r="W60" s="41" t="s">
        <v>1435</v>
      </c>
    </row>
    <row r="61" spans="1:23" ht="44.25">
      <c r="A61" s="54">
        <v>60</v>
      </c>
      <c r="B61" s="54">
        <f xml:space="preserve"> IF(MOD(韻母表_4[[#This Row],[序號]],2)=0, 韻母表_4[[#This Row],[序號]]/2, ROUNDUP(韻母表_4[[#This Row],[序號]]/2,0))</f>
        <v>30</v>
      </c>
      <c r="C61" s="62"/>
      <c r="D61" s="63"/>
      <c r="E61" s="86" t="s">
        <v>1079</v>
      </c>
      <c r="F61" s="86"/>
      <c r="G61" s="57" t="s">
        <v>1079</v>
      </c>
      <c r="H61" s="57" t="s">
        <v>1079</v>
      </c>
      <c r="I61" s="57" t="s">
        <v>1079</v>
      </c>
      <c r="J61" s="57" t="s">
        <v>1079</v>
      </c>
      <c r="K61" s="57" t="s">
        <v>1079</v>
      </c>
      <c r="L61" s="57" t="s">
        <v>1079</v>
      </c>
      <c r="M61" s="57" t="s">
        <v>1079</v>
      </c>
      <c r="R61" t="b">
        <f>IF(韻母表_4[[#This Row],[台羅拼音]]="", FALSE, ISNUMBER(FIND(RIGHT(韻母表_4[[#This Row],[台羅拼音]],1), "ptkh")))</f>
        <v>0</v>
      </c>
      <c r="S61" s="41" t="str">
        <f>IF(OR(韻母表_4[[#This Row],[台羅拼音]]="", R61=TRUE), "", LEN(韻母表_4[[#This Row],[台羅拼音]]))</f>
        <v/>
      </c>
      <c r="T61" s="41" t="str">
        <f ca="1" xml:space="preserve"> IF(OR(韻母表_4[[#This Row],[台羅拼音]]="", $R61=TRUE), "", _xlfn.CONCAT("    ", "- xform/", 韻母表_4[[#This Row],[台羅拼音]], "([48?])/", OFFSET(韻母表_4[[#This Row],[台羅拼音]],1,0), "$1", "/    # ", LEFT(韻母表_4[[#This Row],[十五音]],1)))</f>
        <v/>
      </c>
      <c r="U61" s="41" t="str">
        <f ca="1" xml:space="preserve"> IF(OR(韻母表_4[[#This Row],[台羅拼音]]="", R61=TRUE), "", _xlfn.CONCAT("    ", "- xform/", 韻母表_4[[#This Row],[台羅拼音]], "([48])/", OFFSET(韻母表_4[[#This Row],[台羅拼音]],1,0), "$1", "/    # ", LEFT(韻母表_4[[#This Row],[十五音]],1)))</f>
        <v/>
      </c>
      <c r="W61" s="41" t="s">
        <v>1436</v>
      </c>
    </row>
    <row r="62" spans="1:23" ht="44.25">
      <c r="A62" s="54">
        <v>61</v>
      </c>
      <c r="B62" s="54">
        <f xml:space="preserve"> IF(MOD(韻母表_4[[#This Row],[序號]],2)=0, 韻母表_4[[#This Row],[序號]]/2, ROUNDUP(韻母表_4[[#This Row],[序號]]/2,0))</f>
        <v>31</v>
      </c>
      <c r="C62" s="55" t="s">
        <v>298</v>
      </c>
      <c r="D62" s="56" t="s">
        <v>122</v>
      </c>
      <c r="E62" s="86" t="str">
        <f xml:space="preserve"> _xlfn.CONCAT("e", _xlfn.UNICHAR(HEX2DEC(RIGHT("U+0303",4))))</f>
        <v>ẽ</v>
      </c>
      <c r="F62" s="86" t="str">
        <f xml:space="preserve"> _xlfn.CONCAT("ɛ", _xlfn.UNICHAR(HEX2DEC(RIGHT("U+0303",4))))</f>
        <v>ɛ̃</v>
      </c>
      <c r="G62" s="57" t="s">
        <v>217</v>
      </c>
      <c r="H62" s="57" t="s">
        <v>217</v>
      </c>
      <c r="I62" s="57" t="s">
        <v>1193</v>
      </c>
      <c r="J62" s="57" t="s">
        <v>489</v>
      </c>
      <c r="K62" s="57" t="s">
        <v>217</v>
      </c>
      <c r="L62" s="57" t="s">
        <v>1194</v>
      </c>
      <c r="M62" s="57" t="s">
        <v>1195</v>
      </c>
      <c r="R62" t="b">
        <f>IF(韻母表_4[[#This Row],[台羅拼音]]="", FALSE, ISNUMBER(FIND(RIGHT(韻母表_4[[#This Row],[台羅拼音]],1), "ptkh")))</f>
        <v>0</v>
      </c>
      <c r="S62" s="41">
        <f>IF(OR(韻母表_4[[#This Row],[台羅拼音]]="", R62=TRUE), "", LEN(韻母表_4[[#This Row],[台羅拼音]]))</f>
        <v>3</v>
      </c>
      <c r="T62" s="41" t="str">
        <f ca="1" xml:space="preserve"> IF(OR(韻母表_4[[#This Row],[台羅拼音]]="", $R62=TRUE), "", _xlfn.CONCAT("    ", "- xform/", 韻母表_4[[#This Row],[台羅拼音]], "([48?])/", OFFSET(韻母表_4[[#This Row],[台羅拼音]],1,0), "$1", "/    # ", LEFT(韻母表_4[[#This Row],[十五音]],1)))</f>
        <v xml:space="preserve">    - xform/enn([48?])/ennh$1/    # 更</v>
      </c>
      <c r="U62" s="41" t="str">
        <f ca="1" xml:space="preserve"> IF(OR(韻母表_4[[#This Row],[台羅拼音]]="", R62=TRUE), "", _xlfn.CONCAT("    ", "- xform/", 韻母表_4[[#This Row],[台羅拼音]], "([48])/", OFFSET(韻母表_4[[#This Row],[台羅拼音]],1,0), "$1", "/    # ", LEFT(韻母表_4[[#This Row],[十五音]],1)))</f>
        <v xml:space="preserve">    - xform/enn([48])/ennh$1/    # 更</v>
      </c>
      <c r="W62" s="41" t="s">
        <v>1437</v>
      </c>
    </row>
    <row r="63" spans="1:23" ht="44.25">
      <c r="A63" s="54">
        <v>62</v>
      </c>
      <c r="B63" s="54">
        <f xml:space="preserve"> IF(MOD(韻母表_4[[#This Row],[序號]],2)=0, 韻母表_4[[#This Row],[序號]]/2, ROUNDUP(韻母表_4[[#This Row],[序號]]/2,0))</f>
        <v>31</v>
      </c>
      <c r="C63" s="55" t="s">
        <v>299</v>
      </c>
      <c r="D63" s="56" t="s">
        <v>123</v>
      </c>
      <c r="E63" s="86" t="str">
        <f xml:space="preserve"> _xlfn.CONCAT("e", _xlfn.UNICHAR(HEX2DEC(RIGHT("U+0294",4))))</f>
        <v>eʔ</v>
      </c>
      <c r="F63" s="86" t="str">
        <f xml:space="preserve"> _xlfn.CONCAT("ɛ", _xlfn.UNICHAR(HEX2DEC(RIGHT("U+0294",4))))</f>
        <v>ɛʔ</v>
      </c>
      <c r="G63" s="57" t="s">
        <v>218</v>
      </c>
      <c r="H63" s="57" t="s">
        <v>218</v>
      </c>
      <c r="I63" s="57" t="s">
        <v>1196</v>
      </c>
      <c r="J63" s="57" t="s">
        <v>218</v>
      </c>
      <c r="K63" s="57" t="s">
        <v>218</v>
      </c>
      <c r="L63" s="57" t="s">
        <v>1197</v>
      </c>
      <c r="M63" s="57" t="s">
        <v>1198</v>
      </c>
      <c r="R63" t="b">
        <f>IF(韻母表_4[[#This Row],[台羅拼音]]="", FALSE, ISNUMBER(FIND(RIGHT(韻母表_4[[#This Row],[台羅拼音]],1), "ptkh")))</f>
        <v>1</v>
      </c>
      <c r="S63" s="41" t="str">
        <f>IF(OR(韻母表_4[[#This Row],[台羅拼音]]="", R63=TRUE), "", LEN(韻母表_4[[#This Row],[台羅拼音]]))</f>
        <v/>
      </c>
      <c r="T63" s="41" t="str">
        <f ca="1" xml:space="preserve"> IF(OR(韻母表_4[[#This Row],[台羅拼音]]="", $R63=TRUE), "", _xlfn.CONCAT("    ", "- xform/", 韻母表_4[[#This Row],[台羅拼音]], "([48?])/", OFFSET(韻母表_4[[#This Row],[台羅拼音]],1,0), "$1", "/    # ", LEFT(韻母表_4[[#This Row],[十五音]],1)))</f>
        <v/>
      </c>
      <c r="U63" s="41" t="str">
        <f ca="1" xml:space="preserve"> IF(OR(韻母表_4[[#This Row],[台羅拼音]]="", R63=TRUE), "", _xlfn.CONCAT("    ", "- xform/", 韻母表_4[[#This Row],[台羅拼音]], "([48])/", OFFSET(韻母表_4[[#This Row],[台羅拼音]],1,0), "$1", "/    # ", LEFT(韻母表_4[[#This Row],[十五音]],1)))</f>
        <v/>
      </c>
      <c r="W63" s="41" t="s">
        <v>1079</v>
      </c>
    </row>
    <row r="64" spans="1:23" ht="44.25">
      <c r="A64" s="54">
        <v>63</v>
      </c>
      <c r="B64" s="54">
        <f xml:space="preserve"> IF(MOD(韻母表_4[[#This Row],[序號]],2)=0, 韻母表_4[[#This Row],[序號]]/2, ROUNDUP(韻母表_4[[#This Row],[序號]]/2,0))</f>
        <v>32</v>
      </c>
      <c r="C64" s="55" t="s">
        <v>1327</v>
      </c>
      <c r="D64" s="63" t="s">
        <v>124</v>
      </c>
      <c r="E64" s="86" t="s">
        <v>1199</v>
      </c>
      <c r="F64" s="86"/>
      <c r="G64" s="57" t="s">
        <v>219</v>
      </c>
      <c r="H64" s="57" t="s">
        <v>219</v>
      </c>
      <c r="I64" s="57" t="s">
        <v>1200</v>
      </c>
      <c r="J64" s="57" t="s">
        <v>1201</v>
      </c>
      <c r="K64" s="57" t="s">
        <v>219</v>
      </c>
      <c r="L64" s="57" t="s">
        <v>1202</v>
      </c>
      <c r="M64" s="57" t="s">
        <v>1203</v>
      </c>
      <c r="R64" t="b">
        <f>IF(韻母表_4[[#This Row],[台羅拼音]]="", FALSE, ISNUMBER(FIND(RIGHT(韻母表_4[[#This Row],[台羅拼音]],1), "ptkh")))</f>
        <v>0</v>
      </c>
      <c r="S64" s="41">
        <f>IF(OR(韻母表_4[[#This Row],[台羅拼音]]="", R64=TRUE), "", LEN(韻母表_4[[#This Row],[台羅拼音]]))</f>
        <v>4</v>
      </c>
      <c r="T64" s="41" t="str">
        <f ca="1" xml:space="preserve"> IF(OR(韻母表_4[[#This Row],[台羅拼音]]="", $R64=TRUE), "", _xlfn.CONCAT("    ", "- xform/", 韻母表_4[[#This Row],[台羅拼音]], "([48?])/", OFFSET(韻母表_4[[#This Row],[台羅拼音]],1,0), "$1", "/    # ", LEFT(韻母表_4[[#This Row],[十五音]],1)))</f>
        <v xml:space="preserve">    - xform/uinn([48?])/$1/    # 褌</v>
      </c>
      <c r="U64" s="41" t="str">
        <f ca="1" xml:space="preserve"> IF(OR(韻母表_4[[#This Row],[台羅拼音]]="", R64=TRUE), "", _xlfn.CONCAT("    ", "- xform/", 韻母表_4[[#This Row],[台羅拼音]], "([48])/", OFFSET(韻母表_4[[#This Row],[台羅拼音]],1,0), "$1", "/    # ", LEFT(韻母表_4[[#This Row],[十五音]],1)))</f>
        <v xml:space="preserve">    - xform/uinn([48])/$1/    # 褌</v>
      </c>
      <c r="W64" s="41" t="s">
        <v>1438</v>
      </c>
    </row>
    <row r="65" spans="1:23" ht="44.25">
      <c r="A65" s="54">
        <v>64</v>
      </c>
      <c r="B65" s="54">
        <f xml:space="preserve"> IF(MOD(韻母表_4[[#This Row],[序號]],2)=0, 韻母表_4[[#This Row],[序號]]/2, ROUNDUP(韻母表_4[[#This Row],[序號]]/2,0))</f>
        <v>32</v>
      </c>
      <c r="C65" s="62"/>
      <c r="D65" s="63"/>
      <c r="E65" s="86"/>
      <c r="F65" s="86"/>
      <c r="G65" s="57"/>
      <c r="H65" s="57"/>
      <c r="I65" s="57"/>
      <c r="J65" s="57"/>
      <c r="K65" s="57"/>
      <c r="L65" s="57"/>
      <c r="M65" s="57"/>
      <c r="R65" t="b">
        <f>IF(韻母表_4[[#This Row],[台羅拼音]]="", FALSE, ISNUMBER(FIND(RIGHT(韻母表_4[[#This Row],[台羅拼音]],1), "ptkh")))</f>
        <v>0</v>
      </c>
      <c r="S65" s="41" t="str">
        <f>IF(OR(韻母表_4[[#This Row],[台羅拼音]]="", R65=TRUE), "", LEN(韻母表_4[[#This Row],[台羅拼音]]))</f>
        <v/>
      </c>
      <c r="T65" s="41" t="str">
        <f ca="1" xml:space="preserve"> IF(OR(韻母表_4[[#This Row],[台羅拼音]]="", $R65=TRUE), "", _xlfn.CONCAT("    ", "- xform/", 韻母表_4[[#This Row],[台羅拼音]], "([48?])/", OFFSET(韻母表_4[[#This Row],[台羅拼音]],1,0), "$1", "/    # ", LEFT(韻母表_4[[#This Row],[十五音]],1)))</f>
        <v/>
      </c>
      <c r="U65" s="41" t="str">
        <f ca="1" xml:space="preserve"> IF(OR(韻母表_4[[#This Row],[台羅拼音]]="", R65=TRUE), "", _xlfn.CONCAT("    ", "- xform/", 韻母表_4[[#This Row],[台羅拼音]], "([48])/", OFFSET(韻母表_4[[#This Row],[台羅拼音]],1,0), "$1", "/    # ", LEFT(韻母表_4[[#This Row],[十五音]],1)))</f>
        <v/>
      </c>
      <c r="W65" s="41" t="s">
        <v>1439</v>
      </c>
    </row>
    <row r="66" spans="1:23" ht="44.25">
      <c r="A66" s="54">
        <v>65</v>
      </c>
      <c r="B66" s="54">
        <f xml:space="preserve"> IF(MOD(韻母表_4[[#This Row],[序號]],2)=0, 韻母表_4[[#This Row],[序號]]/2, ROUNDUP(韻母表_4[[#This Row],[序號]]/2,0))</f>
        <v>33</v>
      </c>
      <c r="C66" s="55" t="s">
        <v>300</v>
      </c>
      <c r="D66" s="56" t="s">
        <v>126</v>
      </c>
      <c r="E66" s="86" t="s">
        <v>1351</v>
      </c>
      <c r="F66" s="86"/>
      <c r="G66" s="57" t="s">
        <v>220</v>
      </c>
      <c r="H66" s="57" t="s">
        <v>220</v>
      </c>
      <c r="I66" s="57" t="s">
        <v>220</v>
      </c>
      <c r="J66" s="57" t="s">
        <v>220</v>
      </c>
      <c r="K66" s="57" t="s">
        <v>1204</v>
      </c>
      <c r="L66" s="57" t="s">
        <v>1205</v>
      </c>
      <c r="M66" s="57" t="s">
        <v>1205</v>
      </c>
      <c r="R66" t="b">
        <f>IF(韻母表_4[[#This Row],[台羅拼音]]="", FALSE, ISNUMBER(FIND(RIGHT(韻母表_4[[#This Row],[台羅拼音]],1), "ptkh")))</f>
        <v>0</v>
      </c>
      <c r="S66" s="41">
        <f>IF(OR(韻母表_4[[#This Row],[台羅拼音]]="", R66=TRUE), "", LEN(韻母表_4[[#This Row],[台羅拼音]]))</f>
        <v>2</v>
      </c>
      <c r="T66" s="41" t="str">
        <f ca="1" xml:space="preserve"> IF(OR(韻母表_4[[#This Row],[台羅拼音]]="", $R66=TRUE), "", _xlfn.CONCAT("    ", "- xform/", 韻母表_4[[#This Row],[台羅拼音]], "([48?])/", OFFSET(韻母表_4[[#This Row],[台羅拼音]],1,0), "$1", "/    # ", LEFT(韻母表_4[[#This Row],[十五音]],1)))</f>
        <v xml:space="preserve">    - xform/io([48?])/ioh$1/    # 茄</v>
      </c>
      <c r="U66" s="41" t="str">
        <f ca="1" xml:space="preserve"> IF(OR(韻母表_4[[#This Row],[台羅拼音]]="", R66=TRUE), "", _xlfn.CONCAT("    ", "- xform/", 韻母表_4[[#This Row],[台羅拼音]], "([48])/", OFFSET(韻母表_4[[#This Row],[台羅拼音]],1,0), "$1", "/    # ", LEFT(韻母表_4[[#This Row],[十五音]],1)))</f>
        <v xml:space="preserve">    - xform/io([48])/ioh$1/    # 茄</v>
      </c>
      <c r="W66" s="41" t="s">
        <v>1440</v>
      </c>
    </row>
    <row r="67" spans="1:23" ht="44.25">
      <c r="A67" s="54">
        <v>66</v>
      </c>
      <c r="B67" s="54">
        <f xml:space="preserve"> IF(MOD(韻母表_4[[#This Row],[序號]],2)=0, 韻母表_4[[#This Row],[序號]]/2, ROUNDUP(韻母表_4[[#This Row],[序號]]/2,0))</f>
        <v>33</v>
      </c>
      <c r="C67" s="55" t="s">
        <v>301</v>
      </c>
      <c r="D67" s="56" t="s">
        <v>127</v>
      </c>
      <c r="E67" s="86" t="s">
        <v>1352</v>
      </c>
      <c r="F67" s="86"/>
      <c r="G67" s="57" t="s">
        <v>221</v>
      </c>
      <c r="H67" s="57" t="s">
        <v>221</v>
      </c>
      <c r="I67" s="57" t="s">
        <v>221</v>
      </c>
      <c r="J67" s="57" t="s">
        <v>221</v>
      </c>
      <c r="K67" s="57" t="s">
        <v>1206</v>
      </c>
      <c r="L67" s="57" t="s">
        <v>1207</v>
      </c>
      <c r="M67" s="57" t="s">
        <v>1208</v>
      </c>
      <c r="R67" t="b">
        <f>IF(韻母表_4[[#This Row],[台羅拼音]]="", FALSE, ISNUMBER(FIND(RIGHT(韻母表_4[[#This Row],[台羅拼音]],1), "ptkh")))</f>
        <v>1</v>
      </c>
      <c r="S67" s="41" t="str">
        <f>IF(OR(韻母表_4[[#This Row],[台羅拼音]]="", R67=TRUE), "", LEN(韻母表_4[[#This Row],[台羅拼音]]))</f>
        <v/>
      </c>
      <c r="T67" s="41" t="str">
        <f ca="1" xml:space="preserve"> IF(OR(韻母表_4[[#This Row],[台羅拼音]]="", $R67=TRUE), "", _xlfn.CONCAT("    ", "- xform/", 韻母表_4[[#This Row],[台羅拼音]], "([48?])/", OFFSET(韻母表_4[[#This Row],[台羅拼音]],1,0), "$1", "/    # ", LEFT(韻母表_4[[#This Row],[十五音]],1)))</f>
        <v/>
      </c>
      <c r="U67" s="41" t="str">
        <f ca="1" xml:space="preserve"> IF(OR(韻母表_4[[#This Row],[台羅拼音]]="", R67=TRUE), "", _xlfn.CONCAT("    ", "- xform/", 韻母表_4[[#This Row],[台羅拼音]], "([48])/", OFFSET(韻母表_4[[#This Row],[台羅拼音]],1,0), "$1", "/    # ", LEFT(韻母表_4[[#This Row],[十五音]],1)))</f>
        <v/>
      </c>
      <c r="W67" s="41" t="s">
        <v>1079</v>
      </c>
    </row>
    <row r="68" spans="1:23" ht="44.25">
      <c r="A68" s="54">
        <v>67</v>
      </c>
      <c r="B68" s="54">
        <f xml:space="preserve"> IF(MOD(韻母表_4[[#This Row],[序號]],2)=0, 韻母表_4[[#This Row],[序號]]/2, ROUNDUP(韻母表_4[[#This Row],[序號]]/2,0))</f>
        <v>34</v>
      </c>
      <c r="C68" s="55" t="s">
        <v>302</v>
      </c>
      <c r="D68" s="56" t="s">
        <v>128</v>
      </c>
      <c r="E68" s="86" t="s">
        <v>1209</v>
      </c>
      <c r="F68" s="86"/>
      <c r="G68" s="57" t="s">
        <v>222</v>
      </c>
      <c r="H68" s="57" t="s">
        <v>222</v>
      </c>
      <c r="I68" s="57" t="s">
        <v>1210</v>
      </c>
      <c r="J68" s="57" t="s">
        <v>532</v>
      </c>
      <c r="K68" s="57" t="s">
        <v>222</v>
      </c>
      <c r="L68" s="57" t="s">
        <v>1211</v>
      </c>
      <c r="M68" s="57" t="s">
        <v>1212</v>
      </c>
      <c r="R68" t="b">
        <f>IF(韻母表_4[[#This Row],[台羅拼音]]="", FALSE, ISNUMBER(FIND(RIGHT(韻母表_4[[#This Row],[台羅拼音]],1), "ptkh")))</f>
        <v>0</v>
      </c>
      <c r="S68" s="41">
        <f>IF(OR(韻母表_4[[#This Row],[台羅拼音]]="", R68=TRUE), "", LEN(韻母表_4[[#This Row],[台羅拼音]]))</f>
        <v>3</v>
      </c>
      <c r="T68" s="41" t="str">
        <f ca="1" xml:space="preserve"> IF(OR(韻母表_4[[#This Row],[台羅拼音]]="", $R68=TRUE), "", _xlfn.CONCAT("    ", "- xform/", 韻母表_4[[#This Row],[台羅拼音]], "([48?])/", OFFSET(韻母表_4[[#This Row],[台羅拼音]],1,0), "$1", "/    # ", LEFT(韻母表_4[[#This Row],[十五音]],1)))</f>
        <v xml:space="preserve">    - xform/inn([48?])/$1/    # 梔</v>
      </c>
      <c r="U68" s="41" t="str">
        <f ca="1" xml:space="preserve"> IF(OR(韻母表_4[[#This Row],[台羅拼音]]="", R68=TRUE), "", _xlfn.CONCAT("    ", "- xform/", 韻母表_4[[#This Row],[台羅拼音]], "([48])/", OFFSET(韻母表_4[[#This Row],[台羅拼音]],1,0), "$1", "/    # ", LEFT(韻母表_4[[#This Row],[十五音]],1)))</f>
        <v xml:space="preserve">    - xform/inn([48])/$1/    # 梔</v>
      </c>
      <c r="W68" s="41" t="s">
        <v>1441</v>
      </c>
    </row>
    <row r="69" spans="1:23" ht="44.25">
      <c r="A69" s="54">
        <v>68</v>
      </c>
      <c r="B69" s="54">
        <f xml:space="preserve"> IF(MOD(韻母表_4[[#This Row],[序號]],2)=0, 韻母表_4[[#This Row],[序號]]/2, ROUNDUP(韻母表_4[[#This Row],[序號]]/2,0))</f>
        <v>34</v>
      </c>
      <c r="C69" s="62"/>
      <c r="D69" s="63" t="s">
        <v>129</v>
      </c>
      <c r="E69" s="86" t="s">
        <v>1353</v>
      </c>
      <c r="F69" s="86"/>
      <c r="G69" s="57" t="s">
        <v>1079</v>
      </c>
      <c r="H69" s="57" t="s">
        <v>1079</v>
      </c>
      <c r="I69" s="57" t="s">
        <v>1079</v>
      </c>
      <c r="J69" s="57" t="s">
        <v>1079</v>
      </c>
      <c r="K69" s="57" t="s">
        <v>1079</v>
      </c>
      <c r="L69" s="57" t="s">
        <v>1079</v>
      </c>
      <c r="M69" s="57" t="s">
        <v>1079</v>
      </c>
      <c r="R69" t="b">
        <f>IF(韻母表_4[[#This Row],[台羅拼音]]="", FALSE, ISNUMBER(FIND(RIGHT(韻母表_4[[#This Row],[台羅拼音]],1), "ptkh")))</f>
        <v>0</v>
      </c>
      <c r="S69" s="41" t="str">
        <f>IF(OR(韻母表_4[[#This Row],[台羅拼音]]="", R69=TRUE), "", LEN(韻母表_4[[#This Row],[台羅拼音]]))</f>
        <v/>
      </c>
      <c r="T69" s="41" t="str">
        <f ca="1" xml:space="preserve"> IF(OR(韻母表_4[[#This Row],[台羅拼音]]="", $R69=TRUE), "", _xlfn.CONCAT("    ", "- xform/", 韻母表_4[[#This Row],[台羅拼音]], "([48?])/", OFFSET(韻母表_4[[#This Row],[台羅拼音]],1,0), "$1", "/    # ", LEFT(韻母表_4[[#This Row],[十五音]],1)))</f>
        <v/>
      </c>
      <c r="U69" s="41" t="str">
        <f ca="1" xml:space="preserve"> IF(OR(韻母表_4[[#This Row],[台羅拼音]]="", R69=TRUE), "", _xlfn.CONCAT("    ", "- xform/", 韻母表_4[[#This Row],[台羅拼音]], "([48])/", OFFSET(韻母表_4[[#This Row],[台羅拼音]],1,0), "$1", "/    # ", LEFT(韻母表_4[[#This Row],[十五音]],1)))</f>
        <v/>
      </c>
      <c r="W69" s="41" t="s">
        <v>1442</v>
      </c>
    </row>
    <row r="70" spans="1:23" ht="44.25">
      <c r="A70" s="54">
        <v>69</v>
      </c>
      <c r="B70" s="54">
        <f xml:space="preserve"> IF(MOD(韻母表_4[[#This Row],[序號]],2)=0, 韻母表_4[[#This Row],[序號]]/2, ROUNDUP(韻母表_4[[#This Row],[序號]]/2,0))</f>
        <v>35</v>
      </c>
      <c r="C70" s="65" t="s">
        <v>303</v>
      </c>
      <c r="D70" s="63" t="s">
        <v>130</v>
      </c>
      <c r="E70" s="86" t="s">
        <v>1354</v>
      </c>
      <c r="F70" s="86"/>
      <c r="G70" s="57" t="s">
        <v>224</v>
      </c>
      <c r="H70" s="57" t="s">
        <v>224</v>
      </c>
      <c r="I70" s="57" t="s">
        <v>1213</v>
      </c>
      <c r="J70" s="57" t="s">
        <v>1214</v>
      </c>
      <c r="K70" s="57" t="s">
        <v>1215</v>
      </c>
      <c r="L70" s="57" t="s">
        <v>1216</v>
      </c>
      <c r="M70" s="57" t="s">
        <v>1217</v>
      </c>
      <c r="R70" t="b">
        <f>IF(韻母表_4[[#This Row],[台羅拼音]]="", FALSE, ISNUMBER(FIND(RIGHT(韻母表_4[[#This Row],[台羅拼音]],1), "ptkh")))</f>
        <v>0</v>
      </c>
      <c r="S70" s="41">
        <f>IF(OR(韻母表_4[[#This Row],[台羅拼音]]="", R70=TRUE), "", LEN(韻母表_4[[#This Row],[台羅拼音]]))</f>
        <v>4</v>
      </c>
      <c r="T70" s="41" t="str">
        <f ca="1" xml:space="preserve"> IF(OR(韻母表_4[[#This Row],[台羅拼音]]="", $R70=TRUE), "", _xlfn.CONCAT("    ", "- xform/", 韻母表_4[[#This Row],[台羅拼音]], "([48?])/", OFFSET(韻母表_4[[#This Row],[台羅拼音]],1,0), "$1", "/    # ", LEFT(韻母表_4[[#This Row],[十五音]],1)))</f>
        <v xml:space="preserve">    - xform/ionn([48?])/$1/    # 薑</v>
      </c>
      <c r="U70" s="41" t="str">
        <f ca="1" xml:space="preserve"> IF(OR(韻母表_4[[#This Row],[台羅拼音]]="", R70=TRUE), "", _xlfn.CONCAT("    ", "- xform/", 韻母表_4[[#This Row],[台羅拼音]], "([48])/", OFFSET(韻母表_4[[#This Row],[台羅拼音]],1,0), "$1", "/    # ", LEFT(韻母表_4[[#This Row],[十五音]],1)))</f>
        <v xml:space="preserve">    - xform/ionn([48])/$1/    # 薑</v>
      </c>
      <c r="W70" s="41" t="s">
        <v>1443</v>
      </c>
    </row>
    <row r="71" spans="1:23" ht="44.25">
      <c r="A71" s="54">
        <v>70</v>
      </c>
      <c r="B71" s="54">
        <f xml:space="preserve"> IF(MOD(韻母表_4[[#This Row],[序號]],2)=0, 韻母表_4[[#This Row],[序號]]/2, ROUNDUP(韻母表_4[[#This Row],[序號]]/2,0))</f>
        <v>35</v>
      </c>
      <c r="C71" s="62"/>
      <c r="D71" s="63"/>
      <c r="E71" s="86" t="s">
        <v>1079</v>
      </c>
      <c r="F71" s="86"/>
      <c r="G71" s="57" t="s">
        <v>1079</v>
      </c>
      <c r="H71" s="57" t="s">
        <v>1079</v>
      </c>
      <c r="I71" s="57" t="s">
        <v>1079</v>
      </c>
      <c r="J71" s="57" t="s">
        <v>1079</v>
      </c>
      <c r="K71" s="57" t="s">
        <v>1079</v>
      </c>
      <c r="L71" s="57" t="s">
        <v>1079</v>
      </c>
      <c r="M71" s="57" t="s">
        <v>1079</v>
      </c>
      <c r="R71" t="b">
        <f>IF(韻母表_4[[#This Row],[台羅拼音]]="", FALSE, ISNUMBER(FIND(RIGHT(韻母表_4[[#This Row],[台羅拼音]],1), "ptkh")))</f>
        <v>0</v>
      </c>
      <c r="S71" s="41" t="str">
        <f>IF(OR(韻母表_4[[#This Row],[台羅拼音]]="", R71=TRUE), "", LEN(韻母表_4[[#This Row],[台羅拼音]]))</f>
        <v/>
      </c>
      <c r="T71" s="41" t="str">
        <f ca="1" xml:space="preserve"> IF(OR(韻母表_4[[#This Row],[台羅拼音]]="", $R71=TRUE), "", _xlfn.CONCAT("    ", "- xform/", 韻母表_4[[#This Row],[台羅拼音]], "([48?])/", OFFSET(韻母表_4[[#This Row],[台羅拼音]],1,0), "$1", "/    # ", LEFT(韻母表_4[[#This Row],[十五音]],1)))</f>
        <v/>
      </c>
      <c r="U71" s="41" t="str">
        <f ca="1" xml:space="preserve"> IF(OR(韻母表_4[[#This Row],[台羅拼音]]="", R71=TRUE), "", _xlfn.CONCAT("    ", "- xform/", 韻母表_4[[#This Row],[台羅拼音]], "([48])/", OFFSET(韻母表_4[[#This Row],[台羅拼音]],1,0), "$1", "/    # ", LEFT(韻母表_4[[#This Row],[十五音]],1)))</f>
        <v/>
      </c>
      <c r="W71" s="41" t="s">
        <v>1444</v>
      </c>
    </row>
    <row r="72" spans="1:23" ht="44.25">
      <c r="A72" s="54">
        <v>71</v>
      </c>
      <c r="B72" s="54">
        <f xml:space="preserve"> IF(MOD(韻母表_4[[#This Row],[序號]],2)=0, 韻母表_4[[#This Row],[序號]]/2, ROUNDUP(韻母表_4[[#This Row],[序號]]/2,0))</f>
        <v>36</v>
      </c>
      <c r="C72" s="55" t="s">
        <v>304</v>
      </c>
      <c r="D72" s="56" t="s">
        <v>132</v>
      </c>
      <c r="E72" s="86" t="s">
        <v>1355</v>
      </c>
      <c r="F72" s="86"/>
      <c r="G72" s="57" t="s">
        <v>305</v>
      </c>
      <c r="H72" s="57" t="s">
        <v>305</v>
      </c>
      <c r="I72" s="57" t="s">
        <v>1218</v>
      </c>
      <c r="J72" s="57" t="s">
        <v>543</v>
      </c>
      <c r="K72" s="57" t="s">
        <v>305</v>
      </c>
      <c r="L72" s="57" t="s">
        <v>1219</v>
      </c>
      <c r="M72" s="57" t="s">
        <v>1220</v>
      </c>
      <c r="R72" t="b">
        <f>IF(韻母表_4[[#This Row],[台羅拼音]]="", FALSE, ISNUMBER(FIND(RIGHT(韻母表_4[[#This Row],[台羅拼音]],1), "ptkh")))</f>
        <v>0</v>
      </c>
      <c r="S72" s="41">
        <f>IF(OR(韻母表_4[[#This Row],[台羅拼音]]="", R72=TRUE), "", LEN(韻母表_4[[#This Row],[台羅拼音]]))</f>
        <v>4</v>
      </c>
      <c r="T72" s="41" t="str">
        <f ca="1" xml:space="preserve"> IF(OR(韻母表_4[[#This Row],[台羅拼音]]="", $R72=TRUE), "", _xlfn.CONCAT("    ", "- xform/", 韻母表_4[[#This Row],[台羅拼音]], "([48?])/", OFFSET(韻母表_4[[#This Row],[台羅拼音]],1,0), "$1", "/    # ", LEFT(韻母表_4[[#This Row],[十五音]],1)))</f>
        <v xml:space="preserve">    - xform/iann([48?])/iannh$1/    # 驚</v>
      </c>
      <c r="U72" s="41" t="str">
        <f ca="1" xml:space="preserve"> IF(OR(韻母表_4[[#This Row],[台羅拼音]]="", R72=TRUE), "", _xlfn.CONCAT("    ", "- xform/", 韻母表_4[[#This Row],[台羅拼音]], "([48])/", OFFSET(韻母表_4[[#This Row],[台羅拼音]],1,0), "$1", "/    # ", LEFT(韻母表_4[[#This Row],[十五音]],1)))</f>
        <v xml:space="preserve">    - xform/iann([48])/iannh$1/    # 驚</v>
      </c>
      <c r="W72" s="41" t="s">
        <v>1445</v>
      </c>
    </row>
    <row r="73" spans="1:23" ht="44.25">
      <c r="A73" s="54">
        <v>72</v>
      </c>
      <c r="B73" s="54">
        <f xml:space="preserve"> IF(MOD(韻母表_4[[#This Row],[序號]],2)=0, 韻母表_4[[#This Row],[序號]]/2, ROUNDUP(韻母表_4[[#This Row],[序號]]/2,0))</f>
        <v>36</v>
      </c>
      <c r="C73" s="62"/>
      <c r="D73" s="56" t="s">
        <v>1386</v>
      </c>
      <c r="E73" s="86" t="str">
        <f xml:space="preserve"> _xlfn.CONCAT(E72, "h")</f>
        <v>ɪãh</v>
      </c>
      <c r="F73" s="86"/>
      <c r="G73" s="57" t="str">
        <f xml:space="preserve"> _xlfn.CONCAT(G72, "h")</f>
        <v>iannh</v>
      </c>
      <c r="H73" s="57" t="str">
        <f xml:space="preserve"> _xlfn.CONCAT(H72, "h")</f>
        <v>iannh</v>
      </c>
      <c r="I73" s="57" t="str">
        <f xml:space="preserve"> _xlfn.CONCAT(I72, "h")</f>
        <v>iaⁿh</v>
      </c>
      <c r="J73" s="57" t="str">
        <f xml:space="preserve"> _xlfn.CONCAT(J72, "h")</f>
        <v>niah</v>
      </c>
      <c r="K73" s="57" t="str">
        <f xml:space="preserve"> _xlfn.CONCAT(K72, "h")</f>
        <v>iannh</v>
      </c>
      <c r="L73" s="57" t="str">
        <f xml:space="preserve"> _xlfn.CONCAT(L72, "ㆷ")</f>
        <v>ㄧㆩㆷ</v>
      </c>
      <c r="M73" s="57" t="str">
        <f xml:space="preserve"> _xlfn.CONCAT(M72, "ㄏ")</f>
        <v>⁰ㄧㄚㄏ</v>
      </c>
      <c r="R73" t="b">
        <f>IF(韻母表_4[[#This Row],[台羅拼音]]="", FALSE, ISNUMBER(FIND(RIGHT(韻母表_4[[#This Row],[台羅拼音]],1), "ptkh")))</f>
        <v>1</v>
      </c>
      <c r="S73" s="41" t="str">
        <f>IF(OR(韻母表_4[[#This Row],[台羅拼音]]="", R73=TRUE), "", LEN(韻母表_4[[#This Row],[台羅拼音]]))</f>
        <v/>
      </c>
      <c r="T73" s="41" t="str">
        <f ca="1" xml:space="preserve"> IF(OR(韻母表_4[[#This Row],[台羅拼音]]="", $R73=TRUE), "", _xlfn.CONCAT("    ", "- xform/", 韻母表_4[[#This Row],[台羅拼音]], "([48?])/", OFFSET(韻母表_4[[#This Row],[台羅拼音]],1,0), "$1", "/    # ", LEFT(韻母表_4[[#This Row],[十五音]],1)))</f>
        <v/>
      </c>
      <c r="U73" s="41" t="str">
        <f ca="1" xml:space="preserve"> IF(OR(韻母表_4[[#This Row],[台羅拼音]]="", R73=TRUE), "", _xlfn.CONCAT("    ", "- xform/", 韻母表_4[[#This Row],[台羅拼音]], "([48])/", OFFSET(韻母表_4[[#This Row],[台羅拼音]],1,0), "$1", "/    # ", LEFT(韻母表_4[[#This Row],[十五音]],1)))</f>
        <v/>
      </c>
      <c r="W73" s="41" t="s">
        <v>1079</v>
      </c>
    </row>
    <row r="74" spans="1:23" ht="44.25">
      <c r="A74" s="54">
        <v>73</v>
      </c>
      <c r="B74" s="54">
        <f xml:space="preserve"> IF(MOD(韻母表_4[[#This Row],[序號]],2)=0, 韻母表_4[[#This Row],[序號]]/2, ROUNDUP(韻母表_4[[#This Row],[序號]]/2,0))</f>
        <v>37</v>
      </c>
      <c r="C74" s="55" t="s">
        <v>307</v>
      </c>
      <c r="D74" s="56" t="s">
        <v>134</v>
      </c>
      <c r="E74" s="86" t="s">
        <v>1221</v>
      </c>
      <c r="F74" s="86"/>
      <c r="G74" s="57" t="s">
        <v>226</v>
      </c>
      <c r="H74" s="57" t="s">
        <v>226</v>
      </c>
      <c r="I74" s="57" t="s">
        <v>1222</v>
      </c>
      <c r="J74" s="57" t="s">
        <v>923</v>
      </c>
      <c r="K74" s="57" t="s">
        <v>226</v>
      </c>
      <c r="L74" s="57" t="s">
        <v>1223</v>
      </c>
      <c r="M74" s="57" t="s">
        <v>1224</v>
      </c>
      <c r="R74" t="b">
        <f>IF(韻母表_4[[#This Row],[台羅拼音]]="", FALSE, ISNUMBER(FIND(RIGHT(韻母表_4[[#This Row],[台羅拼音]],1), "ptkh")))</f>
        <v>0</v>
      </c>
      <c r="S74" s="41">
        <f>IF(OR(韻母表_4[[#This Row],[台羅拼音]]="", R74=TRUE), "", LEN(韻母表_4[[#This Row],[台羅拼音]]))</f>
        <v>4</v>
      </c>
      <c r="T74" s="41" t="str">
        <f ca="1" xml:space="preserve"> IF(OR(韻母表_4[[#This Row],[台羅拼音]]="", $R74=TRUE), "", _xlfn.CONCAT("    ", "- xform/", 韻母表_4[[#This Row],[台羅拼音]], "([48?])/", OFFSET(韻母表_4[[#This Row],[台羅拼音]],1,0), "$1", "/    # ", LEFT(韻母表_4[[#This Row],[十五音]],1)))</f>
        <v xml:space="preserve">    - xform/uann([48?])/$1/    # 官</v>
      </c>
      <c r="U74" s="41" t="str">
        <f ca="1" xml:space="preserve"> IF(OR(韻母表_4[[#This Row],[台羅拼音]]="", R74=TRUE), "", _xlfn.CONCAT("    ", "- xform/", 韻母表_4[[#This Row],[台羅拼音]], "([48])/", OFFSET(韻母表_4[[#This Row],[台羅拼音]],1,0), "$1", "/    # ", LEFT(韻母表_4[[#This Row],[十五音]],1)))</f>
        <v xml:space="preserve">    - xform/uann([48])/$1/    # 官</v>
      </c>
      <c r="W74" s="41" t="s">
        <v>1446</v>
      </c>
    </row>
    <row r="75" spans="1:23" ht="44.25">
      <c r="A75" s="54">
        <v>74</v>
      </c>
      <c r="B75" s="54">
        <f xml:space="preserve"> IF(MOD(韻母表_4[[#This Row],[序號]],2)=0, 韻母表_4[[#This Row],[序號]]/2, ROUNDUP(韻母表_4[[#This Row],[序號]]/2,0))</f>
        <v>37</v>
      </c>
      <c r="C75" s="62"/>
      <c r="D75" s="63"/>
      <c r="E75" s="86" t="s">
        <v>1079</v>
      </c>
      <c r="F75" s="86"/>
      <c r="G75" s="57" t="s">
        <v>1079</v>
      </c>
      <c r="H75" s="57" t="s">
        <v>1079</v>
      </c>
      <c r="I75" s="57" t="s">
        <v>1079</v>
      </c>
      <c r="J75" s="57" t="s">
        <v>1079</v>
      </c>
      <c r="K75" s="57" t="s">
        <v>1079</v>
      </c>
      <c r="L75" s="57" t="s">
        <v>1079</v>
      </c>
      <c r="M75" s="57" t="s">
        <v>1079</v>
      </c>
      <c r="R75" t="b">
        <f>IF(韻母表_4[[#This Row],[台羅拼音]]="", FALSE, ISNUMBER(FIND(RIGHT(韻母表_4[[#This Row],[台羅拼音]],1), "ptkh")))</f>
        <v>0</v>
      </c>
      <c r="S75" s="41" t="str">
        <f>IF(OR(韻母表_4[[#This Row],[台羅拼音]]="", R75=TRUE), "", LEN(韻母表_4[[#This Row],[台羅拼音]]))</f>
        <v/>
      </c>
      <c r="T75" s="41" t="str">
        <f ca="1" xml:space="preserve"> IF(OR(韻母表_4[[#This Row],[台羅拼音]]="", $R75=TRUE), "", _xlfn.CONCAT("    ", "- xform/", 韻母表_4[[#This Row],[台羅拼音]], "([48?])/", OFFSET(韻母表_4[[#This Row],[台羅拼音]],1,0), "$1", "/    # ", LEFT(韻母表_4[[#This Row],[十五音]],1)))</f>
        <v/>
      </c>
      <c r="U75" s="41" t="str">
        <f ca="1" xml:space="preserve"> IF(OR(韻母表_4[[#This Row],[台羅拼音]]="", R75=TRUE), "", _xlfn.CONCAT("    ", "- xform/", 韻母表_4[[#This Row],[台羅拼音]], "([48])/", OFFSET(韻母表_4[[#This Row],[台羅拼音]],1,0), "$1", "/    # ", LEFT(韻母表_4[[#This Row],[十五音]],1)))</f>
        <v/>
      </c>
      <c r="W75" s="41" t="s">
        <v>1447</v>
      </c>
    </row>
    <row r="76" spans="1:23" ht="44.25">
      <c r="A76" s="54">
        <v>75</v>
      </c>
      <c r="B76" s="54">
        <f xml:space="preserve"> IF(MOD(韻母表_4[[#This Row],[序號]],2)=0, 韻母表_4[[#This Row],[序號]]/2, ROUNDUP(韻母表_4[[#This Row],[序號]]/2,0))</f>
        <v>38</v>
      </c>
      <c r="C76" s="55" t="s">
        <v>273</v>
      </c>
      <c r="D76" s="56" t="s">
        <v>136</v>
      </c>
      <c r="E76" s="86" t="s">
        <v>1356</v>
      </c>
      <c r="F76" s="86"/>
      <c r="G76" s="57" t="s">
        <v>52</v>
      </c>
      <c r="H76" s="57" t="s">
        <v>52</v>
      </c>
      <c r="I76" s="57" t="s">
        <v>52</v>
      </c>
      <c r="J76" s="57" t="s">
        <v>52</v>
      </c>
      <c r="K76" s="57" t="s">
        <v>52</v>
      </c>
      <c r="L76" s="57" t="s">
        <v>1225</v>
      </c>
      <c r="M76" s="57" t="s">
        <v>1226</v>
      </c>
      <c r="R76" t="b">
        <f>IF(韻母表_4[[#This Row],[台羅拼音]]="", FALSE, ISNUMBER(FIND(RIGHT(韻母表_4[[#This Row],[台羅拼音]],1), "ptkh")))</f>
        <v>0</v>
      </c>
      <c r="S76" s="41">
        <f>IF(OR(韻母表_4[[#This Row],[台羅拼音]]="", R76=TRUE), "", LEN(韻母表_4[[#This Row],[台羅拼音]]))</f>
        <v>2</v>
      </c>
      <c r="T76" s="41" t="str">
        <f ca="1" xml:space="preserve"> IF(OR(韻母表_4[[#This Row],[台羅拼音]]="", $R76=TRUE), "", _xlfn.CONCAT("    ", "- xform/", 韻母表_4[[#This Row],[台羅拼音]], "([48?])/", OFFSET(韻母表_4[[#This Row],[台羅拼音]],1,0), "$1", "/    # ", LEFT(韻母表_4[[#This Row],[十五音]],1)))</f>
        <v xml:space="preserve">    - xform/ng([48?])/ngh$1/    # 鋼</v>
      </c>
      <c r="U76" s="41" t="str">
        <f ca="1" xml:space="preserve"> IF(OR(韻母表_4[[#This Row],[台羅拼音]]="", R76=TRUE), "", _xlfn.CONCAT("    ", "- xform/", 韻母表_4[[#This Row],[台羅拼音]], "([48])/", OFFSET(韻母表_4[[#This Row],[台羅拼音]],1,0), "$1", "/    # ", LEFT(韻母表_4[[#This Row],[十五音]],1)))</f>
        <v xml:space="preserve">    - xform/ng([48])/ngh$1/    # 鋼</v>
      </c>
      <c r="W76" s="41" t="s">
        <v>1448</v>
      </c>
    </row>
    <row r="77" spans="1:23" ht="44.25">
      <c r="A77" s="54">
        <v>76</v>
      </c>
      <c r="B77" s="54">
        <f xml:space="preserve"> IF(MOD(韻母表_4[[#This Row],[序號]],2)=0, 韻母表_4[[#This Row],[序號]]/2, ROUNDUP(韻母表_4[[#This Row],[序號]]/2,0))</f>
        <v>38</v>
      </c>
      <c r="C77" s="62"/>
      <c r="D77" s="56" t="s">
        <v>1387</v>
      </c>
      <c r="E77" s="86" t="str">
        <f xml:space="preserve"> _xlfn.CONCAT(E76, "h")</f>
        <v>ŋ̍h</v>
      </c>
      <c r="F77" s="86"/>
      <c r="G77" s="57" t="str">
        <f xml:space="preserve"> _xlfn.CONCAT(G76, "h")</f>
        <v>ngh</v>
      </c>
      <c r="H77" s="57" t="str">
        <f xml:space="preserve"> _xlfn.CONCAT(H76, "h")</f>
        <v>ngh</v>
      </c>
      <c r="I77" s="57" t="str">
        <f xml:space="preserve"> _xlfn.CONCAT(I76, "h")</f>
        <v>ngh</v>
      </c>
      <c r="J77" s="57" t="str">
        <f xml:space="preserve"> _xlfn.CONCAT(J76, "h")</f>
        <v>ngh</v>
      </c>
      <c r="K77" s="57" t="str">
        <f xml:space="preserve"> _xlfn.CONCAT(K76, "h")</f>
        <v>ngh</v>
      </c>
      <c r="L77" s="57" t="str">
        <f xml:space="preserve"> _xlfn.CONCAT(L76, "ㆷ")</f>
        <v>ㆭㆷ</v>
      </c>
      <c r="M77" s="57" t="str">
        <f xml:space="preserve"> _xlfn.CONCAT(M76, "ㄏ")</f>
        <v>ㄥㄏ</v>
      </c>
      <c r="R77" t="b">
        <f>IF(韻母表_4[[#This Row],[台羅拼音]]="", FALSE, ISNUMBER(FIND(RIGHT(韻母表_4[[#This Row],[台羅拼音]],1), "ptkh")))</f>
        <v>1</v>
      </c>
      <c r="S77" s="41" t="str">
        <f>IF(OR(韻母表_4[[#This Row],[台羅拼音]]="", R77=TRUE), "", LEN(韻母表_4[[#This Row],[台羅拼音]]))</f>
        <v/>
      </c>
      <c r="T77" s="41" t="str">
        <f ca="1" xml:space="preserve"> IF(OR(韻母表_4[[#This Row],[台羅拼音]]="", $R77=TRUE), "", _xlfn.CONCAT("    ", "- xform/", 韻母表_4[[#This Row],[台羅拼音]], "([48?])/", OFFSET(韻母表_4[[#This Row],[台羅拼音]],1,0), "$1", "/    # ", LEFT(韻母表_4[[#This Row],[十五音]],1)))</f>
        <v/>
      </c>
      <c r="U77" s="41" t="str">
        <f ca="1" xml:space="preserve"> IF(OR(韻母表_4[[#This Row],[台羅拼音]]="", R77=TRUE), "", _xlfn.CONCAT("    ", "- xform/", 韻母表_4[[#This Row],[台羅拼音]], "([48])/", OFFSET(韻母表_4[[#This Row],[台羅拼音]],1,0), "$1", "/    # ", LEFT(韻母表_4[[#This Row],[十五音]],1)))</f>
        <v/>
      </c>
      <c r="W77" s="41" t="s">
        <v>1079</v>
      </c>
    </row>
    <row r="78" spans="1:23" ht="44.25">
      <c r="A78" s="54">
        <v>77</v>
      </c>
      <c r="B78" s="54">
        <f xml:space="preserve"> IF(MOD(韻母表_4[[#This Row],[序號]],2)=0, 韻母表_4[[#This Row],[序號]]/2, ROUNDUP(韻母表_4[[#This Row],[序號]]/2,0))</f>
        <v>39</v>
      </c>
      <c r="C78" s="55" t="s">
        <v>308</v>
      </c>
      <c r="D78" s="56" t="s">
        <v>138</v>
      </c>
      <c r="E78" s="86" t="s">
        <v>1328</v>
      </c>
      <c r="F78" s="86"/>
      <c r="G78" s="57" t="s">
        <v>1079</v>
      </c>
      <c r="H78" s="57" t="s">
        <v>1079</v>
      </c>
      <c r="I78" s="57" t="s">
        <v>1079</v>
      </c>
      <c r="J78" s="57" t="s">
        <v>1079</v>
      </c>
      <c r="K78" s="57" t="s">
        <v>1079</v>
      </c>
      <c r="L78" s="57" t="s">
        <v>1079</v>
      </c>
      <c r="M78" s="57" t="s">
        <v>1079</v>
      </c>
      <c r="R78" t="b">
        <f>IF(韻母表_4[[#This Row],[台羅拼音]]="", FALSE, ISNUMBER(FIND(RIGHT(韻母表_4[[#This Row],[台羅拼音]],1), "ptkh")))</f>
        <v>0</v>
      </c>
      <c r="S78" s="41" t="str">
        <f>IF(OR(韻母表_4[[#This Row],[台羅拼音]]="", R78=TRUE), "", LEN(韻母表_4[[#This Row],[台羅拼音]]))</f>
        <v/>
      </c>
      <c r="T78" s="41" t="str">
        <f ca="1" xml:space="preserve"> IF(OR(韻母表_4[[#This Row],[台羅拼音]]="", $R78=TRUE), "", _xlfn.CONCAT("    ", "- xform/", 韻母表_4[[#This Row],[台羅拼音]], "([48?])/", OFFSET(韻母表_4[[#This Row],[台羅拼音]],1,0), "$1", "/    # ", LEFT(韻母表_4[[#This Row],[十五音]],1)))</f>
        <v/>
      </c>
      <c r="U78" s="41" t="str">
        <f ca="1" xml:space="preserve"> IF(OR(韻母表_4[[#This Row],[台羅拼音]]="", R78=TRUE), "", _xlfn.CONCAT("    ", "- xform/", 韻母表_4[[#This Row],[台羅拼音]], "([48])/", OFFSET(韻母表_4[[#This Row],[台羅拼音]],1,0), "$1", "/    # ", LEFT(韻母表_4[[#This Row],[十五音]],1)))</f>
        <v/>
      </c>
      <c r="W78" s="41" t="s">
        <v>1449</v>
      </c>
    </row>
    <row r="79" spans="1:23" ht="44.25">
      <c r="A79" s="54">
        <v>78</v>
      </c>
      <c r="B79" s="54">
        <f xml:space="preserve"> IF(MOD(韻母表_4[[#This Row],[序號]],2)=0, 韻母表_4[[#This Row],[序號]]/2, ROUNDUP(韻母表_4[[#This Row],[序號]]/2,0))</f>
        <v>39</v>
      </c>
      <c r="C79" s="55" t="s">
        <v>309</v>
      </c>
      <c r="D79" s="56" t="s">
        <v>139</v>
      </c>
      <c r="E79" s="86" t="s">
        <v>1227</v>
      </c>
      <c r="F79" s="86"/>
      <c r="G79" s="57" t="s">
        <v>227</v>
      </c>
      <c r="H79" s="57" t="s">
        <v>227</v>
      </c>
      <c r="I79" s="57" t="s">
        <v>227</v>
      </c>
      <c r="J79" s="57" t="s">
        <v>227</v>
      </c>
      <c r="K79" s="57" t="s">
        <v>227</v>
      </c>
      <c r="L79" s="57" t="s">
        <v>1228</v>
      </c>
      <c r="M79" s="57" t="s">
        <v>1084</v>
      </c>
      <c r="R79" t="b">
        <f>IF(韻母表_4[[#This Row],[台羅拼音]]="", FALSE, ISNUMBER(FIND(RIGHT(韻母表_4[[#This Row],[台羅拼音]],1), "ptkh")))</f>
        <v>1</v>
      </c>
      <c r="S79" s="41" t="str">
        <f>IF(OR(韻母表_4[[#This Row],[台羅拼音]]="", R79=TRUE), "", LEN(韻母表_4[[#This Row],[台羅拼音]]))</f>
        <v/>
      </c>
      <c r="T79" s="41" t="str">
        <f ca="1" xml:space="preserve"> IF(OR(韻母表_4[[#This Row],[台羅拼音]]="", $R79=TRUE), "", _xlfn.CONCAT("    ", "- xform/", 韻母表_4[[#This Row],[台羅拼音]], "([48?])/", OFFSET(韻母表_4[[#This Row],[台羅拼音]],1,0), "$1", "/    # ", LEFT(韻母表_4[[#This Row],[十五音]],1)))</f>
        <v/>
      </c>
      <c r="U79" s="41" t="str">
        <f ca="1" xml:space="preserve"> IF(OR(韻母表_4[[#This Row],[台羅拼音]]="", R79=TRUE), "", _xlfn.CONCAT("    ", "- xform/", 韻母表_4[[#This Row],[台羅拼音]], "([48])/", OFFSET(韻母表_4[[#This Row],[台羅拼音]],1,0), "$1", "/    # ", LEFT(韻母表_4[[#This Row],[十五音]],1)))</f>
        <v/>
      </c>
      <c r="W79" s="41" t="s">
        <v>1079</v>
      </c>
    </row>
    <row r="80" spans="1:23" ht="44.25">
      <c r="A80" s="54">
        <v>79</v>
      </c>
      <c r="B80" s="54">
        <f xml:space="preserve"> IF(MOD(韻母表_4[[#This Row],[序號]],2)=0, 韻母表_4[[#This Row],[序號]]/2, ROUNDUP(韻母表_4[[#This Row],[序號]]/2,0))</f>
        <v>40</v>
      </c>
      <c r="C80" s="55" t="s">
        <v>310</v>
      </c>
      <c r="D80" s="56" t="s">
        <v>140</v>
      </c>
      <c r="E80" s="86" t="s">
        <v>1357</v>
      </c>
      <c r="F80" s="86"/>
      <c r="G80" s="57" t="s">
        <v>228</v>
      </c>
      <c r="H80" s="57" t="s">
        <v>228</v>
      </c>
      <c r="I80" s="57" t="s">
        <v>1229</v>
      </c>
      <c r="J80" s="57" t="s">
        <v>364</v>
      </c>
      <c r="K80" s="57" t="s">
        <v>228</v>
      </c>
      <c r="L80" s="57" t="s">
        <v>1230</v>
      </c>
      <c r="M80" s="57" t="s">
        <v>1231</v>
      </c>
      <c r="R80" t="b">
        <f>IF(韻母表_4[[#This Row],[台羅拼音]]="", FALSE, ISNUMBER(FIND(RIGHT(韻母表_4[[#This Row],[台羅拼音]],1), "ptkh")))</f>
        <v>0</v>
      </c>
      <c r="S80" s="41">
        <f>IF(OR(韻母表_4[[#This Row],[台羅拼音]]="", R80=TRUE), "", LEN(韻母表_4[[#This Row],[台羅拼音]]))</f>
        <v>4</v>
      </c>
      <c r="T80" s="41" t="str">
        <f ca="1" xml:space="preserve"> IF(OR(韻母表_4[[#This Row],[台羅拼音]]="", $R80=TRUE), "", _xlfn.CONCAT("    ", "- xform/", 韻母表_4[[#This Row],[台羅拼音]], "([48?])/", OFFSET(韻母表_4[[#This Row],[台羅拼音]],1,0), "$1", "/    # ", LEFT(韻母表_4[[#This Row],[十五音]],1)))</f>
        <v xml:space="preserve">    - xform/ainn([48?])/$1/    # 閒</v>
      </c>
      <c r="U80" s="41" t="str">
        <f ca="1" xml:space="preserve"> IF(OR(韻母表_4[[#This Row],[台羅拼音]]="", R80=TRUE), "", _xlfn.CONCAT("    ", "- xform/", 韻母表_4[[#This Row],[台羅拼音]], "([48])/", OFFSET(韻母表_4[[#This Row],[台羅拼音]],1,0), "$1", "/    # ", LEFT(韻母表_4[[#This Row],[十五音]],1)))</f>
        <v xml:space="preserve">    - xform/ainn([48])/$1/    # 閒</v>
      </c>
      <c r="W80" s="41" t="s">
        <v>1450</v>
      </c>
    </row>
    <row r="81" spans="1:23" ht="44.25">
      <c r="A81" s="54">
        <v>80</v>
      </c>
      <c r="B81" s="54">
        <f xml:space="preserve"> IF(MOD(韻母表_4[[#This Row],[序號]],2)=0, 韻母表_4[[#This Row],[序號]]/2, ROUNDUP(韻母表_4[[#This Row],[序號]]/2,0))</f>
        <v>40</v>
      </c>
      <c r="C81" s="62"/>
      <c r="D81" s="63"/>
      <c r="E81" s="86" t="s">
        <v>1079</v>
      </c>
      <c r="F81" s="86"/>
      <c r="G81" s="57" t="s">
        <v>1079</v>
      </c>
      <c r="H81" s="57" t="s">
        <v>1079</v>
      </c>
      <c r="I81" s="57" t="s">
        <v>1079</v>
      </c>
      <c r="J81" s="57" t="s">
        <v>1079</v>
      </c>
      <c r="K81" s="57" t="s">
        <v>1079</v>
      </c>
      <c r="L81" s="57" t="s">
        <v>1079</v>
      </c>
      <c r="M81" s="57" t="s">
        <v>1079</v>
      </c>
      <c r="R81" t="b">
        <f>IF(韻母表_4[[#This Row],[台羅拼音]]="", FALSE, ISNUMBER(FIND(RIGHT(韻母表_4[[#This Row],[台羅拼音]],1), "ptkh")))</f>
        <v>0</v>
      </c>
      <c r="S81" s="41" t="str">
        <f>IF(OR(韻母表_4[[#This Row],[台羅拼音]]="", R81=TRUE), "", LEN(韻母表_4[[#This Row],[台羅拼音]]))</f>
        <v/>
      </c>
      <c r="T81" s="41" t="str">
        <f ca="1" xml:space="preserve"> IF(OR(韻母表_4[[#This Row],[台羅拼音]]="", $R81=TRUE), "", _xlfn.CONCAT("    ", "- xform/", 韻母表_4[[#This Row],[台羅拼音]], "([48?])/", OFFSET(韻母表_4[[#This Row],[台羅拼音]],1,0), "$1", "/    # ", LEFT(韻母表_4[[#This Row],[十五音]],1)))</f>
        <v/>
      </c>
      <c r="U81" s="41" t="str">
        <f ca="1" xml:space="preserve"> IF(OR(韻母表_4[[#This Row],[台羅拼音]]="", R81=TRUE), "", _xlfn.CONCAT("    ", "- xform/", 韻母表_4[[#This Row],[台羅拼音]], "([48])/", OFFSET(韻母表_4[[#This Row],[台羅拼音]],1,0), "$1", "/    # ", LEFT(韻母表_4[[#This Row],[十五音]],1)))</f>
        <v/>
      </c>
      <c r="W81" s="41" t="s">
        <v>1451</v>
      </c>
    </row>
    <row r="82" spans="1:23" ht="44.25">
      <c r="A82" s="54">
        <v>81</v>
      </c>
      <c r="B82" s="54">
        <f xml:space="preserve"> IF(MOD(韻母表_4[[#This Row],[序號]],2)=0, 韻母表_4[[#This Row],[序號]]/2, ROUNDUP(韻母表_4[[#This Row],[序號]]/2,0))</f>
        <v>41</v>
      </c>
      <c r="C82" s="62" t="s">
        <v>262</v>
      </c>
      <c r="D82" s="63" t="s">
        <v>142</v>
      </c>
      <c r="E82" s="86" t="str">
        <f xml:space="preserve"> _xlfn.CONCAT("ɔ", _xlfn.UNICHAR(HEX2DEC(RIGHT("U+0303",4))))</f>
        <v>ɔ̃</v>
      </c>
      <c r="F82" s="86" t="str">
        <f xml:space="preserve"> _xlfn.CONCAT("o", _xlfn.UNICHAR(HEX2DEC(RIGHT("U+0303",4))), "u")</f>
        <v>õu</v>
      </c>
      <c r="G82" s="57" t="s">
        <v>229</v>
      </c>
      <c r="H82" s="57" t="s">
        <v>229</v>
      </c>
      <c r="I82" s="57" t="s">
        <v>1232</v>
      </c>
      <c r="J82" s="57" t="s">
        <v>892</v>
      </c>
      <c r="K82" s="57" t="s">
        <v>1233</v>
      </c>
      <c r="L82" s="57" t="s">
        <v>1234</v>
      </c>
      <c r="M82" s="57" t="s">
        <v>1235</v>
      </c>
      <c r="R82" t="b">
        <f>IF(韻母表_4[[#This Row],[台羅拼音]]="", FALSE, ISNUMBER(FIND(RIGHT(韻母表_4[[#This Row],[台羅拼音]],1), "ptkh")))</f>
        <v>0</v>
      </c>
      <c r="S82" s="41">
        <f>IF(OR(韻母表_4[[#This Row],[台羅拼音]]="", R82=TRUE), "", LEN(韻母表_4[[#This Row],[台羅拼音]]))</f>
        <v>3</v>
      </c>
      <c r="T82" s="41" t="str">
        <f ca="1" xml:space="preserve"> IF(OR(韻母表_4[[#This Row],[台羅拼音]]="", $R82=TRUE), "", _xlfn.CONCAT("    ", "- xform/", 韻母表_4[[#This Row],[台羅拼音]], "([48?])/", OFFSET(韻母表_4[[#This Row],[台羅拼音]],1,0), "$1", "/    # ", LEFT(韻母表_4[[#This Row],[十五音]],1)))</f>
        <v xml:space="preserve">    - xform/onn([48?])/$1/    # 姑</v>
      </c>
      <c r="U82" s="41" t="str">
        <f ca="1" xml:space="preserve"> IF(OR(韻母表_4[[#This Row],[台羅拼音]]="", R82=TRUE), "", _xlfn.CONCAT("    ", "- xform/", 韻母表_4[[#This Row],[台羅拼音]], "([48])/", OFFSET(韻母表_4[[#This Row],[台羅拼音]],1,0), "$1", "/    # ", LEFT(韻母表_4[[#This Row],[十五音]],1)))</f>
        <v xml:space="preserve">    - xform/onn([48])/$1/    # 姑</v>
      </c>
      <c r="W82" s="41" t="s">
        <v>1452</v>
      </c>
    </row>
    <row r="83" spans="1:23" ht="44.25">
      <c r="A83" s="54">
        <v>82</v>
      </c>
      <c r="B83" s="54">
        <f xml:space="preserve"> IF(MOD(韻母表_4[[#This Row],[序號]],2)=0, 韻母表_4[[#This Row],[序號]]/2, ROUNDUP(韻母表_4[[#This Row],[序號]]/2,0))</f>
        <v>41</v>
      </c>
      <c r="C83" s="62"/>
      <c r="D83" s="63"/>
      <c r="E83" s="86" t="s">
        <v>1079</v>
      </c>
      <c r="F83" s="86"/>
      <c r="G83" s="57" t="s">
        <v>1079</v>
      </c>
      <c r="H83" s="57" t="s">
        <v>1079</v>
      </c>
      <c r="I83" s="57" t="s">
        <v>1079</v>
      </c>
      <c r="J83" s="57" t="s">
        <v>1079</v>
      </c>
      <c r="K83" s="57" t="s">
        <v>1079</v>
      </c>
      <c r="L83" s="57" t="s">
        <v>1079</v>
      </c>
      <c r="M83" s="57" t="s">
        <v>1079</v>
      </c>
      <c r="R83" t="b">
        <f>IF(韻母表_4[[#This Row],[台羅拼音]]="", FALSE, ISNUMBER(FIND(RIGHT(韻母表_4[[#This Row],[台羅拼音]],1), "ptkh")))</f>
        <v>0</v>
      </c>
      <c r="S83" s="41" t="str">
        <f>IF(OR(韻母表_4[[#This Row],[台羅拼音]]="", R83=TRUE), "", LEN(韻母表_4[[#This Row],[台羅拼音]]))</f>
        <v/>
      </c>
      <c r="T83" s="41" t="str">
        <f ca="1" xml:space="preserve"> IF(OR(韻母表_4[[#This Row],[台羅拼音]]="", $R83=TRUE), "", _xlfn.CONCAT("    ", "- xform/", 韻母表_4[[#This Row],[台羅拼音]], "([48?])/", OFFSET(韻母表_4[[#This Row],[台羅拼音]],1,0), "$1", "/    # ", LEFT(韻母表_4[[#This Row],[十五音]],1)))</f>
        <v/>
      </c>
      <c r="U83" s="41" t="str">
        <f ca="1" xml:space="preserve"> IF(OR(韻母表_4[[#This Row],[台羅拼音]]="", R83=TRUE), "", _xlfn.CONCAT("    ", "- xform/", 韻母表_4[[#This Row],[台羅拼音]], "([48])/", OFFSET(韻母表_4[[#This Row],[台羅拼音]],1,0), "$1", "/    # ", LEFT(韻母表_4[[#This Row],[十五音]],1)))</f>
        <v/>
      </c>
      <c r="W83" s="41" t="s">
        <v>1453</v>
      </c>
    </row>
    <row r="84" spans="1:23" ht="44.25">
      <c r="A84" s="54">
        <v>83</v>
      </c>
      <c r="B84" s="54">
        <f xml:space="preserve"> IF(MOD(韻母表_4[[#This Row],[序號]],2)=0, 韻母表_4[[#This Row],[序號]]/2, ROUNDUP(韻母表_4[[#This Row],[序號]]/2,0))</f>
        <v>42</v>
      </c>
      <c r="C84" s="55" t="s">
        <v>311</v>
      </c>
      <c r="D84" s="56" t="s">
        <v>144</v>
      </c>
      <c r="E84" s="86" t="s">
        <v>1236</v>
      </c>
      <c r="F84" s="86"/>
      <c r="G84" s="57" t="s">
        <v>44</v>
      </c>
      <c r="H84" s="57" t="s">
        <v>44</v>
      </c>
      <c r="I84" s="57" t="s">
        <v>44</v>
      </c>
      <c r="J84" s="57" t="s">
        <v>44</v>
      </c>
      <c r="K84" s="57" t="s">
        <v>44</v>
      </c>
      <c r="L84" s="57" t="s">
        <v>1237</v>
      </c>
      <c r="M84" s="57" t="s">
        <v>1238</v>
      </c>
      <c r="R84" t="b">
        <f>IF(韻母表_4[[#This Row],[台羅拼音]]="", FALSE, ISNUMBER(FIND(RIGHT(韻母表_4[[#This Row],[台羅拼音]],1), "ptkh")))</f>
        <v>0</v>
      </c>
      <c r="S84" s="41">
        <f>IF(OR(韻母表_4[[#This Row],[台羅拼音]]="", R84=TRUE), "", LEN(韻母表_4[[#This Row],[台羅拼音]]))</f>
        <v>1</v>
      </c>
      <c r="T84" s="41" t="str">
        <f ca="1" xml:space="preserve"> IF(OR(韻母表_4[[#This Row],[台羅拼音]]="", $R84=TRUE), "", _xlfn.CONCAT("    ", "- xform/", 韻母表_4[[#This Row],[台羅拼音]], "([48?])/", OFFSET(韻母表_4[[#This Row],[台羅拼音]],1,0), "$1", "/    # ", LEFT(韻母表_4[[#This Row],[十五音]],1)))</f>
        <v xml:space="preserve">    - xform/m([48?])/mh$1/    # 姆</v>
      </c>
      <c r="U84" s="41" t="str">
        <f ca="1" xml:space="preserve"> IF(OR(韻母表_4[[#This Row],[台羅拼音]]="", R84=TRUE), "", _xlfn.CONCAT("    ", "- xform/", 韻母表_4[[#This Row],[台羅拼音]], "([48])/", OFFSET(韻母表_4[[#This Row],[台羅拼音]],1,0), "$1", "/    # ", LEFT(韻母表_4[[#This Row],[十五音]],1)))</f>
        <v xml:space="preserve">    - xform/m([48])/mh$1/    # 姆</v>
      </c>
      <c r="W84" s="41" t="s">
        <v>1454</v>
      </c>
    </row>
    <row r="85" spans="1:23" ht="44.25">
      <c r="A85" s="54">
        <v>84</v>
      </c>
      <c r="B85" s="54">
        <f xml:space="preserve"> IF(MOD(韻母表_4[[#This Row],[序號]],2)=0, 韻母表_4[[#This Row],[序號]]/2, ROUNDUP(韻母表_4[[#This Row],[序號]]/2,0))</f>
        <v>42</v>
      </c>
      <c r="C85" s="62"/>
      <c r="D85" s="56" t="s">
        <v>1388</v>
      </c>
      <c r="E85" s="86" t="str">
        <f xml:space="preserve"> _xlfn.CONCAT(E84, "h")</f>
        <v>m̩h</v>
      </c>
      <c r="F85" s="86"/>
      <c r="G85" s="57" t="str">
        <f xml:space="preserve"> _xlfn.CONCAT(G84, "h")</f>
        <v>mh</v>
      </c>
      <c r="H85" s="57" t="str">
        <f xml:space="preserve"> _xlfn.CONCAT(H84, "h")</f>
        <v>mh</v>
      </c>
      <c r="I85" s="57" t="str">
        <f xml:space="preserve"> _xlfn.CONCAT(I84, "h")</f>
        <v>mh</v>
      </c>
      <c r="J85" s="57" t="str">
        <f xml:space="preserve"> _xlfn.CONCAT(J84, "h")</f>
        <v>mh</v>
      </c>
      <c r="K85" s="57" t="str">
        <f xml:space="preserve"> _xlfn.CONCAT(K84, "h")</f>
        <v>mh</v>
      </c>
      <c r="L85" s="57" t="str">
        <f xml:space="preserve"> _xlfn.CONCAT(L84, "ㆷ")</f>
        <v>ㆬㆷ</v>
      </c>
      <c r="M85" s="57" t="str">
        <f xml:space="preserve"> _xlfn.CONCAT(M84, "ㄏ")</f>
        <v>ㄇㄏ</v>
      </c>
      <c r="R85" t="b">
        <f>IF(韻母表_4[[#This Row],[台羅拼音]]="", FALSE, ISNUMBER(FIND(RIGHT(韻母表_4[[#This Row],[台羅拼音]],1), "ptkh")))</f>
        <v>1</v>
      </c>
      <c r="S85" s="41" t="str">
        <f>IF(OR(韻母表_4[[#This Row],[台羅拼音]]="", R85=TRUE), "", LEN(韻母表_4[[#This Row],[台羅拼音]]))</f>
        <v/>
      </c>
      <c r="T85" s="41" t="str">
        <f ca="1" xml:space="preserve"> IF(OR(韻母表_4[[#This Row],[台羅拼音]]="", $R85=TRUE), "", _xlfn.CONCAT("    ", "- xform/", 韻母表_4[[#This Row],[台羅拼音]], "([48?])/", OFFSET(韻母表_4[[#This Row],[台羅拼音]],1,0), "$1", "/    # ", LEFT(韻母表_4[[#This Row],[十五音]],1)))</f>
        <v/>
      </c>
      <c r="U85" s="41" t="str">
        <f ca="1" xml:space="preserve"> IF(OR(韻母表_4[[#This Row],[台羅拼音]]="", R85=TRUE), "", _xlfn.CONCAT("    ", "- xform/", 韻母表_4[[#This Row],[台羅拼音]], "([48])/", OFFSET(韻母表_4[[#This Row],[台羅拼音]],1,0), "$1", "/    # ", LEFT(韻母表_4[[#This Row],[十五音]],1)))</f>
        <v/>
      </c>
      <c r="W85" s="41" t="s">
        <v>1079</v>
      </c>
    </row>
    <row r="86" spans="1:23" ht="44.25">
      <c r="A86" s="54">
        <v>85</v>
      </c>
      <c r="B86" s="54">
        <f xml:space="preserve"> IF(MOD(韻母表_4[[#This Row],[序號]],2)=0, 韻母表_4[[#This Row],[序號]]/2, ROUNDUP(韻母表_4[[#This Row],[序號]]/2,0))</f>
        <v>43</v>
      </c>
      <c r="C86" s="55" t="s">
        <v>312</v>
      </c>
      <c r="D86" s="56" t="s">
        <v>146</v>
      </c>
      <c r="E86" s="86" t="s">
        <v>1358</v>
      </c>
      <c r="F86" s="86"/>
      <c r="G86" s="57" t="s">
        <v>230</v>
      </c>
      <c r="H86" s="57" t="s">
        <v>230</v>
      </c>
      <c r="I86" s="57" t="s">
        <v>1239</v>
      </c>
      <c r="J86" s="57" t="s">
        <v>230</v>
      </c>
      <c r="K86" s="57" t="s">
        <v>230</v>
      </c>
      <c r="L86" s="57" t="s">
        <v>1240</v>
      </c>
      <c r="M86" s="57" t="s">
        <v>1240</v>
      </c>
      <c r="R86" t="b">
        <f>IF(韻母表_4[[#This Row],[台羅拼音]]="", FALSE, ISNUMBER(FIND(RIGHT(韻母表_4[[#This Row],[台羅拼音]],1), "ptkh")))</f>
        <v>0</v>
      </c>
      <c r="S86" s="41">
        <f>IF(OR(韻母表_4[[#This Row],[台羅拼音]]="", R86=TRUE), "", LEN(韻母表_4[[#This Row],[台羅拼音]]))</f>
        <v>4</v>
      </c>
      <c r="T86" s="41" t="str">
        <f ca="1" xml:space="preserve"> IF(OR(韻母表_4[[#This Row],[台羅拼音]]="", $R86=TRUE), "", _xlfn.CONCAT("    ", "- xform/", 韻母表_4[[#This Row],[台羅拼音]], "([48?])/", OFFSET(韻母表_4[[#This Row],[台羅拼音]],1,0), "$1", "/    # ", LEFT(韻母表_4[[#This Row],[十五音]],1)))</f>
        <v xml:space="preserve">    - xform/uang([48?])/$1/    # 光</v>
      </c>
      <c r="U86" s="41" t="str">
        <f ca="1" xml:space="preserve"> IF(OR(韻母表_4[[#This Row],[台羅拼音]]="", R86=TRUE), "", _xlfn.CONCAT("    ", "- xform/", 韻母表_4[[#This Row],[台羅拼音]], "([48])/", OFFSET(韻母表_4[[#This Row],[台羅拼音]],1,0), "$1", "/    # ", LEFT(韻母表_4[[#This Row],[十五音]],1)))</f>
        <v xml:space="preserve">    - xform/uang([48])/$1/    # 光</v>
      </c>
      <c r="W86" s="41" t="s">
        <v>1455</v>
      </c>
    </row>
    <row r="87" spans="1:23" ht="44.25">
      <c r="A87" s="54">
        <v>86</v>
      </c>
      <c r="B87" s="54">
        <f xml:space="preserve"> IF(MOD(韻母表_4[[#This Row],[序號]],2)=0, 韻母表_4[[#This Row],[序號]]/2, ROUNDUP(韻母表_4[[#This Row],[序號]]/2,0))</f>
        <v>43</v>
      </c>
      <c r="C87" s="62"/>
      <c r="D87" s="63" t="s">
        <v>147</v>
      </c>
      <c r="E87" s="86" t="s">
        <v>1329</v>
      </c>
      <c r="F87" s="86"/>
      <c r="G87" s="57" t="s">
        <v>1079</v>
      </c>
      <c r="H87" s="57" t="s">
        <v>1079</v>
      </c>
      <c r="I87" s="57" t="s">
        <v>1079</v>
      </c>
      <c r="J87" s="57" t="s">
        <v>1079</v>
      </c>
      <c r="K87" s="57" t="s">
        <v>1079</v>
      </c>
      <c r="L87" s="57" t="s">
        <v>1079</v>
      </c>
      <c r="M87" s="57" t="s">
        <v>1079</v>
      </c>
      <c r="R87" t="b">
        <f>IF(韻母表_4[[#This Row],[台羅拼音]]="", FALSE, ISNUMBER(FIND(RIGHT(韻母表_4[[#This Row],[台羅拼音]],1), "ptkh")))</f>
        <v>0</v>
      </c>
      <c r="S87" s="41" t="str">
        <f>IF(OR(韻母表_4[[#This Row],[台羅拼音]]="", R87=TRUE), "", LEN(韻母表_4[[#This Row],[台羅拼音]]))</f>
        <v/>
      </c>
      <c r="T87" s="41" t="str">
        <f ca="1" xml:space="preserve"> IF(OR(韻母表_4[[#This Row],[台羅拼音]]="", $R87=TRUE), "", _xlfn.CONCAT("    ", "- xform/", 韻母表_4[[#This Row],[台羅拼音]], "([48?])/", OFFSET(韻母表_4[[#This Row],[台羅拼音]],1,0), "$1", "/    # ", LEFT(韻母表_4[[#This Row],[十五音]],1)))</f>
        <v/>
      </c>
      <c r="U87" s="41" t="str">
        <f ca="1" xml:space="preserve"> IF(OR(韻母表_4[[#This Row],[台羅拼音]]="", R87=TRUE), "", _xlfn.CONCAT("    ", "- xform/", 韻母表_4[[#This Row],[台羅拼音]], "([48])/", OFFSET(韻母表_4[[#This Row],[台羅拼音]],1,0), "$1", "/    # ", LEFT(韻母表_4[[#This Row],[十五音]],1)))</f>
        <v/>
      </c>
      <c r="W87" s="41" t="s">
        <v>1456</v>
      </c>
    </row>
    <row r="88" spans="1:23" ht="44.25">
      <c r="A88" s="54">
        <v>87</v>
      </c>
      <c r="B88" s="54">
        <f xml:space="preserve"> IF(MOD(韻母表_4[[#This Row],[序號]],2)=0, 韻母表_4[[#This Row],[序號]]/2, ROUNDUP(韻母表_4[[#This Row],[序號]]/2,0))</f>
        <v>44</v>
      </c>
      <c r="C88" s="62"/>
      <c r="D88" s="63" t="s">
        <v>148</v>
      </c>
      <c r="E88" s="86" t="s">
        <v>1241</v>
      </c>
      <c r="F88" s="86"/>
      <c r="G88" s="57" t="s">
        <v>232</v>
      </c>
      <c r="H88" s="57" t="s">
        <v>232</v>
      </c>
      <c r="I88" s="57" t="s">
        <v>1242</v>
      </c>
      <c r="J88" s="57" t="s">
        <v>1243</v>
      </c>
      <c r="K88" s="57" t="s">
        <v>232</v>
      </c>
      <c r="L88" s="57" t="s">
        <v>1244</v>
      </c>
      <c r="M88" s="57" t="s">
        <v>1245</v>
      </c>
      <c r="R88" t="b">
        <f>IF(韻母表_4[[#This Row],[台羅拼音]]="", FALSE, ISNUMBER(FIND(RIGHT(韻母表_4[[#This Row],[台羅拼音]],1), "ptkh")))</f>
        <v>0</v>
      </c>
      <c r="S88" s="41">
        <f>IF(OR(韻母表_4[[#This Row],[台羅拼音]]="", R88=TRUE), "", LEN(韻母表_4[[#This Row],[台羅拼音]]))</f>
        <v>5</v>
      </c>
      <c r="T88" s="41" t="str">
        <f ca="1" xml:space="preserve"> IF(OR(韻母表_4[[#This Row],[台羅拼音]]="", $R88=TRUE), "", _xlfn.CONCAT("    ", "- xform/", 韻母表_4[[#This Row],[台羅拼音]], "([48?])/", OFFSET(韻母表_4[[#This Row],[台羅拼音]],1,0), "$1", "/    # ", LEFT(韻母表_4[[#This Row],[十五音]],1)))</f>
        <v xml:space="preserve">    - xform/uainn([48?])/uainnh$1/    # 閂</v>
      </c>
      <c r="U88" s="41" t="str">
        <f ca="1" xml:space="preserve"> IF(OR(韻母表_4[[#This Row],[台羅拼音]]="", R88=TRUE), "", _xlfn.CONCAT("    ", "- xform/", 韻母表_4[[#This Row],[台羅拼音]], "([48])/", OFFSET(韻母表_4[[#This Row],[台羅拼音]],1,0), "$1", "/    # ", LEFT(韻母表_4[[#This Row],[十五音]],1)))</f>
        <v xml:space="preserve">    - xform/uainn([48])/uainnh$1/    # 閂</v>
      </c>
      <c r="W88" s="41" t="s">
        <v>1457</v>
      </c>
    </row>
    <row r="89" spans="1:23" ht="44.25">
      <c r="A89" s="54">
        <v>88</v>
      </c>
      <c r="B89" s="54">
        <f xml:space="preserve"> IF(MOD(韻母表_4[[#This Row],[序號]],2)=0, 韻母表_4[[#This Row],[序號]]/2, ROUNDUP(韻母表_4[[#This Row],[序號]]/2,0))</f>
        <v>44</v>
      </c>
      <c r="C89" s="62"/>
      <c r="D89" s="63" t="s">
        <v>149</v>
      </c>
      <c r="E89" s="86" t="s">
        <v>1246</v>
      </c>
      <c r="F89" s="86"/>
      <c r="G89" s="57" t="s">
        <v>233</v>
      </c>
      <c r="H89" s="57" t="s">
        <v>1247</v>
      </c>
      <c r="I89" s="57" t="s">
        <v>1248</v>
      </c>
      <c r="J89" s="57" t="s">
        <v>233</v>
      </c>
      <c r="K89" s="57" t="s">
        <v>233</v>
      </c>
      <c r="L89" s="57" t="s">
        <v>1249</v>
      </c>
      <c r="M89" s="57" t="s">
        <v>1250</v>
      </c>
      <c r="R89" t="b">
        <f>IF(韻母表_4[[#This Row],[台羅拼音]]="", FALSE, ISNUMBER(FIND(RIGHT(韻母表_4[[#This Row],[台羅拼音]],1), "ptkh")))</f>
        <v>1</v>
      </c>
      <c r="S89" s="41" t="str">
        <f>IF(OR(韻母表_4[[#This Row],[台羅拼音]]="", R89=TRUE), "", LEN(韻母表_4[[#This Row],[台羅拼音]]))</f>
        <v/>
      </c>
      <c r="T89" s="41" t="str">
        <f ca="1" xml:space="preserve"> IF(OR(韻母表_4[[#This Row],[台羅拼音]]="", $R89=TRUE), "", _xlfn.CONCAT("    ", "- xform/", 韻母表_4[[#This Row],[台羅拼音]], "([48?])/", OFFSET(韻母表_4[[#This Row],[台羅拼音]],1,0), "$1", "/    # ", LEFT(韻母表_4[[#This Row],[十五音]],1)))</f>
        <v/>
      </c>
      <c r="U89" s="41" t="str">
        <f ca="1" xml:space="preserve"> IF(OR(韻母表_4[[#This Row],[台羅拼音]]="", R89=TRUE), "", _xlfn.CONCAT("    ", "- xform/", 韻母表_4[[#This Row],[台羅拼音]], "([48])/", OFFSET(韻母表_4[[#This Row],[台羅拼音]],1,0), "$1", "/    # ", LEFT(韻母表_4[[#This Row],[十五音]],1)))</f>
        <v/>
      </c>
      <c r="W89" s="41" t="s">
        <v>1079</v>
      </c>
    </row>
    <row r="90" spans="1:23" ht="44.25">
      <c r="A90" s="54">
        <v>89</v>
      </c>
      <c r="B90" s="54">
        <f xml:space="preserve"> IF(MOD(韻母表_4[[#This Row],[序號]],2)=0, 韻母表_4[[#This Row],[序號]]/2, ROUNDUP(韻母表_4[[#This Row],[序號]]/2,0))</f>
        <v>45</v>
      </c>
      <c r="C90" s="65" t="s">
        <v>313</v>
      </c>
      <c r="D90" s="63" t="s">
        <v>150</v>
      </c>
      <c r="E90" s="86" t="s">
        <v>1365</v>
      </c>
      <c r="F90" s="86"/>
      <c r="G90" s="57" t="s">
        <v>1079</v>
      </c>
      <c r="H90" s="57" t="s">
        <v>1079</v>
      </c>
      <c r="I90" s="57" t="s">
        <v>1079</v>
      </c>
      <c r="J90" s="57" t="s">
        <v>1079</v>
      </c>
      <c r="K90" s="57" t="s">
        <v>1079</v>
      </c>
      <c r="L90" s="57" t="s">
        <v>1079</v>
      </c>
      <c r="M90" s="57" t="s">
        <v>1079</v>
      </c>
      <c r="R90" t="b">
        <f>IF(韻母表_4[[#This Row],[台羅拼音]]="", FALSE, ISNUMBER(FIND(RIGHT(韻母表_4[[#This Row],[台羅拼音]],1), "ptkh")))</f>
        <v>0</v>
      </c>
      <c r="S90" s="41" t="str">
        <f>IF(OR(韻母表_4[[#This Row],[台羅拼音]]="", R90=TRUE), "", LEN(韻母表_4[[#This Row],[台羅拼音]]))</f>
        <v/>
      </c>
      <c r="T90" s="41" t="str">
        <f ca="1" xml:space="preserve"> IF(OR(韻母表_4[[#This Row],[台羅拼音]]="", $R90=TRUE), "", _xlfn.CONCAT("    ", "- xform/", 韻母表_4[[#This Row],[台羅拼音]], "([48?])/", OFFSET(韻母表_4[[#This Row],[台羅拼音]],1,0), "$1", "/    # ", LEFT(韻母表_4[[#This Row],[十五音]],1)))</f>
        <v/>
      </c>
      <c r="U90" s="41" t="str">
        <f ca="1" xml:space="preserve"> IF(OR(韻母表_4[[#This Row],[台羅拼音]]="", R90=TRUE), "", _xlfn.CONCAT("    ", "- xform/", 韻母表_4[[#This Row],[台羅拼音]], "([48])/", OFFSET(韻母表_4[[#This Row],[台羅拼音]],1,0), "$1", "/    # ", LEFT(韻母表_4[[#This Row],[十五音]],1)))</f>
        <v/>
      </c>
      <c r="W90" s="41" t="s">
        <v>1458</v>
      </c>
    </row>
    <row r="91" spans="1:23" ht="44.25">
      <c r="A91" s="54">
        <v>90</v>
      </c>
      <c r="B91" s="54">
        <f xml:space="preserve"> IF(MOD(韻母表_4[[#This Row],[序號]],2)=0, 韻母表_4[[#This Row],[序號]]/2, ROUNDUP(韻母表_4[[#This Row],[序號]]/2,0))</f>
        <v>45</v>
      </c>
      <c r="C91" s="65" t="s">
        <v>314</v>
      </c>
      <c r="D91" s="63" t="s">
        <v>151</v>
      </c>
      <c r="E91" s="86" t="s">
        <v>1364</v>
      </c>
      <c r="F91" s="86"/>
      <c r="G91" s="57" t="s">
        <v>1079</v>
      </c>
      <c r="H91" s="57" t="s">
        <v>1079</v>
      </c>
      <c r="I91" s="57" t="s">
        <v>1079</v>
      </c>
      <c r="J91" s="57" t="s">
        <v>1079</v>
      </c>
      <c r="K91" s="57" t="s">
        <v>1079</v>
      </c>
      <c r="L91" s="57" t="s">
        <v>1079</v>
      </c>
      <c r="M91" s="57" t="s">
        <v>1079</v>
      </c>
      <c r="R91" t="b">
        <f>IF(韻母表_4[[#This Row],[台羅拼音]]="", FALSE, ISNUMBER(FIND(RIGHT(韻母表_4[[#This Row],[台羅拼音]],1), "ptkh")))</f>
        <v>0</v>
      </c>
      <c r="S91" s="41" t="str">
        <f>IF(OR(韻母表_4[[#This Row],[台羅拼音]]="", R91=TRUE), "", LEN(韻母表_4[[#This Row],[台羅拼音]]))</f>
        <v/>
      </c>
      <c r="T91" s="41" t="str">
        <f ca="1" xml:space="preserve"> IF(OR(韻母表_4[[#This Row],[台羅拼音]]="", $R91=TRUE), "", _xlfn.CONCAT("    ", "- xform/", 韻母表_4[[#This Row],[台羅拼音]], "([48?])/", OFFSET(韻母表_4[[#This Row],[台羅拼音]],1,0), "$1", "/    # ", LEFT(韻母表_4[[#This Row],[十五音]],1)))</f>
        <v/>
      </c>
      <c r="U91" s="41" t="str">
        <f ca="1" xml:space="preserve"> IF(OR(韻母表_4[[#This Row],[台羅拼音]]="", R91=TRUE), "", _xlfn.CONCAT("    ", "- xform/", 韻母表_4[[#This Row],[台羅拼音]], "([48])/", OFFSET(韻母表_4[[#This Row],[台羅拼音]],1,0), "$1", "/    # ", LEFT(韻母表_4[[#This Row],[十五音]],1)))</f>
        <v/>
      </c>
      <c r="W91" s="41" t="s">
        <v>1459</v>
      </c>
    </row>
    <row r="92" spans="1:23" ht="44.25">
      <c r="A92" s="54">
        <v>91</v>
      </c>
      <c r="B92" s="54">
        <f xml:space="preserve"> IF(MOD(韻母表_4[[#This Row],[序號]],2)=0, 韻母表_4[[#This Row],[序號]]/2, ROUNDUP(韻母表_4[[#This Row],[序號]]/2,0))</f>
        <v>46</v>
      </c>
      <c r="C92" s="55" t="s">
        <v>316</v>
      </c>
      <c r="D92" s="63" t="s">
        <v>152</v>
      </c>
      <c r="E92" s="86" t="s">
        <v>1359</v>
      </c>
      <c r="F92" s="86"/>
      <c r="G92" s="57" t="s">
        <v>235</v>
      </c>
      <c r="H92" s="57" t="s">
        <v>235</v>
      </c>
      <c r="I92" s="57" t="s">
        <v>1251</v>
      </c>
      <c r="J92" s="57" t="s">
        <v>1252</v>
      </c>
      <c r="K92" s="57" t="s">
        <v>235</v>
      </c>
      <c r="L92" s="57" t="s">
        <v>1253</v>
      </c>
      <c r="M92" s="57" t="s">
        <v>1254</v>
      </c>
      <c r="R92" t="b">
        <f>IF(韻母表_4[[#This Row],[台羅拼音]]="", FALSE, ISNUMBER(FIND(RIGHT(韻母表_4[[#This Row],[台羅拼音]],1), "ptkh")))</f>
        <v>0</v>
      </c>
      <c r="S92" s="41">
        <f>IF(OR(韻母表_4[[#This Row],[台羅拼音]]="", R92=TRUE), "", LEN(韻母表_4[[#This Row],[台羅拼音]]))</f>
        <v>5</v>
      </c>
      <c r="T92" s="41" t="str">
        <f ca="1" xml:space="preserve"> IF(OR(韻母表_4[[#This Row],[台羅拼音]]="", $R92=TRUE), "", _xlfn.CONCAT("    ", "- xform/", 韻母表_4[[#This Row],[台羅拼音]], "([48?])/", OFFSET(韻母表_4[[#This Row],[台羅拼音]],1,0), "$1", "/    # ", LEFT(韻母表_4[[#This Row],[十五音]],1)))</f>
        <v xml:space="preserve">    - xform/iaunn([48?])/$1/    # 嘄</v>
      </c>
      <c r="U92" s="41" t="str">
        <f ca="1" xml:space="preserve"> IF(OR(韻母表_4[[#This Row],[台羅拼音]]="", R92=TRUE), "", _xlfn.CONCAT("    ", "- xform/", 韻母表_4[[#This Row],[台羅拼音]], "([48])/", OFFSET(韻母表_4[[#This Row],[台羅拼音]],1,0), "$1", "/    # ", LEFT(韻母表_4[[#This Row],[十五音]],1)))</f>
        <v xml:space="preserve">    - xform/iaunn([48])/$1/    # 嘄</v>
      </c>
      <c r="W92" s="41" t="s">
        <v>1460</v>
      </c>
    </row>
    <row r="93" spans="1:23" ht="44.25">
      <c r="A93" s="54">
        <v>92</v>
      </c>
      <c r="B93" s="54">
        <f xml:space="preserve"> IF(MOD(韻母表_4[[#This Row],[序號]],2)=0, 韻母表_4[[#This Row],[序號]]/2, ROUNDUP(韻母表_4[[#This Row],[序號]]/2,0))</f>
        <v>46</v>
      </c>
      <c r="C93" s="55" t="s">
        <v>318</v>
      </c>
      <c r="D93" s="63" t="s">
        <v>153</v>
      </c>
      <c r="E93" s="86" t="s">
        <v>1366</v>
      </c>
      <c r="F93" s="86"/>
      <c r="G93" s="57" t="s">
        <v>1079</v>
      </c>
      <c r="H93" s="57" t="s">
        <v>1079</v>
      </c>
      <c r="I93" s="57" t="s">
        <v>1079</v>
      </c>
      <c r="J93" s="57" t="s">
        <v>1079</v>
      </c>
      <c r="K93" s="57" t="s">
        <v>1079</v>
      </c>
      <c r="L93" s="57" t="s">
        <v>1079</v>
      </c>
      <c r="M93" s="57" t="s">
        <v>1079</v>
      </c>
      <c r="R93" t="b">
        <f>IF(韻母表_4[[#This Row],[台羅拼音]]="", FALSE, ISNUMBER(FIND(RIGHT(韻母表_4[[#This Row],[台羅拼音]],1), "ptkh")))</f>
        <v>0</v>
      </c>
      <c r="S93" s="41" t="str">
        <f>IF(OR(韻母表_4[[#This Row],[台羅拼音]]="", R93=TRUE), "", LEN(韻母表_4[[#This Row],[台羅拼音]]))</f>
        <v/>
      </c>
      <c r="T93" s="41" t="str">
        <f ca="1" xml:space="preserve"> IF(OR(韻母表_4[[#This Row],[台羅拼音]]="", $R93=TRUE), "", _xlfn.CONCAT("    ", "- xform/", 韻母表_4[[#This Row],[台羅拼音]], "([48?])/", OFFSET(韻母表_4[[#This Row],[台羅拼音]],1,0), "$1", "/    # ", LEFT(韻母表_4[[#This Row],[十五音]],1)))</f>
        <v/>
      </c>
      <c r="U93" s="41" t="str">
        <f ca="1" xml:space="preserve"> IF(OR(韻母表_4[[#This Row],[台羅拼音]]="", R93=TRUE), "", _xlfn.CONCAT("    ", "- xform/", 韻母表_4[[#This Row],[台羅拼音]], "([48])/", OFFSET(韻母表_4[[#This Row],[台羅拼音]],1,0), "$1", "/    # ", LEFT(韻母表_4[[#This Row],[十五音]],1)))</f>
        <v/>
      </c>
      <c r="W93" s="41" t="s">
        <v>1461</v>
      </c>
    </row>
    <row r="94" spans="1:23" ht="44.25">
      <c r="A94" s="54">
        <v>93</v>
      </c>
      <c r="B94" s="54">
        <f xml:space="preserve"> IF(MOD(韻母表_4[[#This Row],[序號]],2)=0, 韻母表_4[[#This Row],[序號]]/2, ROUNDUP(韻母表_4[[#This Row],[序號]]/2,0))</f>
        <v>47</v>
      </c>
      <c r="C94" s="55" t="s">
        <v>319</v>
      </c>
      <c r="D94" s="56" t="s">
        <v>154</v>
      </c>
      <c r="E94" s="86" t="s">
        <v>1360</v>
      </c>
      <c r="F94" s="86"/>
      <c r="G94" s="57" t="s">
        <v>236</v>
      </c>
      <c r="H94" s="57" t="s">
        <v>236</v>
      </c>
      <c r="I94" s="57" t="s">
        <v>236</v>
      </c>
      <c r="J94" s="57" t="s">
        <v>236</v>
      </c>
      <c r="K94" s="57" t="s">
        <v>1255</v>
      </c>
      <c r="L94" s="57" t="s">
        <v>1256</v>
      </c>
      <c r="M94" s="57" t="s">
        <v>1257</v>
      </c>
      <c r="R94" t="b">
        <f>IF(韻母表_4[[#This Row],[台羅拼音]]="", FALSE, ISNUMBER(FIND(RIGHT(韻母表_4[[#This Row],[台羅拼音]],1), "ptkh")))</f>
        <v>0</v>
      </c>
      <c r="S94" s="41">
        <f>IF(OR(韻母表_4[[#This Row],[台羅拼音]]="", R94=TRUE), "", LEN(韻母表_4[[#This Row],[台羅拼音]]))</f>
        <v>2</v>
      </c>
      <c r="T94" s="41" t="str">
        <f ca="1" xml:space="preserve"> IF(OR(韻母表_4[[#This Row],[台羅拼音]]="", $R94=TRUE), "", _xlfn.CONCAT("    ", "- xform/", 韻母表_4[[#This Row],[台羅拼音]], "([48?])/", OFFSET(韻母表_4[[#This Row],[台羅拼音]],1,0), "$1", "/    # ", LEFT(韻母表_4[[#This Row],[十五音]],1)))</f>
        <v xml:space="preserve">    - xform/om([48?])/op$1/    # 箴</v>
      </c>
      <c r="U94" s="41" t="str">
        <f ca="1" xml:space="preserve"> IF(OR(韻母表_4[[#This Row],[台羅拼音]]="", R94=TRUE), "", _xlfn.CONCAT("    ", "- xform/", 韻母表_4[[#This Row],[台羅拼音]], "([48])/", OFFSET(韻母表_4[[#This Row],[台羅拼音]],1,0), "$1", "/    # ", LEFT(韻母表_4[[#This Row],[十五音]],1)))</f>
        <v xml:space="preserve">    - xform/om([48])/op$1/    # 箴</v>
      </c>
      <c r="W94" s="41" t="s">
        <v>1462</v>
      </c>
    </row>
    <row r="95" spans="1:23" ht="44.25">
      <c r="A95" s="54">
        <v>94</v>
      </c>
      <c r="B95" s="54">
        <f xml:space="preserve"> IF(MOD(韻母表_4[[#This Row],[序號]],2)=0, 韻母表_4[[#This Row],[序號]]/2, ROUNDUP(韻母表_4[[#This Row],[序號]]/2,0))</f>
        <v>47</v>
      </c>
      <c r="C95" s="55" t="s">
        <v>320</v>
      </c>
      <c r="D95" s="63" t="s">
        <v>155</v>
      </c>
      <c r="E95" s="86" t="s">
        <v>1361</v>
      </c>
      <c r="F95" s="86"/>
      <c r="G95" s="57" t="s">
        <v>1258</v>
      </c>
      <c r="H95" s="57" t="s">
        <v>1258</v>
      </c>
      <c r="I95" s="57" t="s">
        <v>1258</v>
      </c>
      <c r="J95" s="57" t="s">
        <v>1258</v>
      </c>
      <c r="K95" s="57" t="s">
        <v>1259</v>
      </c>
      <c r="L95" s="57" t="s">
        <v>1260</v>
      </c>
      <c r="M95" s="57" t="s">
        <v>1261</v>
      </c>
      <c r="R95" t="b">
        <f>IF(韻母表_4[[#This Row],[台羅拼音]]="", FALSE, ISNUMBER(FIND(RIGHT(韻母表_4[[#This Row],[台羅拼音]],1), "ptkh")))</f>
        <v>1</v>
      </c>
      <c r="S95" s="41" t="str">
        <f>IF(OR(韻母表_4[[#This Row],[台羅拼音]]="", R95=TRUE), "", LEN(韻母表_4[[#This Row],[台羅拼音]]))</f>
        <v/>
      </c>
      <c r="T95" s="41" t="str">
        <f ca="1" xml:space="preserve"> IF(OR(韻母表_4[[#This Row],[台羅拼音]]="", $R95=TRUE), "", _xlfn.CONCAT("    ", "- xform/", 韻母表_4[[#This Row],[台羅拼音]], "([48?])/", OFFSET(韻母表_4[[#This Row],[台羅拼音]],1,0), "$1", "/    # ", LEFT(韻母表_4[[#This Row],[十五音]],1)))</f>
        <v/>
      </c>
      <c r="U95" s="41" t="str">
        <f ca="1" xml:space="preserve"> IF(OR(韻母表_4[[#This Row],[台羅拼音]]="", R95=TRUE), "", _xlfn.CONCAT("    ", "- xform/", 韻母表_4[[#This Row],[台羅拼音]], "([48])/", OFFSET(韻母表_4[[#This Row],[台羅拼音]],1,0), "$1", "/    # ", LEFT(韻母表_4[[#This Row],[十五音]],1)))</f>
        <v/>
      </c>
      <c r="W95" s="41" t="s">
        <v>1079</v>
      </c>
    </row>
    <row r="96" spans="1:23" ht="32.25">
      <c r="A96" s="54">
        <v>95</v>
      </c>
      <c r="B96" s="54">
        <f xml:space="preserve"> IF(MOD(韻母表_4[[#This Row],[序號]],2)=0, 韻母表_4[[#This Row],[序號]]/2, ROUNDUP(韻母表_4[[#This Row],[序號]]/2,0))</f>
        <v>48</v>
      </c>
      <c r="C96" s="66" t="s">
        <v>322</v>
      </c>
      <c r="D96" s="56" t="s">
        <v>156</v>
      </c>
      <c r="E96" s="86" t="s">
        <v>1367</v>
      </c>
      <c r="F96" s="86"/>
      <c r="G96" s="57" t="s">
        <v>1079</v>
      </c>
      <c r="H96" s="57" t="s">
        <v>1079</v>
      </c>
      <c r="I96" s="57" t="s">
        <v>1079</v>
      </c>
      <c r="J96" s="57" t="s">
        <v>1079</v>
      </c>
      <c r="K96" s="57" t="s">
        <v>1079</v>
      </c>
      <c r="L96" s="57" t="s">
        <v>1079</v>
      </c>
      <c r="M96" s="57" t="s">
        <v>1079</v>
      </c>
      <c r="R96" t="b">
        <f>IF(韻母表_4[[#This Row],[台羅拼音]]="", FALSE, ISNUMBER(FIND(RIGHT(韻母表_4[[#This Row],[台羅拼音]],1), "ptkh")))</f>
        <v>0</v>
      </c>
      <c r="S96" s="41" t="str">
        <f>IF(OR(韻母表_4[[#This Row],[台羅拼音]]="", R96=TRUE), "", LEN(韻母表_4[[#This Row],[台羅拼音]]))</f>
        <v/>
      </c>
      <c r="T96" s="41" t="str">
        <f ca="1" xml:space="preserve"> IF(OR(韻母表_4[[#This Row],[台羅拼音]]="", $R96=TRUE), "", _xlfn.CONCAT("    ", "- xform/", 韻母表_4[[#This Row],[台羅拼音]], "([48?])/", OFFSET(韻母表_4[[#This Row],[台羅拼音]],1,0), "$1", "/    # ", LEFT(韻母表_4[[#This Row],[十五音]],1)))</f>
        <v/>
      </c>
      <c r="U96" s="41" t="str">
        <f ca="1" xml:space="preserve"> IF(OR(韻母表_4[[#This Row],[台羅拼音]]="", R96=TRUE), "", _xlfn.CONCAT("    ", "- xform/", 韻母表_4[[#This Row],[台羅拼音]], "([48])/", OFFSET(韻母表_4[[#This Row],[台羅拼音]],1,0), "$1", "/    # ", LEFT(韻母表_4[[#This Row],[十五音]],1)))</f>
        <v/>
      </c>
      <c r="W96" s="41" t="s">
        <v>1463</v>
      </c>
    </row>
    <row r="97" spans="1:23" ht="44.25">
      <c r="A97" s="54">
        <v>96</v>
      </c>
      <c r="B97" s="54">
        <f xml:space="preserve"> IF(MOD(韻母表_4[[#This Row],[序號]],2)=0, 韻母表_4[[#This Row],[序號]]/2, ROUNDUP(韻母表_4[[#This Row],[序號]]/2,0))</f>
        <v>48</v>
      </c>
      <c r="C97" s="55"/>
      <c r="D97" s="63"/>
      <c r="E97" s="86" t="s">
        <v>1079</v>
      </c>
      <c r="F97" s="86"/>
      <c r="G97" s="57" t="s">
        <v>1079</v>
      </c>
      <c r="H97" s="57" t="s">
        <v>1079</v>
      </c>
      <c r="I97" s="57" t="s">
        <v>1079</v>
      </c>
      <c r="J97" s="57" t="s">
        <v>1079</v>
      </c>
      <c r="K97" s="57" t="s">
        <v>1079</v>
      </c>
      <c r="L97" s="57" t="s">
        <v>1079</v>
      </c>
      <c r="M97" s="57" t="s">
        <v>1079</v>
      </c>
      <c r="R97" t="b">
        <f>IF(韻母表_4[[#This Row],[台羅拼音]]="", FALSE, ISNUMBER(FIND(RIGHT(韻母表_4[[#This Row],[台羅拼音]],1), "ptkh")))</f>
        <v>0</v>
      </c>
      <c r="S97" s="41" t="str">
        <f>IF(OR(韻母表_4[[#This Row],[台羅拼音]]="", R97=TRUE), "", LEN(韻母表_4[[#This Row],[台羅拼音]]))</f>
        <v/>
      </c>
      <c r="T97" s="41" t="str">
        <f ca="1" xml:space="preserve"> IF(OR(韻母表_4[[#This Row],[台羅拼音]]="", $R97=TRUE), "", _xlfn.CONCAT("    ", "- xform/", 韻母表_4[[#This Row],[台羅拼音]], "([48?])/", OFFSET(韻母表_4[[#This Row],[台羅拼音]],1,0), "$1", "/    # ", LEFT(韻母表_4[[#This Row],[十五音]],1)))</f>
        <v/>
      </c>
      <c r="U97" s="41" t="str">
        <f ca="1" xml:space="preserve"> IF(OR(韻母表_4[[#This Row],[台羅拼音]]="", R97=TRUE), "", _xlfn.CONCAT("    ", "- xform/", 韻母表_4[[#This Row],[台羅拼音]], "([48])/", OFFSET(韻母表_4[[#This Row],[台羅拼音]],1,0), "$1", "/    # ", LEFT(韻母表_4[[#This Row],[十五音]],1)))</f>
        <v/>
      </c>
      <c r="W97" s="41" t="s">
        <v>1464</v>
      </c>
    </row>
    <row r="98" spans="1:23" ht="44.25">
      <c r="A98" s="54">
        <v>97</v>
      </c>
      <c r="B98" s="54">
        <f xml:space="preserve"> IF(MOD(韻母表_4[[#This Row],[序號]],2)=0, 韻母表_4[[#This Row],[序號]]/2, ROUNDUP(韻母表_4[[#This Row],[序號]]/2,0))</f>
        <v>49</v>
      </c>
      <c r="C98" s="55"/>
      <c r="D98" s="63" t="s">
        <v>158</v>
      </c>
      <c r="E98" s="89" t="s">
        <v>1368</v>
      </c>
      <c r="F98" s="89"/>
      <c r="G98" s="57" t="s">
        <v>1079</v>
      </c>
      <c r="H98" s="57" t="s">
        <v>1079</v>
      </c>
      <c r="I98" s="57" t="s">
        <v>1079</v>
      </c>
      <c r="J98" s="57" t="s">
        <v>1079</v>
      </c>
      <c r="K98" s="57" t="s">
        <v>1079</v>
      </c>
      <c r="L98" s="57" t="s">
        <v>1079</v>
      </c>
      <c r="M98" s="57" t="s">
        <v>1079</v>
      </c>
      <c r="R98" t="b">
        <f>IF(韻母表_4[[#This Row],[台羅拼音]]="", FALSE, ISNUMBER(FIND(RIGHT(韻母表_4[[#This Row],[台羅拼音]],1), "ptkh")))</f>
        <v>0</v>
      </c>
      <c r="S98" s="41" t="str">
        <f>IF(OR(韻母表_4[[#This Row],[台羅拼音]]="", R98=TRUE), "", LEN(韻母表_4[[#This Row],[台羅拼音]]))</f>
        <v/>
      </c>
      <c r="T98" s="41" t="str">
        <f ca="1" xml:space="preserve"> IF(OR(韻母表_4[[#This Row],[台羅拼音]]="", $R98=TRUE), "", _xlfn.CONCAT("    ", "- xform/", 韻母表_4[[#This Row],[台羅拼音]], "([48?])/", OFFSET(韻母表_4[[#This Row],[台羅拼音]],1,0), "$1", "/    # ", LEFT(韻母表_4[[#This Row],[十五音]],1)))</f>
        <v/>
      </c>
      <c r="U98" s="41" t="str">
        <f ca="1" xml:space="preserve"> IF(OR(韻母表_4[[#This Row],[台羅拼音]]="", R98=TRUE), "", _xlfn.CONCAT("    ", "- xform/", 韻母表_4[[#This Row],[台羅拼音]], "([48])/", OFFSET(韻母表_4[[#This Row],[台羅拼音]],1,0), "$1", "/    # ", LEFT(韻母表_4[[#This Row],[十五音]],1)))</f>
        <v/>
      </c>
      <c r="W98" s="41" t="s">
        <v>1465</v>
      </c>
    </row>
    <row r="99" spans="1:23" ht="44.25">
      <c r="A99" s="54">
        <v>98</v>
      </c>
      <c r="B99" s="54">
        <f xml:space="preserve"> IF(MOD(韻母表_4[[#This Row],[序號]],2)=0, 韻母表_4[[#This Row],[序號]]/2, ROUNDUP(韻母表_4[[#This Row],[序號]]/2,0))</f>
        <v>49</v>
      </c>
      <c r="C99" s="55"/>
      <c r="D99" s="63" t="s">
        <v>159</v>
      </c>
      <c r="E99" s="86" t="s">
        <v>1362</v>
      </c>
      <c r="F99" s="86"/>
      <c r="G99" s="57" t="s">
        <v>238</v>
      </c>
      <c r="H99" s="57" t="s">
        <v>1262</v>
      </c>
      <c r="I99" s="57" t="s">
        <v>1263</v>
      </c>
      <c r="J99" s="57" t="s">
        <v>1264</v>
      </c>
      <c r="K99" s="57" t="s">
        <v>238</v>
      </c>
      <c r="L99" s="57" t="s">
        <v>1265</v>
      </c>
      <c r="M99" s="57" t="s">
        <v>1266</v>
      </c>
      <c r="R99" t="b">
        <f>IF(韻母表_4[[#This Row],[台羅拼音]]="", FALSE, ISNUMBER(FIND(RIGHT(韻母表_4[[#This Row],[台羅拼音]],1), "ptkh")))</f>
        <v>1</v>
      </c>
      <c r="S99" s="41" t="str">
        <f>IF(OR(韻母表_4[[#This Row],[台羅拼音]]="", R99=TRUE), "", LEN(韻母表_4[[#This Row],[台羅拼音]]))</f>
        <v/>
      </c>
      <c r="T99" s="41" t="str">
        <f ca="1" xml:space="preserve"> IF(OR(韻母表_4[[#This Row],[台羅拼音]]="", $R99=TRUE), "", _xlfn.CONCAT("    ", "- xform/", 韻母表_4[[#This Row],[台羅拼音]], "([48?])/", OFFSET(韻母表_4[[#This Row],[台羅拼音]],1,0), "$1", "/    # ", LEFT(韻母表_4[[#This Row],[十五音]],1)))</f>
        <v/>
      </c>
      <c r="U99" s="41" t="str">
        <f ca="1" xml:space="preserve"> IF(OR(韻母表_4[[#This Row],[台羅拼音]]="", R99=TRUE), "", _xlfn.CONCAT("    ", "- xform/", 韻母表_4[[#This Row],[台羅拼音]], "([48])/", OFFSET(韻母表_4[[#This Row],[台羅拼音]],1,0), "$1", "/    # ", LEFT(韻母表_4[[#This Row],[十五音]],1)))</f>
        <v/>
      </c>
      <c r="W99" s="41" t="s">
        <v>1079</v>
      </c>
    </row>
    <row r="100" spans="1:23" ht="44.25">
      <c r="A100" s="54">
        <v>99</v>
      </c>
      <c r="B100" s="54">
        <f xml:space="preserve"> IF(MOD(韻母表_4[[#This Row],[序號]],2)=0, 韻母表_4[[#This Row],[序號]]/2, ROUNDUP(韻母表_4[[#This Row],[序號]]/2,0))</f>
        <v>50</v>
      </c>
      <c r="C100" s="55" t="s">
        <v>303</v>
      </c>
      <c r="D100" s="56" t="s">
        <v>160</v>
      </c>
      <c r="E100" s="86" t="s">
        <v>1363</v>
      </c>
      <c r="F100" s="86"/>
      <c r="G100" s="57" t="s">
        <v>239</v>
      </c>
      <c r="H100" s="57" t="s">
        <v>239</v>
      </c>
      <c r="I100" s="57" t="s">
        <v>1267</v>
      </c>
      <c r="J100" s="57" t="s">
        <v>796</v>
      </c>
      <c r="K100" s="57" t="s">
        <v>239</v>
      </c>
      <c r="L100" s="57" t="s">
        <v>1268</v>
      </c>
      <c r="M100" s="57" t="s">
        <v>1269</v>
      </c>
      <c r="R100" t="b">
        <f>IF(韻母表_4[[#This Row],[台羅拼音]]="", FALSE, ISNUMBER(FIND(RIGHT(韻母表_4[[#This Row],[台羅拼音]],1), "ptkh")))</f>
        <v>0</v>
      </c>
      <c r="S100" s="41">
        <f>IF(OR(韻母表_4[[#This Row],[台羅拼音]]="", R100=TRUE), "", LEN(韻母表_4[[#This Row],[台羅拼音]]))</f>
        <v>4</v>
      </c>
      <c r="T100" s="41" t="str">
        <f ca="1" xml:space="preserve"> IF(OR(韻母表_4[[#This Row],[台羅拼音]]="", $R100=TRUE), "", _xlfn.CONCAT("    ", "- xform/", 韻母表_4[[#This Row],[台羅拼音]], "([48?])/", OFFSET(韻母表_4[[#This Row],[台羅拼音]],1,0), "$1", "/    # ", LEFT(韻母表_4[[#This Row],[十五音]],1)))</f>
        <v xml:space="preserve">    - xform/iunn([48?])/iunnh$1/    # 牛</v>
      </c>
      <c r="U100" s="41" t="str">
        <f ca="1" xml:space="preserve"> IF(OR(韻母表_4[[#This Row],[台羅拼音]]="", R100=TRUE), "", _xlfn.CONCAT("    ", "- xform/", 韻母表_4[[#This Row],[台羅拼音]], "([48])/", OFFSET(韻母表_4[[#This Row],[台羅拼音]],1,0), "$1", "/    # ", LEFT(韻母表_4[[#This Row],[十五音]],1)))</f>
        <v xml:space="preserve">    - xform/iunn([48])/iunnh$1/    # 牛</v>
      </c>
      <c r="W100" s="41" t="s">
        <v>1466</v>
      </c>
    </row>
    <row r="101" spans="1:23" ht="44.25">
      <c r="A101" s="67">
        <v>100</v>
      </c>
      <c r="B101" s="67">
        <f xml:space="preserve"> IF(MOD(韻母表_4[[#This Row],[序號]],2)=0, 韻母表_4[[#This Row],[序號]]/2, ROUNDUP(韻母表_4[[#This Row],[序號]]/2,0))</f>
        <v>50</v>
      </c>
      <c r="C101" s="68"/>
      <c r="D101" s="90" t="s">
        <v>161</v>
      </c>
      <c r="E101" s="91" t="s">
        <v>1369</v>
      </c>
      <c r="F101" s="91"/>
      <c r="G101" s="92" t="s">
        <v>810</v>
      </c>
      <c r="H101" s="92" t="s">
        <v>810</v>
      </c>
      <c r="I101" s="92" t="s">
        <v>1270</v>
      </c>
      <c r="J101" s="92" t="s">
        <v>1264</v>
      </c>
      <c r="K101" s="92" t="s">
        <v>810</v>
      </c>
      <c r="L101" s="92" t="s">
        <v>1271</v>
      </c>
      <c r="M101" s="92" t="s">
        <v>1272</v>
      </c>
      <c r="R101" t="b">
        <f>IF(韻母表_4[[#This Row],[台羅拼音]]="", FALSE, ISNUMBER(FIND(RIGHT(韻母表_4[[#This Row],[台羅拼音]],1), "ptkh")))</f>
        <v>1</v>
      </c>
      <c r="S101" s="41" t="str">
        <f>IF(OR(韻母表_4[[#This Row],[台羅拼音]]="", R101=TRUE), "", LEN(韻母表_4[[#This Row],[台羅拼音]]))</f>
        <v/>
      </c>
      <c r="T101" s="41" t="str">
        <f ca="1" xml:space="preserve"> IF(OR(韻母表_4[[#This Row],[台羅拼音]]="", $R101=TRUE), "", _xlfn.CONCAT("    ", "- xform/", 韻母表_4[[#This Row],[台羅拼音]], "([48?])/", OFFSET(韻母表_4[[#This Row],[台羅拼音]],1,0), "$1", "/    # ", LEFT(韻母表_4[[#This Row],[十五音]],1)))</f>
        <v/>
      </c>
      <c r="U101" s="41" t="str">
        <f ca="1" xml:space="preserve"> IF(OR(韻母表_4[[#This Row],[台羅拼音]]="", R101=TRUE), "", _xlfn.CONCAT("    ", "- xform/", 韻母表_4[[#This Row],[台羅拼音]], "([48])/", OFFSET(韻母表_4[[#This Row],[台羅拼音]],1,0), "$1", "/    # ", LEFT(韻母表_4[[#This Row],[十五音]],1)))</f>
        <v/>
      </c>
      <c r="W101" s="41" t="s">
        <v>1079</v>
      </c>
    </row>
    <row r="102" spans="1:23" ht="44.25">
      <c r="A102" s="54">
        <v>101</v>
      </c>
      <c r="B102" s="54"/>
      <c r="C102" s="55"/>
      <c r="D102" s="63"/>
      <c r="E102" s="98" t="s">
        <v>1396</v>
      </c>
      <c r="F102" s="86"/>
      <c r="G102" s="57" t="s">
        <v>1393</v>
      </c>
      <c r="H102" s="57"/>
      <c r="I102" s="57" t="s">
        <v>1399</v>
      </c>
      <c r="J102" s="57" t="s">
        <v>1079</v>
      </c>
      <c r="K102" s="57" t="s">
        <v>1079</v>
      </c>
      <c r="L102" s="57" t="s">
        <v>1125</v>
      </c>
      <c r="M102" s="57"/>
      <c r="R102" t="b">
        <f>IF(韻母表_4[[#This Row],[台羅拼音]]="", FALSE, ISNUMBER(FIND(RIGHT(韻母表_4[[#This Row],[台羅拼音]],1), "ptkh")))</f>
        <v>0</v>
      </c>
      <c r="S102" s="41">
        <f>IF(OR(韻母表_4[[#This Row],[台羅拼音]]="", R102=TRUE), "", LEN(韻母表_4[[#This Row],[台羅拼音]]))</f>
        <v>2</v>
      </c>
      <c r="T102" s="41" t="str">
        <f ca="1" xml:space="preserve"> IF(OR(韻母表_4[[#This Row],[台羅拼音]]="", $R102=TRUE), "", _xlfn.CONCAT("    ", "- xform/", 韻母表_4[[#This Row],[台羅拼音]], "([48?])/", OFFSET(韻母表_4[[#This Row],[台羅拼音]],1,0), "$1", "/    # ", LEFT(韻母表_4[[#This Row],[十五音]],1)))</f>
        <v xml:space="preserve">    - xform/er([48?])/ir$1/    # </v>
      </c>
      <c r="U102" s="41" t="str">
        <f ca="1" xml:space="preserve"> IF(OR(韻母表_4[[#This Row],[台羅拼音]]="", R102=TRUE), "", _xlfn.CONCAT("    ", "- xform/", 韻母表_4[[#This Row],[台羅拼音]], "([48])/", OFFSET(韻母表_4[[#This Row],[台羅拼音]],1,0), "$1", "/    # ", LEFT(韻母表_4[[#This Row],[十五音]],1)))</f>
        <v xml:space="preserve">    - xform/er([48])/ir$1/    # </v>
      </c>
      <c r="W102" s="41" t="s">
        <v>1467</v>
      </c>
    </row>
    <row r="103" spans="1:23" ht="44.25">
      <c r="A103" s="67">
        <v>102</v>
      </c>
      <c r="B103" s="67"/>
      <c r="C103" s="68"/>
      <c r="D103" s="97"/>
      <c r="E103" s="100" t="s">
        <v>1395</v>
      </c>
      <c r="F103" s="98"/>
      <c r="G103" s="99" t="s">
        <v>1394</v>
      </c>
      <c r="H103" s="99"/>
      <c r="I103" s="99" t="s">
        <v>1400</v>
      </c>
      <c r="J103" s="99"/>
      <c r="K103" s="99"/>
      <c r="L103" s="99" t="s">
        <v>1397</v>
      </c>
      <c r="M103" s="99"/>
      <c r="R103" t="b">
        <f>IF(韻母表_4[[#This Row],[台羅拼音]]="", FALSE, ISNUMBER(FIND(RIGHT(韻母表_4[[#This Row],[台羅拼音]],1), "ptkh")))</f>
        <v>0</v>
      </c>
      <c r="S103" s="41">
        <f>IF(OR(韻母表_4[[#This Row],[台羅拼音]]="", R103=TRUE), "", LEN(韻母表_4[[#This Row],[台羅拼音]]))</f>
        <v>2</v>
      </c>
      <c r="T103" s="41" t="str">
        <f ca="1" xml:space="preserve"> IF(OR(韻母表_4[[#This Row],[台羅拼音]]="", $R103=TRUE), "", _xlfn.CONCAT("    ", "- xform/", 韻母表_4[[#This Row],[台羅拼音]], "([48?])/", OFFSET(韻母表_4[[#This Row],[台羅拼音]],1,0), "$1", "/    # ", LEFT(韻母表_4[[#This Row],[十五音]],1)))</f>
        <v xml:space="preserve">    - xform/ir([48?])/$1/    # </v>
      </c>
      <c r="U103" s="41" t="str">
        <f ca="1" xml:space="preserve"> IF(OR(韻母表_4[[#This Row],[台羅拼音]]="", R103=TRUE), "", _xlfn.CONCAT("    ", "- xform/", 韻母表_4[[#This Row],[台羅拼音]], "([48])/", OFFSET(韻母表_4[[#This Row],[台羅拼音]],1,0), "$1", "/    # ", LEFT(韻母表_4[[#This Row],[十五音]],1)))</f>
        <v xml:space="preserve">    - xform/ir([48])/$1/    # </v>
      </c>
      <c r="W103" s="41" t="s">
        <v>1468</v>
      </c>
    </row>
    <row r="104" spans="1:23" ht="44.25">
      <c r="A104" s="67"/>
      <c r="B104" s="67"/>
      <c r="C104" s="68"/>
      <c r="D104" s="101"/>
      <c r="E104" s="98"/>
      <c r="F104" s="98"/>
      <c r="G104" s="99"/>
      <c r="H104" s="102"/>
      <c r="I104" s="99"/>
      <c r="J104" s="102"/>
      <c r="K104" s="102"/>
      <c r="L104" s="102"/>
      <c r="M104" s="102"/>
      <c r="R104" t="b">
        <f>IF(韻母表_4[[#This Row],[台羅拼音]]="", FALSE, ISNUMBER(FIND(RIGHT(韻母表_4[[#This Row],[台羅拼音]],1), "ptkh")))</f>
        <v>0</v>
      </c>
      <c r="S104" s="41" t="str">
        <f>IF(OR(韻母表_4[[#This Row],[台羅拼音]]="", R104=TRUE), "", LEN(韻母表_4[[#This Row],[台羅拼音]]))</f>
        <v/>
      </c>
      <c r="T104" s="41" t="str">
        <f ca="1" xml:space="preserve"> IF(OR(韻母表_4[[#This Row],[台羅拼音]]="", $R104=TRUE), "", _xlfn.CONCAT("    ", "- xform/", 韻母表_4[[#This Row],[台羅拼音]], "([48?])/", OFFSET(韻母表_4[[#This Row],[台羅拼音]],1,0), "$1", "/    # ", LEFT(韻母表_4[[#This Row],[十五音]],1)))</f>
        <v/>
      </c>
      <c r="U104" s="41" t="str">
        <f ca="1" xml:space="preserve"> IF(OR(韻母表_4[[#This Row],[台羅拼音]]="", R104=TRUE), "", _xlfn.CONCAT("    ", "- xform/", 韻母表_4[[#This Row],[台羅拼音]], "([48])/", OFFSET(韻母表_4[[#This Row],[台羅拼音]],1,0), "$1", "/    # ", LEFT(韻母表_4[[#This Row],[十五音]],1)))</f>
        <v/>
      </c>
      <c r="W104" s="41" t="s">
        <v>1464</v>
      </c>
    </row>
    <row r="106" spans="1:23">
      <c r="P106" t="s">
        <v>1521</v>
      </c>
      <c r="Q106" t="s">
        <v>1522</v>
      </c>
    </row>
    <row r="107" spans="1:23">
      <c r="P107" t="s">
        <v>1523</v>
      </c>
      <c r="Q107" t="s">
        <v>1524</v>
      </c>
    </row>
    <row r="108" spans="1:23">
      <c r="P108" t="s">
        <v>1525</v>
      </c>
      <c r="Q108" t="s">
        <v>1526</v>
      </c>
    </row>
    <row r="109" spans="1:23">
      <c r="P109" t="s">
        <v>1527</v>
      </c>
      <c r="Q109" t="s">
        <v>1528</v>
      </c>
    </row>
    <row r="110" spans="1:23">
      <c r="P110" t="s">
        <v>1529</v>
      </c>
      <c r="Q110" t="s">
        <v>1530</v>
      </c>
    </row>
    <row r="111" spans="1:23">
      <c r="P111" t="s">
        <v>1531</v>
      </c>
      <c r="Q111" t="s">
        <v>1532</v>
      </c>
    </row>
    <row r="112" spans="1:23">
      <c r="P112" t="s">
        <v>1533</v>
      </c>
      <c r="Q112" t="s">
        <v>1534</v>
      </c>
    </row>
    <row r="113" spans="16:17">
      <c r="P113" t="s">
        <v>1535</v>
      </c>
      <c r="Q113" t="s">
        <v>1536</v>
      </c>
    </row>
    <row r="114" spans="16:17">
      <c r="P114" t="s">
        <v>1537</v>
      </c>
      <c r="Q114" t="s">
        <v>1538</v>
      </c>
    </row>
    <row r="115" spans="16:17">
      <c r="P115" t="s">
        <v>321</v>
      </c>
      <c r="Q115" t="s">
        <v>1539</v>
      </c>
    </row>
  </sheetData>
  <phoneticPr fontId="2" type="noConversion"/>
  <conditionalFormatting sqref="A2:M102 A103:D103 F103:M103">
    <cfRule type="expression" dxfId="20" priority="24">
      <formula>MOD($B2,2)&lt;&gt;0</formula>
    </cfRule>
    <cfRule type="expression" dxfId="19" priority="25">
      <formula>MOD($A2,2)&lt;&gt;0</formula>
    </cfRule>
    <cfRule type="expression" dxfId="18" priority="26">
      <formula>MOD($A2,2)=0</formula>
    </cfRule>
  </conditionalFormatting>
  <conditionalFormatting sqref="A102:M102 A103:D103 F103:M103">
    <cfRule type="expression" dxfId="17" priority="21">
      <formula>MOD($B102,2)&lt;&gt;0</formula>
    </cfRule>
    <cfRule type="expression" dxfId="16" priority="22">
      <formula>MOD($A102,2)&lt;&gt;0</formula>
    </cfRule>
    <cfRule type="expression" dxfId="15" priority="23">
      <formula>MOD($A102,2)=0</formula>
    </cfRule>
  </conditionalFormatting>
  <conditionalFormatting sqref="E103">
    <cfRule type="expression" dxfId="14" priority="9">
      <formula>MOD($B103,2)&lt;&gt;0</formula>
    </cfRule>
    <cfRule type="expression" dxfId="13" priority="10">
      <formula>MOD($A103,2)&lt;&gt;0</formula>
    </cfRule>
    <cfRule type="expression" dxfId="12" priority="11">
      <formula>MOD($A103,2)=0</formula>
    </cfRule>
    <cfRule type="expression" dxfId="11" priority="12">
      <formula>MOD($B103,2)&lt;&gt;0</formula>
    </cfRule>
    <cfRule type="expression" dxfId="10" priority="13">
      <formula>MOD($A103,2)&lt;&gt;0</formula>
    </cfRule>
    <cfRule type="expression" dxfId="9" priority="14">
      <formula>MOD($A103,2)=0</formula>
    </cfRule>
  </conditionalFormatting>
  <conditionalFormatting sqref="I104">
    <cfRule type="expression" dxfId="8" priority="3">
      <formula>MOD($B104,2)&lt;&gt;0</formula>
    </cfRule>
    <cfRule type="expression" dxfId="7" priority="4">
      <formula>MOD($A104,2)&lt;&gt;0</formula>
    </cfRule>
    <cfRule type="expression" dxfId="6" priority="5">
      <formula>MOD($A104,2)=0</formula>
    </cfRule>
    <cfRule type="expression" dxfId="5" priority="6">
      <formula>MOD($B104,2)&lt;&gt;0</formula>
    </cfRule>
    <cfRule type="expression" dxfId="4" priority="7">
      <formula>MOD($A104,2)&lt;&gt;0</formula>
    </cfRule>
    <cfRule type="expression" dxfId="3" priority="8">
      <formula>MOD($A104,2)=0</formula>
    </cfRule>
  </conditionalFormatting>
  <conditionalFormatting sqref="K2:K103">
    <cfRule type="expression" dxfId="2" priority="1">
      <formula>$K2&lt;&gt;$G2</formula>
    </cfRule>
  </conditionalFormatting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FDC818-4576-4836-ADCE-5368C6C31AFB}">
  <dimension ref="A1:E104"/>
  <sheetViews>
    <sheetView workbookViewId="0"/>
  </sheetViews>
  <sheetFormatPr defaultRowHeight="16.5"/>
  <cols>
    <col min="2" max="2" width="42" customWidth="1"/>
    <col min="5" max="5" width="39.5" customWidth="1"/>
  </cols>
  <sheetData>
    <row r="1" spans="1:5" ht="22.5">
      <c r="A1" t="s">
        <v>1469</v>
      </c>
      <c r="B1" s="41" t="s">
        <v>1472</v>
      </c>
    </row>
    <row r="2" spans="1:5">
      <c r="A2">
        <v>2</v>
      </c>
      <c r="B2" t="s">
        <v>1473</v>
      </c>
      <c r="D2" cm="1">
        <f t="array" ref="D2:E49">_xlfn._xlws.SORT(_xlfn._xlws.FILTER(A2:B104, (B2:B104&lt;&gt;"")*(A2:A104&lt;&gt;""), "無資料"), 1, -1)</f>
        <v>5</v>
      </c>
      <c r="E2" t="str">
        <v xml:space="preserve">    - xform/uainn([48?])/uainnh$1/    # 閂</v>
      </c>
    </row>
    <row r="3" spans="1:5">
      <c r="A3" t="s">
        <v>1079</v>
      </c>
      <c r="B3" t="s">
        <v>1079</v>
      </c>
      <c r="D3">
        <v>5</v>
      </c>
      <c r="E3" t="str">
        <v xml:space="preserve">    - xform/iaunn([48?])/$1/    # 嘄</v>
      </c>
    </row>
    <row r="4" spans="1:5">
      <c r="A4">
        <v>3</v>
      </c>
      <c r="B4" t="s">
        <v>1474</v>
      </c>
      <c r="D4">
        <v>4</v>
      </c>
      <c r="E4" t="str">
        <v xml:space="preserve">    - xform/iong([48?])/iok$1/    # 恭</v>
      </c>
    </row>
    <row r="5" spans="1:5">
      <c r="A5" t="s">
        <v>1079</v>
      </c>
      <c r="B5" t="s">
        <v>1079</v>
      </c>
      <c r="D5">
        <v>4</v>
      </c>
      <c r="E5" t="str">
        <v xml:space="preserve">    - xform/iang([48?])/iak$1/    # 姜</v>
      </c>
    </row>
    <row r="6" spans="1:5">
      <c r="A6">
        <v>2</v>
      </c>
      <c r="B6" t="s">
        <v>1475</v>
      </c>
      <c r="D6">
        <v>4</v>
      </c>
      <c r="E6" t="str">
        <v xml:space="preserve">    - xform/uinn([48?])/$1/    # 褌</v>
      </c>
    </row>
    <row r="7" spans="1:5">
      <c r="A7" t="s">
        <v>1079</v>
      </c>
      <c r="B7" t="s">
        <v>1079</v>
      </c>
      <c r="D7">
        <v>4</v>
      </c>
      <c r="E7" t="str">
        <v xml:space="preserve">    - xform/ionn([48?])/$1/    # 薑</v>
      </c>
    </row>
    <row r="8" spans="1:5">
      <c r="A8">
        <v>2</v>
      </c>
      <c r="B8" t="s">
        <v>1476</v>
      </c>
      <c r="D8">
        <v>4</v>
      </c>
      <c r="E8" t="str">
        <v xml:space="preserve">    - xform/iann([48?])/iannh$1/    # 驚</v>
      </c>
    </row>
    <row r="9" spans="1:5">
      <c r="A9" t="s">
        <v>1079</v>
      </c>
      <c r="B9" t="s">
        <v>1079</v>
      </c>
      <c r="D9">
        <v>4</v>
      </c>
      <c r="E9" t="str">
        <v xml:space="preserve">    - xform/uann([48?])/$1/    # 官</v>
      </c>
    </row>
    <row r="10" spans="1:5">
      <c r="A10">
        <v>2</v>
      </c>
      <c r="B10" t="s">
        <v>1477</v>
      </c>
      <c r="D10">
        <v>4</v>
      </c>
      <c r="E10" t="str">
        <v xml:space="preserve">    - xform/ainn([48?])/$1/    # 閒</v>
      </c>
    </row>
    <row r="11" spans="1:5">
      <c r="A11" t="s">
        <v>1079</v>
      </c>
      <c r="B11" t="s">
        <v>1079</v>
      </c>
      <c r="D11">
        <v>4</v>
      </c>
      <c r="E11" t="str">
        <v xml:space="preserve">    - xform/uang([48?])/$1/    # 光</v>
      </c>
    </row>
    <row r="12" spans="1:5">
      <c r="A12">
        <v>2</v>
      </c>
      <c r="B12" t="s">
        <v>1478</v>
      </c>
      <c r="D12">
        <v>4</v>
      </c>
      <c r="E12" t="str">
        <v xml:space="preserve">    - xform/iunn([48?])/iunnh$1/    # 牛</v>
      </c>
    </row>
    <row r="13" spans="1:5">
      <c r="A13" t="s">
        <v>1079</v>
      </c>
      <c r="B13" t="s">
        <v>1079</v>
      </c>
      <c r="D13">
        <v>3</v>
      </c>
      <c r="E13" t="str">
        <v xml:space="preserve">    - xform/ian([48?])/iat$1/    # 堅</v>
      </c>
    </row>
    <row r="14" spans="1:5">
      <c r="A14">
        <v>3</v>
      </c>
      <c r="B14" t="s">
        <v>1479</v>
      </c>
      <c r="D14">
        <v>3</v>
      </c>
      <c r="E14" t="str">
        <v xml:space="preserve">    - xform/ong([48?])/ok$1/    # 公</v>
      </c>
    </row>
    <row r="15" spans="1:5">
      <c r="A15" t="s">
        <v>1079</v>
      </c>
      <c r="B15" t="s">
        <v>1079</v>
      </c>
      <c r="D15">
        <v>3</v>
      </c>
      <c r="E15" t="str">
        <v xml:space="preserve">    - xform/uai([48?])/uaih$1/    # 乖</v>
      </c>
    </row>
    <row r="16" spans="1:5">
      <c r="A16">
        <v>3</v>
      </c>
      <c r="B16" t="s">
        <v>1480</v>
      </c>
      <c r="D16">
        <v>3</v>
      </c>
      <c r="E16" t="str">
        <v xml:space="preserve">    - xform/ing([48?])/ik$1/    # 經</v>
      </c>
    </row>
    <row r="17" spans="1:5">
      <c r="A17" t="s">
        <v>1079</v>
      </c>
      <c r="B17" t="s">
        <v>1079</v>
      </c>
      <c r="D17">
        <v>3</v>
      </c>
      <c r="E17" t="str">
        <v xml:space="preserve">    - xform/uan([48?])/uat$1/    # 觀</v>
      </c>
    </row>
    <row r="18" spans="1:5">
      <c r="A18">
        <v>3</v>
      </c>
      <c r="B18" t="s">
        <v>1481</v>
      </c>
      <c r="D18">
        <v>3</v>
      </c>
      <c r="E18" t="str">
        <v xml:space="preserve">    - xform/iau([48?])/iauh$1/    # 嬌</v>
      </c>
    </row>
    <row r="19" spans="1:5">
      <c r="A19" t="s">
        <v>1079</v>
      </c>
      <c r="B19" t="s">
        <v>1079</v>
      </c>
      <c r="D19">
        <v>3</v>
      </c>
      <c r="E19" t="str">
        <v xml:space="preserve">    - xform/ang([48?])/ak$1/    # 江</v>
      </c>
    </row>
    <row r="20" spans="1:5">
      <c r="A20">
        <v>3</v>
      </c>
      <c r="B20" t="s">
        <v>1482</v>
      </c>
      <c r="D20">
        <v>3</v>
      </c>
      <c r="E20" t="str">
        <v xml:space="preserve">    - xform/iam([48?])/iap$1/    # 兼</v>
      </c>
    </row>
    <row r="21" spans="1:5">
      <c r="A21" t="s">
        <v>1079</v>
      </c>
      <c r="B21" t="s">
        <v>1079</v>
      </c>
      <c r="D21">
        <v>3</v>
      </c>
      <c r="E21" t="str">
        <v xml:space="preserve">    - xform/ann([48?])/annh$1/    # 監</v>
      </c>
    </row>
    <row r="22" spans="1:5">
      <c r="A22">
        <v>2</v>
      </c>
      <c r="B22" t="s">
        <v>1483</v>
      </c>
      <c r="D22">
        <v>3</v>
      </c>
      <c r="E22" t="str">
        <v xml:space="preserve">    - xform/enn([48?])/ennh$1/    # 更</v>
      </c>
    </row>
    <row r="23" spans="1:5">
      <c r="A23" t="s">
        <v>1079</v>
      </c>
      <c r="B23" t="s">
        <v>1079</v>
      </c>
      <c r="D23">
        <v>3</v>
      </c>
      <c r="E23" t="str">
        <v xml:space="preserve">    - xform/inn([48?])/$1/    # 梔</v>
      </c>
    </row>
    <row r="24" spans="1:5">
      <c r="A24">
        <v>3</v>
      </c>
      <c r="B24" t="s">
        <v>1484</v>
      </c>
      <c r="D24">
        <v>3</v>
      </c>
      <c r="E24" t="str">
        <v xml:space="preserve">    - xform/onn([48?])/$1/    # 姑</v>
      </c>
    </row>
    <row r="25" spans="1:5">
      <c r="A25" t="s">
        <v>1079</v>
      </c>
      <c r="B25" t="s">
        <v>1079</v>
      </c>
      <c r="D25">
        <v>2</v>
      </c>
      <c r="E25" t="str">
        <v xml:space="preserve">    - xform/un([48?])/ut$1/    # 君</v>
      </c>
    </row>
    <row r="26" spans="1:5">
      <c r="A26">
        <v>1</v>
      </c>
      <c r="B26" t="s">
        <v>1485</v>
      </c>
      <c r="D26">
        <v>2</v>
      </c>
      <c r="E26" t="str">
        <v xml:space="preserve">    - xform/im([48?])/ip$1/    # 金</v>
      </c>
    </row>
    <row r="27" spans="1:5">
      <c r="A27" t="s">
        <v>1079</v>
      </c>
      <c r="B27" t="s">
        <v>1079</v>
      </c>
      <c r="D27">
        <v>2</v>
      </c>
      <c r="E27" t="str">
        <v xml:space="preserve">    - xform/ui([48?])/$1/    # 規</v>
      </c>
    </row>
    <row r="28" spans="1:5">
      <c r="A28">
        <v>4</v>
      </c>
      <c r="B28" t="s">
        <v>1486</v>
      </c>
      <c r="D28">
        <v>2</v>
      </c>
      <c r="E28" t="str">
        <v xml:space="preserve">    - xform/ee([48?])/eeh$1/    # 嘉</v>
      </c>
    </row>
    <row r="29" spans="1:5">
      <c r="A29" t="s">
        <v>1079</v>
      </c>
      <c r="B29" t="s">
        <v>1079</v>
      </c>
      <c r="D29">
        <v>2</v>
      </c>
      <c r="E29" t="str">
        <v xml:space="preserve">    - xform/an([48?])/at$1/    # 干</v>
      </c>
    </row>
    <row r="30" spans="1:5">
      <c r="A30">
        <v>1</v>
      </c>
      <c r="B30" t="s">
        <v>1487</v>
      </c>
      <c r="D30">
        <v>2</v>
      </c>
      <c r="E30" t="str">
        <v xml:space="preserve">    - xform/oo([48?])/ooh$1/    # 沽</v>
      </c>
    </row>
    <row r="31" spans="1:5">
      <c r="A31" t="s">
        <v>1079</v>
      </c>
      <c r="B31" t="s">
        <v>1079</v>
      </c>
      <c r="D31">
        <v>2</v>
      </c>
      <c r="E31" t="str">
        <v xml:space="preserve">    - xform/ai([48?])/$1/    # 皆</v>
      </c>
    </row>
    <row r="32" spans="1:5">
      <c r="A32">
        <v>2</v>
      </c>
      <c r="B32" t="s">
        <v>1488</v>
      </c>
      <c r="D32">
        <v>2</v>
      </c>
      <c r="E32" t="str">
        <v xml:space="preserve">    - xform/in([48?])/it$1/    # 巾</v>
      </c>
    </row>
    <row r="33" spans="1:5">
      <c r="A33" t="s">
        <v>1079</v>
      </c>
      <c r="B33" t="s">
        <v>1079</v>
      </c>
      <c r="D33">
        <v>2</v>
      </c>
      <c r="E33" t="str">
        <v xml:space="preserve">    - xform/am([48?])/ap$1/    # 甘</v>
      </c>
    </row>
    <row r="34" spans="1:5">
      <c r="A34">
        <v>2</v>
      </c>
      <c r="B34" t="s">
        <v>1489</v>
      </c>
      <c r="D34">
        <v>2</v>
      </c>
      <c r="E34" t="str">
        <v xml:space="preserve">    - xform/ua([48?])/uah$1/    # 瓜</v>
      </c>
    </row>
    <row r="35" spans="1:5">
      <c r="A35" t="s">
        <v>1079</v>
      </c>
      <c r="B35" t="s">
        <v>1079</v>
      </c>
      <c r="D35">
        <v>2</v>
      </c>
      <c r="E35" t="str">
        <v xml:space="preserve">    - xform/au([48?])/auh$1/    # 交</v>
      </c>
    </row>
    <row r="36" spans="1:5">
      <c r="A36">
        <v>4</v>
      </c>
      <c r="B36" t="s">
        <v>1490</v>
      </c>
      <c r="D36">
        <v>2</v>
      </c>
      <c r="E36" t="str">
        <v xml:space="preserve">    - xform/ia([48?])/iah$1/    # 迦</v>
      </c>
    </row>
    <row r="37" spans="1:5">
      <c r="A37" t="s">
        <v>1079</v>
      </c>
      <c r="B37" t="s">
        <v>1079</v>
      </c>
      <c r="D37">
        <v>2</v>
      </c>
      <c r="E37" t="str">
        <v xml:space="preserve">    - xform/ue([48?])/ueh$1/    # 檜</v>
      </c>
    </row>
    <row r="38" spans="1:5">
      <c r="A38">
        <v>2</v>
      </c>
      <c r="B38" t="s">
        <v>1491</v>
      </c>
      <c r="D38">
        <v>2</v>
      </c>
      <c r="E38" t="str">
        <v xml:space="preserve">    - xform/iu([48?])/$1/    # 丩</v>
      </c>
    </row>
    <row r="39" spans="1:5">
      <c r="A39" t="s">
        <v>1079</v>
      </c>
      <c r="B39" t="s">
        <v>1079</v>
      </c>
      <c r="D39">
        <v>2</v>
      </c>
      <c r="E39" t="str">
        <v xml:space="preserve">    - xform/io([48?])/ioh$1/    # 茄</v>
      </c>
    </row>
    <row r="40" spans="1:5">
      <c r="A40">
        <v>2</v>
      </c>
      <c r="B40" t="s">
        <v>1492</v>
      </c>
      <c r="D40">
        <v>2</v>
      </c>
      <c r="E40" t="str">
        <v xml:space="preserve">    - xform/ng([48?])/ngh$1/    # 鋼</v>
      </c>
    </row>
    <row r="41" spans="1:5">
      <c r="A41" t="s">
        <v>1079</v>
      </c>
      <c r="B41" t="s">
        <v>1079</v>
      </c>
      <c r="D41">
        <v>2</v>
      </c>
      <c r="E41" t="str">
        <v xml:space="preserve">    - xform/om([48?])/op$1/    # 箴</v>
      </c>
    </row>
    <row r="42" spans="1:5">
      <c r="A42">
        <v>3</v>
      </c>
      <c r="B42" t="s">
        <v>1493</v>
      </c>
      <c r="D42">
        <v>2</v>
      </c>
      <c r="E42" t="str">
        <v xml:space="preserve">    - xform/er([48?])/ir$1/    # </v>
      </c>
    </row>
    <row r="43" spans="1:5">
      <c r="A43" t="s">
        <v>1079</v>
      </c>
      <c r="B43" t="s">
        <v>1079</v>
      </c>
      <c r="D43">
        <v>2</v>
      </c>
      <c r="E43" t="str">
        <v xml:space="preserve">    - xform/ir([48?])/$1/    # </v>
      </c>
    </row>
    <row r="44" spans="1:5">
      <c r="A44">
        <v>3</v>
      </c>
      <c r="B44" t="s">
        <v>1494</v>
      </c>
      <c r="D44">
        <v>1</v>
      </c>
      <c r="E44" t="str">
        <v xml:space="preserve">    - xform/e([48?])/$1/    # 稽</v>
      </c>
    </row>
    <row r="45" spans="1:5">
      <c r="A45" t="s">
        <v>1079</v>
      </c>
      <c r="B45" t="s">
        <v>1079</v>
      </c>
      <c r="D45">
        <v>1</v>
      </c>
      <c r="E45" t="str">
        <v xml:space="preserve">    - xform/o([48?])/oh$1/    # 高</v>
      </c>
    </row>
    <row r="46" spans="1:5">
      <c r="A46">
        <v>2</v>
      </c>
      <c r="B46" t="s">
        <v>1495</v>
      </c>
      <c r="D46">
        <v>1</v>
      </c>
      <c r="E46" t="str">
        <v xml:space="preserve">    - xform/u([48?])/uh$1/    # 艍</v>
      </c>
    </row>
    <row r="47" spans="1:5">
      <c r="A47" t="s">
        <v>1079</v>
      </c>
      <c r="B47" t="s">
        <v>1079</v>
      </c>
      <c r="D47">
        <v>1</v>
      </c>
      <c r="E47" t="str">
        <v xml:space="preserve">    - xform/a([48?])/ah$1/    # 膠</v>
      </c>
    </row>
    <row r="48" spans="1:5">
      <c r="A48">
        <v>2</v>
      </c>
      <c r="B48" t="s">
        <v>1496</v>
      </c>
      <c r="D48">
        <v>1</v>
      </c>
      <c r="E48" t="str">
        <v xml:space="preserve">    - xform/i([48?])/ih$1/    # 居</v>
      </c>
    </row>
    <row r="49" spans="1:5">
      <c r="A49" t="s">
        <v>1079</v>
      </c>
      <c r="B49" t="s">
        <v>1079</v>
      </c>
      <c r="D49">
        <v>1</v>
      </c>
      <c r="E49" t="str">
        <v xml:space="preserve">    - xform/m([48?])/mh$1/    # 姆</v>
      </c>
    </row>
    <row r="50" spans="1:5">
      <c r="A50">
        <v>2</v>
      </c>
      <c r="B50" t="s">
        <v>1497</v>
      </c>
    </row>
    <row r="51" spans="1:5">
      <c r="A51" t="s">
        <v>1079</v>
      </c>
      <c r="B51" t="s">
        <v>1079</v>
      </c>
    </row>
    <row r="52" spans="1:5">
      <c r="A52">
        <v>3</v>
      </c>
      <c r="B52" t="s">
        <v>1498</v>
      </c>
    </row>
    <row r="53" spans="1:5">
      <c r="A53" t="s">
        <v>1079</v>
      </c>
      <c r="B53" t="s">
        <v>1079</v>
      </c>
    </row>
    <row r="54" spans="1:5">
      <c r="A54">
        <v>1</v>
      </c>
      <c r="B54" t="s">
        <v>1499</v>
      </c>
    </row>
    <row r="55" spans="1:5">
      <c r="A55" t="s">
        <v>1079</v>
      </c>
      <c r="B55" t="s">
        <v>1079</v>
      </c>
    </row>
    <row r="56" spans="1:5">
      <c r="A56">
        <v>1</v>
      </c>
      <c r="B56" t="s">
        <v>1500</v>
      </c>
    </row>
    <row r="57" spans="1:5">
      <c r="A57" t="s">
        <v>1079</v>
      </c>
      <c r="B57" t="s">
        <v>1079</v>
      </c>
    </row>
    <row r="58" spans="1:5">
      <c r="A58">
        <v>1</v>
      </c>
      <c r="B58" t="s">
        <v>1501</v>
      </c>
    </row>
    <row r="59" spans="1:5">
      <c r="A59" t="s">
        <v>1079</v>
      </c>
      <c r="B59" t="s">
        <v>1079</v>
      </c>
    </row>
    <row r="60" spans="1:5">
      <c r="A60">
        <v>2</v>
      </c>
      <c r="B60" t="s">
        <v>1502</v>
      </c>
    </row>
    <row r="61" spans="1:5">
      <c r="A61" t="s">
        <v>1079</v>
      </c>
      <c r="B61" t="s">
        <v>1079</v>
      </c>
    </row>
    <row r="62" spans="1:5">
      <c r="A62">
        <v>3</v>
      </c>
      <c r="B62" t="s">
        <v>1503</v>
      </c>
    </row>
    <row r="63" spans="1:5">
      <c r="A63" t="s">
        <v>1079</v>
      </c>
      <c r="B63" t="s">
        <v>1079</v>
      </c>
    </row>
    <row r="64" spans="1:5">
      <c r="A64">
        <v>4</v>
      </c>
      <c r="B64" t="s">
        <v>1504</v>
      </c>
    </row>
    <row r="65" spans="1:2">
      <c r="A65" t="s">
        <v>1079</v>
      </c>
      <c r="B65" t="s">
        <v>1079</v>
      </c>
    </row>
    <row r="66" spans="1:2">
      <c r="A66">
        <v>2</v>
      </c>
      <c r="B66" t="s">
        <v>1505</v>
      </c>
    </row>
    <row r="67" spans="1:2">
      <c r="A67" t="s">
        <v>1079</v>
      </c>
      <c r="B67" t="s">
        <v>1079</v>
      </c>
    </row>
    <row r="68" spans="1:2">
      <c r="A68">
        <v>3</v>
      </c>
      <c r="B68" t="s">
        <v>1506</v>
      </c>
    </row>
    <row r="69" spans="1:2">
      <c r="A69" t="s">
        <v>1079</v>
      </c>
      <c r="B69" t="s">
        <v>1079</v>
      </c>
    </row>
    <row r="70" spans="1:2">
      <c r="A70">
        <v>4</v>
      </c>
      <c r="B70" t="s">
        <v>1507</v>
      </c>
    </row>
    <row r="71" spans="1:2">
      <c r="A71" t="s">
        <v>1079</v>
      </c>
      <c r="B71" t="s">
        <v>1079</v>
      </c>
    </row>
    <row r="72" spans="1:2">
      <c r="A72">
        <v>4</v>
      </c>
      <c r="B72" t="s">
        <v>1508</v>
      </c>
    </row>
    <row r="73" spans="1:2">
      <c r="A73" t="s">
        <v>1079</v>
      </c>
      <c r="B73" t="s">
        <v>1079</v>
      </c>
    </row>
    <row r="74" spans="1:2">
      <c r="A74">
        <v>4</v>
      </c>
      <c r="B74" t="s">
        <v>1509</v>
      </c>
    </row>
    <row r="75" spans="1:2">
      <c r="A75" t="s">
        <v>1079</v>
      </c>
      <c r="B75" t="s">
        <v>1079</v>
      </c>
    </row>
    <row r="76" spans="1:2">
      <c r="A76">
        <v>2</v>
      </c>
      <c r="B76" t="s">
        <v>1510</v>
      </c>
    </row>
    <row r="77" spans="1:2">
      <c r="A77" t="s">
        <v>1079</v>
      </c>
      <c r="B77" t="s">
        <v>1079</v>
      </c>
    </row>
    <row r="78" spans="1:2">
      <c r="A78" t="s">
        <v>1079</v>
      </c>
      <c r="B78" t="s">
        <v>1079</v>
      </c>
    </row>
    <row r="79" spans="1:2">
      <c r="A79" t="s">
        <v>1079</v>
      </c>
      <c r="B79" t="s">
        <v>1079</v>
      </c>
    </row>
    <row r="80" spans="1:2">
      <c r="A80">
        <v>4</v>
      </c>
      <c r="B80" t="s">
        <v>1511</v>
      </c>
    </row>
    <row r="81" spans="1:2">
      <c r="A81" t="s">
        <v>1079</v>
      </c>
      <c r="B81" t="s">
        <v>1079</v>
      </c>
    </row>
    <row r="82" spans="1:2">
      <c r="A82">
        <v>3</v>
      </c>
      <c r="B82" t="s">
        <v>1512</v>
      </c>
    </row>
    <row r="83" spans="1:2">
      <c r="A83" t="s">
        <v>1079</v>
      </c>
      <c r="B83" t="s">
        <v>1079</v>
      </c>
    </row>
    <row r="84" spans="1:2">
      <c r="A84">
        <v>1</v>
      </c>
      <c r="B84" t="s">
        <v>1513</v>
      </c>
    </row>
    <row r="85" spans="1:2">
      <c r="A85" t="s">
        <v>1079</v>
      </c>
      <c r="B85" t="s">
        <v>1079</v>
      </c>
    </row>
    <row r="86" spans="1:2">
      <c r="A86">
        <v>4</v>
      </c>
      <c r="B86" t="s">
        <v>1514</v>
      </c>
    </row>
    <row r="87" spans="1:2">
      <c r="A87" t="s">
        <v>1079</v>
      </c>
      <c r="B87" t="s">
        <v>1079</v>
      </c>
    </row>
    <row r="88" spans="1:2">
      <c r="A88">
        <v>5</v>
      </c>
      <c r="B88" t="s">
        <v>1515</v>
      </c>
    </row>
    <row r="89" spans="1:2">
      <c r="A89" t="s">
        <v>1079</v>
      </c>
      <c r="B89" t="s">
        <v>1079</v>
      </c>
    </row>
    <row r="90" spans="1:2">
      <c r="A90" t="s">
        <v>1079</v>
      </c>
      <c r="B90" t="s">
        <v>1079</v>
      </c>
    </row>
    <row r="91" spans="1:2">
      <c r="A91" t="s">
        <v>1079</v>
      </c>
      <c r="B91" t="s">
        <v>1079</v>
      </c>
    </row>
    <row r="92" spans="1:2">
      <c r="A92">
        <v>5</v>
      </c>
      <c r="B92" t="s">
        <v>1516</v>
      </c>
    </row>
    <row r="93" spans="1:2">
      <c r="A93" t="s">
        <v>1079</v>
      </c>
      <c r="B93" t="s">
        <v>1079</v>
      </c>
    </row>
    <row r="94" spans="1:2">
      <c r="A94">
        <v>2</v>
      </c>
      <c r="B94" t="s">
        <v>1517</v>
      </c>
    </row>
    <row r="95" spans="1:2">
      <c r="A95" t="s">
        <v>1079</v>
      </c>
      <c r="B95" t="s">
        <v>1079</v>
      </c>
    </row>
    <row r="96" spans="1:2">
      <c r="A96" t="s">
        <v>1079</v>
      </c>
      <c r="B96" t="s">
        <v>1079</v>
      </c>
    </row>
    <row r="97" spans="1:2">
      <c r="A97" t="s">
        <v>1079</v>
      </c>
      <c r="B97" t="s">
        <v>1079</v>
      </c>
    </row>
    <row r="98" spans="1:2">
      <c r="A98" t="s">
        <v>1079</v>
      </c>
      <c r="B98" t="s">
        <v>1079</v>
      </c>
    </row>
    <row r="99" spans="1:2">
      <c r="A99" t="s">
        <v>1079</v>
      </c>
      <c r="B99" t="s">
        <v>1079</v>
      </c>
    </row>
    <row r="100" spans="1:2">
      <c r="A100">
        <v>4</v>
      </c>
      <c r="B100" t="s">
        <v>1518</v>
      </c>
    </row>
    <row r="101" spans="1:2">
      <c r="A101" t="s">
        <v>1079</v>
      </c>
      <c r="B101" t="s">
        <v>1079</v>
      </c>
    </row>
    <row r="102" spans="1:2">
      <c r="A102">
        <v>2</v>
      </c>
      <c r="B102" t="s">
        <v>1519</v>
      </c>
    </row>
    <row r="103" spans="1:2">
      <c r="A103">
        <v>2</v>
      </c>
      <c r="B103" t="s">
        <v>1520</v>
      </c>
    </row>
    <row r="104" spans="1:2">
      <c r="A104" t="s">
        <v>1079</v>
      </c>
      <c r="B104" t="s">
        <v>1079</v>
      </c>
    </row>
  </sheetData>
  <sortState xmlns:xlrd2="http://schemas.microsoft.com/office/spreadsheetml/2017/richdata2" ref="B2:B104">
    <sortCondition descending="1" ref="B2:B104"/>
  </sortState>
  <phoneticPr fontId="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79636-E4F8-462B-8E84-13B25D63554E}">
  <dimension ref="A1:Z103"/>
  <sheetViews>
    <sheetView workbookViewId="0">
      <selection sqref="A1:D1"/>
    </sheetView>
  </sheetViews>
  <sheetFormatPr defaultRowHeight="16.5"/>
  <cols>
    <col min="1" max="1" width="5.5" customWidth="1"/>
    <col min="3" max="3" width="12.875" style="1" customWidth="1"/>
    <col min="4" max="4" width="9.625" style="2" customWidth="1"/>
    <col min="5" max="26" width="11" customWidth="1"/>
  </cols>
  <sheetData>
    <row r="1" spans="1:26" ht="44.25">
      <c r="A1" s="535" t="s">
        <v>17</v>
      </c>
      <c r="B1" s="535"/>
      <c r="C1" s="535"/>
      <c r="D1" s="535"/>
      <c r="E1" s="4" t="s">
        <v>18</v>
      </c>
      <c r="F1" s="4" t="s">
        <v>19</v>
      </c>
      <c r="G1" s="4" t="s">
        <v>20</v>
      </c>
      <c r="H1" s="5" t="s">
        <v>21</v>
      </c>
      <c r="I1" s="6" t="s">
        <v>22</v>
      </c>
      <c r="J1" s="4" t="s">
        <v>23</v>
      </c>
      <c r="K1" s="4" t="s">
        <v>24</v>
      </c>
      <c r="L1" s="5" t="s">
        <v>25</v>
      </c>
      <c r="M1" s="6" t="s">
        <v>26</v>
      </c>
      <c r="N1" s="4" t="s">
        <v>27</v>
      </c>
      <c r="O1" s="4" t="s">
        <v>28</v>
      </c>
      <c r="P1" s="5" t="s">
        <v>29</v>
      </c>
      <c r="Q1" s="6" t="s">
        <v>30</v>
      </c>
      <c r="R1" s="4" t="s">
        <v>31</v>
      </c>
      <c r="S1" s="7" t="s">
        <v>32</v>
      </c>
      <c r="T1" s="4" t="s">
        <v>33</v>
      </c>
      <c r="U1" s="7" t="s">
        <v>34</v>
      </c>
      <c r="V1" s="4" t="s">
        <v>35</v>
      </c>
      <c r="W1" s="7" t="s">
        <v>36</v>
      </c>
      <c r="X1" s="4" t="s">
        <v>37</v>
      </c>
      <c r="Y1" s="5" t="s">
        <v>38</v>
      </c>
      <c r="Z1" s="5" t="s">
        <v>39</v>
      </c>
    </row>
    <row r="2" spans="1:26" ht="29.25">
      <c r="A2" s="535" t="s">
        <v>0</v>
      </c>
      <c r="B2" s="535"/>
      <c r="C2" s="535"/>
      <c r="D2" s="535"/>
      <c r="E2" s="8" t="s">
        <v>1</v>
      </c>
      <c r="F2" s="8" t="s">
        <v>2</v>
      </c>
      <c r="G2" s="8" t="s">
        <v>3</v>
      </c>
      <c r="H2" s="9" t="s">
        <v>4</v>
      </c>
      <c r="I2" s="10" t="s">
        <v>4</v>
      </c>
      <c r="J2" s="8" t="s">
        <v>5</v>
      </c>
      <c r="K2" s="8" t="s">
        <v>6</v>
      </c>
      <c r="L2" s="9" t="s">
        <v>7</v>
      </c>
      <c r="M2" s="10" t="s">
        <v>7</v>
      </c>
      <c r="N2" s="8" t="s">
        <v>8</v>
      </c>
      <c r="O2" s="8" t="s">
        <v>9</v>
      </c>
      <c r="P2" s="9" t="s">
        <v>10</v>
      </c>
      <c r="Q2" s="10" t="s">
        <v>10</v>
      </c>
      <c r="R2" s="8" t="s">
        <v>11</v>
      </c>
      <c r="S2" s="11" t="s">
        <v>12</v>
      </c>
      <c r="T2" s="8" t="s">
        <v>12</v>
      </c>
      <c r="U2" s="11" t="s">
        <v>13</v>
      </c>
      <c r="V2" s="8" t="s">
        <v>13</v>
      </c>
      <c r="W2" s="11" t="s">
        <v>14</v>
      </c>
      <c r="X2" s="8" t="s">
        <v>14</v>
      </c>
      <c r="Y2" s="9" t="s">
        <v>15</v>
      </c>
      <c r="Z2" s="9" t="s">
        <v>16</v>
      </c>
    </row>
    <row r="3" spans="1:26" ht="29.25">
      <c r="A3" s="535" t="s">
        <v>40</v>
      </c>
      <c r="B3" s="535"/>
      <c r="C3" s="535"/>
      <c r="D3" s="535"/>
      <c r="E3" s="12"/>
      <c r="F3" s="12" t="s">
        <v>41</v>
      </c>
      <c r="G3" s="12" t="s">
        <v>42</v>
      </c>
      <c r="H3" s="13" t="s">
        <v>43</v>
      </c>
      <c r="I3" s="14" t="s">
        <v>44</v>
      </c>
      <c r="J3" s="12" t="s">
        <v>45</v>
      </c>
      <c r="K3" s="12" t="s">
        <v>46</v>
      </c>
      <c r="L3" s="13" t="s">
        <v>47</v>
      </c>
      <c r="M3" s="14" t="s">
        <v>48</v>
      </c>
      <c r="N3" s="12" t="s">
        <v>49</v>
      </c>
      <c r="O3" s="12" t="s">
        <v>50</v>
      </c>
      <c r="P3" s="13" t="s">
        <v>51</v>
      </c>
      <c r="Q3" s="14" t="s">
        <v>52</v>
      </c>
      <c r="R3" s="12" t="s">
        <v>53</v>
      </c>
      <c r="S3" s="15" t="s">
        <v>54</v>
      </c>
      <c r="T3" s="12" t="s">
        <v>55</v>
      </c>
      <c r="U3" s="15" t="s">
        <v>56</v>
      </c>
      <c r="V3" s="12" t="s">
        <v>57</v>
      </c>
      <c r="W3" s="15" t="s">
        <v>58</v>
      </c>
      <c r="X3" s="12" t="s">
        <v>59</v>
      </c>
      <c r="Y3" s="13" t="s">
        <v>60</v>
      </c>
      <c r="Z3" s="13" t="s">
        <v>61</v>
      </c>
    </row>
    <row r="4" spans="1:26" ht="44.25">
      <c r="A4" s="16">
        <v>1</v>
      </c>
      <c r="B4" s="4" t="s">
        <v>240</v>
      </c>
      <c r="C4" s="17" t="s">
        <v>62</v>
      </c>
      <c r="D4" s="18" t="s">
        <v>162</v>
      </c>
      <c r="E4" s="31" t="str">
        <f t="shared" ref="E4:T19" si="0">IF($D4="", "", _xlfn.CONCAT(E$3, $D4))</f>
        <v>un</v>
      </c>
      <c r="F4" s="31" t="str">
        <f t="shared" si="0"/>
        <v>pun</v>
      </c>
      <c r="G4" s="31" t="str">
        <f t="shared" si="0"/>
        <v>phun</v>
      </c>
      <c r="H4" s="31" t="str">
        <f t="shared" si="0"/>
        <v>bun</v>
      </c>
      <c r="I4" s="31" t="str">
        <f t="shared" si="0"/>
        <v>mun</v>
      </c>
      <c r="J4" s="31" t="str">
        <f t="shared" si="0"/>
        <v>tun</v>
      </c>
      <c r="K4" s="31" t="str">
        <f t="shared" si="0"/>
        <v>thun</v>
      </c>
      <c r="L4" s="31" t="str">
        <f t="shared" si="0"/>
        <v>lun</v>
      </c>
      <c r="M4" s="31" t="str">
        <f t="shared" si="0"/>
        <v>nun</v>
      </c>
      <c r="N4" s="31" t="str">
        <f t="shared" si="0"/>
        <v>kun</v>
      </c>
      <c r="O4" s="31" t="str">
        <f t="shared" si="0"/>
        <v>khun</v>
      </c>
      <c r="P4" s="31" t="str">
        <f t="shared" si="0"/>
        <v>gun</v>
      </c>
      <c r="Q4" s="31" t="str">
        <f t="shared" si="0"/>
        <v>ngun</v>
      </c>
      <c r="R4" s="31" t="str">
        <f t="shared" si="0"/>
        <v>hun</v>
      </c>
      <c r="S4" s="31" t="str">
        <f t="shared" si="0"/>
        <v>tsun</v>
      </c>
      <c r="T4" s="31" t="str">
        <f t="shared" si="0"/>
        <v>tsiun</v>
      </c>
      <c r="U4" s="31" t="str">
        <f t="shared" ref="U4:Z19" si="1">IF($D4="", "", _xlfn.CONCAT(U$3, $D4))</f>
        <v>tshun</v>
      </c>
      <c r="V4" s="31" t="str">
        <f t="shared" si="1"/>
        <v>tshiun</v>
      </c>
      <c r="W4" s="31" t="str">
        <f t="shared" si="1"/>
        <v>sun</v>
      </c>
      <c r="X4" s="31" t="str">
        <f t="shared" si="1"/>
        <v>siun</v>
      </c>
      <c r="Y4" s="31" t="str">
        <f t="shared" si="1"/>
        <v>jun</v>
      </c>
      <c r="Z4" s="31" t="str">
        <f t="shared" si="1"/>
        <v>jiun</v>
      </c>
    </row>
    <row r="5" spans="1:26" ht="44.25">
      <c r="A5" s="16">
        <v>2</v>
      </c>
      <c r="B5" s="4" t="s">
        <v>242</v>
      </c>
      <c r="C5" s="17" t="s">
        <v>63</v>
      </c>
      <c r="D5" s="18" t="s">
        <v>163</v>
      </c>
      <c r="E5" s="31" t="str">
        <f t="shared" si="0"/>
        <v>ut</v>
      </c>
      <c r="F5" s="31" t="str">
        <f t="shared" si="0"/>
        <v>put</v>
      </c>
      <c r="G5" s="31" t="str">
        <f t="shared" si="0"/>
        <v>phut</v>
      </c>
      <c r="H5" s="31" t="str">
        <f t="shared" si="0"/>
        <v>but</v>
      </c>
      <c r="I5" s="31" t="str">
        <f t="shared" si="0"/>
        <v>mut</v>
      </c>
      <c r="J5" s="31" t="str">
        <f t="shared" si="0"/>
        <v>tut</v>
      </c>
      <c r="K5" s="31" t="str">
        <f t="shared" si="0"/>
        <v>thut</v>
      </c>
      <c r="L5" s="31" t="str">
        <f t="shared" si="0"/>
        <v>lut</v>
      </c>
      <c r="M5" s="31" t="str">
        <f t="shared" si="0"/>
        <v>nut</v>
      </c>
      <c r="N5" s="31" t="str">
        <f t="shared" si="0"/>
        <v>kut</v>
      </c>
      <c r="O5" s="31" t="str">
        <f t="shared" si="0"/>
        <v>khut</v>
      </c>
      <c r="P5" s="31" t="str">
        <f t="shared" si="0"/>
        <v>gut</v>
      </c>
      <c r="Q5" s="31" t="str">
        <f t="shared" si="0"/>
        <v>ngut</v>
      </c>
      <c r="R5" s="31" t="str">
        <f t="shared" si="0"/>
        <v>hut</v>
      </c>
      <c r="S5" s="31" t="str">
        <f t="shared" si="0"/>
        <v>tsut</v>
      </c>
      <c r="T5" s="31" t="str">
        <f t="shared" si="0"/>
        <v>tsiut</v>
      </c>
      <c r="U5" s="31" t="str">
        <f t="shared" si="1"/>
        <v>tshut</v>
      </c>
      <c r="V5" s="31" t="str">
        <f t="shared" si="1"/>
        <v>tshiut</v>
      </c>
      <c r="W5" s="31" t="str">
        <f t="shared" si="1"/>
        <v>sut</v>
      </c>
      <c r="X5" s="31" t="str">
        <f t="shared" si="1"/>
        <v>siut</v>
      </c>
      <c r="Y5" s="31" t="str">
        <f t="shared" si="1"/>
        <v>jut</v>
      </c>
      <c r="Z5" s="31" t="str">
        <f t="shared" si="1"/>
        <v>jiut</v>
      </c>
    </row>
    <row r="6" spans="1:26" ht="44.25">
      <c r="A6" s="16">
        <v>3</v>
      </c>
      <c r="B6" s="4" t="s">
        <v>241</v>
      </c>
      <c r="C6" s="17" t="s">
        <v>64</v>
      </c>
      <c r="D6" s="18" t="s">
        <v>164</v>
      </c>
      <c r="E6" s="31" t="str">
        <f t="shared" si="0"/>
        <v>ian</v>
      </c>
      <c r="F6" s="31" t="str">
        <f t="shared" si="0"/>
        <v>pian</v>
      </c>
      <c r="G6" s="31" t="str">
        <f t="shared" si="0"/>
        <v>phian</v>
      </c>
      <c r="H6" s="31" t="str">
        <f t="shared" si="0"/>
        <v>bian</v>
      </c>
      <c r="I6" s="31" t="str">
        <f t="shared" si="0"/>
        <v>mian</v>
      </c>
      <c r="J6" s="31" t="str">
        <f t="shared" si="0"/>
        <v>tian</v>
      </c>
      <c r="K6" s="31" t="str">
        <f t="shared" si="0"/>
        <v>thian</v>
      </c>
      <c r="L6" s="31" t="str">
        <f t="shared" si="0"/>
        <v>lian</v>
      </c>
      <c r="M6" s="31" t="str">
        <f t="shared" si="0"/>
        <v>nian</v>
      </c>
      <c r="N6" s="31" t="str">
        <f t="shared" si="0"/>
        <v>kian</v>
      </c>
      <c r="O6" s="31" t="str">
        <f t="shared" si="0"/>
        <v>khian</v>
      </c>
      <c r="P6" s="31" t="str">
        <f t="shared" si="0"/>
        <v>gian</v>
      </c>
      <c r="Q6" s="31" t="str">
        <f t="shared" si="0"/>
        <v>ngian</v>
      </c>
      <c r="R6" s="31" t="str">
        <f t="shared" si="0"/>
        <v>hian</v>
      </c>
      <c r="S6" s="31" t="str">
        <f t="shared" si="0"/>
        <v>tsian</v>
      </c>
      <c r="T6" s="31" t="str">
        <f t="shared" si="0"/>
        <v>tsiian</v>
      </c>
      <c r="U6" s="31" t="str">
        <f t="shared" si="1"/>
        <v>tshian</v>
      </c>
      <c r="V6" s="31" t="str">
        <f t="shared" si="1"/>
        <v>tshiian</v>
      </c>
      <c r="W6" s="31" t="str">
        <f t="shared" si="1"/>
        <v>sian</v>
      </c>
      <c r="X6" s="31" t="str">
        <f t="shared" si="1"/>
        <v>siian</v>
      </c>
      <c r="Y6" s="31" t="str">
        <f t="shared" si="1"/>
        <v>jian</v>
      </c>
      <c r="Z6" s="31" t="str">
        <f t="shared" si="1"/>
        <v>jiian</v>
      </c>
    </row>
    <row r="7" spans="1:26" ht="44.25">
      <c r="A7" s="16">
        <v>4</v>
      </c>
      <c r="B7" s="4" t="s">
        <v>243</v>
      </c>
      <c r="C7" s="17" t="s">
        <v>65</v>
      </c>
      <c r="D7" s="18" t="s">
        <v>165</v>
      </c>
      <c r="E7" s="31" t="str">
        <f t="shared" si="0"/>
        <v>iat</v>
      </c>
      <c r="F7" s="31" t="str">
        <f t="shared" si="0"/>
        <v>piat</v>
      </c>
      <c r="G7" s="31" t="str">
        <f t="shared" si="0"/>
        <v>phiat</v>
      </c>
      <c r="H7" s="31" t="str">
        <f t="shared" si="0"/>
        <v>biat</v>
      </c>
      <c r="I7" s="31" t="str">
        <f t="shared" si="0"/>
        <v>miat</v>
      </c>
      <c r="J7" s="31" t="str">
        <f t="shared" si="0"/>
        <v>tiat</v>
      </c>
      <c r="K7" s="31" t="str">
        <f t="shared" si="0"/>
        <v>thiat</v>
      </c>
      <c r="L7" s="31" t="str">
        <f t="shared" si="0"/>
        <v>liat</v>
      </c>
      <c r="M7" s="31" t="str">
        <f t="shared" si="0"/>
        <v>niat</v>
      </c>
      <c r="N7" s="31" t="str">
        <f t="shared" si="0"/>
        <v>kiat</v>
      </c>
      <c r="O7" s="31" t="str">
        <f t="shared" si="0"/>
        <v>khiat</v>
      </c>
      <c r="P7" s="31" t="str">
        <f t="shared" si="0"/>
        <v>giat</v>
      </c>
      <c r="Q7" s="31" t="str">
        <f t="shared" si="0"/>
        <v>ngiat</v>
      </c>
      <c r="R7" s="31" t="str">
        <f t="shared" si="0"/>
        <v>hiat</v>
      </c>
      <c r="S7" s="31" t="str">
        <f t="shared" si="0"/>
        <v>tsiat</v>
      </c>
      <c r="T7" s="31" t="str">
        <f t="shared" si="0"/>
        <v>tsiiat</v>
      </c>
      <c r="U7" s="31" t="str">
        <f t="shared" si="1"/>
        <v>tshiat</v>
      </c>
      <c r="V7" s="31" t="str">
        <f t="shared" si="1"/>
        <v>tshiiat</v>
      </c>
      <c r="W7" s="31" t="str">
        <f t="shared" si="1"/>
        <v>siat</v>
      </c>
      <c r="X7" s="31" t="str">
        <f t="shared" si="1"/>
        <v>siiat</v>
      </c>
      <c r="Y7" s="31" t="str">
        <f t="shared" si="1"/>
        <v>jiat</v>
      </c>
      <c r="Z7" s="31" t="str">
        <f t="shared" si="1"/>
        <v>jiiat</v>
      </c>
    </row>
    <row r="8" spans="1:26" ht="44.25">
      <c r="A8" s="16">
        <v>5</v>
      </c>
      <c r="B8" s="4" t="s">
        <v>244</v>
      </c>
      <c r="C8" s="17" t="s">
        <v>66</v>
      </c>
      <c r="D8" s="18" t="s">
        <v>166</v>
      </c>
      <c r="E8" s="31" t="str">
        <f t="shared" si="0"/>
        <v>im</v>
      </c>
      <c r="F8" s="31" t="str">
        <f t="shared" si="0"/>
        <v>pim</v>
      </c>
      <c r="G8" s="31" t="str">
        <f t="shared" si="0"/>
        <v>phim</v>
      </c>
      <c r="H8" s="31" t="str">
        <f t="shared" si="0"/>
        <v>bim</v>
      </c>
      <c r="I8" s="31" t="str">
        <f t="shared" si="0"/>
        <v>mim</v>
      </c>
      <c r="J8" s="31" t="str">
        <f t="shared" si="0"/>
        <v>tim</v>
      </c>
      <c r="K8" s="31" t="str">
        <f t="shared" si="0"/>
        <v>thim</v>
      </c>
      <c r="L8" s="31" t="str">
        <f t="shared" si="0"/>
        <v>lim</v>
      </c>
      <c r="M8" s="31" t="str">
        <f t="shared" si="0"/>
        <v>nim</v>
      </c>
      <c r="N8" s="31" t="str">
        <f t="shared" si="0"/>
        <v>kim</v>
      </c>
      <c r="O8" s="31" t="str">
        <f t="shared" si="0"/>
        <v>khim</v>
      </c>
      <c r="P8" s="31" t="str">
        <f t="shared" si="0"/>
        <v>gim</v>
      </c>
      <c r="Q8" s="31" t="str">
        <f t="shared" si="0"/>
        <v>ngim</v>
      </c>
      <c r="R8" s="31" t="str">
        <f t="shared" si="0"/>
        <v>him</v>
      </c>
      <c r="S8" s="31" t="str">
        <f t="shared" si="0"/>
        <v>tsim</v>
      </c>
      <c r="T8" s="31" t="str">
        <f t="shared" si="0"/>
        <v>tsiim</v>
      </c>
      <c r="U8" s="31" t="str">
        <f t="shared" si="1"/>
        <v>tshim</v>
      </c>
      <c r="V8" s="31" t="str">
        <f t="shared" si="1"/>
        <v>tshiim</v>
      </c>
      <c r="W8" s="31" t="str">
        <f t="shared" si="1"/>
        <v>sim</v>
      </c>
      <c r="X8" s="31" t="str">
        <f t="shared" si="1"/>
        <v>siim</v>
      </c>
      <c r="Y8" s="31" t="str">
        <f t="shared" si="1"/>
        <v>jim</v>
      </c>
      <c r="Z8" s="31" t="str">
        <f t="shared" si="1"/>
        <v>jiim</v>
      </c>
    </row>
    <row r="9" spans="1:26" ht="44.25">
      <c r="A9" s="16">
        <v>6</v>
      </c>
      <c r="B9" s="4" t="s">
        <v>247</v>
      </c>
      <c r="C9" s="17" t="s">
        <v>67</v>
      </c>
      <c r="D9" s="18" t="s">
        <v>167</v>
      </c>
      <c r="E9" s="31" t="str">
        <f t="shared" si="0"/>
        <v>ip</v>
      </c>
      <c r="F9" s="31" t="str">
        <f t="shared" si="0"/>
        <v>pip</v>
      </c>
      <c r="G9" s="31" t="str">
        <f t="shared" si="0"/>
        <v>phip</v>
      </c>
      <c r="H9" s="31" t="str">
        <f t="shared" si="0"/>
        <v>bip</v>
      </c>
      <c r="I9" s="31" t="str">
        <f t="shared" si="0"/>
        <v>mip</v>
      </c>
      <c r="J9" s="31" t="str">
        <f t="shared" si="0"/>
        <v>tip</v>
      </c>
      <c r="K9" s="31" t="str">
        <f t="shared" si="0"/>
        <v>thip</v>
      </c>
      <c r="L9" s="31" t="str">
        <f t="shared" si="0"/>
        <v>lip</v>
      </c>
      <c r="M9" s="31" t="str">
        <f t="shared" si="0"/>
        <v>nip</v>
      </c>
      <c r="N9" s="31" t="str">
        <f t="shared" si="0"/>
        <v>kip</v>
      </c>
      <c r="O9" s="31" t="str">
        <f t="shared" si="0"/>
        <v>khip</v>
      </c>
      <c r="P9" s="31" t="str">
        <f t="shared" si="0"/>
        <v>gip</v>
      </c>
      <c r="Q9" s="31" t="str">
        <f t="shared" si="0"/>
        <v>ngip</v>
      </c>
      <c r="R9" s="31" t="str">
        <f t="shared" si="0"/>
        <v>hip</v>
      </c>
      <c r="S9" s="31" t="str">
        <f t="shared" si="0"/>
        <v>tsip</v>
      </c>
      <c r="T9" s="31" t="str">
        <f t="shared" si="0"/>
        <v>tsiip</v>
      </c>
      <c r="U9" s="31" t="str">
        <f t="shared" si="1"/>
        <v>tship</v>
      </c>
      <c r="V9" s="31" t="str">
        <f t="shared" si="1"/>
        <v>tshiip</v>
      </c>
      <c r="W9" s="31" t="str">
        <f t="shared" si="1"/>
        <v>sip</v>
      </c>
      <c r="X9" s="31" t="str">
        <f t="shared" si="1"/>
        <v>siip</v>
      </c>
      <c r="Y9" s="31" t="str">
        <f t="shared" si="1"/>
        <v>jip</v>
      </c>
      <c r="Z9" s="31" t="str">
        <f t="shared" si="1"/>
        <v>jiip</v>
      </c>
    </row>
    <row r="10" spans="1:26" ht="44.25">
      <c r="A10" s="16">
        <v>7</v>
      </c>
      <c r="B10" s="4" t="s">
        <v>248</v>
      </c>
      <c r="C10" s="17" t="s">
        <v>68</v>
      </c>
      <c r="D10" s="18" t="s">
        <v>168</v>
      </c>
      <c r="E10" s="31" t="str">
        <f t="shared" si="0"/>
        <v>ui</v>
      </c>
      <c r="F10" s="31" t="str">
        <f t="shared" si="0"/>
        <v>pui</v>
      </c>
      <c r="G10" s="31" t="str">
        <f t="shared" si="0"/>
        <v>phui</v>
      </c>
      <c r="H10" s="31" t="str">
        <f t="shared" si="0"/>
        <v>bui</v>
      </c>
      <c r="I10" s="31" t="str">
        <f t="shared" si="0"/>
        <v>mui</v>
      </c>
      <c r="J10" s="31" t="str">
        <f t="shared" si="0"/>
        <v>tui</v>
      </c>
      <c r="K10" s="31" t="str">
        <f t="shared" si="0"/>
        <v>thui</v>
      </c>
      <c r="L10" s="31" t="str">
        <f t="shared" si="0"/>
        <v>lui</v>
      </c>
      <c r="M10" s="31" t="str">
        <f t="shared" si="0"/>
        <v>nui</v>
      </c>
      <c r="N10" s="31" t="str">
        <f t="shared" si="0"/>
        <v>kui</v>
      </c>
      <c r="O10" s="31" t="str">
        <f t="shared" si="0"/>
        <v>khui</v>
      </c>
      <c r="P10" s="31" t="str">
        <f t="shared" si="0"/>
        <v>gui</v>
      </c>
      <c r="Q10" s="31" t="str">
        <f t="shared" si="0"/>
        <v>ngui</v>
      </c>
      <c r="R10" s="31" t="str">
        <f t="shared" si="0"/>
        <v>hui</v>
      </c>
      <c r="S10" s="31" t="str">
        <f t="shared" si="0"/>
        <v>tsui</v>
      </c>
      <c r="T10" s="31" t="str">
        <f t="shared" si="0"/>
        <v>tsiui</v>
      </c>
      <c r="U10" s="31" t="str">
        <f t="shared" si="1"/>
        <v>tshui</v>
      </c>
      <c r="V10" s="31" t="str">
        <f t="shared" si="1"/>
        <v>tshiui</v>
      </c>
      <c r="W10" s="31" t="str">
        <f t="shared" si="1"/>
        <v>sui</v>
      </c>
      <c r="X10" s="31" t="str">
        <f t="shared" si="1"/>
        <v>siui</v>
      </c>
      <c r="Y10" s="31" t="str">
        <f t="shared" si="1"/>
        <v>jui</v>
      </c>
      <c r="Z10" s="31" t="str">
        <f t="shared" si="1"/>
        <v>jiui</v>
      </c>
    </row>
    <row r="11" spans="1:26" ht="44.25">
      <c r="A11" s="16">
        <v>8</v>
      </c>
      <c r="B11" s="4"/>
      <c r="C11" s="23" t="s">
        <v>69</v>
      </c>
      <c r="D11" s="24"/>
      <c r="E11" s="31" t="str">
        <f t="shared" si="0"/>
        <v/>
      </c>
      <c r="F11" s="31" t="str">
        <f t="shared" si="0"/>
        <v/>
      </c>
      <c r="G11" s="31" t="str">
        <f t="shared" si="0"/>
        <v/>
      </c>
      <c r="H11" s="31" t="str">
        <f t="shared" si="0"/>
        <v/>
      </c>
      <c r="I11" s="31" t="str">
        <f t="shared" si="0"/>
        <v/>
      </c>
      <c r="J11" s="31" t="str">
        <f t="shared" si="0"/>
        <v/>
      </c>
      <c r="K11" s="31" t="str">
        <f t="shared" si="0"/>
        <v/>
      </c>
      <c r="L11" s="31" t="str">
        <f t="shared" si="0"/>
        <v/>
      </c>
      <c r="M11" s="31" t="str">
        <f t="shared" si="0"/>
        <v/>
      </c>
      <c r="N11" s="31" t="str">
        <f t="shared" si="0"/>
        <v/>
      </c>
      <c r="O11" s="31" t="str">
        <f t="shared" si="0"/>
        <v/>
      </c>
      <c r="P11" s="31" t="str">
        <f t="shared" si="0"/>
        <v/>
      </c>
      <c r="Q11" s="31" t="str">
        <f t="shared" si="0"/>
        <v/>
      </c>
      <c r="R11" s="31" t="str">
        <f t="shared" si="0"/>
        <v/>
      </c>
      <c r="S11" s="31" t="str">
        <f t="shared" si="0"/>
        <v/>
      </c>
      <c r="T11" s="31" t="str">
        <f t="shared" si="0"/>
        <v/>
      </c>
      <c r="U11" s="31" t="str">
        <f t="shared" si="1"/>
        <v/>
      </c>
      <c r="V11" s="31" t="str">
        <f t="shared" si="1"/>
        <v/>
      </c>
      <c r="W11" s="31" t="str">
        <f t="shared" si="1"/>
        <v/>
      </c>
      <c r="X11" s="31" t="str">
        <f t="shared" si="1"/>
        <v/>
      </c>
      <c r="Y11" s="31" t="str">
        <f t="shared" si="1"/>
        <v/>
      </c>
      <c r="Z11" s="31" t="str">
        <f t="shared" si="1"/>
        <v/>
      </c>
    </row>
    <row r="12" spans="1:26" ht="44.25">
      <c r="A12" s="16">
        <v>9</v>
      </c>
      <c r="B12" s="19" t="s">
        <v>249</v>
      </c>
      <c r="C12" s="20" t="s">
        <v>70</v>
      </c>
      <c r="D12" s="21" t="s">
        <v>169</v>
      </c>
      <c r="E12" s="31" t="str">
        <f t="shared" si="0"/>
        <v>ee</v>
      </c>
      <c r="F12" s="31" t="str">
        <f t="shared" si="0"/>
        <v>pee</v>
      </c>
      <c r="G12" s="31" t="str">
        <f t="shared" si="0"/>
        <v>phee</v>
      </c>
      <c r="H12" s="31" t="str">
        <f t="shared" si="0"/>
        <v>bee</v>
      </c>
      <c r="I12" s="31" t="str">
        <f t="shared" si="0"/>
        <v>mee</v>
      </c>
      <c r="J12" s="31" t="str">
        <f t="shared" si="0"/>
        <v>tee</v>
      </c>
      <c r="K12" s="31" t="str">
        <f t="shared" si="0"/>
        <v>thee</v>
      </c>
      <c r="L12" s="31" t="str">
        <f t="shared" si="0"/>
        <v>lee</v>
      </c>
      <c r="M12" s="31" t="str">
        <f t="shared" si="0"/>
        <v>nee</v>
      </c>
      <c r="N12" s="31" t="str">
        <f t="shared" si="0"/>
        <v>kee</v>
      </c>
      <c r="O12" s="31" t="str">
        <f t="shared" si="0"/>
        <v>khee</v>
      </c>
      <c r="P12" s="31" t="str">
        <f t="shared" si="0"/>
        <v>gee</v>
      </c>
      <c r="Q12" s="31" t="str">
        <f t="shared" si="0"/>
        <v>ngee</v>
      </c>
      <c r="R12" s="31" t="str">
        <f t="shared" si="0"/>
        <v>hee</v>
      </c>
      <c r="S12" s="31" t="str">
        <f t="shared" si="0"/>
        <v>tsee</v>
      </c>
      <c r="T12" s="31" t="str">
        <f t="shared" si="0"/>
        <v>tsiee</v>
      </c>
      <c r="U12" s="31" t="str">
        <f t="shared" si="1"/>
        <v>tshee</v>
      </c>
      <c r="V12" s="31" t="str">
        <f t="shared" si="1"/>
        <v>tshiee</v>
      </c>
      <c r="W12" s="31" t="str">
        <f t="shared" si="1"/>
        <v>see</v>
      </c>
      <c r="X12" s="31" t="str">
        <f t="shared" si="1"/>
        <v>siee</v>
      </c>
      <c r="Y12" s="31" t="str">
        <f t="shared" si="1"/>
        <v>jee</v>
      </c>
      <c r="Z12" s="31" t="str">
        <f t="shared" si="1"/>
        <v>jiee</v>
      </c>
    </row>
    <row r="13" spans="1:26" ht="44.25">
      <c r="A13" s="16">
        <v>10</v>
      </c>
      <c r="B13" s="19" t="s">
        <v>250</v>
      </c>
      <c r="C13" s="20" t="s">
        <v>71</v>
      </c>
      <c r="D13" s="21" t="s">
        <v>170</v>
      </c>
      <c r="E13" s="31" t="str">
        <f t="shared" si="0"/>
        <v>eeh</v>
      </c>
      <c r="F13" s="31" t="str">
        <f t="shared" si="0"/>
        <v>peeh</v>
      </c>
      <c r="G13" s="31" t="str">
        <f t="shared" si="0"/>
        <v>pheeh</v>
      </c>
      <c r="H13" s="31" t="str">
        <f t="shared" si="0"/>
        <v>beeh</v>
      </c>
      <c r="I13" s="31" t="str">
        <f t="shared" si="0"/>
        <v>meeh</v>
      </c>
      <c r="J13" s="31" t="str">
        <f t="shared" si="0"/>
        <v>teeh</v>
      </c>
      <c r="K13" s="31" t="str">
        <f t="shared" si="0"/>
        <v>theeh</v>
      </c>
      <c r="L13" s="31" t="str">
        <f t="shared" si="0"/>
        <v>leeh</v>
      </c>
      <c r="M13" s="31" t="str">
        <f t="shared" si="0"/>
        <v>neeh</v>
      </c>
      <c r="N13" s="31" t="str">
        <f t="shared" si="0"/>
        <v>keeh</v>
      </c>
      <c r="O13" s="31" t="str">
        <f t="shared" si="0"/>
        <v>kheeh</v>
      </c>
      <c r="P13" s="31" t="str">
        <f t="shared" si="0"/>
        <v>geeh</v>
      </c>
      <c r="Q13" s="31" t="str">
        <f t="shared" si="0"/>
        <v>ngeeh</v>
      </c>
      <c r="R13" s="31" t="str">
        <f t="shared" si="0"/>
        <v>heeh</v>
      </c>
      <c r="S13" s="31" t="str">
        <f t="shared" si="0"/>
        <v>tseeh</v>
      </c>
      <c r="T13" s="31" t="str">
        <f t="shared" si="0"/>
        <v>tsieeh</v>
      </c>
      <c r="U13" s="31" t="str">
        <f t="shared" si="1"/>
        <v>tsheeh</v>
      </c>
      <c r="V13" s="31" t="str">
        <f t="shared" si="1"/>
        <v>tshieeh</v>
      </c>
      <c r="W13" s="31" t="str">
        <f t="shared" si="1"/>
        <v>seeh</v>
      </c>
      <c r="X13" s="31" t="str">
        <f t="shared" si="1"/>
        <v>sieeh</v>
      </c>
      <c r="Y13" s="31" t="str">
        <f t="shared" si="1"/>
        <v>jeeh</v>
      </c>
      <c r="Z13" s="31" t="str">
        <f t="shared" si="1"/>
        <v>jieeh</v>
      </c>
    </row>
    <row r="14" spans="1:26" ht="44.25">
      <c r="A14" s="16">
        <v>11</v>
      </c>
      <c r="B14" s="4" t="s">
        <v>251</v>
      </c>
      <c r="C14" s="17" t="s">
        <v>72</v>
      </c>
      <c r="D14" s="18" t="s">
        <v>171</v>
      </c>
      <c r="E14" s="31" t="str">
        <f t="shared" si="0"/>
        <v>an</v>
      </c>
      <c r="F14" s="31" t="str">
        <f t="shared" si="0"/>
        <v>pan</v>
      </c>
      <c r="G14" s="31" t="str">
        <f t="shared" si="0"/>
        <v>phan</v>
      </c>
      <c r="H14" s="31" t="str">
        <f t="shared" si="0"/>
        <v>ban</v>
      </c>
      <c r="I14" s="31" t="str">
        <f t="shared" si="0"/>
        <v>man</v>
      </c>
      <c r="J14" s="31" t="str">
        <f t="shared" si="0"/>
        <v>tan</v>
      </c>
      <c r="K14" s="31" t="str">
        <f t="shared" si="0"/>
        <v>than</v>
      </c>
      <c r="L14" s="31" t="str">
        <f t="shared" si="0"/>
        <v>lan</v>
      </c>
      <c r="M14" s="31" t="str">
        <f t="shared" si="0"/>
        <v>nan</v>
      </c>
      <c r="N14" s="31" t="str">
        <f t="shared" si="0"/>
        <v>kan</v>
      </c>
      <c r="O14" s="31" t="str">
        <f t="shared" si="0"/>
        <v>khan</v>
      </c>
      <c r="P14" s="31" t="str">
        <f t="shared" si="0"/>
        <v>gan</v>
      </c>
      <c r="Q14" s="31" t="str">
        <f t="shared" si="0"/>
        <v>ngan</v>
      </c>
      <c r="R14" s="31" t="str">
        <f t="shared" si="0"/>
        <v>han</v>
      </c>
      <c r="S14" s="31" t="str">
        <f t="shared" si="0"/>
        <v>tsan</v>
      </c>
      <c r="T14" s="31" t="str">
        <f t="shared" si="0"/>
        <v>tsian</v>
      </c>
      <c r="U14" s="31" t="str">
        <f t="shared" si="1"/>
        <v>tshan</v>
      </c>
      <c r="V14" s="31" t="str">
        <f t="shared" si="1"/>
        <v>tshian</v>
      </c>
      <c r="W14" s="31" t="str">
        <f t="shared" si="1"/>
        <v>san</v>
      </c>
      <c r="X14" s="31" t="str">
        <f t="shared" si="1"/>
        <v>sian</v>
      </c>
      <c r="Y14" s="31" t="str">
        <f t="shared" si="1"/>
        <v>jan</v>
      </c>
      <c r="Z14" s="31" t="str">
        <f t="shared" si="1"/>
        <v>jian</v>
      </c>
    </row>
    <row r="15" spans="1:26" ht="44.25">
      <c r="A15" s="16">
        <v>12</v>
      </c>
      <c r="B15" s="4" t="s">
        <v>245</v>
      </c>
      <c r="C15" s="17" t="s">
        <v>73</v>
      </c>
      <c r="D15" s="18" t="s">
        <v>172</v>
      </c>
      <c r="E15" s="31" t="str">
        <f t="shared" si="0"/>
        <v>at</v>
      </c>
      <c r="F15" s="31" t="str">
        <f t="shared" si="0"/>
        <v>pat</v>
      </c>
      <c r="G15" s="31" t="str">
        <f t="shared" si="0"/>
        <v>phat</v>
      </c>
      <c r="H15" s="31" t="str">
        <f t="shared" si="0"/>
        <v>bat</v>
      </c>
      <c r="I15" s="31" t="str">
        <f t="shared" si="0"/>
        <v>mat</v>
      </c>
      <c r="J15" s="31" t="str">
        <f t="shared" si="0"/>
        <v>tat</v>
      </c>
      <c r="K15" s="31" t="str">
        <f t="shared" si="0"/>
        <v>that</v>
      </c>
      <c r="L15" s="31" t="str">
        <f t="shared" si="0"/>
        <v>lat</v>
      </c>
      <c r="M15" s="31" t="str">
        <f t="shared" si="0"/>
        <v>nat</v>
      </c>
      <c r="N15" s="31" t="str">
        <f t="shared" si="0"/>
        <v>kat</v>
      </c>
      <c r="O15" s="31" t="str">
        <f t="shared" si="0"/>
        <v>khat</v>
      </c>
      <c r="P15" s="31" t="str">
        <f t="shared" si="0"/>
        <v>gat</v>
      </c>
      <c r="Q15" s="31" t="str">
        <f t="shared" si="0"/>
        <v>ngat</v>
      </c>
      <c r="R15" s="31" t="str">
        <f t="shared" si="0"/>
        <v>hat</v>
      </c>
      <c r="S15" s="31" t="str">
        <f t="shared" si="0"/>
        <v>tsat</v>
      </c>
      <c r="T15" s="31" t="str">
        <f t="shared" si="0"/>
        <v>tsiat</v>
      </c>
      <c r="U15" s="31" t="str">
        <f t="shared" si="1"/>
        <v>tshat</v>
      </c>
      <c r="V15" s="31" t="str">
        <f t="shared" si="1"/>
        <v>tshiat</v>
      </c>
      <c r="W15" s="31" t="str">
        <f t="shared" si="1"/>
        <v>sat</v>
      </c>
      <c r="X15" s="31" t="str">
        <f t="shared" si="1"/>
        <v>siat</v>
      </c>
      <c r="Y15" s="31" t="str">
        <f t="shared" si="1"/>
        <v>jat</v>
      </c>
      <c r="Z15" s="31" t="str">
        <f t="shared" si="1"/>
        <v>jiat</v>
      </c>
    </row>
    <row r="16" spans="1:26" ht="44.25">
      <c r="A16" s="16">
        <v>13</v>
      </c>
      <c r="B16" s="4" t="s">
        <v>255</v>
      </c>
      <c r="C16" s="17" t="s">
        <v>74</v>
      </c>
      <c r="D16" s="18" t="s">
        <v>173</v>
      </c>
      <c r="E16" s="31" t="str">
        <f t="shared" si="0"/>
        <v>ong</v>
      </c>
      <c r="F16" s="31" t="str">
        <f t="shared" si="0"/>
        <v>pong</v>
      </c>
      <c r="G16" s="31" t="str">
        <f t="shared" si="0"/>
        <v>phong</v>
      </c>
      <c r="H16" s="31" t="str">
        <f t="shared" si="0"/>
        <v>bong</v>
      </c>
      <c r="I16" s="31" t="str">
        <f t="shared" si="0"/>
        <v>mong</v>
      </c>
      <c r="J16" s="31" t="str">
        <f t="shared" si="0"/>
        <v>tong</v>
      </c>
      <c r="K16" s="31" t="str">
        <f t="shared" si="0"/>
        <v>thong</v>
      </c>
      <c r="L16" s="31" t="str">
        <f t="shared" si="0"/>
        <v>long</v>
      </c>
      <c r="M16" s="31" t="str">
        <f t="shared" si="0"/>
        <v>nong</v>
      </c>
      <c r="N16" s="31" t="str">
        <f t="shared" si="0"/>
        <v>kong</v>
      </c>
      <c r="O16" s="31" t="str">
        <f t="shared" si="0"/>
        <v>khong</v>
      </c>
      <c r="P16" s="31" t="str">
        <f t="shared" si="0"/>
        <v>gong</v>
      </c>
      <c r="Q16" s="31" t="str">
        <f t="shared" si="0"/>
        <v>ngong</v>
      </c>
      <c r="R16" s="31" t="str">
        <f t="shared" si="0"/>
        <v>hong</v>
      </c>
      <c r="S16" s="31" t="str">
        <f t="shared" si="0"/>
        <v>tsong</v>
      </c>
      <c r="T16" s="31" t="str">
        <f t="shared" si="0"/>
        <v>tsiong</v>
      </c>
      <c r="U16" s="31" t="str">
        <f t="shared" si="1"/>
        <v>tshong</v>
      </c>
      <c r="V16" s="31" t="str">
        <f t="shared" si="1"/>
        <v>tshiong</v>
      </c>
      <c r="W16" s="31" t="str">
        <f t="shared" si="1"/>
        <v>song</v>
      </c>
      <c r="X16" s="31" t="str">
        <f t="shared" si="1"/>
        <v>siong</v>
      </c>
      <c r="Y16" s="31" t="str">
        <f t="shared" si="1"/>
        <v>jong</v>
      </c>
      <c r="Z16" s="31" t="str">
        <f t="shared" si="1"/>
        <v>jiong</v>
      </c>
    </row>
    <row r="17" spans="1:26" ht="44.25">
      <c r="A17" s="16">
        <v>14</v>
      </c>
      <c r="B17" s="4" t="s">
        <v>256</v>
      </c>
      <c r="C17" s="17" t="s">
        <v>75</v>
      </c>
      <c r="D17" s="18" t="s">
        <v>174</v>
      </c>
      <c r="E17" s="31" t="str">
        <f t="shared" si="0"/>
        <v>ok</v>
      </c>
      <c r="F17" s="31" t="str">
        <f t="shared" si="0"/>
        <v>pok</v>
      </c>
      <c r="G17" s="31" t="str">
        <f t="shared" si="0"/>
        <v>phok</v>
      </c>
      <c r="H17" s="31" t="str">
        <f t="shared" si="0"/>
        <v>bok</v>
      </c>
      <c r="I17" s="31" t="str">
        <f t="shared" si="0"/>
        <v>mok</v>
      </c>
      <c r="J17" s="31" t="str">
        <f t="shared" si="0"/>
        <v>tok</v>
      </c>
      <c r="K17" s="31" t="str">
        <f t="shared" si="0"/>
        <v>thok</v>
      </c>
      <c r="L17" s="31" t="str">
        <f t="shared" si="0"/>
        <v>lok</v>
      </c>
      <c r="M17" s="31" t="str">
        <f t="shared" si="0"/>
        <v>nok</v>
      </c>
      <c r="N17" s="31" t="str">
        <f t="shared" si="0"/>
        <v>kok</v>
      </c>
      <c r="O17" s="31" t="str">
        <f t="shared" si="0"/>
        <v>khok</v>
      </c>
      <c r="P17" s="31" t="str">
        <f t="shared" si="0"/>
        <v>gok</v>
      </c>
      <c r="Q17" s="31" t="str">
        <f t="shared" si="0"/>
        <v>ngok</v>
      </c>
      <c r="R17" s="31" t="str">
        <f t="shared" si="0"/>
        <v>hok</v>
      </c>
      <c r="S17" s="31" t="str">
        <f t="shared" si="0"/>
        <v>tsok</v>
      </c>
      <c r="T17" s="31" t="str">
        <f t="shared" si="0"/>
        <v>tsiok</v>
      </c>
      <c r="U17" s="31" t="str">
        <f t="shared" si="1"/>
        <v>tshok</v>
      </c>
      <c r="V17" s="31" t="str">
        <f t="shared" si="1"/>
        <v>tshiok</v>
      </c>
      <c r="W17" s="31" t="str">
        <f t="shared" si="1"/>
        <v>sok</v>
      </c>
      <c r="X17" s="31" t="str">
        <f t="shared" si="1"/>
        <v>siok</v>
      </c>
      <c r="Y17" s="31" t="str">
        <f t="shared" si="1"/>
        <v>jok</v>
      </c>
      <c r="Z17" s="31" t="str">
        <f t="shared" si="1"/>
        <v>jiok</v>
      </c>
    </row>
    <row r="18" spans="1:26" ht="44.25">
      <c r="A18" s="16">
        <v>15</v>
      </c>
      <c r="B18" s="4" t="s">
        <v>257</v>
      </c>
      <c r="C18" s="17" t="s">
        <v>76</v>
      </c>
      <c r="D18" s="18" t="s">
        <v>175</v>
      </c>
      <c r="E18" s="31" t="str">
        <f t="shared" si="0"/>
        <v>uai</v>
      </c>
      <c r="F18" s="31" t="str">
        <f t="shared" si="0"/>
        <v>puai</v>
      </c>
      <c r="G18" s="31" t="str">
        <f t="shared" si="0"/>
        <v>phuai</v>
      </c>
      <c r="H18" s="31" t="str">
        <f t="shared" si="0"/>
        <v>buai</v>
      </c>
      <c r="I18" s="31" t="str">
        <f t="shared" si="0"/>
        <v>muai</v>
      </c>
      <c r="J18" s="31" t="str">
        <f t="shared" si="0"/>
        <v>tuai</v>
      </c>
      <c r="K18" s="31" t="str">
        <f t="shared" si="0"/>
        <v>thuai</v>
      </c>
      <c r="L18" s="31" t="str">
        <f t="shared" si="0"/>
        <v>luai</v>
      </c>
      <c r="M18" s="31" t="str">
        <f t="shared" si="0"/>
        <v>nuai</v>
      </c>
      <c r="N18" s="31" t="str">
        <f t="shared" si="0"/>
        <v>kuai</v>
      </c>
      <c r="O18" s="31" t="str">
        <f t="shared" si="0"/>
        <v>khuai</v>
      </c>
      <c r="P18" s="31" t="str">
        <f t="shared" si="0"/>
        <v>guai</v>
      </c>
      <c r="Q18" s="31" t="str">
        <f t="shared" si="0"/>
        <v>nguai</v>
      </c>
      <c r="R18" s="31" t="str">
        <f t="shared" si="0"/>
        <v>huai</v>
      </c>
      <c r="S18" s="31" t="str">
        <f t="shared" si="0"/>
        <v>tsuai</v>
      </c>
      <c r="T18" s="31" t="str">
        <f t="shared" si="0"/>
        <v>tsiuai</v>
      </c>
      <c r="U18" s="31" t="str">
        <f t="shared" si="1"/>
        <v>tshuai</v>
      </c>
      <c r="V18" s="31" t="str">
        <f t="shared" si="1"/>
        <v>tshiuai</v>
      </c>
      <c r="W18" s="31" t="str">
        <f t="shared" si="1"/>
        <v>suai</v>
      </c>
      <c r="X18" s="31" t="str">
        <f t="shared" si="1"/>
        <v>siuai</v>
      </c>
      <c r="Y18" s="31" t="str">
        <f t="shared" si="1"/>
        <v>juai</v>
      </c>
      <c r="Z18" s="31" t="str">
        <f t="shared" si="1"/>
        <v>jiuai</v>
      </c>
    </row>
    <row r="19" spans="1:26" ht="44.25">
      <c r="A19" s="16">
        <v>16</v>
      </c>
      <c r="B19" s="22" t="s">
        <v>258</v>
      </c>
      <c r="C19" s="23" t="s">
        <v>77</v>
      </c>
      <c r="D19" s="24" t="s">
        <v>176</v>
      </c>
      <c r="E19" s="31" t="str">
        <f t="shared" si="0"/>
        <v>uaih</v>
      </c>
      <c r="F19" s="31" t="str">
        <f t="shared" si="0"/>
        <v>puaih</v>
      </c>
      <c r="G19" s="31" t="str">
        <f t="shared" si="0"/>
        <v>phuaih</v>
      </c>
      <c r="H19" s="31" t="str">
        <f t="shared" si="0"/>
        <v>buaih</v>
      </c>
      <c r="I19" s="31" t="str">
        <f t="shared" si="0"/>
        <v>muaih</v>
      </c>
      <c r="J19" s="31" t="str">
        <f t="shared" si="0"/>
        <v>tuaih</v>
      </c>
      <c r="K19" s="31" t="str">
        <f t="shared" si="0"/>
        <v>thuaih</v>
      </c>
      <c r="L19" s="31" t="str">
        <f t="shared" si="0"/>
        <v>luaih</v>
      </c>
      <c r="M19" s="31" t="str">
        <f t="shared" si="0"/>
        <v>nuaih</v>
      </c>
      <c r="N19" s="31" t="str">
        <f t="shared" si="0"/>
        <v>kuaih</v>
      </c>
      <c r="O19" s="31" t="str">
        <f t="shared" si="0"/>
        <v>khuaih</v>
      </c>
      <c r="P19" s="31" t="str">
        <f t="shared" si="0"/>
        <v>guaih</v>
      </c>
      <c r="Q19" s="31" t="str">
        <f t="shared" si="0"/>
        <v>nguaih</v>
      </c>
      <c r="R19" s="31" t="str">
        <f t="shared" si="0"/>
        <v>huaih</v>
      </c>
      <c r="S19" s="31" t="str">
        <f t="shared" si="0"/>
        <v>tsuaih</v>
      </c>
      <c r="T19" s="31" t="str">
        <f t="shared" ref="E19:T35" si="2">IF($D19="", "", _xlfn.CONCAT(T$3, $D19))</f>
        <v>tsiuaih</v>
      </c>
      <c r="U19" s="31" t="str">
        <f t="shared" si="1"/>
        <v>tshuaih</v>
      </c>
      <c r="V19" s="31" t="str">
        <f t="shared" si="1"/>
        <v>tshiuaih</v>
      </c>
      <c r="W19" s="31" t="str">
        <f t="shared" si="1"/>
        <v>suaih</v>
      </c>
      <c r="X19" s="31" t="str">
        <f t="shared" si="1"/>
        <v>siuaih</v>
      </c>
      <c r="Y19" s="31" t="str">
        <f t="shared" si="1"/>
        <v>juaih</v>
      </c>
      <c r="Z19" s="31" t="str">
        <f t="shared" si="1"/>
        <v>jiuaih</v>
      </c>
    </row>
    <row r="20" spans="1:26" ht="44.25">
      <c r="A20" s="16">
        <v>17</v>
      </c>
      <c r="B20" s="4" t="s">
        <v>259</v>
      </c>
      <c r="C20" s="17" t="s">
        <v>78</v>
      </c>
      <c r="D20" s="18" t="s">
        <v>177</v>
      </c>
      <c r="E20" s="31" t="str">
        <f t="shared" si="2"/>
        <v>ing</v>
      </c>
      <c r="F20" s="31" t="str">
        <f t="shared" si="2"/>
        <v>ping</v>
      </c>
      <c r="G20" s="31" t="str">
        <f t="shared" si="2"/>
        <v>phing</v>
      </c>
      <c r="H20" s="31" t="str">
        <f t="shared" si="2"/>
        <v>bing</v>
      </c>
      <c r="I20" s="31" t="str">
        <f t="shared" si="2"/>
        <v>ming</v>
      </c>
      <c r="J20" s="31" t="str">
        <f t="shared" si="2"/>
        <v>ting</v>
      </c>
      <c r="K20" s="31" t="str">
        <f t="shared" si="2"/>
        <v>thing</v>
      </c>
      <c r="L20" s="31" t="str">
        <f t="shared" si="2"/>
        <v>ling</v>
      </c>
      <c r="M20" s="31" t="str">
        <f t="shared" si="2"/>
        <v>ning</v>
      </c>
      <c r="N20" s="31" t="str">
        <f t="shared" si="2"/>
        <v>king</v>
      </c>
      <c r="O20" s="31" t="str">
        <f t="shared" si="2"/>
        <v>khing</v>
      </c>
      <c r="P20" s="31" t="str">
        <f t="shared" si="2"/>
        <v>ging</v>
      </c>
      <c r="Q20" s="31" t="str">
        <f t="shared" si="2"/>
        <v>nging</v>
      </c>
      <c r="R20" s="31" t="str">
        <f t="shared" si="2"/>
        <v>hing</v>
      </c>
      <c r="S20" s="31" t="str">
        <f t="shared" si="2"/>
        <v>tsing</v>
      </c>
      <c r="T20" s="31" t="str">
        <f t="shared" si="2"/>
        <v>tsiing</v>
      </c>
      <c r="U20" s="31" t="str">
        <f t="shared" ref="U20:Z62" si="3">IF($D20="", "", _xlfn.CONCAT(U$3, $D20))</f>
        <v>tshing</v>
      </c>
      <c r="V20" s="31" t="str">
        <f t="shared" si="3"/>
        <v>tshiing</v>
      </c>
      <c r="W20" s="31" t="str">
        <f t="shared" si="3"/>
        <v>sing</v>
      </c>
      <c r="X20" s="31" t="str">
        <f t="shared" si="3"/>
        <v>siing</v>
      </c>
      <c r="Y20" s="31" t="str">
        <f t="shared" si="3"/>
        <v>jing</v>
      </c>
      <c r="Z20" s="31" t="str">
        <f t="shared" si="3"/>
        <v>jiing</v>
      </c>
    </row>
    <row r="21" spans="1:26" ht="44.25">
      <c r="A21" s="16">
        <v>18</v>
      </c>
      <c r="B21" s="4" t="s">
        <v>35</v>
      </c>
      <c r="C21" s="17" t="s">
        <v>79</v>
      </c>
      <c r="D21" s="18" t="s">
        <v>178</v>
      </c>
      <c r="E21" s="31" t="str">
        <f t="shared" si="2"/>
        <v>ik</v>
      </c>
      <c r="F21" s="31" t="str">
        <f t="shared" si="2"/>
        <v>pik</v>
      </c>
      <c r="G21" s="31" t="str">
        <f t="shared" si="2"/>
        <v>phik</v>
      </c>
      <c r="H21" s="31" t="str">
        <f t="shared" si="2"/>
        <v>bik</v>
      </c>
      <c r="I21" s="31" t="str">
        <f t="shared" si="2"/>
        <v>mik</v>
      </c>
      <c r="J21" s="31" t="str">
        <f t="shared" si="2"/>
        <v>tik</v>
      </c>
      <c r="K21" s="31" t="str">
        <f t="shared" si="2"/>
        <v>thik</v>
      </c>
      <c r="L21" s="31" t="str">
        <f t="shared" si="2"/>
        <v>lik</v>
      </c>
      <c r="M21" s="31" t="str">
        <f t="shared" si="2"/>
        <v>nik</v>
      </c>
      <c r="N21" s="31" t="str">
        <f t="shared" si="2"/>
        <v>kik</v>
      </c>
      <c r="O21" s="31" t="str">
        <f t="shared" si="2"/>
        <v>khik</v>
      </c>
      <c r="P21" s="31" t="str">
        <f t="shared" si="2"/>
        <v>gik</v>
      </c>
      <c r="Q21" s="31" t="str">
        <f t="shared" si="2"/>
        <v>ngik</v>
      </c>
      <c r="R21" s="31" t="str">
        <f t="shared" si="2"/>
        <v>hik</v>
      </c>
      <c r="S21" s="31" t="str">
        <f t="shared" si="2"/>
        <v>tsik</v>
      </c>
      <c r="T21" s="31" t="str">
        <f t="shared" si="2"/>
        <v>tsiik</v>
      </c>
      <c r="U21" s="31" t="str">
        <f t="shared" si="3"/>
        <v>tshik</v>
      </c>
      <c r="V21" s="31" t="str">
        <f t="shared" si="3"/>
        <v>tshiik</v>
      </c>
      <c r="W21" s="31" t="str">
        <f t="shared" si="3"/>
        <v>sik</v>
      </c>
      <c r="X21" s="31" t="str">
        <f t="shared" si="3"/>
        <v>siik</v>
      </c>
      <c r="Y21" s="31" t="str">
        <f t="shared" si="3"/>
        <v>jik</v>
      </c>
      <c r="Z21" s="31" t="str">
        <f t="shared" si="3"/>
        <v>jiik</v>
      </c>
    </row>
    <row r="22" spans="1:26" ht="44.25">
      <c r="A22" s="16">
        <v>19</v>
      </c>
      <c r="B22" s="4" t="s">
        <v>260</v>
      </c>
      <c r="C22" s="17" t="s">
        <v>80</v>
      </c>
      <c r="D22" s="18" t="s">
        <v>179</v>
      </c>
      <c r="E22" s="31" t="str">
        <f t="shared" si="2"/>
        <v>uan</v>
      </c>
      <c r="F22" s="31" t="str">
        <f t="shared" si="2"/>
        <v>puan</v>
      </c>
      <c r="G22" s="31" t="str">
        <f t="shared" si="2"/>
        <v>phuan</v>
      </c>
      <c r="H22" s="31" t="str">
        <f t="shared" si="2"/>
        <v>buan</v>
      </c>
      <c r="I22" s="31" t="str">
        <f t="shared" si="2"/>
        <v>muan</v>
      </c>
      <c r="J22" s="31" t="str">
        <f t="shared" si="2"/>
        <v>tuan</v>
      </c>
      <c r="K22" s="31" t="str">
        <f t="shared" si="2"/>
        <v>thuan</v>
      </c>
      <c r="L22" s="31" t="str">
        <f t="shared" si="2"/>
        <v>luan</v>
      </c>
      <c r="M22" s="31" t="str">
        <f t="shared" si="2"/>
        <v>nuan</v>
      </c>
      <c r="N22" s="31" t="str">
        <f t="shared" si="2"/>
        <v>kuan</v>
      </c>
      <c r="O22" s="31" t="str">
        <f t="shared" si="2"/>
        <v>khuan</v>
      </c>
      <c r="P22" s="31" t="str">
        <f t="shared" si="2"/>
        <v>guan</v>
      </c>
      <c r="Q22" s="31" t="str">
        <f t="shared" si="2"/>
        <v>nguan</v>
      </c>
      <c r="R22" s="31" t="str">
        <f t="shared" si="2"/>
        <v>huan</v>
      </c>
      <c r="S22" s="31" t="str">
        <f t="shared" si="2"/>
        <v>tsuan</v>
      </c>
      <c r="T22" s="31" t="str">
        <f t="shared" si="2"/>
        <v>tsiuan</v>
      </c>
      <c r="U22" s="31" t="str">
        <f t="shared" si="3"/>
        <v>tshuan</v>
      </c>
      <c r="V22" s="31" t="str">
        <f t="shared" si="3"/>
        <v>tshiuan</v>
      </c>
      <c r="W22" s="31" t="str">
        <f t="shared" si="3"/>
        <v>suan</v>
      </c>
      <c r="X22" s="31" t="str">
        <f t="shared" si="3"/>
        <v>siuan</v>
      </c>
      <c r="Y22" s="31" t="str">
        <f t="shared" si="3"/>
        <v>juan</v>
      </c>
      <c r="Z22" s="31" t="str">
        <f t="shared" si="3"/>
        <v>jiuan</v>
      </c>
    </row>
    <row r="23" spans="1:26" ht="44.25">
      <c r="A23" s="16">
        <v>20</v>
      </c>
      <c r="B23" s="4" t="s">
        <v>261</v>
      </c>
      <c r="C23" s="17" t="s">
        <v>81</v>
      </c>
      <c r="D23" s="18" t="s">
        <v>180</v>
      </c>
      <c r="E23" s="31" t="str">
        <f t="shared" si="2"/>
        <v>uat</v>
      </c>
      <c r="F23" s="31" t="str">
        <f t="shared" si="2"/>
        <v>puat</v>
      </c>
      <c r="G23" s="31" t="str">
        <f t="shared" si="2"/>
        <v>phuat</v>
      </c>
      <c r="H23" s="31" t="str">
        <f t="shared" si="2"/>
        <v>buat</v>
      </c>
      <c r="I23" s="31" t="str">
        <f t="shared" si="2"/>
        <v>muat</v>
      </c>
      <c r="J23" s="31" t="str">
        <f t="shared" si="2"/>
        <v>tuat</v>
      </c>
      <c r="K23" s="31" t="str">
        <f t="shared" si="2"/>
        <v>thuat</v>
      </c>
      <c r="L23" s="31" t="str">
        <f t="shared" si="2"/>
        <v>luat</v>
      </c>
      <c r="M23" s="31" t="str">
        <f t="shared" si="2"/>
        <v>nuat</v>
      </c>
      <c r="N23" s="31" t="str">
        <f t="shared" si="2"/>
        <v>kuat</v>
      </c>
      <c r="O23" s="31" t="str">
        <f t="shared" si="2"/>
        <v>khuat</v>
      </c>
      <c r="P23" s="31" t="str">
        <f t="shared" si="2"/>
        <v>guat</v>
      </c>
      <c r="Q23" s="31" t="str">
        <f t="shared" si="2"/>
        <v>nguat</v>
      </c>
      <c r="R23" s="31" t="str">
        <f t="shared" si="2"/>
        <v>huat</v>
      </c>
      <c r="S23" s="31" t="str">
        <f t="shared" si="2"/>
        <v>tsuat</v>
      </c>
      <c r="T23" s="31" t="str">
        <f t="shared" si="2"/>
        <v>tsiuat</v>
      </c>
      <c r="U23" s="31" t="str">
        <f t="shared" si="3"/>
        <v>tshuat</v>
      </c>
      <c r="V23" s="31" t="str">
        <f t="shared" si="3"/>
        <v>tshiuat</v>
      </c>
      <c r="W23" s="31" t="str">
        <f t="shared" si="3"/>
        <v>suat</v>
      </c>
      <c r="X23" s="31" t="str">
        <f t="shared" si="3"/>
        <v>siuat</v>
      </c>
      <c r="Y23" s="31" t="str">
        <f t="shared" si="3"/>
        <v>juat</v>
      </c>
      <c r="Z23" s="31" t="str">
        <f t="shared" si="3"/>
        <v>jiuat</v>
      </c>
    </row>
    <row r="24" spans="1:26" ht="44.25">
      <c r="A24" s="16">
        <v>21</v>
      </c>
      <c r="B24" s="4" t="s">
        <v>262</v>
      </c>
      <c r="C24" s="17" t="s">
        <v>82</v>
      </c>
      <c r="D24" s="18" t="s">
        <v>181</v>
      </c>
      <c r="E24" s="31" t="str">
        <f t="shared" si="2"/>
        <v>oo</v>
      </c>
      <c r="F24" s="31" t="str">
        <f t="shared" si="2"/>
        <v>poo</v>
      </c>
      <c r="G24" s="31" t="str">
        <f t="shared" si="2"/>
        <v>phoo</v>
      </c>
      <c r="H24" s="31" t="str">
        <f t="shared" si="2"/>
        <v>boo</v>
      </c>
      <c r="I24" s="31" t="str">
        <f t="shared" si="2"/>
        <v>moo</v>
      </c>
      <c r="J24" s="31" t="str">
        <f t="shared" si="2"/>
        <v>too</v>
      </c>
      <c r="K24" s="31" t="str">
        <f t="shared" si="2"/>
        <v>thoo</v>
      </c>
      <c r="L24" s="31" t="str">
        <f t="shared" si="2"/>
        <v>loo</v>
      </c>
      <c r="M24" s="31" t="str">
        <f t="shared" si="2"/>
        <v>noo</v>
      </c>
      <c r="N24" s="31" t="str">
        <f t="shared" si="2"/>
        <v>koo</v>
      </c>
      <c r="O24" s="31" t="str">
        <f t="shared" si="2"/>
        <v>khoo</v>
      </c>
      <c r="P24" s="31" t="str">
        <f t="shared" si="2"/>
        <v>goo</v>
      </c>
      <c r="Q24" s="31" t="str">
        <f t="shared" si="2"/>
        <v>ngoo</v>
      </c>
      <c r="R24" s="31" t="str">
        <f t="shared" si="2"/>
        <v>hoo</v>
      </c>
      <c r="S24" s="31" t="str">
        <f t="shared" si="2"/>
        <v>tsoo</v>
      </c>
      <c r="T24" s="31" t="str">
        <f t="shared" si="2"/>
        <v>tsioo</v>
      </c>
      <c r="U24" s="31" t="str">
        <f t="shared" si="3"/>
        <v>tshoo</v>
      </c>
      <c r="V24" s="31" t="str">
        <f t="shared" si="3"/>
        <v>tshioo</v>
      </c>
      <c r="W24" s="31" t="str">
        <f t="shared" si="3"/>
        <v>soo</v>
      </c>
      <c r="X24" s="31" t="str">
        <f t="shared" si="3"/>
        <v>sioo</v>
      </c>
      <c r="Y24" s="31" t="str">
        <f t="shared" si="3"/>
        <v>joo</v>
      </c>
      <c r="Z24" s="31" t="str">
        <f t="shared" si="3"/>
        <v>jioo</v>
      </c>
    </row>
    <row r="25" spans="1:26" ht="44.25">
      <c r="A25" s="16">
        <v>22</v>
      </c>
      <c r="B25" s="4" t="s">
        <v>252</v>
      </c>
      <c r="C25" s="17" t="s">
        <v>83</v>
      </c>
      <c r="D25" s="18" t="s">
        <v>254</v>
      </c>
      <c r="E25" s="31" t="str">
        <f t="shared" si="2"/>
        <v>ooh</v>
      </c>
      <c r="F25" s="31" t="str">
        <f t="shared" si="2"/>
        <v>pooh</v>
      </c>
      <c r="G25" s="31" t="str">
        <f t="shared" si="2"/>
        <v>phooh</v>
      </c>
      <c r="H25" s="31" t="str">
        <f t="shared" si="2"/>
        <v>booh</v>
      </c>
      <c r="I25" s="31" t="str">
        <f t="shared" si="2"/>
        <v>mooh</v>
      </c>
      <c r="J25" s="31" t="str">
        <f t="shared" si="2"/>
        <v>tooh</v>
      </c>
      <c r="K25" s="31" t="str">
        <f t="shared" si="2"/>
        <v>thooh</v>
      </c>
      <c r="L25" s="31" t="str">
        <f t="shared" si="2"/>
        <v>looh</v>
      </c>
      <c r="M25" s="31" t="str">
        <f t="shared" si="2"/>
        <v>nooh</v>
      </c>
      <c r="N25" s="31" t="str">
        <f t="shared" si="2"/>
        <v>kooh</v>
      </c>
      <c r="O25" s="31" t="str">
        <f t="shared" si="2"/>
        <v>khooh</v>
      </c>
      <c r="P25" s="31" t="str">
        <f t="shared" si="2"/>
        <v>gooh</v>
      </c>
      <c r="Q25" s="31" t="str">
        <f t="shared" si="2"/>
        <v>ngooh</v>
      </c>
      <c r="R25" s="31" t="str">
        <f t="shared" si="2"/>
        <v>hooh</v>
      </c>
      <c r="S25" s="31" t="str">
        <f t="shared" si="2"/>
        <v>tsooh</v>
      </c>
      <c r="T25" s="31" t="str">
        <f t="shared" si="2"/>
        <v>tsiooh</v>
      </c>
      <c r="U25" s="31" t="str">
        <f t="shared" si="3"/>
        <v>tshooh</v>
      </c>
      <c r="V25" s="31" t="str">
        <f t="shared" si="3"/>
        <v>tshiooh</v>
      </c>
      <c r="W25" s="31" t="str">
        <f t="shared" si="3"/>
        <v>sooh</v>
      </c>
      <c r="X25" s="31" t="str">
        <f t="shared" si="3"/>
        <v>siooh</v>
      </c>
      <c r="Y25" s="31" t="str">
        <f t="shared" si="3"/>
        <v>jooh</v>
      </c>
      <c r="Z25" s="31" t="str">
        <f t="shared" si="3"/>
        <v>jiooh</v>
      </c>
    </row>
    <row r="26" spans="1:26" ht="44.25">
      <c r="A26" s="16">
        <v>23</v>
      </c>
      <c r="B26" s="4" t="s">
        <v>263</v>
      </c>
      <c r="C26" s="17" t="s">
        <v>84</v>
      </c>
      <c r="D26" s="18" t="s">
        <v>182</v>
      </c>
      <c r="E26" s="31" t="str">
        <f t="shared" si="2"/>
        <v>iau</v>
      </c>
      <c r="F26" s="31" t="str">
        <f t="shared" si="2"/>
        <v>piau</v>
      </c>
      <c r="G26" s="31" t="str">
        <f t="shared" si="2"/>
        <v>phiau</v>
      </c>
      <c r="H26" s="31" t="str">
        <f t="shared" si="2"/>
        <v>biau</v>
      </c>
      <c r="I26" s="31" t="str">
        <f t="shared" si="2"/>
        <v>miau</v>
      </c>
      <c r="J26" s="31" t="str">
        <f t="shared" si="2"/>
        <v>tiau</v>
      </c>
      <c r="K26" s="31" t="str">
        <f t="shared" si="2"/>
        <v>thiau</v>
      </c>
      <c r="L26" s="31" t="str">
        <f t="shared" si="2"/>
        <v>liau</v>
      </c>
      <c r="M26" s="31" t="str">
        <f t="shared" si="2"/>
        <v>niau</v>
      </c>
      <c r="N26" s="31" t="str">
        <f t="shared" si="2"/>
        <v>kiau</v>
      </c>
      <c r="O26" s="31" t="str">
        <f t="shared" si="2"/>
        <v>khiau</v>
      </c>
      <c r="P26" s="31" t="str">
        <f t="shared" si="2"/>
        <v>giau</v>
      </c>
      <c r="Q26" s="31" t="str">
        <f t="shared" si="2"/>
        <v>ngiau</v>
      </c>
      <c r="R26" s="31" t="str">
        <f t="shared" si="2"/>
        <v>hiau</v>
      </c>
      <c r="S26" s="31" t="str">
        <f t="shared" si="2"/>
        <v>tsiau</v>
      </c>
      <c r="T26" s="31" t="str">
        <f t="shared" si="2"/>
        <v>tsiiau</v>
      </c>
      <c r="U26" s="31" t="str">
        <f t="shared" si="3"/>
        <v>tshiau</v>
      </c>
      <c r="V26" s="31" t="str">
        <f t="shared" si="3"/>
        <v>tshiiau</v>
      </c>
      <c r="W26" s="31" t="str">
        <f t="shared" si="3"/>
        <v>siau</v>
      </c>
      <c r="X26" s="31" t="str">
        <f t="shared" si="3"/>
        <v>siiau</v>
      </c>
      <c r="Y26" s="31" t="str">
        <f t="shared" si="3"/>
        <v>jiau</v>
      </c>
      <c r="Z26" s="31" t="str">
        <f t="shared" si="3"/>
        <v>jiiau</v>
      </c>
    </row>
    <row r="27" spans="1:26" ht="44.25">
      <c r="A27" s="16">
        <v>24</v>
      </c>
      <c r="B27" s="25" t="s">
        <v>264</v>
      </c>
      <c r="C27" s="26" t="s">
        <v>85</v>
      </c>
      <c r="D27" s="27" t="s">
        <v>183</v>
      </c>
      <c r="E27" s="31" t="str">
        <f t="shared" si="2"/>
        <v>iauh</v>
      </c>
      <c r="F27" s="31" t="str">
        <f t="shared" si="2"/>
        <v>piauh</v>
      </c>
      <c r="G27" s="31" t="str">
        <f t="shared" si="2"/>
        <v>phiauh</v>
      </c>
      <c r="H27" s="31" t="str">
        <f t="shared" si="2"/>
        <v>biauh</v>
      </c>
      <c r="I27" s="31" t="str">
        <f t="shared" si="2"/>
        <v>miauh</v>
      </c>
      <c r="J27" s="31" t="str">
        <f t="shared" si="2"/>
        <v>tiauh</v>
      </c>
      <c r="K27" s="31" t="str">
        <f t="shared" si="2"/>
        <v>thiauh</v>
      </c>
      <c r="L27" s="31" t="str">
        <f t="shared" si="2"/>
        <v>liauh</v>
      </c>
      <c r="M27" s="31" t="str">
        <f t="shared" si="2"/>
        <v>niauh</v>
      </c>
      <c r="N27" s="31" t="str">
        <f t="shared" si="2"/>
        <v>kiauh</v>
      </c>
      <c r="O27" s="31" t="str">
        <f t="shared" si="2"/>
        <v>khiauh</v>
      </c>
      <c r="P27" s="31" t="str">
        <f t="shared" si="2"/>
        <v>giauh</v>
      </c>
      <c r="Q27" s="31" t="str">
        <f t="shared" si="2"/>
        <v>ngiauh</v>
      </c>
      <c r="R27" s="31" t="str">
        <f t="shared" si="2"/>
        <v>hiauh</v>
      </c>
      <c r="S27" s="31" t="str">
        <f t="shared" si="2"/>
        <v>tsiauh</v>
      </c>
      <c r="T27" s="31" t="str">
        <f t="shared" si="2"/>
        <v>tsiiauh</v>
      </c>
      <c r="U27" s="31" t="str">
        <f t="shared" si="3"/>
        <v>tshiauh</v>
      </c>
      <c r="V27" s="31" t="str">
        <f t="shared" si="3"/>
        <v>tshiiauh</v>
      </c>
      <c r="W27" s="31" t="str">
        <f t="shared" si="3"/>
        <v>siauh</v>
      </c>
      <c r="X27" s="31" t="str">
        <f t="shared" si="3"/>
        <v>siiauh</v>
      </c>
      <c r="Y27" s="31" t="str">
        <f t="shared" si="3"/>
        <v>jiauh</v>
      </c>
      <c r="Z27" s="31" t="str">
        <f t="shared" si="3"/>
        <v>jiiauh</v>
      </c>
    </row>
    <row r="28" spans="1:26" ht="44.25">
      <c r="A28" s="16">
        <v>25</v>
      </c>
      <c r="B28" s="19" t="s">
        <v>265</v>
      </c>
      <c r="C28" s="20" t="s">
        <v>86</v>
      </c>
      <c r="D28" s="21" t="s">
        <v>184</v>
      </c>
      <c r="E28" s="31" t="str">
        <f t="shared" si="2"/>
        <v>e</v>
      </c>
      <c r="F28" s="31" t="str">
        <f t="shared" si="2"/>
        <v>pe</v>
      </c>
      <c r="G28" s="31" t="str">
        <f t="shared" si="2"/>
        <v>phe</v>
      </c>
      <c r="H28" s="31" t="str">
        <f t="shared" si="2"/>
        <v>be</v>
      </c>
      <c r="I28" s="31" t="str">
        <f t="shared" si="2"/>
        <v>me</v>
      </c>
      <c r="J28" s="31" t="str">
        <f t="shared" si="2"/>
        <v>te</v>
      </c>
      <c r="K28" s="31" t="str">
        <f t="shared" si="2"/>
        <v>the</v>
      </c>
      <c r="L28" s="31" t="str">
        <f t="shared" si="2"/>
        <v>le</v>
      </c>
      <c r="M28" s="31" t="str">
        <f t="shared" si="2"/>
        <v>ne</v>
      </c>
      <c r="N28" s="31" t="str">
        <f t="shared" si="2"/>
        <v>ke</v>
      </c>
      <c r="O28" s="31" t="str">
        <f t="shared" si="2"/>
        <v>khe</v>
      </c>
      <c r="P28" s="31" t="str">
        <f t="shared" si="2"/>
        <v>ge</v>
      </c>
      <c r="Q28" s="31" t="str">
        <f t="shared" si="2"/>
        <v>nge</v>
      </c>
      <c r="R28" s="31" t="str">
        <f t="shared" si="2"/>
        <v>he</v>
      </c>
      <c r="S28" s="31" t="str">
        <f t="shared" si="2"/>
        <v>tse</v>
      </c>
      <c r="T28" s="31" t="str">
        <f t="shared" si="2"/>
        <v>tsie</v>
      </c>
      <c r="U28" s="31" t="str">
        <f t="shared" si="3"/>
        <v>tshe</v>
      </c>
      <c r="V28" s="31" t="str">
        <f t="shared" si="3"/>
        <v>tshie</v>
      </c>
      <c r="W28" s="31" t="str">
        <f t="shared" si="3"/>
        <v>se</v>
      </c>
      <c r="X28" s="31" t="str">
        <f t="shared" si="3"/>
        <v>sie</v>
      </c>
      <c r="Y28" s="31" t="str">
        <f t="shared" si="3"/>
        <v>je</v>
      </c>
      <c r="Z28" s="31" t="str">
        <f t="shared" si="3"/>
        <v>jie</v>
      </c>
    </row>
    <row r="29" spans="1:26" ht="44.25">
      <c r="A29" s="16">
        <v>26</v>
      </c>
      <c r="B29" s="25"/>
      <c r="C29" s="26" t="s">
        <v>87</v>
      </c>
      <c r="D29" s="27"/>
      <c r="E29" s="31" t="str">
        <f t="shared" si="2"/>
        <v/>
      </c>
      <c r="F29" s="31" t="str">
        <f t="shared" si="2"/>
        <v/>
      </c>
      <c r="G29" s="31" t="str">
        <f t="shared" si="2"/>
        <v/>
      </c>
      <c r="H29" s="31" t="str">
        <f t="shared" si="2"/>
        <v/>
      </c>
      <c r="I29" s="31" t="str">
        <f t="shared" si="2"/>
        <v/>
      </c>
      <c r="J29" s="31" t="str">
        <f t="shared" si="2"/>
        <v/>
      </c>
      <c r="K29" s="31" t="str">
        <f t="shared" si="2"/>
        <v/>
      </c>
      <c r="L29" s="31" t="str">
        <f t="shared" si="2"/>
        <v/>
      </c>
      <c r="M29" s="31" t="str">
        <f t="shared" si="2"/>
        <v/>
      </c>
      <c r="N29" s="31" t="str">
        <f t="shared" si="2"/>
        <v/>
      </c>
      <c r="O29" s="31" t="str">
        <f t="shared" si="2"/>
        <v/>
      </c>
      <c r="P29" s="31" t="str">
        <f t="shared" si="2"/>
        <v/>
      </c>
      <c r="Q29" s="31" t="str">
        <f t="shared" si="2"/>
        <v/>
      </c>
      <c r="R29" s="31" t="str">
        <f t="shared" si="2"/>
        <v/>
      </c>
      <c r="S29" s="31" t="str">
        <f t="shared" si="2"/>
        <v/>
      </c>
      <c r="T29" s="31" t="str">
        <f t="shared" si="2"/>
        <v/>
      </c>
      <c r="U29" s="31" t="str">
        <f t="shared" si="3"/>
        <v/>
      </c>
      <c r="V29" s="31" t="str">
        <f t="shared" si="3"/>
        <v/>
      </c>
      <c r="W29" s="31" t="str">
        <f t="shared" si="3"/>
        <v/>
      </c>
      <c r="X29" s="31" t="str">
        <f t="shared" si="3"/>
        <v/>
      </c>
      <c r="Y29" s="31" t="str">
        <f t="shared" si="3"/>
        <v/>
      </c>
      <c r="Z29" s="31" t="str">
        <f t="shared" si="3"/>
        <v/>
      </c>
    </row>
    <row r="30" spans="1:26" ht="44.25">
      <c r="A30" s="16">
        <v>27</v>
      </c>
      <c r="B30" s="4" t="s">
        <v>266</v>
      </c>
      <c r="C30" s="17" t="s">
        <v>88</v>
      </c>
      <c r="D30" s="18" t="s">
        <v>185</v>
      </c>
      <c r="E30" s="31" t="str">
        <f t="shared" si="2"/>
        <v>iong</v>
      </c>
      <c r="F30" s="31" t="str">
        <f t="shared" si="2"/>
        <v>piong</v>
      </c>
      <c r="G30" s="31" t="str">
        <f t="shared" si="2"/>
        <v>phiong</v>
      </c>
      <c r="H30" s="31" t="str">
        <f t="shared" si="2"/>
        <v>biong</v>
      </c>
      <c r="I30" s="31" t="str">
        <f t="shared" si="2"/>
        <v>miong</v>
      </c>
      <c r="J30" s="31" t="str">
        <f t="shared" si="2"/>
        <v>tiong</v>
      </c>
      <c r="K30" s="31" t="str">
        <f t="shared" si="2"/>
        <v>thiong</v>
      </c>
      <c r="L30" s="31" t="str">
        <f t="shared" si="2"/>
        <v>liong</v>
      </c>
      <c r="M30" s="31" t="str">
        <f t="shared" si="2"/>
        <v>niong</v>
      </c>
      <c r="N30" s="31" t="str">
        <f t="shared" si="2"/>
        <v>kiong</v>
      </c>
      <c r="O30" s="31" t="str">
        <f t="shared" si="2"/>
        <v>khiong</v>
      </c>
      <c r="P30" s="31" t="str">
        <f t="shared" si="2"/>
        <v>giong</v>
      </c>
      <c r="Q30" s="31" t="str">
        <f t="shared" si="2"/>
        <v>ngiong</v>
      </c>
      <c r="R30" s="31" t="str">
        <f t="shared" si="2"/>
        <v>hiong</v>
      </c>
      <c r="S30" s="31" t="str">
        <f t="shared" si="2"/>
        <v>tsiong</v>
      </c>
      <c r="T30" s="31" t="str">
        <f t="shared" si="2"/>
        <v>tsiiong</v>
      </c>
      <c r="U30" s="31" t="str">
        <f t="shared" si="3"/>
        <v>tshiong</v>
      </c>
      <c r="V30" s="31" t="str">
        <f t="shared" si="3"/>
        <v>tshiiong</v>
      </c>
      <c r="W30" s="31" t="str">
        <f t="shared" si="3"/>
        <v>siong</v>
      </c>
      <c r="X30" s="31" t="str">
        <f t="shared" si="3"/>
        <v>siiong</v>
      </c>
      <c r="Y30" s="31" t="str">
        <f t="shared" si="3"/>
        <v>jiong</v>
      </c>
      <c r="Z30" s="31" t="str">
        <f t="shared" si="3"/>
        <v>jiiong</v>
      </c>
    </row>
    <row r="31" spans="1:26" ht="44.25">
      <c r="A31" s="16">
        <v>28</v>
      </c>
      <c r="B31" s="4" t="s">
        <v>267</v>
      </c>
      <c r="C31" s="17" t="s">
        <v>89</v>
      </c>
      <c r="D31" s="18" t="s">
        <v>186</v>
      </c>
      <c r="E31" s="31" t="str">
        <f t="shared" si="2"/>
        <v>iok</v>
      </c>
      <c r="F31" s="31" t="str">
        <f t="shared" si="2"/>
        <v>piok</v>
      </c>
      <c r="G31" s="31" t="str">
        <f t="shared" si="2"/>
        <v>phiok</v>
      </c>
      <c r="H31" s="31" t="str">
        <f t="shared" si="2"/>
        <v>biok</v>
      </c>
      <c r="I31" s="31" t="str">
        <f t="shared" si="2"/>
        <v>miok</v>
      </c>
      <c r="J31" s="31" t="str">
        <f t="shared" si="2"/>
        <v>tiok</v>
      </c>
      <c r="K31" s="31" t="str">
        <f t="shared" si="2"/>
        <v>thiok</v>
      </c>
      <c r="L31" s="31" t="str">
        <f t="shared" si="2"/>
        <v>liok</v>
      </c>
      <c r="M31" s="31" t="str">
        <f t="shared" si="2"/>
        <v>niok</v>
      </c>
      <c r="N31" s="31" t="str">
        <f t="shared" si="2"/>
        <v>kiok</v>
      </c>
      <c r="O31" s="31" t="str">
        <f t="shared" si="2"/>
        <v>khiok</v>
      </c>
      <c r="P31" s="31" t="str">
        <f t="shared" si="2"/>
        <v>giok</v>
      </c>
      <c r="Q31" s="31" t="str">
        <f t="shared" si="2"/>
        <v>ngiok</v>
      </c>
      <c r="R31" s="31" t="str">
        <f t="shared" si="2"/>
        <v>hiok</v>
      </c>
      <c r="S31" s="31" t="str">
        <f t="shared" si="2"/>
        <v>tsiok</v>
      </c>
      <c r="T31" s="31" t="str">
        <f t="shared" si="2"/>
        <v>tsiiok</v>
      </c>
      <c r="U31" s="31" t="str">
        <f t="shared" si="3"/>
        <v>tshiok</v>
      </c>
      <c r="V31" s="31" t="str">
        <f t="shared" si="3"/>
        <v>tshiiok</v>
      </c>
      <c r="W31" s="31" t="str">
        <f t="shared" si="3"/>
        <v>siok</v>
      </c>
      <c r="X31" s="31" t="str">
        <f t="shared" si="3"/>
        <v>siiok</v>
      </c>
      <c r="Y31" s="31" t="str">
        <f t="shared" si="3"/>
        <v>jiok</v>
      </c>
      <c r="Z31" s="31" t="str">
        <f t="shared" si="3"/>
        <v>jiiok</v>
      </c>
    </row>
    <row r="32" spans="1:26" ht="44.25">
      <c r="A32" s="16">
        <v>29</v>
      </c>
      <c r="B32" s="4" t="s">
        <v>268</v>
      </c>
      <c r="C32" s="17" t="s">
        <v>90</v>
      </c>
      <c r="D32" s="18" t="s">
        <v>187</v>
      </c>
      <c r="E32" s="31" t="str">
        <f t="shared" si="2"/>
        <v>o</v>
      </c>
      <c r="F32" s="31" t="str">
        <f t="shared" si="2"/>
        <v>po</v>
      </c>
      <c r="G32" s="31" t="str">
        <f t="shared" si="2"/>
        <v>pho</v>
      </c>
      <c r="H32" s="31" t="str">
        <f t="shared" si="2"/>
        <v>bo</v>
      </c>
      <c r="I32" s="31" t="str">
        <f t="shared" si="2"/>
        <v>mo</v>
      </c>
      <c r="J32" s="31" t="str">
        <f t="shared" si="2"/>
        <v>to</v>
      </c>
      <c r="K32" s="31" t="str">
        <f t="shared" si="2"/>
        <v>tho</v>
      </c>
      <c r="L32" s="31" t="str">
        <f t="shared" si="2"/>
        <v>lo</v>
      </c>
      <c r="M32" s="31" t="str">
        <f t="shared" si="2"/>
        <v>no</v>
      </c>
      <c r="N32" s="31" t="str">
        <f t="shared" si="2"/>
        <v>ko</v>
      </c>
      <c r="O32" s="31" t="str">
        <f t="shared" si="2"/>
        <v>kho</v>
      </c>
      <c r="P32" s="31" t="str">
        <f t="shared" si="2"/>
        <v>go</v>
      </c>
      <c r="Q32" s="31" t="str">
        <f t="shared" si="2"/>
        <v>ngo</v>
      </c>
      <c r="R32" s="31" t="str">
        <f t="shared" si="2"/>
        <v>ho</v>
      </c>
      <c r="S32" s="31" t="str">
        <f t="shared" si="2"/>
        <v>tso</v>
      </c>
      <c r="T32" s="31" t="str">
        <f t="shared" si="2"/>
        <v>tsio</v>
      </c>
      <c r="U32" s="31" t="str">
        <f t="shared" si="3"/>
        <v>tsho</v>
      </c>
      <c r="V32" s="31" t="str">
        <f t="shared" si="3"/>
        <v>tshio</v>
      </c>
      <c r="W32" s="31" t="str">
        <f t="shared" si="3"/>
        <v>so</v>
      </c>
      <c r="X32" s="31" t="str">
        <f t="shared" si="3"/>
        <v>sio</v>
      </c>
      <c r="Y32" s="31" t="str">
        <f t="shared" si="3"/>
        <v>jo</v>
      </c>
      <c r="Z32" s="31" t="str">
        <f t="shared" si="3"/>
        <v>jio</v>
      </c>
    </row>
    <row r="33" spans="1:26" ht="44.25">
      <c r="A33" s="16">
        <v>30</v>
      </c>
      <c r="B33" s="4" t="s">
        <v>269</v>
      </c>
      <c r="C33" s="17" t="s">
        <v>91</v>
      </c>
      <c r="D33" s="18" t="s">
        <v>188</v>
      </c>
      <c r="E33" s="31" t="str">
        <f t="shared" si="2"/>
        <v>oh</v>
      </c>
      <c r="F33" s="31" t="str">
        <f t="shared" si="2"/>
        <v>poh</v>
      </c>
      <c r="G33" s="31" t="str">
        <f t="shared" si="2"/>
        <v>phoh</v>
      </c>
      <c r="H33" s="31" t="str">
        <f t="shared" si="2"/>
        <v>boh</v>
      </c>
      <c r="I33" s="31" t="str">
        <f t="shared" si="2"/>
        <v>moh</v>
      </c>
      <c r="J33" s="31" t="str">
        <f t="shared" si="2"/>
        <v>toh</v>
      </c>
      <c r="K33" s="31" t="str">
        <f t="shared" si="2"/>
        <v>thoh</v>
      </c>
      <c r="L33" s="31" t="str">
        <f t="shared" si="2"/>
        <v>loh</v>
      </c>
      <c r="M33" s="31" t="str">
        <f t="shared" si="2"/>
        <v>noh</v>
      </c>
      <c r="N33" s="31" t="str">
        <f t="shared" si="2"/>
        <v>koh</v>
      </c>
      <c r="O33" s="31" t="str">
        <f t="shared" si="2"/>
        <v>khoh</v>
      </c>
      <c r="P33" s="31" t="str">
        <f t="shared" si="2"/>
        <v>goh</v>
      </c>
      <c r="Q33" s="31" t="str">
        <f t="shared" si="2"/>
        <v>ngoh</v>
      </c>
      <c r="R33" s="31" t="str">
        <f t="shared" si="2"/>
        <v>hoh</v>
      </c>
      <c r="S33" s="31" t="str">
        <f t="shared" si="2"/>
        <v>tsoh</v>
      </c>
      <c r="T33" s="31" t="str">
        <f t="shared" si="2"/>
        <v>tsioh</v>
      </c>
      <c r="U33" s="31" t="str">
        <f t="shared" si="3"/>
        <v>tshoh</v>
      </c>
      <c r="V33" s="31" t="str">
        <f t="shared" si="3"/>
        <v>tshioh</v>
      </c>
      <c r="W33" s="31" t="str">
        <f t="shared" si="3"/>
        <v>soh</v>
      </c>
      <c r="X33" s="31" t="str">
        <f t="shared" si="3"/>
        <v>sioh</v>
      </c>
      <c r="Y33" s="31" t="str">
        <f t="shared" si="3"/>
        <v>joh</v>
      </c>
      <c r="Z33" s="31" t="str">
        <f t="shared" si="3"/>
        <v>jioh</v>
      </c>
    </row>
    <row r="34" spans="1:26" ht="44.25">
      <c r="A34" s="16">
        <v>31</v>
      </c>
      <c r="B34" s="4" t="s">
        <v>270</v>
      </c>
      <c r="C34" s="17" t="s">
        <v>92</v>
      </c>
      <c r="D34" s="18" t="s">
        <v>189</v>
      </c>
      <c r="E34" s="31" t="str">
        <f t="shared" si="2"/>
        <v>ai</v>
      </c>
      <c r="F34" s="31" t="str">
        <f t="shared" si="2"/>
        <v>pai</v>
      </c>
      <c r="G34" s="31" t="str">
        <f t="shared" si="2"/>
        <v>phai</v>
      </c>
      <c r="H34" s="31" t="str">
        <f t="shared" si="2"/>
        <v>bai</v>
      </c>
      <c r="I34" s="31" t="str">
        <f t="shared" si="2"/>
        <v>mai</v>
      </c>
      <c r="J34" s="31" t="str">
        <f t="shared" si="2"/>
        <v>tai</v>
      </c>
      <c r="K34" s="31" t="str">
        <f t="shared" si="2"/>
        <v>thai</v>
      </c>
      <c r="L34" s="31" t="str">
        <f t="shared" si="2"/>
        <v>lai</v>
      </c>
      <c r="M34" s="31" t="str">
        <f t="shared" si="2"/>
        <v>nai</v>
      </c>
      <c r="N34" s="31" t="str">
        <f t="shared" si="2"/>
        <v>kai</v>
      </c>
      <c r="O34" s="31" t="str">
        <f t="shared" si="2"/>
        <v>khai</v>
      </c>
      <c r="P34" s="31" t="str">
        <f t="shared" si="2"/>
        <v>gai</v>
      </c>
      <c r="Q34" s="31" t="str">
        <f t="shared" si="2"/>
        <v>ngai</v>
      </c>
      <c r="R34" s="31" t="str">
        <f t="shared" si="2"/>
        <v>hai</v>
      </c>
      <c r="S34" s="31" t="str">
        <f t="shared" si="2"/>
        <v>tsai</v>
      </c>
      <c r="T34" s="31" t="str">
        <f t="shared" si="2"/>
        <v>tsiai</v>
      </c>
      <c r="U34" s="31" t="str">
        <f t="shared" si="3"/>
        <v>tshai</v>
      </c>
      <c r="V34" s="31" t="str">
        <f t="shared" si="3"/>
        <v>tshiai</v>
      </c>
      <c r="W34" s="31" t="str">
        <f t="shared" si="3"/>
        <v>sai</v>
      </c>
      <c r="X34" s="31" t="str">
        <f t="shared" si="3"/>
        <v>siai</v>
      </c>
      <c r="Y34" s="31" t="str">
        <f t="shared" si="3"/>
        <v>jai</v>
      </c>
      <c r="Z34" s="31" t="str">
        <f t="shared" si="3"/>
        <v>jiai</v>
      </c>
    </row>
    <row r="35" spans="1:26" ht="44.25">
      <c r="A35" s="16">
        <v>32</v>
      </c>
      <c r="B35" s="25"/>
      <c r="C35" s="26" t="s">
        <v>93</v>
      </c>
      <c r="D35" s="27"/>
      <c r="E35" s="31" t="str">
        <f t="shared" si="2"/>
        <v/>
      </c>
      <c r="F35" s="31" t="str">
        <f t="shared" si="2"/>
        <v/>
      </c>
      <c r="G35" s="31" t="str">
        <f t="shared" si="2"/>
        <v/>
      </c>
      <c r="H35" s="31" t="str">
        <f t="shared" si="2"/>
        <v/>
      </c>
      <c r="I35" s="31" t="str">
        <f t="shared" si="2"/>
        <v/>
      </c>
      <c r="J35" s="31" t="str">
        <f t="shared" si="2"/>
        <v/>
      </c>
      <c r="K35" s="31" t="str">
        <f t="shared" si="2"/>
        <v/>
      </c>
      <c r="L35" s="31" t="str">
        <f t="shared" si="2"/>
        <v/>
      </c>
      <c r="M35" s="31" t="str">
        <f t="shared" si="2"/>
        <v/>
      </c>
      <c r="N35" s="31" t="str">
        <f t="shared" si="2"/>
        <v/>
      </c>
      <c r="O35" s="31" t="str">
        <f t="shared" si="2"/>
        <v/>
      </c>
      <c r="P35" s="31" t="str">
        <f t="shared" si="2"/>
        <v/>
      </c>
      <c r="Q35" s="31" t="str">
        <f t="shared" si="2"/>
        <v/>
      </c>
      <c r="R35" s="31" t="str">
        <f t="shared" si="2"/>
        <v/>
      </c>
      <c r="S35" s="31" t="str">
        <f t="shared" ref="E35:T51" si="4">IF($D35="", "", _xlfn.CONCAT(S$3, $D35))</f>
        <v/>
      </c>
      <c r="T35" s="31" t="str">
        <f t="shared" si="4"/>
        <v/>
      </c>
      <c r="U35" s="31" t="str">
        <f t="shared" si="3"/>
        <v/>
      </c>
      <c r="V35" s="31" t="str">
        <f t="shared" si="3"/>
        <v/>
      </c>
      <c r="W35" s="31" t="str">
        <f t="shared" si="3"/>
        <v/>
      </c>
      <c r="X35" s="31" t="str">
        <f t="shared" si="3"/>
        <v/>
      </c>
      <c r="Y35" s="31" t="str">
        <f t="shared" si="3"/>
        <v/>
      </c>
      <c r="Z35" s="31" t="str">
        <f t="shared" si="3"/>
        <v/>
      </c>
    </row>
    <row r="36" spans="1:26" ht="44.25">
      <c r="A36" s="16">
        <v>33</v>
      </c>
      <c r="B36" s="4" t="s">
        <v>271</v>
      </c>
      <c r="C36" s="17" t="s">
        <v>94</v>
      </c>
      <c r="D36" s="18" t="s">
        <v>190</v>
      </c>
      <c r="E36" s="31" t="str">
        <f t="shared" si="4"/>
        <v>in</v>
      </c>
      <c r="F36" s="31" t="str">
        <f t="shared" si="4"/>
        <v>pin</v>
      </c>
      <c r="G36" s="31" t="str">
        <f t="shared" si="4"/>
        <v>phin</v>
      </c>
      <c r="H36" s="31" t="str">
        <f t="shared" si="4"/>
        <v>bin</v>
      </c>
      <c r="I36" s="31" t="str">
        <f t="shared" si="4"/>
        <v>min</v>
      </c>
      <c r="J36" s="31" t="str">
        <f t="shared" si="4"/>
        <v>tin</v>
      </c>
      <c r="K36" s="31" t="str">
        <f t="shared" si="4"/>
        <v>thin</v>
      </c>
      <c r="L36" s="31" t="str">
        <f t="shared" si="4"/>
        <v>lin</v>
      </c>
      <c r="M36" s="31" t="str">
        <f t="shared" si="4"/>
        <v>nin</v>
      </c>
      <c r="N36" s="31" t="str">
        <f t="shared" si="4"/>
        <v>kin</v>
      </c>
      <c r="O36" s="31" t="str">
        <f t="shared" si="4"/>
        <v>khin</v>
      </c>
      <c r="P36" s="31" t="str">
        <f t="shared" si="4"/>
        <v>gin</v>
      </c>
      <c r="Q36" s="31" t="str">
        <f t="shared" si="4"/>
        <v>ngin</v>
      </c>
      <c r="R36" s="31" t="str">
        <f t="shared" si="4"/>
        <v>hin</v>
      </c>
      <c r="S36" s="31" t="str">
        <f t="shared" si="4"/>
        <v>tsin</v>
      </c>
      <c r="T36" s="31" t="str">
        <f t="shared" si="4"/>
        <v>tsiin</v>
      </c>
      <c r="U36" s="31" t="str">
        <f t="shared" si="3"/>
        <v>tshin</v>
      </c>
      <c r="V36" s="31" t="str">
        <f t="shared" si="3"/>
        <v>tshiin</v>
      </c>
      <c r="W36" s="31" t="str">
        <f t="shared" si="3"/>
        <v>sin</v>
      </c>
      <c r="X36" s="31" t="str">
        <f t="shared" si="3"/>
        <v>siin</v>
      </c>
      <c r="Y36" s="31" t="str">
        <f t="shared" si="3"/>
        <v>jin</v>
      </c>
      <c r="Z36" s="31" t="str">
        <f t="shared" si="3"/>
        <v>jiin</v>
      </c>
    </row>
    <row r="37" spans="1:26" ht="44.25">
      <c r="A37" s="16">
        <v>34</v>
      </c>
      <c r="B37" s="4" t="s">
        <v>272</v>
      </c>
      <c r="C37" s="17" t="s">
        <v>95</v>
      </c>
      <c r="D37" s="18" t="s">
        <v>191</v>
      </c>
      <c r="E37" s="31" t="str">
        <f t="shared" si="4"/>
        <v>it</v>
      </c>
      <c r="F37" s="31" t="str">
        <f t="shared" si="4"/>
        <v>pit</v>
      </c>
      <c r="G37" s="31" t="str">
        <f t="shared" si="4"/>
        <v>phit</v>
      </c>
      <c r="H37" s="31" t="str">
        <f t="shared" si="4"/>
        <v>bit</v>
      </c>
      <c r="I37" s="31" t="str">
        <f t="shared" si="4"/>
        <v>mit</v>
      </c>
      <c r="J37" s="31" t="str">
        <f t="shared" si="4"/>
        <v>tit</v>
      </c>
      <c r="K37" s="31" t="str">
        <f t="shared" si="4"/>
        <v>thit</v>
      </c>
      <c r="L37" s="31" t="str">
        <f t="shared" si="4"/>
        <v>lit</v>
      </c>
      <c r="M37" s="31" t="str">
        <f t="shared" si="4"/>
        <v>nit</v>
      </c>
      <c r="N37" s="31" t="str">
        <f t="shared" si="4"/>
        <v>kit</v>
      </c>
      <c r="O37" s="31" t="str">
        <f t="shared" si="4"/>
        <v>khit</v>
      </c>
      <c r="P37" s="31" t="str">
        <f t="shared" si="4"/>
        <v>git</v>
      </c>
      <c r="Q37" s="31" t="str">
        <f t="shared" si="4"/>
        <v>ngit</v>
      </c>
      <c r="R37" s="31" t="str">
        <f t="shared" si="4"/>
        <v>hit</v>
      </c>
      <c r="S37" s="31" t="str">
        <f t="shared" si="4"/>
        <v>tsit</v>
      </c>
      <c r="T37" s="31" t="str">
        <f t="shared" si="4"/>
        <v>tsiit</v>
      </c>
      <c r="U37" s="31" t="str">
        <f t="shared" si="3"/>
        <v>tshit</v>
      </c>
      <c r="V37" s="31" t="str">
        <f t="shared" si="3"/>
        <v>tshiit</v>
      </c>
      <c r="W37" s="31" t="str">
        <f t="shared" si="3"/>
        <v>sit</v>
      </c>
      <c r="X37" s="31" t="str">
        <f t="shared" si="3"/>
        <v>siit</v>
      </c>
      <c r="Y37" s="31" t="str">
        <f t="shared" si="3"/>
        <v>jit</v>
      </c>
      <c r="Z37" s="31" t="str">
        <f t="shared" si="3"/>
        <v>jiit</v>
      </c>
    </row>
    <row r="38" spans="1:26" ht="44.25">
      <c r="A38" s="16">
        <v>35</v>
      </c>
      <c r="B38" s="4" t="s">
        <v>274</v>
      </c>
      <c r="C38" s="17" t="s">
        <v>96</v>
      </c>
      <c r="D38" s="18" t="s">
        <v>192</v>
      </c>
      <c r="E38" s="31" t="str">
        <f t="shared" si="4"/>
        <v>iang</v>
      </c>
      <c r="F38" s="31" t="str">
        <f t="shared" si="4"/>
        <v>piang</v>
      </c>
      <c r="G38" s="31" t="str">
        <f t="shared" si="4"/>
        <v>phiang</v>
      </c>
      <c r="H38" s="31" t="str">
        <f t="shared" si="4"/>
        <v>biang</v>
      </c>
      <c r="I38" s="31" t="str">
        <f t="shared" si="4"/>
        <v>miang</v>
      </c>
      <c r="J38" s="31" t="str">
        <f t="shared" si="4"/>
        <v>tiang</v>
      </c>
      <c r="K38" s="31" t="str">
        <f t="shared" si="4"/>
        <v>thiang</v>
      </c>
      <c r="L38" s="31" t="str">
        <f t="shared" si="4"/>
        <v>liang</v>
      </c>
      <c r="M38" s="31" t="str">
        <f t="shared" si="4"/>
        <v>niang</v>
      </c>
      <c r="N38" s="31" t="str">
        <f t="shared" si="4"/>
        <v>kiang</v>
      </c>
      <c r="O38" s="31" t="str">
        <f t="shared" si="4"/>
        <v>khiang</v>
      </c>
      <c r="P38" s="31" t="str">
        <f t="shared" si="4"/>
        <v>giang</v>
      </c>
      <c r="Q38" s="31" t="str">
        <f t="shared" si="4"/>
        <v>ngiang</v>
      </c>
      <c r="R38" s="31" t="str">
        <f t="shared" si="4"/>
        <v>hiang</v>
      </c>
      <c r="S38" s="31" t="str">
        <f t="shared" si="4"/>
        <v>tsiang</v>
      </c>
      <c r="T38" s="31" t="str">
        <f t="shared" si="4"/>
        <v>tsiiang</v>
      </c>
      <c r="U38" s="31" t="str">
        <f t="shared" si="3"/>
        <v>tshiang</v>
      </c>
      <c r="V38" s="31" t="str">
        <f t="shared" si="3"/>
        <v>tshiiang</v>
      </c>
      <c r="W38" s="31" t="str">
        <f t="shared" si="3"/>
        <v>siang</v>
      </c>
      <c r="X38" s="31" t="str">
        <f t="shared" si="3"/>
        <v>siiang</v>
      </c>
      <c r="Y38" s="31" t="str">
        <f t="shared" si="3"/>
        <v>jiang</v>
      </c>
      <c r="Z38" s="31" t="str">
        <f t="shared" si="3"/>
        <v>jiiang</v>
      </c>
    </row>
    <row r="39" spans="1:26" ht="44.25">
      <c r="A39" s="16">
        <v>36</v>
      </c>
      <c r="B39" s="4" t="s">
        <v>275</v>
      </c>
      <c r="C39" s="17" t="s">
        <v>97</v>
      </c>
      <c r="D39" s="18" t="s">
        <v>193</v>
      </c>
      <c r="E39" s="31" t="str">
        <f t="shared" si="4"/>
        <v>iak</v>
      </c>
      <c r="F39" s="31" t="str">
        <f t="shared" si="4"/>
        <v>piak</v>
      </c>
      <c r="G39" s="31" t="str">
        <f t="shared" si="4"/>
        <v>phiak</v>
      </c>
      <c r="H39" s="31" t="str">
        <f t="shared" si="4"/>
        <v>biak</v>
      </c>
      <c r="I39" s="31" t="str">
        <f t="shared" si="4"/>
        <v>miak</v>
      </c>
      <c r="J39" s="31" t="str">
        <f t="shared" si="4"/>
        <v>tiak</v>
      </c>
      <c r="K39" s="31" t="str">
        <f t="shared" si="4"/>
        <v>thiak</v>
      </c>
      <c r="L39" s="31" t="str">
        <f t="shared" si="4"/>
        <v>liak</v>
      </c>
      <c r="M39" s="31" t="str">
        <f t="shared" si="4"/>
        <v>niak</v>
      </c>
      <c r="N39" s="31" t="str">
        <f t="shared" si="4"/>
        <v>kiak</v>
      </c>
      <c r="O39" s="31" t="str">
        <f t="shared" si="4"/>
        <v>khiak</v>
      </c>
      <c r="P39" s="31" t="str">
        <f t="shared" si="4"/>
        <v>giak</v>
      </c>
      <c r="Q39" s="31" t="str">
        <f t="shared" si="4"/>
        <v>ngiak</v>
      </c>
      <c r="R39" s="31" t="str">
        <f t="shared" si="4"/>
        <v>hiak</v>
      </c>
      <c r="S39" s="31" t="str">
        <f t="shared" si="4"/>
        <v>tsiak</v>
      </c>
      <c r="T39" s="31" t="str">
        <f t="shared" si="4"/>
        <v>tsiiak</v>
      </c>
      <c r="U39" s="31" t="str">
        <f t="shared" si="3"/>
        <v>tshiak</v>
      </c>
      <c r="V39" s="31" t="str">
        <f t="shared" si="3"/>
        <v>tshiiak</v>
      </c>
      <c r="W39" s="31" t="str">
        <f t="shared" si="3"/>
        <v>siak</v>
      </c>
      <c r="X39" s="31" t="str">
        <f t="shared" si="3"/>
        <v>siiak</v>
      </c>
      <c r="Y39" s="31" t="str">
        <f t="shared" si="3"/>
        <v>jiak</v>
      </c>
      <c r="Z39" s="31" t="str">
        <f t="shared" si="3"/>
        <v>jiiak</v>
      </c>
    </row>
    <row r="40" spans="1:26" ht="44.25">
      <c r="A40" s="16">
        <v>37</v>
      </c>
      <c r="B40" s="4" t="s">
        <v>276</v>
      </c>
      <c r="C40" s="17" t="s">
        <v>98</v>
      </c>
      <c r="D40" s="18" t="s">
        <v>194</v>
      </c>
      <c r="E40" s="31" t="str">
        <f t="shared" si="4"/>
        <v>am</v>
      </c>
      <c r="F40" s="31" t="str">
        <f t="shared" si="4"/>
        <v>pam</v>
      </c>
      <c r="G40" s="31" t="str">
        <f t="shared" si="4"/>
        <v>pham</v>
      </c>
      <c r="H40" s="31" t="str">
        <f t="shared" si="4"/>
        <v>bam</v>
      </c>
      <c r="I40" s="31" t="str">
        <f t="shared" si="4"/>
        <v>mam</v>
      </c>
      <c r="J40" s="31" t="str">
        <f t="shared" si="4"/>
        <v>tam</v>
      </c>
      <c r="K40" s="31" t="str">
        <f t="shared" si="4"/>
        <v>tham</v>
      </c>
      <c r="L40" s="31" t="str">
        <f t="shared" si="4"/>
        <v>lam</v>
      </c>
      <c r="M40" s="31" t="str">
        <f t="shared" si="4"/>
        <v>nam</v>
      </c>
      <c r="N40" s="31" t="str">
        <f t="shared" si="4"/>
        <v>kam</v>
      </c>
      <c r="O40" s="31" t="str">
        <f t="shared" si="4"/>
        <v>kham</v>
      </c>
      <c r="P40" s="31" t="str">
        <f t="shared" si="4"/>
        <v>gam</v>
      </c>
      <c r="Q40" s="31" t="str">
        <f t="shared" si="4"/>
        <v>ngam</v>
      </c>
      <c r="R40" s="31" t="str">
        <f t="shared" si="4"/>
        <v>ham</v>
      </c>
      <c r="S40" s="31" t="str">
        <f t="shared" si="4"/>
        <v>tsam</v>
      </c>
      <c r="T40" s="31" t="str">
        <f t="shared" si="4"/>
        <v>tsiam</v>
      </c>
      <c r="U40" s="31" t="str">
        <f t="shared" si="3"/>
        <v>tsham</v>
      </c>
      <c r="V40" s="31" t="str">
        <f t="shared" si="3"/>
        <v>tshiam</v>
      </c>
      <c r="W40" s="31" t="str">
        <f t="shared" si="3"/>
        <v>sam</v>
      </c>
      <c r="X40" s="31" t="str">
        <f t="shared" si="3"/>
        <v>siam</v>
      </c>
      <c r="Y40" s="31" t="str">
        <f t="shared" si="3"/>
        <v>jam</v>
      </c>
      <c r="Z40" s="31" t="str">
        <f t="shared" si="3"/>
        <v>jiam</v>
      </c>
    </row>
    <row r="41" spans="1:26" ht="44.25">
      <c r="A41" s="16">
        <v>38</v>
      </c>
      <c r="B41" s="4" t="s">
        <v>277</v>
      </c>
      <c r="C41" s="17" t="s">
        <v>99</v>
      </c>
      <c r="D41" s="18" t="s">
        <v>195</v>
      </c>
      <c r="E41" s="31" t="str">
        <f t="shared" si="4"/>
        <v>ap</v>
      </c>
      <c r="F41" s="31" t="str">
        <f t="shared" si="4"/>
        <v>pap</v>
      </c>
      <c r="G41" s="31" t="str">
        <f t="shared" si="4"/>
        <v>phap</v>
      </c>
      <c r="H41" s="31" t="str">
        <f t="shared" si="4"/>
        <v>bap</v>
      </c>
      <c r="I41" s="31" t="str">
        <f t="shared" si="4"/>
        <v>map</v>
      </c>
      <c r="J41" s="31" t="str">
        <f t="shared" si="4"/>
        <v>tap</v>
      </c>
      <c r="K41" s="31" t="str">
        <f t="shared" si="4"/>
        <v>thap</v>
      </c>
      <c r="L41" s="31" t="str">
        <f t="shared" si="4"/>
        <v>lap</v>
      </c>
      <c r="M41" s="31" t="str">
        <f t="shared" si="4"/>
        <v>nap</v>
      </c>
      <c r="N41" s="31" t="str">
        <f t="shared" si="4"/>
        <v>kap</v>
      </c>
      <c r="O41" s="31" t="str">
        <f t="shared" si="4"/>
        <v>khap</v>
      </c>
      <c r="P41" s="31" t="str">
        <f t="shared" si="4"/>
        <v>gap</v>
      </c>
      <c r="Q41" s="31" t="str">
        <f t="shared" si="4"/>
        <v>ngap</v>
      </c>
      <c r="R41" s="31" t="str">
        <f t="shared" si="4"/>
        <v>hap</v>
      </c>
      <c r="S41" s="31" t="str">
        <f t="shared" si="4"/>
        <v>tsap</v>
      </c>
      <c r="T41" s="31" t="str">
        <f t="shared" si="4"/>
        <v>tsiap</v>
      </c>
      <c r="U41" s="31" t="str">
        <f t="shared" si="3"/>
        <v>tshap</v>
      </c>
      <c r="V41" s="31" t="str">
        <f t="shared" si="3"/>
        <v>tshiap</v>
      </c>
      <c r="W41" s="31" t="str">
        <f t="shared" si="3"/>
        <v>sap</v>
      </c>
      <c r="X41" s="31" t="str">
        <f t="shared" si="3"/>
        <v>siap</v>
      </c>
      <c r="Y41" s="31" t="str">
        <f t="shared" si="3"/>
        <v>jap</v>
      </c>
      <c r="Z41" s="31" t="str">
        <f t="shared" si="3"/>
        <v>jiap</v>
      </c>
    </row>
    <row r="42" spans="1:26" ht="44.25">
      <c r="A42" s="16">
        <v>39</v>
      </c>
      <c r="B42" s="4" t="s">
        <v>278</v>
      </c>
      <c r="C42" s="17" t="s">
        <v>100</v>
      </c>
      <c r="D42" s="18" t="s">
        <v>196</v>
      </c>
      <c r="E42" s="31" t="str">
        <f t="shared" si="4"/>
        <v>ua</v>
      </c>
      <c r="F42" s="31" t="str">
        <f t="shared" si="4"/>
        <v>pua</v>
      </c>
      <c r="G42" s="31" t="str">
        <f t="shared" si="4"/>
        <v>phua</v>
      </c>
      <c r="H42" s="31" t="str">
        <f t="shared" si="4"/>
        <v>bua</v>
      </c>
      <c r="I42" s="31" t="str">
        <f t="shared" si="4"/>
        <v>mua</v>
      </c>
      <c r="J42" s="31" t="str">
        <f t="shared" si="4"/>
        <v>tua</v>
      </c>
      <c r="K42" s="31" t="str">
        <f t="shared" si="4"/>
        <v>thua</v>
      </c>
      <c r="L42" s="31" t="str">
        <f t="shared" si="4"/>
        <v>lua</v>
      </c>
      <c r="M42" s="31" t="str">
        <f t="shared" si="4"/>
        <v>nua</v>
      </c>
      <c r="N42" s="31" t="str">
        <f t="shared" si="4"/>
        <v>kua</v>
      </c>
      <c r="O42" s="31" t="str">
        <f t="shared" si="4"/>
        <v>khua</v>
      </c>
      <c r="P42" s="31" t="str">
        <f t="shared" si="4"/>
        <v>gua</v>
      </c>
      <c r="Q42" s="31" t="str">
        <f t="shared" si="4"/>
        <v>ngua</v>
      </c>
      <c r="R42" s="31" t="str">
        <f t="shared" si="4"/>
        <v>hua</v>
      </c>
      <c r="S42" s="31" t="str">
        <f t="shared" si="4"/>
        <v>tsua</v>
      </c>
      <c r="T42" s="31" t="str">
        <f t="shared" si="4"/>
        <v>tsiua</v>
      </c>
      <c r="U42" s="31" t="str">
        <f t="shared" si="3"/>
        <v>tshua</v>
      </c>
      <c r="V42" s="31" t="str">
        <f t="shared" si="3"/>
        <v>tshiua</v>
      </c>
      <c r="W42" s="31" t="str">
        <f t="shared" si="3"/>
        <v>sua</v>
      </c>
      <c r="X42" s="31" t="str">
        <f t="shared" si="3"/>
        <v>siua</v>
      </c>
      <c r="Y42" s="31" t="str">
        <f t="shared" si="3"/>
        <v>jua</v>
      </c>
      <c r="Z42" s="31" t="str">
        <f t="shared" si="3"/>
        <v>jiua</v>
      </c>
    </row>
    <row r="43" spans="1:26" ht="44.25">
      <c r="A43" s="16">
        <v>40</v>
      </c>
      <c r="B43" s="4" t="s">
        <v>279</v>
      </c>
      <c r="C43" s="17" t="s">
        <v>101</v>
      </c>
      <c r="D43" s="18" t="s">
        <v>197</v>
      </c>
      <c r="E43" s="31" t="str">
        <f t="shared" si="4"/>
        <v>uah</v>
      </c>
      <c r="F43" s="31" t="str">
        <f t="shared" si="4"/>
        <v>puah</v>
      </c>
      <c r="G43" s="31" t="str">
        <f t="shared" si="4"/>
        <v>phuah</v>
      </c>
      <c r="H43" s="31" t="str">
        <f t="shared" si="4"/>
        <v>buah</v>
      </c>
      <c r="I43" s="31" t="str">
        <f t="shared" si="4"/>
        <v>muah</v>
      </c>
      <c r="J43" s="31" t="str">
        <f t="shared" si="4"/>
        <v>tuah</v>
      </c>
      <c r="K43" s="31" t="str">
        <f t="shared" si="4"/>
        <v>thuah</v>
      </c>
      <c r="L43" s="31" t="str">
        <f t="shared" si="4"/>
        <v>luah</v>
      </c>
      <c r="M43" s="31" t="str">
        <f t="shared" si="4"/>
        <v>nuah</v>
      </c>
      <c r="N43" s="31" t="str">
        <f t="shared" si="4"/>
        <v>kuah</v>
      </c>
      <c r="O43" s="31" t="str">
        <f t="shared" si="4"/>
        <v>khuah</v>
      </c>
      <c r="P43" s="31" t="str">
        <f t="shared" si="4"/>
        <v>guah</v>
      </c>
      <c r="Q43" s="31" t="str">
        <f t="shared" si="4"/>
        <v>nguah</v>
      </c>
      <c r="R43" s="31" t="str">
        <f t="shared" si="4"/>
        <v>huah</v>
      </c>
      <c r="S43" s="31" t="str">
        <f t="shared" si="4"/>
        <v>tsuah</v>
      </c>
      <c r="T43" s="31" t="str">
        <f t="shared" si="4"/>
        <v>tsiuah</v>
      </c>
      <c r="U43" s="31" t="str">
        <f t="shared" si="3"/>
        <v>tshuah</v>
      </c>
      <c r="V43" s="31" t="str">
        <f t="shared" si="3"/>
        <v>tshiuah</v>
      </c>
      <c r="W43" s="31" t="str">
        <f t="shared" si="3"/>
        <v>suah</v>
      </c>
      <c r="X43" s="31" t="str">
        <f t="shared" si="3"/>
        <v>siuah</v>
      </c>
      <c r="Y43" s="31" t="str">
        <f t="shared" si="3"/>
        <v>juah</v>
      </c>
      <c r="Z43" s="31" t="str">
        <f t="shared" si="3"/>
        <v>jiuah</v>
      </c>
    </row>
    <row r="44" spans="1:26" ht="44.25">
      <c r="A44" s="16">
        <v>41</v>
      </c>
      <c r="B44" s="4" t="s">
        <v>280</v>
      </c>
      <c r="C44" s="17" t="s">
        <v>102</v>
      </c>
      <c r="D44" s="18" t="s">
        <v>198</v>
      </c>
      <c r="E44" s="31" t="str">
        <f t="shared" si="4"/>
        <v>ang</v>
      </c>
      <c r="F44" s="31" t="str">
        <f t="shared" si="4"/>
        <v>pang</v>
      </c>
      <c r="G44" s="31" t="str">
        <f t="shared" si="4"/>
        <v>phang</v>
      </c>
      <c r="H44" s="31" t="str">
        <f t="shared" si="4"/>
        <v>bang</v>
      </c>
      <c r="I44" s="31" t="str">
        <f t="shared" si="4"/>
        <v>mang</v>
      </c>
      <c r="J44" s="31" t="str">
        <f t="shared" si="4"/>
        <v>tang</v>
      </c>
      <c r="K44" s="31" t="str">
        <f t="shared" si="4"/>
        <v>thang</v>
      </c>
      <c r="L44" s="31" t="str">
        <f t="shared" si="4"/>
        <v>lang</v>
      </c>
      <c r="M44" s="31" t="str">
        <f t="shared" si="4"/>
        <v>nang</v>
      </c>
      <c r="N44" s="31" t="str">
        <f t="shared" si="4"/>
        <v>kang</v>
      </c>
      <c r="O44" s="31" t="str">
        <f t="shared" si="4"/>
        <v>khang</v>
      </c>
      <c r="P44" s="31" t="str">
        <f t="shared" si="4"/>
        <v>gang</v>
      </c>
      <c r="Q44" s="31" t="str">
        <f t="shared" si="4"/>
        <v>ngang</v>
      </c>
      <c r="R44" s="31" t="str">
        <f t="shared" si="4"/>
        <v>hang</v>
      </c>
      <c r="S44" s="31" t="str">
        <f t="shared" si="4"/>
        <v>tsang</v>
      </c>
      <c r="T44" s="31" t="str">
        <f t="shared" si="4"/>
        <v>tsiang</v>
      </c>
      <c r="U44" s="31" t="str">
        <f t="shared" si="3"/>
        <v>tshang</v>
      </c>
      <c r="V44" s="31" t="str">
        <f t="shared" si="3"/>
        <v>tshiang</v>
      </c>
      <c r="W44" s="31" t="str">
        <f t="shared" si="3"/>
        <v>sang</v>
      </c>
      <c r="X44" s="31" t="str">
        <f t="shared" si="3"/>
        <v>siang</v>
      </c>
      <c r="Y44" s="31" t="str">
        <f t="shared" si="3"/>
        <v>jang</v>
      </c>
      <c r="Z44" s="31" t="str">
        <f t="shared" si="3"/>
        <v>jiang</v>
      </c>
    </row>
    <row r="45" spans="1:26" ht="44.25">
      <c r="A45" s="16">
        <v>42</v>
      </c>
      <c r="B45" s="4" t="s">
        <v>281</v>
      </c>
      <c r="C45" s="17" t="s">
        <v>103</v>
      </c>
      <c r="D45" s="18" t="s">
        <v>199</v>
      </c>
      <c r="E45" s="31" t="str">
        <f t="shared" si="4"/>
        <v>ak</v>
      </c>
      <c r="F45" s="31" t="str">
        <f t="shared" si="4"/>
        <v>pak</v>
      </c>
      <c r="G45" s="31" t="str">
        <f t="shared" si="4"/>
        <v>phak</v>
      </c>
      <c r="H45" s="31" t="str">
        <f t="shared" si="4"/>
        <v>bak</v>
      </c>
      <c r="I45" s="31" t="str">
        <f t="shared" si="4"/>
        <v>mak</v>
      </c>
      <c r="J45" s="31" t="str">
        <f t="shared" si="4"/>
        <v>tak</v>
      </c>
      <c r="K45" s="31" t="str">
        <f t="shared" si="4"/>
        <v>thak</v>
      </c>
      <c r="L45" s="31" t="str">
        <f t="shared" si="4"/>
        <v>lak</v>
      </c>
      <c r="M45" s="31" t="str">
        <f t="shared" si="4"/>
        <v>nak</v>
      </c>
      <c r="N45" s="31" t="str">
        <f t="shared" si="4"/>
        <v>kak</v>
      </c>
      <c r="O45" s="31" t="str">
        <f t="shared" si="4"/>
        <v>khak</v>
      </c>
      <c r="P45" s="31" t="str">
        <f t="shared" si="4"/>
        <v>gak</v>
      </c>
      <c r="Q45" s="31" t="str">
        <f t="shared" si="4"/>
        <v>ngak</v>
      </c>
      <c r="R45" s="31" t="str">
        <f t="shared" si="4"/>
        <v>hak</v>
      </c>
      <c r="S45" s="31" t="str">
        <f t="shared" si="4"/>
        <v>tsak</v>
      </c>
      <c r="T45" s="31" t="str">
        <f t="shared" si="4"/>
        <v>tsiak</v>
      </c>
      <c r="U45" s="31" t="str">
        <f t="shared" si="3"/>
        <v>tshak</v>
      </c>
      <c r="V45" s="31" t="str">
        <f t="shared" si="3"/>
        <v>tshiak</v>
      </c>
      <c r="W45" s="31" t="str">
        <f t="shared" si="3"/>
        <v>sak</v>
      </c>
      <c r="X45" s="31" t="str">
        <f t="shared" si="3"/>
        <v>siak</v>
      </c>
      <c r="Y45" s="31" t="str">
        <f t="shared" si="3"/>
        <v>jak</v>
      </c>
      <c r="Z45" s="31" t="str">
        <f t="shared" si="3"/>
        <v>jiak</v>
      </c>
    </row>
    <row r="46" spans="1:26" ht="44.25">
      <c r="A46" s="16">
        <v>43</v>
      </c>
      <c r="B46" s="4" t="s">
        <v>282</v>
      </c>
      <c r="C46" s="17" t="s">
        <v>104</v>
      </c>
      <c r="D46" s="18" t="s">
        <v>200</v>
      </c>
      <c r="E46" s="31" t="str">
        <f t="shared" si="4"/>
        <v>iam</v>
      </c>
      <c r="F46" s="31" t="str">
        <f t="shared" si="4"/>
        <v>piam</v>
      </c>
      <c r="G46" s="31" t="str">
        <f t="shared" si="4"/>
        <v>phiam</v>
      </c>
      <c r="H46" s="31" t="str">
        <f t="shared" si="4"/>
        <v>biam</v>
      </c>
      <c r="I46" s="31" t="str">
        <f t="shared" si="4"/>
        <v>miam</v>
      </c>
      <c r="J46" s="31" t="str">
        <f t="shared" si="4"/>
        <v>tiam</v>
      </c>
      <c r="K46" s="31" t="str">
        <f t="shared" si="4"/>
        <v>thiam</v>
      </c>
      <c r="L46" s="31" t="str">
        <f t="shared" si="4"/>
        <v>liam</v>
      </c>
      <c r="M46" s="31" t="str">
        <f t="shared" si="4"/>
        <v>niam</v>
      </c>
      <c r="N46" s="31" t="str">
        <f t="shared" si="4"/>
        <v>kiam</v>
      </c>
      <c r="O46" s="31" t="str">
        <f t="shared" si="4"/>
        <v>khiam</v>
      </c>
      <c r="P46" s="31" t="str">
        <f t="shared" si="4"/>
        <v>giam</v>
      </c>
      <c r="Q46" s="31" t="str">
        <f t="shared" si="4"/>
        <v>ngiam</v>
      </c>
      <c r="R46" s="31" t="str">
        <f t="shared" si="4"/>
        <v>hiam</v>
      </c>
      <c r="S46" s="31" t="str">
        <f t="shared" si="4"/>
        <v>tsiam</v>
      </c>
      <c r="T46" s="31" t="str">
        <f t="shared" si="4"/>
        <v>tsiiam</v>
      </c>
      <c r="U46" s="31" t="str">
        <f t="shared" si="3"/>
        <v>tshiam</v>
      </c>
      <c r="V46" s="31" t="str">
        <f t="shared" si="3"/>
        <v>tshiiam</v>
      </c>
      <c r="W46" s="31" t="str">
        <f t="shared" si="3"/>
        <v>siam</v>
      </c>
      <c r="X46" s="31" t="str">
        <f t="shared" si="3"/>
        <v>siiam</v>
      </c>
      <c r="Y46" s="31" t="str">
        <f t="shared" si="3"/>
        <v>jiam</v>
      </c>
      <c r="Z46" s="31" t="str">
        <f t="shared" si="3"/>
        <v>jiiam</v>
      </c>
    </row>
    <row r="47" spans="1:26" ht="44.25">
      <c r="A47" s="16">
        <v>44</v>
      </c>
      <c r="B47" s="4" t="s">
        <v>283</v>
      </c>
      <c r="C47" s="17" t="s">
        <v>105</v>
      </c>
      <c r="D47" s="18" t="s">
        <v>201</v>
      </c>
      <c r="E47" s="31" t="str">
        <f t="shared" si="4"/>
        <v>iap</v>
      </c>
      <c r="F47" s="31" t="str">
        <f t="shared" si="4"/>
        <v>piap</v>
      </c>
      <c r="G47" s="31" t="str">
        <f t="shared" si="4"/>
        <v>phiap</v>
      </c>
      <c r="H47" s="31" t="str">
        <f t="shared" si="4"/>
        <v>biap</v>
      </c>
      <c r="I47" s="31" t="str">
        <f t="shared" si="4"/>
        <v>miap</v>
      </c>
      <c r="J47" s="31" t="str">
        <f t="shared" si="4"/>
        <v>tiap</v>
      </c>
      <c r="K47" s="31" t="str">
        <f t="shared" si="4"/>
        <v>thiap</v>
      </c>
      <c r="L47" s="31" t="str">
        <f t="shared" si="4"/>
        <v>liap</v>
      </c>
      <c r="M47" s="31" t="str">
        <f t="shared" si="4"/>
        <v>niap</v>
      </c>
      <c r="N47" s="31" t="str">
        <f t="shared" si="4"/>
        <v>kiap</v>
      </c>
      <c r="O47" s="31" t="str">
        <f t="shared" si="4"/>
        <v>khiap</v>
      </c>
      <c r="P47" s="31" t="str">
        <f t="shared" si="4"/>
        <v>giap</v>
      </c>
      <c r="Q47" s="31" t="str">
        <f t="shared" si="4"/>
        <v>ngiap</v>
      </c>
      <c r="R47" s="31" t="str">
        <f t="shared" si="4"/>
        <v>hiap</v>
      </c>
      <c r="S47" s="31" t="str">
        <f t="shared" si="4"/>
        <v>tsiap</v>
      </c>
      <c r="T47" s="31" t="str">
        <f t="shared" si="4"/>
        <v>tsiiap</v>
      </c>
      <c r="U47" s="31" t="str">
        <f t="shared" si="3"/>
        <v>tshiap</v>
      </c>
      <c r="V47" s="31" t="str">
        <f t="shared" si="3"/>
        <v>tshiiap</v>
      </c>
      <c r="W47" s="31" t="str">
        <f t="shared" si="3"/>
        <v>siap</v>
      </c>
      <c r="X47" s="31" t="str">
        <f t="shared" si="3"/>
        <v>siiap</v>
      </c>
      <c r="Y47" s="31" t="str">
        <f t="shared" si="3"/>
        <v>jiap</v>
      </c>
      <c r="Z47" s="31" t="str">
        <f t="shared" si="3"/>
        <v>jiiap</v>
      </c>
    </row>
    <row r="48" spans="1:26" ht="44.25">
      <c r="A48" s="16">
        <v>45</v>
      </c>
      <c r="B48" s="4" t="s">
        <v>284</v>
      </c>
      <c r="C48" s="17" t="s">
        <v>106</v>
      </c>
      <c r="D48" s="18" t="s">
        <v>202</v>
      </c>
      <c r="E48" s="31" t="str">
        <f t="shared" si="4"/>
        <v>au</v>
      </c>
      <c r="F48" s="31" t="str">
        <f t="shared" si="4"/>
        <v>pau</v>
      </c>
      <c r="G48" s="31" t="str">
        <f t="shared" si="4"/>
        <v>phau</v>
      </c>
      <c r="H48" s="31" t="str">
        <f t="shared" si="4"/>
        <v>bau</v>
      </c>
      <c r="I48" s="31" t="str">
        <f t="shared" si="4"/>
        <v>mau</v>
      </c>
      <c r="J48" s="31" t="str">
        <f t="shared" si="4"/>
        <v>tau</v>
      </c>
      <c r="K48" s="31" t="str">
        <f t="shared" si="4"/>
        <v>thau</v>
      </c>
      <c r="L48" s="31" t="str">
        <f t="shared" si="4"/>
        <v>lau</v>
      </c>
      <c r="M48" s="31" t="str">
        <f t="shared" si="4"/>
        <v>nau</v>
      </c>
      <c r="N48" s="31" t="str">
        <f t="shared" si="4"/>
        <v>kau</v>
      </c>
      <c r="O48" s="31" t="str">
        <f t="shared" si="4"/>
        <v>khau</v>
      </c>
      <c r="P48" s="31" t="str">
        <f t="shared" si="4"/>
        <v>gau</v>
      </c>
      <c r="Q48" s="31" t="str">
        <f t="shared" si="4"/>
        <v>ngau</v>
      </c>
      <c r="R48" s="31" t="str">
        <f t="shared" si="4"/>
        <v>hau</v>
      </c>
      <c r="S48" s="31" t="str">
        <f t="shared" si="4"/>
        <v>tsau</v>
      </c>
      <c r="T48" s="31" t="str">
        <f t="shared" si="4"/>
        <v>tsiau</v>
      </c>
      <c r="U48" s="31" t="str">
        <f t="shared" si="3"/>
        <v>tshau</v>
      </c>
      <c r="V48" s="31" t="str">
        <f t="shared" si="3"/>
        <v>tshiau</v>
      </c>
      <c r="W48" s="31" t="str">
        <f t="shared" si="3"/>
        <v>sau</v>
      </c>
      <c r="X48" s="31" t="str">
        <f t="shared" si="3"/>
        <v>siau</v>
      </c>
      <c r="Y48" s="31" t="str">
        <f t="shared" si="3"/>
        <v>jau</v>
      </c>
      <c r="Z48" s="31" t="str">
        <f t="shared" si="3"/>
        <v>jiau</v>
      </c>
    </row>
    <row r="49" spans="1:26" ht="44.25">
      <c r="A49" s="16">
        <v>46</v>
      </c>
      <c r="B49" s="4" t="s">
        <v>285</v>
      </c>
      <c r="C49" s="17" t="s">
        <v>107</v>
      </c>
      <c r="D49" s="18" t="s">
        <v>203</v>
      </c>
      <c r="E49" s="31" t="str">
        <f t="shared" si="4"/>
        <v>auh</v>
      </c>
      <c r="F49" s="31" t="str">
        <f t="shared" si="4"/>
        <v>pauh</v>
      </c>
      <c r="G49" s="31" t="str">
        <f t="shared" si="4"/>
        <v>phauh</v>
      </c>
      <c r="H49" s="31" t="str">
        <f t="shared" si="4"/>
        <v>bauh</v>
      </c>
      <c r="I49" s="31" t="str">
        <f t="shared" si="4"/>
        <v>mauh</v>
      </c>
      <c r="J49" s="31" t="str">
        <f t="shared" si="4"/>
        <v>tauh</v>
      </c>
      <c r="K49" s="31" t="str">
        <f t="shared" si="4"/>
        <v>thauh</v>
      </c>
      <c r="L49" s="31" t="str">
        <f t="shared" si="4"/>
        <v>lauh</v>
      </c>
      <c r="M49" s="31" t="str">
        <f t="shared" si="4"/>
        <v>nauh</v>
      </c>
      <c r="N49" s="31" t="str">
        <f t="shared" si="4"/>
        <v>kauh</v>
      </c>
      <c r="O49" s="31" t="str">
        <f t="shared" si="4"/>
        <v>khauh</v>
      </c>
      <c r="P49" s="31" t="str">
        <f t="shared" si="4"/>
        <v>gauh</v>
      </c>
      <c r="Q49" s="31" t="str">
        <f t="shared" si="4"/>
        <v>ngauh</v>
      </c>
      <c r="R49" s="31" t="str">
        <f t="shared" si="4"/>
        <v>hauh</v>
      </c>
      <c r="S49" s="31" t="str">
        <f t="shared" si="4"/>
        <v>tsauh</v>
      </c>
      <c r="T49" s="31" t="str">
        <f t="shared" si="4"/>
        <v>tsiauh</v>
      </c>
      <c r="U49" s="31" t="str">
        <f t="shared" si="3"/>
        <v>tshauh</v>
      </c>
      <c r="V49" s="31" t="str">
        <f t="shared" si="3"/>
        <v>tshiauh</v>
      </c>
      <c r="W49" s="31" t="str">
        <f t="shared" si="3"/>
        <v>sauh</v>
      </c>
      <c r="X49" s="31" t="str">
        <f t="shared" si="3"/>
        <v>siauh</v>
      </c>
      <c r="Y49" s="31" t="str">
        <f t="shared" si="3"/>
        <v>jauh</v>
      </c>
      <c r="Z49" s="31" t="str">
        <f t="shared" si="3"/>
        <v>jiauh</v>
      </c>
    </row>
    <row r="50" spans="1:26" ht="44.25">
      <c r="A50" s="16">
        <v>47</v>
      </c>
      <c r="B50" s="4" t="s">
        <v>286</v>
      </c>
      <c r="C50" s="17" t="s">
        <v>108</v>
      </c>
      <c r="D50" s="18" t="s">
        <v>204</v>
      </c>
      <c r="E50" s="31" t="str">
        <f t="shared" si="4"/>
        <v>ia</v>
      </c>
      <c r="F50" s="31" t="str">
        <f t="shared" si="4"/>
        <v>pia</v>
      </c>
      <c r="G50" s="31" t="str">
        <f t="shared" si="4"/>
        <v>phia</v>
      </c>
      <c r="H50" s="31" t="str">
        <f t="shared" si="4"/>
        <v>bia</v>
      </c>
      <c r="I50" s="31" t="str">
        <f t="shared" si="4"/>
        <v>mia</v>
      </c>
      <c r="J50" s="31" t="str">
        <f t="shared" si="4"/>
        <v>tia</v>
      </c>
      <c r="K50" s="31" t="str">
        <f t="shared" si="4"/>
        <v>thia</v>
      </c>
      <c r="L50" s="31" t="str">
        <f t="shared" si="4"/>
        <v>lia</v>
      </c>
      <c r="M50" s="31" t="str">
        <f t="shared" si="4"/>
        <v>nia</v>
      </c>
      <c r="N50" s="31" t="str">
        <f t="shared" si="4"/>
        <v>kia</v>
      </c>
      <c r="O50" s="31" t="str">
        <f t="shared" si="4"/>
        <v>khia</v>
      </c>
      <c r="P50" s="31" t="str">
        <f t="shared" si="4"/>
        <v>gia</v>
      </c>
      <c r="Q50" s="31" t="str">
        <f t="shared" si="4"/>
        <v>ngia</v>
      </c>
      <c r="R50" s="31" t="str">
        <f t="shared" si="4"/>
        <v>hia</v>
      </c>
      <c r="S50" s="31" t="str">
        <f t="shared" si="4"/>
        <v>tsia</v>
      </c>
      <c r="T50" s="31" t="str">
        <f t="shared" si="4"/>
        <v>tsiia</v>
      </c>
      <c r="U50" s="31" t="str">
        <f t="shared" si="3"/>
        <v>tshia</v>
      </c>
      <c r="V50" s="31" t="str">
        <f t="shared" si="3"/>
        <v>tshiia</v>
      </c>
      <c r="W50" s="31" t="str">
        <f t="shared" si="3"/>
        <v>sia</v>
      </c>
      <c r="X50" s="31" t="str">
        <f t="shared" si="3"/>
        <v>siia</v>
      </c>
      <c r="Y50" s="31" t="str">
        <f t="shared" si="3"/>
        <v>jia</v>
      </c>
      <c r="Z50" s="31" t="str">
        <f t="shared" si="3"/>
        <v>jiia</v>
      </c>
    </row>
    <row r="51" spans="1:26" ht="44.25">
      <c r="A51" s="16">
        <v>48</v>
      </c>
      <c r="B51" s="4" t="s">
        <v>287</v>
      </c>
      <c r="C51" s="17" t="s">
        <v>109</v>
      </c>
      <c r="D51" s="18" t="s">
        <v>205</v>
      </c>
      <c r="E51" s="31" t="str">
        <f t="shared" si="4"/>
        <v>iah</v>
      </c>
      <c r="F51" s="31" t="str">
        <f t="shared" si="4"/>
        <v>piah</v>
      </c>
      <c r="G51" s="31" t="str">
        <f t="shared" si="4"/>
        <v>phiah</v>
      </c>
      <c r="H51" s="31" t="str">
        <f t="shared" si="4"/>
        <v>biah</v>
      </c>
      <c r="I51" s="31" t="str">
        <f t="shared" si="4"/>
        <v>miah</v>
      </c>
      <c r="J51" s="31" t="str">
        <f t="shared" si="4"/>
        <v>tiah</v>
      </c>
      <c r="K51" s="31" t="str">
        <f t="shared" si="4"/>
        <v>thiah</v>
      </c>
      <c r="L51" s="31" t="str">
        <f t="shared" si="4"/>
        <v>liah</v>
      </c>
      <c r="M51" s="31" t="str">
        <f t="shared" si="4"/>
        <v>niah</v>
      </c>
      <c r="N51" s="31" t="str">
        <f t="shared" si="4"/>
        <v>kiah</v>
      </c>
      <c r="O51" s="31" t="str">
        <f t="shared" si="4"/>
        <v>khiah</v>
      </c>
      <c r="P51" s="31" t="str">
        <f t="shared" si="4"/>
        <v>giah</v>
      </c>
      <c r="Q51" s="31" t="str">
        <f t="shared" si="4"/>
        <v>ngiah</v>
      </c>
      <c r="R51" s="31" t="str">
        <f t="shared" ref="E51:T67" si="5">IF($D51="", "", _xlfn.CONCAT(R$3, $D51))</f>
        <v>hiah</v>
      </c>
      <c r="S51" s="31" t="str">
        <f t="shared" si="5"/>
        <v>tsiah</v>
      </c>
      <c r="T51" s="31" t="str">
        <f t="shared" si="5"/>
        <v>tsiiah</v>
      </c>
      <c r="U51" s="31" t="str">
        <f t="shared" si="3"/>
        <v>tshiah</v>
      </c>
      <c r="V51" s="31" t="str">
        <f t="shared" si="3"/>
        <v>tshiiah</v>
      </c>
      <c r="W51" s="31" t="str">
        <f t="shared" si="3"/>
        <v>siah</v>
      </c>
      <c r="X51" s="31" t="str">
        <f t="shared" si="3"/>
        <v>siiah</v>
      </c>
      <c r="Y51" s="31" t="str">
        <f t="shared" si="3"/>
        <v>jiah</v>
      </c>
      <c r="Z51" s="31" t="str">
        <f t="shared" si="3"/>
        <v>jiiah</v>
      </c>
    </row>
    <row r="52" spans="1:26" ht="44.25">
      <c r="A52" s="16">
        <v>49</v>
      </c>
      <c r="B52" s="4" t="s">
        <v>288</v>
      </c>
      <c r="C52" s="17" t="s">
        <v>110</v>
      </c>
      <c r="D52" s="18" t="s">
        <v>206</v>
      </c>
      <c r="E52" s="31" t="str">
        <f t="shared" si="5"/>
        <v>ue</v>
      </c>
      <c r="F52" s="31" t="str">
        <f t="shared" si="5"/>
        <v>pue</v>
      </c>
      <c r="G52" s="31" t="str">
        <f t="shared" si="5"/>
        <v>phue</v>
      </c>
      <c r="H52" s="31" t="str">
        <f t="shared" si="5"/>
        <v>bue</v>
      </c>
      <c r="I52" s="31" t="str">
        <f t="shared" si="5"/>
        <v>mue</v>
      </c>
      <c r="J52" s="31" t="str">
        <f t="shared" si="5"/>
        <v>tue</v>
      </c>
      <c r="K52" s="31" t="str">
        <f t="shared" si="5"/>
        <v>thue</v>
      </c>
      <c r="L52" s="31" t="str">
        <f t="shared" si="5"/>
        <v>lue</v>
      </c>
      <c r="M52" s="31" t="str">
        <f t="shared" si="5"/>
        <v>nue</v>
      </c>
      <c r="N52" s="31" t="str">
        <f t="shared" si="5"/>
        <v>kue</v>
      </c>
      <c r="O52" s="31" t="str">
        <f t="shared" si="5"/>
        <v>khue</v>
      </c>
      <c r="P52" s="31" t="str">
        <f t="shared" si="5"/>
        <v>gue</v>
      </c>
      <c r="Q52" s="31" t="str">
        <f t="shared" si="5"/>
        <v>ngue</v>
      </c>
      <c r="R52" s="31" t="str">
        <f t="shared" si="5"/>
        <v>hue</v>
      </c>
      <c r="S52" s="31" t="str">
        <f t="shared" si="5"/>
        <v>tsue</v>
      </c>
      <c r="T52" s="31" t="str">
        <f t="shared" si="5"/>
        <v>tsiue</v>
      </c>
      <c r="U52" s="31" t="str">
        <f t="shared" si="3"/>
        <v>tshue</v>
      </c>
      <c r="V52" s="31" t="str">
        <f t="shared" si="3"/>
        <v>tshiue</v>
      </c>
      <c r="W52" s="31" t="str">
        <f t="shared" si="3"/>
        <v>sue</v>
      </c>
      <c r="X52" s="31" t="str">
        <f t="shared" si="3"/>
        <v>siue</v>
      </c>
      <c r="Y52" s="31" t="str">
        <f t="shared" si="3"/>
        <v>jue</v>
      </c>
      <c r="Z52" s="31" t="str">
        <f t="shared" si="3"/>
        <v>jiue</v>
      </c>
    </row>
    <row r="53" spans="1:26" ht="44.25">
      <c r="A53" s="16">
        <v>50</v>
      </c>
      <c r="B53" s="4" t="s">
        <v>289</v>
      </c>
      <c r="C53" s="17" t="s">
        <v>111</v>
      </c>
      <c r="D53" s="18" t="s">
        <v>207</v>
      </c>
      <c r="E53" s="31" t="str">
        <f t="shared" si="5"/>
        <v>ueh</v>
      </c>
      <c r="F53" s="31" t="str">
        <f t="shared" si="5"/>
        <v>pueh</v>
      </c>
      <c r="G53" s="31" t="str">
        <f t="shared" si="5"/>
        <v>phueh</v>
      </c>
      <c r="H53" s="31" t="str">
        <f t="shared" si="5"/>
        <v>bueh</v>
      </c>
      <c r="I53" s="31" t="str">
        <f t="shared" si="5"/>
        <v>mueh</v>
      </c>
      <c r="J53" s="31" t="str">
        <f t="shared" si="5"/>
        <v>tueh</v>
      </c>
      <c r="K53" s="31" t="str">
        <f t="shared" si="5"/>
        <v>thueh</v>
      </c>
      <c r="L53" s="31" t="str">
        <f t="shared" si="5"/>
        <v>lueh</v>
      </c>
      <c r="M53" s="31" t="str">
        <f t="shared" si="5"/>
        <v>nueh</v>
      </c>
      <c r="N53" s="31" t="str">
        <f t="shared" si="5"/>
        <v>kueh</v>
      </c>
      <c r="O53" s="31" t="str">
        <f t="shared" si="5"/>
        <v>khueh</v>
      </c>
      <c r="P53" s="31" t="str">
        <f t="shared" si="5"/>
        <v>gueh</v>
      </c>
      <c r="Q53" s="31" t="str">
        <f t="shared" si="5"/>
        <v>ngueh</v>
      </c>
      <c r="R53" s="31" t="str">
        <f t="shared" si="5"/>
        <v>hueh</v>
      </c>
      <c r="S53" s="31" t="str">
        <f t="shared" si="5"/>
        <v>tsueh</v>
      </c>
      <c r="T53" s="31" t="str">
        <f t="shared" si="5"/>
        <v>tsiueh</v>
      </c>
      <c r="U53" s="31" t="str">
        <f t="shared" si="3"/>
        <v>tshueh</v>
      </c>
      <c r="V53" s="31" t="str">
        <f t="shared" si="3"/>
        <v>tshiueh</v>
      </c>
      <c r="W53" s="31" t="str">
        <f t="shared" si="3"/>
        <v>sueh</v>
      </c>
      <c r="X53" s="31" t="str">
        <f t="shared" si="3"/>
        <v>siueh</v>
      </c>
      <c r="Y53" s="31" t="str">
        <f t="shared" si="3"/>
        <v>jueh</v>
      </c>
      <c r="Z53" s="31" t="str">
        <f t="shared" si="3"/>
        <v>jiueh</v>
      </c>
    </row>
    <row r="54" spans="1:26" ht="44.25">
      <c r="A54" s="16">
        <v>51</v>
      </c>
      <c r="B54" s="4" t="s">
        <v>290</v>
      </c>
      <c r="C54" s="17" t="s">
        <v>112</v>
      </c>
      <c r="D54" s="18" t="s">
        <v>208</v>
      </c>
      <c r="E54" s="31" t="str">
        <f t="shared" si="5"/>
        <v>ann</v>
      </c>
      <c r="F54" s="31" t="str">
        <f t="shared" si="5"/>
        <v>pann</v>
      </c>
      <c r="G54" s="31" t="str">
        <f t="shared" si="5"/>
        <v>phann</v>
      </c>
      <c r="H54" s="31" t="str">
        <f t="shared" si="5"/>
        <v>bann</v>
      </c>
      <c r="I54" s="31" t="str">
        <f t="shared" si="5"/>
        <v>mann</v>
      </c>
      <c r="J54" s="31" t="str">
        <f t="shared" si="5"/>
        <v>tann</v>
      </c>
      <c r="K54" s="31" t="str">
        <f t="shared" si="5"/>
        <v>thann</v>
      </c>
      <c r="L54" s="31" t="str">
        <f t="shared" si="5"/>
        <v>lann</v>
      </c>
      <c r="M54" s="31" t="str">
        <f t="shared" si="5"/>
        <v>nann</v>
      </c>
      <c r="N54" s="31" t="str">
        <f t="shared" si="5"/>
        <v>kann</v>
      </c>
      <c r="O54" s="31" t="str">
        <f t="shared" si="5"/>
        <v>khann</v>
      </c>
      <c r="P54" s="31" t="str">
        <f t="shared" si="5"/>
        <v>gann</v>
      </c>
      <c r="Q54" s="31" t="str">
        <f t="shared" si="5"/>
        <v>ngann</v>
      </c>
      <c r="R54" s="31" t="str">
        <f t="shared" si="5"/>
        <v>hann</v>
      </c>
      <c r="S54" s="31" t="str">
        <f t="shared" si="5"/>
        <v>tsann</v>
      </c>
      <c r="T54" s="31" t="str">
        <f t="shared" si="5"/>
        <v>tsiann</v>
      </c>
      <c r="U54" s="31" t="str">
        <f t="shared" si="3"/>
        <v>tshann</v>
      </c>
      <c r="V54" s="31" t="str">
        <f t="shared" si="3"/>
        <v>tshiann</v>
      </c>
      <c r="W54" s="31" t="str">
        <f t="shared" si="3"/>
        <v>sann</v>
      </c>
      <c r="X54" s="31" t="str">
        <f t="shared" si="3"/>
        <v>siann</v>
      </c>
      <c r="Y54" s="31" t="str">
        <f t="shared" si="3"/>
        <v>jann</v>
      </c>
      <c r="Z54" s="31" t="str">
        <f t="shared" si="3"/>
        <v>jiann</v>
      </c>
    </row>
    <row r="55" spans="1:26" ht="44.25">
      <c r="A55" s="16">
        <v>52</v>
      </c>
      <c r="B55" s="28" t="s">
        <v>291</v>
      </c>
      <c r="C55" s="17" t="s">
        <v>113</v>
      </c>
      <c r="D55" s="18" t="s">
        <v>209</v>
      </c>
      <c r="E55" s="31" t="str">
        <f t="shared" si="5"/>
        <v>annh</v>
      </c>
      <c r="F55" s="31" t="str">
        <f t="shared" si="5"/>
        <v>pannh</v>
      </c>
      <c r="G55" s="31" t="str">
        <f t="shared" si="5"/>
        <v>phannh</v>
      </c>
      <c r="H55" s="31" t="str">
        <f t="shared" si="5"/>
        <v>bannh</v>
      </c>
      <c r="I55" s="31" t="str">
        <f t="shared" si="5"/>
        <v>mannh</v>
      </c>
      <c r="J55" s="31" t="str">
        <f t="shared" si="5"/>
        <v>tannh</v>
      </c>
      <c r="K55" s="31" t="str">
        <f t="shared" si="5"/>
        <v>thannh</v>
      </c>
      <c r="L55" s="31" t="str">
        <f t="shared" si="5"/>
        <v>lannh</v>
      </c>
      <c r="M55" s="31" t="str">
        <f t="shared" si="5"/>
        <v>nannh</v>
      </c>
      <c r="N55" s="31" t="str">
        <f t="shared" si="5"/>
        <v>kannh</v>
      </c>
      <c r="O55" s="31" t="str">
        <f t="shared" si="5"/>
        <v>khannh</v>
      </c>
      <c r="P55" s="31" t="str">
        <f t="shared" si="5"/>
        <v>gannh</v>
      </c>
      <c r="Q55" s="31" t="str">
        <f t="shared" si="5"/>
        <v>ngannh</v>
      </c>
      <c r="R55" s="31" t="str">
        <f t="shared" si="5"/>
        <v>hannh</v>
      </c>
      <c r="S55" s="31" t="str">
        <f t="shared" si="5"/>
        <v>tsannh</v>
      </c>
      <c r="T55" s="31" t="str">
        <f t="shared" si="5"/>
        <v>tsiannh</v>
      </c>
      <c r="U55" s="31" t="str">
        <f t="shared" si="3"/>
        <v>tshannh</v>
      </c>
      <c r="V55" s="31" t="str">
        <f t="shared" si="3"/>
        <v>tshiannh</v>
      </c>
      <c r="W55" s="31" t="str">
        <f t="shared" si="3"/>
        <v>sannh</v>
      </c>
      <c r="X55" s="31" t="str">
        <f t="shared" si="3"/>
        <v>siannh</v>
      </c>
      <c r="Y55" s="31" t="str">
        <f t="shared" si="3"/>
        <v>jannh</v>
      </c>
      <c r="Z55" s="31" t="str">
        <f t="shared" si="3"/>
        <v>jiannh</v>
      </c>
    </row>
    <row r="56" spans="1:26" ht="44.25">
      <c r="A56" s="16">
        <v>53</v>
      </c>
      <c r="B56" s="4" t="s">
        <v>292</v>
      </c>
      <c r="C56" s="17" t="s">
        <v>114</v>
      </c>
      <c r="D56" s="18" t="s">
        <v>210</v>
      </c>
      <c r="E56" s="31" t="str">
        <f t="shared" si="5"/>
        <v>u</v>
      </c>
      <c r="F56" s="31" t="str">
        <f t="shared" si="5"/>
        <v>pu</v>
      </c>
      <c r="G56" s="31" t="str">
        <f t="shared" si="5"/>
        <v>phu</v>
      </c>
      <c r="H56" s="31" t="str">
        <f t="shared" si="5"/>
        <v>bu</v>
      </c>
      <c r="I56" s="31" t="str">
        <f t="shared" si="5"/>
        <v>mu</v>
      </c>
      <c r="J56" s="31" t="str">
        <f t="shared" si="5"/>
        <v>tu</v>
      </c>
      <c r="K56" s="31" t="str">
        <f t="shared" si="5"/>
        <v>thu</v>
      </c>
      <c r="L56" s="31" t="str">
        <f t="shared" si="5"/>
        <v>lu</v>
      </c>
      <c r="M56" s="31" t="str">
        <f t="shared" si="5"/>
        <v>nu</v>
      </c>
      <c r="N56" s="31" t="str">
        <f t="shared" si="5"/>
        <v>ku</v>
      </c>
      <c r="O56" s="31" t="str">
        <f t="shared" si="5"/>
        <v>khu</v>
      </c>
      <c r="P56" s="31" t="str">
        <f t="shared" si="5"/>
        <v>gu</v>
      </c>
      <c r="Q56" s="31" t="str">
        <f t="shared" si="5"/>
        <v>ngu</v>
      </c>
      <c r="R56" s="31" t="str">
        <f t="shared" si="5"/>
        <v>hu</v>
      </c>
      <c r="S56" s="31" t="str">
        <f t="shared" si="5"/>
        <v>tsu</v>
      </c>
      <c r="T56" s="31" t="str">
        <f t="shared" si="5"/>
        <v>tsiu</v>
      </c>
      <c r="U56" s="31" t="str">
        <f t="shared" si="3"/>
        <v>tshu</v>
      </c>
      <c r="V56" s="31" t="str">
        <f t="shared" si="3"/>
        <v>tshiu</v>
      </c>
      <c r="W56" s="31" t="str">
        <f t="shared" si="3"/>
        <v>su</v>
      </c>
      <c r="X56" s="31" t="str">
        <f t="shared" si="3"/>
        <v>siu</v>
      </c>
      <c r="Y56" s="31" t="str">
        <f t="shared" si="3"/>
        <v>ju</v>
      </c>
      <c r="Z56" s="31" t="str">
        <f t="shared" si="3"/>
        <v>jiu</v>
      </c>
    </row>
    <row r="57" spans="1:26" ht="44.25">
      <c r="A57" s="16">
        <v>54</v>
      </c>
      <c r="B57" s="4" t="s">
        <v>293</v>
      </c>
      <c r="C57" s="17" t="s">
        <v>115</v>
      </c>
      <c r="D57" s="18" t="s">
        <v>211</v>
      </c>
      <c r="E57" s="31" t="str">
        <f t="shared" si="5"/>
        <v>uh</v>
      </c>
      <c r="F57" s="31" t="str">
        <f t="shared" si="5"/>
        <v>puh</v>
      </c>
      <c r="G57" s="31" t="str">
        <f t="shared" si="5"/>
        <v>phuh</v>
      </c>
      <c r="H57" s="31" t="str">
        <f t="shared" si="5"/>
        <v>buh</v>
      </c>
      <c r="I57" s="31" t="str">
        <f t="shared" si="5"/>
        <v>muh</v>
      </c>
      <c r="J57" s="31" t="str">
        <f t="shared" si="5"/>
        <v>tuh</v>
      </c>
      <c r="K57" s="31" t="str">
        <f t="shared" si="5"/>
        <v>thuh</v>
      </c>
      <c r="L57" s="31" t="str">
        <f t="shared" si="5"/>
        <v>luh</v>
      </c>
      <c r="M57" s="31" t="str">
        <f t="shared" si="5"/>
        <v>nuh</v>
      </c>
      <c r="N57" s="31" t="str">
        <f t="shared" si="5"/>
        <v>kuh</v>
      </c>
      <c r="O57" s="31" t="str">
        <f t="shared" si="5"/>
        <v>khuh</v>
      </c>
      <c r="P57" s="31" t="str">
        <f t="shared" si="5"/>
        <v>guh</v>
      </c>
      <c r="Q57" s="31" t="str">
        <f t="shared" si="5"/>
        <v>nguh</v>
      </c>
      <c r="R57" s="31" t="str">
        <f t="shared" si="5"/>
        <v>huh</v>
      </c>
      <c r="S57" s="31" t="str">
        <f t="shared" si="5"/>
        <v>tsuh</v>
      </c>
      <c r="T57" s="31" t="str">
        <f t="shared" si="5"/>
        <v>tsiuh</v>
      </c>
      <c r="U57" s="31" t="str">
        <f t="shared" si="3"/>
        <v>tshuh</v>
      </c>
      <c r="V57" s="31" t="str">
        <f t="shared" si="3"/>
        <v>tshiuh</v>
      </c>
      <c r="W57" s="31" t="str">
        <f t="shared" si="3"/>
        <v>suh</v>
      </c>
      <c r="X57" s="31" t="str">
        <f t="shared" si="3"/>
        <v>siuh</v>
      </c>
      <c r="Y57" s="31" t="str">
        <f t="shared" si="3"/>
        <v>juh</v>
      </c>
      <c r="Z57" s="31" t="str">
        <f t="shared" si="3"/>
        <v>jiuh</v>
      </c>
    </row>
    <row r="58" spans="1:26" ht="44.25">
      <c r="A58" s="16">
        <v>55</v>
      </c>
      <c r="B58" s="4" t="s">
        <v>294</v>
      </c>
      <c r="C58" s="17" t="s">
        <v>116</v>
      </c>
      <c r="D58" s="18" t="s">
        <v>212</v>
      </c>
      <c r="E58" s="31" t="str">
        <f t="shared" si="5"/>
        <v>a</v>
      </c>
      <c r="F58" s="31" t="str">
        <f t="shared" si="5"/>
        <v>pa</v>
      </c>
      <c r="G58" s="31" t="str">
        <f t="shared" si="5"/>
        <v>pha</v>
      </c>
      <c r="H58" s="31" t="str">
        <f t="shared" si="5"/>
        <v>ba</v>
      </c>
      <c r="I58" s="31" t="str">
        <f t="shared" si="5"/>
        <v>ma</v>
      </c>
      <c r="J58" s="31" t="str">
        <f t="shared" si="5"/>
        <v>ta</v>
      </c>
      <c r="K58" s="31" t="str">
        <f t="shared" si="5"/>
        <v>tha</v>
      </c>
      <c r="L58" s="31" t="str">
        <f t="shared" si="5"/>
        <v>la</v>
      </c>
      <c r="M58" s="31" t="str">
        <f t="shared" si="5"/>
        <v>na</v>
      </c>
      <c r="N58" s="31" t="str">
        <f t="shared" si="5"/>
        <v>ka</v>
      </c>
      <c r="O58" s="31" t="str">
        <f t="shared" si="5"/>
        <v>kha</v>
      </c>
      <c r="P58" s="31" t="str">
        <f t="shared" si="5"/>
        <v>ga</v>
      </c>
      <c r="Q58" s="31" t="str">
        <f t="shared" si="5"/>
        <v>nga</v>
      </c>
      <c r="R58" s="31" t="str">
        <f t="shared" si="5"/>
        <v>ha</v>
      </c>
      <c r="S58" s="31" t="str">
        <f t="shared" si="5"/>
        <v>tsa</v>
      </c>
      <c r="T58" s="31" t="str">
        <f t="shared" si="5"/>
        <v>tsia</v>
      </c>
      <c r="U58" s="31" t="str">
        <f t="shared" si="3"/>
        <v>tsha</v>
      </c>
      <c r="V58" s="31" t="str">
        <f t="shared" si="3"/>
        <v>tshia</v>
      </c>
      <c r="W58" s="31" t="str">
        <f t="shared" si="3"/>
        <v>sa</v>
      </c>
      <c r="X58" s="31" t="str">
        <f t="shared" si="3"/>
        <v>sia</v>
      </c>
      <c r="Y58" s="31" t="str">
        <f t="shared" si="3"/>
        <v>ja</v>
      </c>
      <c r="Z58" s="31" t="str">
        <f t="shared" si="3"/>
        <v>jia</v>
      </c>
    </row>
    <row r="59" spans="1:26" ht="44.25">
      <c r="A59" s="16">
        <v>56</v>
      </c>
      <c r="B59" s="4" t="s">
        <v>295</v>
      </c>
      <c r="C59" s="17" t="s">
        <v>117</v>
      </c>
      <c r="D59" s="18" t="s">
        <v>213</v>
      </c>
      <c r="E59" s="31" t="str">
        <f t="shared" si="5"/>
        <v>ah</v>
      </c>
      <c r="F59" s="31" t="str">
        <f t="shared" si="5"/>
        <v>pah</v>
      </c>
      <c r="G59" s="31" t="str">
        <f t="shared" si="5"/>
        <v>phah</v>
      </c>
      <c r="H59" s="31" t="str">
        <f t="shared" si="5"/>
        <v>bah</v>
      </c>
      <c r="I59" s="31" t="str">
        <f t="shared" si="5"/>
        <v>mah</v>
      </c>
      <c r="J59" s="31" t="str">
        <f t="shared" si="5"/>
        <v>tah</v>
      </c>
      <c r="K59" s="31" t="str">
        <f t="shared" si="5"/>
        <v>thah</v>
      </c>
      <c r="L59" s="31" t="str">
        <f t="shared" si="5"/>
        <v>lah</v>
      </c>
      <c r="M59" s="31" t="str">
        <f t="shared" si="5"/>
        <v>nah</v>
      </c>
      <c r="N59" s="31" t="str">
        <f t="shared" si="5"/>
        <v>kah</v>
      </c>
      <c r="O59" s="31" t="str">
        <f t="shared" si="5"/>
        <v>khah</v>
      </c>
      <c r="P59" s="31" t="str">
        <f t="shared" si="5"/>
        <v>gah</v>
      </c>
      <c r="Q59" s="31" t="str">
        <f t="shared" si="5"/>
        <v>ngah</v>
      </c>
      <c r="R59" s="31" t="str">
        <f t="shared" si="5"/>
        <v>hah</v>
      </c>
      <c r="S59" s="31" t="str">
        <f t="shared" si="5"/>
        <v>tsah</v>
      </c>
      <c r="T59" s="31" t="str">
        <f t="shared" si="5"/>
        <v>tsiah</v>
      </c>
      <c r="U59" s="31" t="str">
        <f t="shared" si="3"/>
        <v>tshah</v>
      </c>
      <c r="V59" s="31" t="str">
        <f t="shared" si="3"/>
        <v>tshiah</v>
      </c>
      <c r="W59" s="31" t="str">
        <f t="shared" si="3"/>
        <v>sah</v>
      </c>
      <c r="X59" s="31" t="str">
        <f t="shared" si="3"/>
        <v>siah</v>
      </c>
      <c r="Y59" s="31" t="str">
        <f t="shared" si="3"/>
        <v>jah</v>
      </c>
      <c r="Z59" s="31" t="str">
        <f t="shared" si="3"/>
        <v>jiah</v>
      </c>
    </row>
    <row r="60" spans="1:26" ht="44.25">
      <c r="A60" s="16">
        <v>57</v>
      </c>
      <c r="B60" s="4" t="s">
        <v>246</v>
      </c>
      <c r="C60" s="17" t="s">
        <v>118</v>
      </c>
      <c r="D60" s="18" t="s">
        <v>214</v>
      </c>
      <c r="E60" s="31" t="str">
        <f t="shared" si="5"/>
        <v>i</v>
      </c>
      <c r="F60" s="31" t="str">
        <f t="shared" si="5"/>
        <v>pi</v>
      </c>
      <c r="G60" s="31" t="str">
        <f t="shared" si="5"/>
        <v>phi</v>
      </c>
      <c r="H60" s="31" t="str">
        <f t="shared" si="5"/>
        <v>bi</v>
      </c>
      <c r="I60" s="31" t="str">
        <f t="shared" si="5"/>
        <v>mi</v>
      </c>
      <c r="J60" s="31" t="str">
        <f t="shared" si="5"/>
        <v>ti</v>
      </c>
      <c r="K60" s="31" t="str">
        <f t="shared" si="5"/>
        <v>thi</v>
      </c>
      <c r="L60" s="31" t="str">
        <f t="shared" si="5"/>
        <v>li</v>
      </c>
      <c r="M60" s="31" t="str">
        <f t="shared" si="5"/>
        <v>ni</v>
      </c>
      <c r="N60" s="31" t="str">
        <f t="shared" si="5"/>
        <v>ki</v>
      </c>
      <c r="O60" s="31" t="str">
        <f t="shared" si="5"/>
        <v>khi</v>
      </c>
      <c r="P60" s="31" t="str">
        <f t="shared" si="5"/>
        <v>gi</v>
      </c>
      <c r="Q60" s="31" t="str">
        <f t="shared" si="5"/>
        <v>ngi</v>
      </c>
      <c r="R60" s="31" t="str">
        <f t="shared" si="5"/>
        <v>hi</v>
      </c>
      <c r="S60" s="31" t="str">
        <f t="shared" si="5"/>
        <v>tsi</v>
      </c>
      <c r="T60" s="31" t="str">
        <f t="shared" si="5"/>
        <v>tsii</v>
      </c>
      <c r="U60" s="31" t="str">
        <f t="shared" si="3"/>
        <v>tshi</v>
      </c>
      <c r="V60" s="31" t="str">
        <f t="shared" si="3"/>
        <v>tshii</v>
      </c>
      <c r="W60" s="31" t="str">
        <f t="shared" si="3"/>
        <v>si</v>
      </c>
      <c r="X60" s="31" t="str">
        <f t="shared" si="3"/>
        <v>sii</v>
      </c>
      <c r="Y60" s="31" t="str">
        <f t="shared" si="3"/>
        <v>ji</v>
      </c>
      <c r="Z60" s="31" t="str">
        <f t="shared" si="3"/>
        <v>jii</v>
      </c>
    </row>
    <row r="61" spans="1:26" ht="44.25">
      <c r="A61" s="16">
        <v>58</v>
      </c>
      <c r="B61" s="4" t="s">
        <v>296</v>
      </c>
      <c r="C61" s="17" t="s">
        <v>119</v>
      </c>
      <c r="D61" s="18" t="s">
        <v>215</v>
      </c>
      <c r="E61" s="31" t="str">
        <f t="shared" si="5"/>
        <v>ih</v>
      </c>
      <c r="F61" s="31" t="str">
        <f t="shared" si="5"/>
        <v>pih</v>
      </c>
      <c r="G61" s="31" t="str">
        <f t="shared" si="5"/>
        <v>phih</v>
      </c>
      <c r="H61" s="31" t="str">
        <f t="shared" si="5"/>
        <v>bih</v>
      </c>
      <c r="I61" s="31" t="str">
        <f t="shared" si="5"/>
        <v>mih</v>
      </c>
      <c r="J61" s="31" t="str">
        <f t="shared" si="5"/>
        <v>tih</v>
      </c>
      <c r="K61" s="31" t="str">
        <f t="shared" si="5"/>
        <v>thih</v>
      </c>
      <c r="L61" s="31" t="str">
        <f t="shared" si="5"/>
        <v>lih</v>
      </c>
      <c r="M61" s="31" t="str">
        <f t="shared" si="5"/>
        <v>nih</v>
      </c>
      <c r="N61" s="31" t="str">
        <f t="shared" si="5"/>
        <v>kih</v>
      </c>
      <c r="O61" s="31" t="str">
        <f t="shared" si="5"/>
        <v>khih</v>
      </c>
      <c r="P61" s="31" t="str">
        <f t="shared" si="5"/>
        <v>gih</v>
      </c>
      <c r="Q61" s="31" t="str">
        <f t="shared" si="5"/>
        <v>ngih</v>
      </c>
      <c r="R61" s="31" t="str">
        <f t="shared" si="5"/>
        <v>hih</v>
      </c>
      <c r="S61" s="31" t="str">
        <f t="shared" si="5"/>
        <v>tsih</v>
      </c>
      <c r="T61" s="31" t="str">
        <f t="shared" si="5"/>
        <v>tsiih</v>
      </c>
      <c r="U61" s="31" t="str">
        <f t="shared" si="3"/>
        <v>tshih</v>
      </c>
      <c r="V61" s="31" t="str">
        <f t="shared" si="3"/>
        <v>tshiih</v>
      </c>
      <c r="W61" s="31" t="str">
        <f t="shared" si="3"/>
        <v>sih</v>
      </c>
      <c r="X61" s="31" t="str">
        <f t="shared" si="3"/>
        <v>siih</v>
      </c>
      <c r="Y61" s="31" t="str">
        <f t="shared" si="3"/>
        <v>jih</v>
      </c>
      <c r="Z61" s="31" t="str">
        <f t="shared" si="3"/>
        <v>jiih</v>
      </c>
    </row>
    <row r="62" spans="1:26" ht="44.25">
      <c r="A62" s="16">
        <v>59</v>
      </c>
      <c r="B62" s="4" t="s">
        <v>297</v>
      </c>
      <c r="C62" s="17" t="s">
        <v>120</v>
      </c>
      <c r="D62" s="18" t="s">
        <v>216</v>
      </c>
      <c r="E62" s="31" t="str">
        <f t="shared" si="5"/>
        <v>iu</v>
      </c>
      <c r="F62" s="31" t="str">
        <f t="shared" si="5"/>
        <v>piu</v>
      </c>
      <c r="G62" s="31" t="str">
        <f t="shared" si="5"/>
        <v>phiu</v>
      </c>
      <c r="H62" s="31" t="str">
        <f t="shared" si="5"/>
        <v>biu</v>
      </c>
      <c r="I62" s="31" t="str">
        <f t="shared" si="5"/>
        <v>miu</v>
      </c>
      <c r="J62" s="31" t="str">
        <f t="shared" si="5"/>
        <v>tiu</v>
      </c>
      <c r="K62" s="31" t="str">
        <f t="shared" si="5"/>
        <v>thiu</v>
      </c>
      <c r="L62" s="31" t="str">
        <f t="shared" si="5"/>
        <v>liu</v>
      </c>
      <c r="M62" s="31" t="str">
        <f t="shared" si="5"/>
        <v>niu</v>
      </c>
      <c r="N62" s="31" t="str">
        <f t="shared" si="5"/>
        <v>kiu</v>
      </c>
      <c r="O62" s="31" t="str">
        <f t="shared" si="5"/>
        <v>khiu</v>
      </c>
      <c r="P62" s="31" t="str">
        <f t="shared" si="5"/>
        <v>giu</v>
      </c>
      <c r="Q62" s="31" t="str">
        <f t="shared" si="5"/>
        <v>ngiu</v>
      </c>
      <c r="R62" s="31" t="str">
        <f t="shared" si="5"/>
        <v>hiu</v>
      </c>
      <c r="S62" s="31" t="str">
        <f t="shared" si="5"/>
        <v>tsiu</v>
      </c>
      <c r="T62" s="31" t="str">
        <f t="shared" si="5"/>
        <v>tsiiu</v>
      </c>
      <c r="U62" s="31" t="str">
        <f t="shared" si="3"/>
        <v>tshiu</v>
      </c>
      <c r="V62" s="31" t="str">
        <f t="shared" si="3"/>
        <v>tshiiu</v>
      </c>
      <c r="W62" s="31" t="str">
        <f t="shared" si="3"/>
        <v>siu</v>
      </c>
      <c r="X62" s="31" t="str">
        <f t="shared" ref="U62:Z103" si="6">IF($D62="", "", _xlfn.CONCAT(X$3, $D62))</f>
        <v>siiu</v>
      </c>
      <c r="Y62" s="31" t="str">
        <f t="shared" si="6"/>
        <v>jiu</v>
      </c>
      <c r="Z62" s="31" t="str">
        <f t="shared" si="6"/>
        <v>jiiu</v>
      </c>
    </row>
    <row r="63" spans="1:26" ht="44.25">
      <c r="A63" s="16">
        <v>60</v>
      </c>
      <c r="B63" s="25"/>
      <c r="C63" s="26" t="s">
        <v>121</v>
      </c>
      <c r="D63" s="27"/>
      <c r="E63" s="31" t="str">
        <f t="shared" si="5"/>
        <v/>
      </c>
      <c r="F63" s="31" t="str">
        <f t="shared" si="5"/>
        <v/>
      </c>
      <c r="G63" s="31" t="str">
        <f t="shared" si="5"/>
        <v/>
      </c>
      <c r="H63" s="31" t="str">
        <f t="shared" si="5"/>
        <v/>
      </c>
      <c r="I63" s="31" t="str">
        <f t="shared" si="5"/>
        <v/>
      </c>
      <c r="J63" s="31" t="str">
        <f t="shared" si="5"/>
        <v/>
      </c>
      <c r="K63" s="31" t="str">
        <f t="shared" si="5"/>
        <v/>
      </c>
      <c r="L63" s="31" t="str">
        <f t="shared" si="5"/>
        <v/>
      </c>
      <c r="M63" s="31" t="str">
        <f t="shared" si="5"/>
        <v/>
      </c>
      <c r="N63" s="31" t="str">
        <f t="shared" si="5"/>
        <v/>
      </c>
      <c r="O63" s="31" t="str">
        <f t="shared" si="5"/>
        <v/>
      </c>
      <c r="P63" s="31" t="str">
        <f t="shared" si="5"/>
        <v/>
      </c>
      <c r="Q63" s="31" t="str">
        <f t="shared" si="5"/>
        <v/>
      </c>
      <c r="R63" s="31" t="str">
        <f t="shared" si="5"/>
        <v/>
      </c>
      <c r="S63" s="31" t="str">
        <f t="shared" si="5"/>
        <v/>
      </c>
      <c r="T63" s="31" t="str">
        <f t="shared" si="5"/>
        <v/>
      </c>
      <c r="U63" s="31" t="str">
        <f t="shared" si="6"/>
        <v/>
      </c>
      <c r="V63" s="31" t="str">
        <f t="shared" si="6"/>
        <v/>
      </c>
      <c r="W63" s="31" t="str">
        <f t="shared" si="6"/>
        <v/>
      </c>
      <c r="X63" s="31" t="str">
        <f t="shared" si="6"/>
        <v/>
      </c>
      <c r="Y63" s="31" t="str">
        <f t="shared" si="6"/>
        <v/>
      </c>
      <c r="Z63" s="31" t="str">
        <f t="shared" si="6"/>
        <v/>
      </c>
    </row>
    <row r="64" spans="1:26" ht="44.25">
      <c r="A64" s="16">
        <v>61</v>
      </c>
      <c r="B64" s="4" t="s">
        <v>298</v>
      </c>
      <c r="C64" s="17" t="s">
        <v>122</v>
      </c>
      <c r="D64" s="18" t="s">
        <v>217</v>
      </c>
      <c r="E64" s="31" t="str">
        <f t="shared" si="5"/>
        <v>enn</v>
      </c>
      <c r="F64" s="31" t="str">
        <f t="shared" si="5"/>
        <v>penn</v>
      </c>
      <c r="G64" s="31" t="str">
        <f t="shared" si="5"/>
        <v>phenn</v>
      </c>
      <c r="H64" s="31" t="str">
        <f t="shared" si="5"/>
        <v>benn</v>
      </c>
      <c r="I64" s="31" t="str">
        <f t="shared" si="5"/>
        <v>menn</v>
      </c>
      <c r="J64" s="31" t="str">
        <f t="shared" si="5"/>
        <v>tenn</v>
      </c>
      <c r="K64" s="31" t="str">
        <f t="shared" si="5"/>
        <v>thenn</v>
      </c>
      <c r="L64" s="31" t="str">
        <f t="shared" si="5"/>
        <v>lenn</v>
      </c>
      <c r="M64" s="31" t="str">
        <f t="shared" si="5"/>
        <v>nenn</v>
      </c>
      <c r="N64" s="31" t="str">
        <f t="shared" si="5"/>
        <v>kenn</v>
      </c>
      <c r="O64" s="31" t="str">
        <f t="shared" si="5"/>
        <v>khenn</v>
      </c>
      <c r="P64" s="31" t="str">
        <f t="shared" si="5"/>
        <v>genn</v>
      </c>
      <c r="Q64" s="31" t="str">
        <f t="shared" si="5"/>
        <v>ngenn</v>
      </c>
      <c r="R64" s="31" t="str">
        <f t="shared" si="5"/>
        <v>henn</v>
      </c>
      <c r="S64" s="31" t="str">
        <f t="shared" si="5"/>
        <v>tsenn</v>
      </c>
      <c r="T64" s="31" t="str">
        <f t="shared" si="5"/>
        <v>tsienn</v>
      </c>
      <c r="U64" s="31" t="str">
        <f t="shared" si="6"/>
        <v>tshenn</v>
      </c>
      <c r="V64" s="31" t="str">
        <f t="shared" si="6"/>
        <v>tshienn</v>
      </c>
      <c r="W64" s="31" t="str">
        <f t="shared" si="6"/>
        <v>senn</v>
      </c>
      <c r="X64" s="31" t="str">
        <f t="shared" si="6"/>
        <v>sienn</v>
      </c>
      <c r="Y64" s="31" t="str">
        <f t="shared" si="6"/>
        <v>jenn</v>
      </c>
      <c r="Z64" s="31" t="str">
        <f t="shared" si="6"/>
        <v>jienn</v>
      </c>
    </row>
    <row r="65" spans="1:26" ht="44.25">
      <c r="A65" s="16">
        <v>62</v>
      </c>
      <c r="B65" s="4" t="s">
        <v>299</v>
      </c>
      <c r="C65" s="17" t="s">
        <v>123</v>
      </c>
      <c r="D65" s="18" t="s">
        <v>218</v>
      </c>
      <c r="E65" s="31" t="str">
        <f t="shared" si="5"/>
        <v>ennh</v>
      </c>
      <c r="F65" s="31" t="str">
        <f t="shared" si="5"/>
        <v>pennh</v>
      </c>
      <c r="G65" s="31" t="str">
        <f t="shared" si="5"/>
        <v>phennh</v>
      </c>
      <c r="H65" s="31" t="str">
        <f t="shared" si="5"/>
        <v>bennh</v>
      </c>
      <c r="I65" s="31" t="str">
        <f t="shared" si="5"/>
        <v>mennh</v>
      </c>
      <c r="J65" s="31" t="str">
        <f t="shared" si="5"/>
        <v>tennh</v>
      </c>
      <c r="K65" s="31" t="str">
        <f t="shared" si="5"/>
        <v>thennh</v>
      </c>
      <c r="L65" s="31" t="str">
        <f t="shared" si="5"/>
        <v>lennh</v>
      </c>
      <c r="M65" s="31" t="str">
        <f t="shared" si="5"/>
        <v>nennh</v>
      </c>
      <c r="N65" s="31" t="str">
        <f t="shared" si="5"/>
        <v>kennh</v>
      </c>
      <c r="O65" s="31" t="str">
        <f t="shared" si="5"/>
        <v>khennh</v>
      </c>
      <c r="P65" s="31" t="str">
        <f t="shared" si="5"/>
        <v>gennh</v>
      </c>
      <c r="Q65" s="31" t="str">
        <f t="shared" si="5"/>
        <v>ngennh</v>
      </c>
      <c r="R65" s="31" t="str">
        <f t="shared" si="5"/>
        <v>hennh</v>
      </c>
      <c r="S65" s="31" t="str">
        <f t="shared" si="5"/>
        <v>tsennh</v>
      </c>
      <c r="T65" s="31" t="str">
        <f t="shared" si="5"/>
        <v>tsiennh</v>
      </c>
      <c r="U65" s="31" t="str">
        <f t="shared" si="6"/>
        <v>tshennh</v>
      </c>
      <c r="V65" s="31" t="str">
        <f t="shared" si="6"/>
        <v>tshiennh</v>
      </c>
      <c r="W65" s="31" t="str">
        <f t="shared" si="6"/>
        <v>sennh</v>
      </c>
      <c r="X65" s="31" t="str">
        <f t="shared" si="6"/>
        <v>siennh</v>
      </c>
      <c r="Y65" s="31" t="str">
        <f t="shared" si="6"/>
        <v>jennh</v>
      </c>
      <c r="Z65" s="31" t="str">
        <f t="shared" si="6"/>
        <v>jiennh</v>
      </c>
    </row>
    <row r="66" spans="1:26" ht="44.25">
      <c r="A66" s="16">
        <v>63</v>
      </c>
      <c r="B66" s="25"/>
      <c r="C66" s="26" t="s">
        <v>124</v>
      </c>
      <c r="D66" s="27" t="s">
        <v>219</v>
      </c>
      <c r="E66" s="31" t="str">
        <f t="shared" si="5"/>
        <v>uinn</v>
      </c>
      <c r="F66" s="31" t="str">
        <f t="shared" si="5"/>
        <v>puinn</v>
      </c>
      <c r="G66" s="31" t="str">
        <f t="shared" si="5"/>
        <v>phuinn</v>
      </c>
      <c r="H66" s="31" t="str">
        <f t="shared" si="5"/>
        <v>buinn</v>
      </c>
      <c r="I66" s="31" t="str">
        <f t="shared" si="5"/>
        <v>muinn</v>
      </c>
      <c r="J66" s="31" t="str">
        <f t="shared" si="5"/>
        <v>tuinn</v>
      </c>
      <c r="K66" s="31" t="str">
        <f t="shared" si="5"/>
        <v>thuinn</v>
      </c>
      <c r="L66" s="31" t="str">
        <f t="shared" si="5"/>
        <v>luinn</v>
      </c>
      <c r="M66" s="31" t="str">
        <f t="shared" si="5"/>
        <v>nuinn</v>
      </c>
      <c r="N66" s="31" t="str">
        <f t="shared" si="5"/>
        <v>kuinn</v>
      </c>
      <c r="O66" s="31" t="str">
        <f t="shared" si="5"/>
        <v>khuinn</v>
      </c>
      <c r="P66" s="31" t="str">
        <f t="shared" si="5"/>
        <v>guinn</v>
      </c>
      <c r="Q66" s="31" t="str">
        <f t="shared" si="5"/>
        <v>nguinn</v>
      </c>
      <c r="R66" s="31" t="str">
        <f t="shared" si="5"/>
        <v>huinn</v>
      </c>
      <c r="S66" s="31" t="str">
        <f t="shared" si="5"/>
        <v>tsuinn</v>
      </c>
      <c r="T66" s="31" t="str">
        <f t="shared" si="5"/>
        <v>tsiuinn</v>
      </c>
      <c r="U66" s="31" t="str">
        <f t="shared" si="6"/>
        <v>tshuinn</v>
      </c>
      <c r="V66" s="31" t="str">
        <f t="shared" si="6"/>
        <v>tshiuinn</v>
      </c>
      <c r="W66" s="31" t="str">
        <f t="shared" si="6"/>
        <v>suinn</v>
      </c>
      <c r="X66" s="31" t="str">
        <f t="shared" si="6"/>
        <v>siuinn</v>
      </c>
      <c r="Y66" s="31" t="str">
        <f t="shared" si="6"/>
        <v>juinn</v>
      </c>
      <c r="Z66" s="31" t="str">
        <f t="shared" si="6"/>
        <v>jiuinn</v>
      </c>
    </row>
    <row r="67" spans="1:26" ht="44.25">
      <c r="A67" s="16">
        <v>64</v>
      </c>
      <c r="B67" s="25"/>
      <c r="C67" s="26" t="s">
        <v>125</v>
      </c>
      <c r="D67" s="27"/>
      <c r="E67" s="31" t="str">
        <f t="shared" si="5"/>
        <v/>
      </c>
      <c r="F67" s="31" t="str">
        <f t="shared" si="5"/>
        <v/>
      </c>
      <c r="G67" s="31" t="str">
        <f t="shared" si="5"/>
        <v/>
      </c>
      <c r="H67" s="31" t="str">
        <f t="shared" si="5"/>
        <v/>
      </c>
      <c r="I67" s="31" t="str">
        <f t="shared" si="5"/>
        <v/>
      </c>
      <c r="J67" s="31" t="str">
        <f t="shared" si="5"/>
        <v/>
      </c>
      <c r="K67" s="31" t="str">
        <f t="shared" si="5"/>
        <v/>
      </c>
      <c r="L67" s="31" t="str">
        <f t="shared" si="5"/>
        <v/>
      </c>
      <c r="M67" s="31" t="str">
        <f t="shared" si="5"/>
        <v/>
      </c>
      <c r="N67" s="31" t="str">
        <f t="shared" si="5"/>
        <v/>
      </c>
      <c r="O67" s="31" t="str">
        <f t="shared" si="5"/>
        <v/>
      </c>
      <c r="P67" s="31" t="str">
        <f t="shared" si="5"/>
        <v/>
      </c>
      <c r="Q67" s="31" t="str">
        <f t="shared" ref="E67:T83" si="7">IF($D67="", "", _xlfn.CONCAT(Q$3, $D67))</f>
        <v/>
      </c>
      <c r="R67" s="31" t="str">
        <f t="shared" si="7"/>
        <v/>
      </c>
      <c r="S67" s="31" t="str">
        <f t="shared" si="7"/>
        <v/>
      </c>
      <c r="T67" s="31" t="str">
        <f t="shared" si="7"/>
        <v/>
      </c>
      <c r="U67" s="31" t="str">
        <f t="shared" si="6"/>
        <v/>
      </c>
      <c r="V67" s="31" t="str">
        <f t="shared" si="6"/>
        <v/>
      </c>
      <c r="W67" s="31" t="str">
        <f t="shared" si="6"/>
        <v/>
      </c>
      <c r="X67" s="31" t="str">
        <f t="shared" si="6"/>
        <v/>
      </c>
      <c r="Y67" s="31" t="str">
        <f t="shared" si="6"/>
        <v/>
      </c>
      <c r="Z67" s="31" t="str">
        <f t="shared" si="6"/>
        <v/>
      </c>
    </row>
    <row r="68" spans="1:26" ht="44.25">
      <c r="A68" s="16">
        <v>65</v>
      </c>
      <c r="B68" s="4" t="s">
        <v>300</v>
      </c>
      <c r="C68" s="17" t="s">
        <v>126</v>
      </c>
      <c r="D68" s="18" t="s">
        <v>220</v>
      </c>
      <c r="E68" s="31" t="str">
        <f t="shared" si="7"/>
        <v>io</v>
      </c>
      <c r="F68" s="31" t="str">
        <f t="shared" si="7"/>
        <v>pio</v>
      </c>
      <c r="G68" s="31" t="str">
        <f t="shared" si="7"/>
        <v>phio</v>
      </c>
      <c r="H68" s="31" t="str">
        <f t="shared" si="7"/>
        <v>bio</v>
      </c>
      <c r="I68" s="31" t="str">
        <f t="shared" si="7"/>
        <v>mio</v>
      </c>
      <c r="J68" s="31" t="str">
        <f t="shared" si="7"/>
        <v>tio</v>
      </c>
      <c r="K68" s="31" t="str">
        <f t="shared" si="7"/>
        <v>thio</v>
      </c>
      <c r="L68" s="31" t="str">
        <f t="shared" si="7"/>
        <v>lio</v>
      </c>
      <c r="M68" s="31" t="str">
        <f t="shared" si="7"/>
        <v>nio</v>
      </c>
      <c r="N68" s="31" t="str">
        <f t="shared" si="7"/>
        <v>kio</v>
      </c>
      <c r="O68" s="31" t="str">
        <f t="shared" si="7"/>
        <v>khio</v>
      </c>
      <c r="P68" s="31" t="str">
        <f t="shared" si="7"/>
        <v>gio</v>
      </c>
      <c r="Q68" s="31" t="str">
        <f t="shared" si="7"/>
        <v>ngio</v>
      </c>
      <c r="R68" s="31" t="str">
        <f t="shared" si="7"/>
        <v>hio</v>
      </c>
      <c r="S68" s="31" t="str">
        <f t="shared" si="7"/>
        <v>tsio</v>
      </c>
      <c r="T68" s="31" t="str">
        <f t="shared" si="7"/>
        <v>tsiio</v>
      </c>
      <c r="U68" s="31" t="str">
        <f t="shared" si="6"/>
        <v>tshio</v>
      </c>
      <c r="V68" s="31" t="str">
        <f t="shared" si="6"/>
        <v>tshiio</v>
      </c>
      <c r="W68" s="31" t="str">
        <f t="shared" si="6"/>
        <v>sio</v>
      </c>
      <c r="X68" s="31" t="str">
        <f t="shared" si="6"/>
        <v>siio</v>
      </c>
      <c r="Y68" s="31" t="str">
        <f t="shared" si="6"/>
        <v>jio</v>
      </c>
      <c r="Z68" s="31" t="str">
        <f t="shared" si="6"/>
        <v>jiio</v>
      </c>
    </row>
    <row r="69" spans="1:26" ht="44.25">
      <c r="A69" s="16">
        <v>66</v>
      </c>
      <c r="B69" s="4" t="s">
        <v>301</v>
      </c>
      <c r="C69" s="17" t="s">
        <v>127</v>
      </c>
      <c r="D69" s="18" t="s">
        <v>221</v>
      </c>
      <c r="E69" s="31" t="str">
        <f t="shared" si="7"/>
        <v>ioh</v>
      </c>
      <c r="F69" s="31" t="str">
        <f t="shared" si="7"/>
        <v>pioh</v>
      </c>
      <c r="G69" s="31" t="str">
        <f t="shared" si="7"/>
        <v>phioh</v>
      </c>
      <c r="H69" s="31" t="str">
        <f t="shared" si="7"/>
        <v>bioh</v>
      </c>
      <c r="I69" s="31" t="str">
        <f t="shared" si="7"/>
        <v>mioh</v>
      </c>
      <c r="J69" s="31" t="str">
        <f t="shared" si="7"/>
        <v>tioh</v>
      </c>
      <c r="K69" s="31" t="str">
        <f t="shared" si="7"/>
        <v>thioh</v>
      </c>
      <c r="L69" s="31" t="str">
        <f t="shared" si="7"/>
        <v>lioh</v>
      </c>
      <c r="M69" s="31" t="str">
        <f t="shared" si="7"/>
        <v>nioh</v>
      </c>
      <c r="N69" s="31" t="str">
        <f t="shared" si="7"/>
        <v>kioh</v>
      </c>
      <c r="O69" s="31" t="str">
        <f t="shared" si="7"/>
        <v>khioh</v>
      </c>
      <c r="P69" s="31" t="str">
        <f t="shared" si="7"/>
        <v>gioh</v>
      </c>
      <c r="Q69" s="31" t="str">
        <f t="shared" si="7"/>
        <v>ngioh</v>
      </c>
      <c r="R69" s="31" t="str">
        <f t="shared" si="7"/>
        <v>hioh</v>
      </c>
      <c r="S69" s="31" t="str">
        <f t="shared" si="7"/>
        <v>tsioh</v>
      </c>
      <c r="T69" s="31" t="str">
        <f t="shared" si="7"/>
        <v>tsiioh</v>
      </c>
      <c r="U69" s="31" t="str">
        <f t="shared" si="6"/>
        <v>tshioh</v>
      </c>
      <c r="V69" s="31" t="str">
        <f t="shared" si="6"/>
        <v>tshiioh</v>
      </c>
      <c r="W69" s="31" t="str">
        <f t="shared" si="6"/>
        <v>sioh</v>
      </c>
      <c r="X69" s="31" t="str">
        <f t="shared" si="6"/>
        <v>siioh</v>
      </c>
      <c r="Y69" s="31" t="str">
        <f t="shared" si="6"/>
        <v>jioh</v>
      </c>
      <c r="Z69" s="31" t="str">
        <f t="shared" si="6"/>
        <v>jiioh</v>
      </c>
    </row>
    <row r="70" spans="1:26" ht="44.25">
      <c r="A70" s="16">
        <v>67</v>
      </c>
      <c r="B70" s="4" t="s">
        <v>302</v>
      </c>
      <c r="C70" s="17" t="s">
        <v>128</v>
      </c>
      <c r="D70" s="18" t="s">
        <v>222</v>
      </c>
      <c r="E70" s="31" t="str">
        <f t="shared" si="7"/>
        <v>inn</v>
      </c>
      <c r="F70" s="31" t="str">
        <f t="shared" si="7"/>
        <v>pinn</v>
      </c>
      <c r="G70" s="31" t="str">
        <f t="shared" si="7"/>
        <v>phinn</v>
      </c>
      <c r="H70" s="31" t="str">
        <f t="shared" si="7"/>
        <v>binn</v>
      </c>
      <c r="I70" s="31" t="str">
        <f t="shared" si="7"/>
        <v>minn</v>
      </c>
      <c r="J70" s="31" t="str">
        <f t="shared" si="7"/>
        <v>tinn</v>
      </c>
      <c r="K70" s="31" t="str">
        <f t="shared" si="7"/>
        <v>thinn</v>
      </c>
      <c r="L70" s="31" t="str">
        <f t="shared" si="7"/>
        <v>linn</v>
      </c>
      <c r="M70" s="31" t="str">
        <f t="shared" si="7"/>
        <v>ninn</v>
      </c>
      <c r="N70" s="31" t="str">
        <f t="shared" si="7"/>
        <v>kinn</v>
      </c>
      <c r="O70" s="31" t="str">
        <f t="shared" si="7"/>
        <v>khinn</v>
      </c>
      <c r="P70" s="31" t="str">
        <f t="shared" si="7"/>
        <v>ginn</v>
      </c>
      <c r="Q70" s="31" t="str">
        <f t="shared" si="7"/>
        <v>nginn</v>
      </c>
      <c r="R70" s="31" t="str">
        <f t="shared" si="7"/>
        <v>hinn</v>
      </c>
      <c r="S70" s="31" t="str">
        <f t="shared" si="7"/>
        <v>tsinn</v>
      </c>
      <c r="T70" s="31" t="str">
        <f t="shared" si="7"/>
        <v>tsiinn</v>
      </c>
      <c r="U70" s="31" t="str">
        <f t="shared" si="6"/>
        <v>tshinn</v>
      </c>
      <c r="V70" s="31" t="str">
        <f t="shared" si="6"/>
        <v>tshiinn</v>
      </c>
      <c r="W70" s="31" t="str">
        <f t="shared" si="6"/>
        <v>sinn</v>
      </c>
      <c r="X70" s="31" t="str">
        <f t="shared" si="6"/>
        <v>siinn</v>
      </c>
      <c r="Y70" s="31" t="str">
        <f t="shared" si="6"/>
        <v>jinn</v>
      </c>
      <c r="Z70" s="31" t="str">
        <f t="shared" si="6"/>
        <v>jiinn</v>
      </c>
    </row>
    <row r="71" spans="1:26" ht="44.25">
      <c r="A71" s="16">
        <v>68</v>
      </c>
      <c r="B71" s="25"/>
      <c r="C71" s="26" t="s">
        <v>129</v>
      </c>
      <c r="D71" s="27" t="s">
        <v>223</v>
      </c>
      <c r="E71" s="31" t="str">
        <f t="shared" si="7"/>
        <v>innh</v>
      </c>
      <c r="F71" s="31" t="str">
        <f t="shared" si="7"/>
        <v>pinnh</v>
      </c>
      <c r="G71" s="31" t="str">
        <f t="shared" si="7"/>
        <v>phinnh</v>
      </c>
      <c r="H71" s="31" t="str">
        <f t="shared" si="7"/>
        <v>binnh</v>
      </c>
      <c r="I71" s="31" t="str">
        <f t="shared" si="7"/>
        <v>minnh</v>
      </c>
      <c r="J71" s="31" t="str">
        <f t="shared" si="7"/>
        <v>tinnh</v>
      </c>
      <c r="K71" s="31" t="str">
        <f t="shared" si="7"/>
        <v>thinnh</v>
      </c>
      <c r="L71" s="31" t="str">
        <f t="shared" si="7"/>
        <v>linnh</v>
      </c>
      <c r="M71" s="31" t="str">
        <f t="shared" si="7"/>
        <v>ninnh</v>
      </c>
      <c r="N71" s="31" t="str">
        <f t="shared" si="7"/>
        <v>kinnh</v>
      </c>
      <c r="O71" s="31" t="str">
        <f t="shared" si="7"/>
        <v>khinnh</v>
      </c>
      <c r="P71" s="31" t="str">
        <f t="shared" si="7"/>
        <v>ginnh</v>
      </c>
      <c r="Q71" s="31" t="str">
        <f t="shared" si="7"/>
        <v>nginnh</v>
      </c>
      <c r="R71" s="31" t="str">
        <f t="shared" si="7"/>
        <v>hinnh</v>
      </c>
      <c r="S71" s="31" t="str">
        <f t="shared" si="7"/>
        <v>tsinnh</v>
      </c>
      <c r="T71" s="31" t="str">
        <f t="shared" si="7"/>
        <v>tsiinnh</v>
      </c>
      <c r="U71" s="31" t="str">
        <f t="shared" si="6"/>
        <v>tshinnh</v>
      </c>
      <c r="V71" s="31" t="str">
        <f t="shared" si="6"/>
        <v>tshiinnh</v>
      </c>
      <c r="W71" s="31" t="str">
        <f t="shared" si="6"/>
        <v>sinnh</v>
      </c>
      <c r="X71" s="31" t="str">
        <f t="shared" si="6"/>
        <v>siinnh</v>
      </c>
      <c r="Y71" s="31" t="str">
        <f t="shared" si="6"/>
        <v>jinnh</v>
      </c>
      <c r="Z71" s="31" t="str">
        <f t="shared" si="6"/>
        <v>jiinnh</v>
      </c>
    </row>
    <row r="72" spans="1:26" ht="44.25">
      <c r="A72" s="16">
        <v>69</v>
      </c>
      <c r="B72" s="29" t="s">
        <v>303</v>
      </c>
      <c r="C72" s="26" t="s">
        <v>130</v>
      </c>
      <c r="D72" s="27" t="s">
        <v>224</v>
      </c>
      <c r="E72" s="31" t="str">
        <f t="shared" si="7"/>
        <v>ionn</v>
      </c>
      <c r="F72" s="31" t="str">
        <f t="shared" si="7"/>
        <v>pionn</v>
      </c>
      <c r="G72" s="31" t="str">
        <f t="shared" si="7"/>
        <v>phionn</v>
      </c>
      <c r="H72" s="31" t="str">
        <f t="shared" si="7"/>
        <v>bionn</v>
      </c>
      <c r="I72" s="31" t="str">
        <f t="shared" si="7"/>
        <v>mionn</v>
      </c>
      <c r="J72" s="31" t="str">
        <f t="shared" si="7"/>
        <v>tionn</v>
      </c>
      <c r="K72" s="31" t="str">
        <f t="shared" si="7"/>
        <v>thionn</v>
      </c>
      <c r="L72" s="31" t="str">
        <f t="shared" si="7"/>
        <v>lionn</v>
      </c>
      <c r="M72" s="31" t="str">
        <f t="shared" si="7"/>
        <v>nionn</v>
      </c>
      <c r="N72" s="31" t="str">
        <f t="shared" si="7"/>
        <v>kionn</v>
      </c>
      <c r="O72" s="31" t="str">
        <f t="shared" si="7"/>
        <v>khionn</v>
      </c>
      <c r="P72" s="31" t="str">
        <f t="shared" si="7"/>
        <v>gionn</v>
      </c>
      <c r="Q72" s="31" t="str">
        <f t="shared" si="7"/>
        <v>ngionn</v>
      </c>
      <c r="R72" s="31" t="str">
        <f t="shared" si="7"/>
        <v>hionn</v>
      </c>
      <c r="S72" s="31" t="str">
        <f t="shared" si="7"/>
        <v>tsionn</v>
      </c>
      <c r="T72" s="31" t="str">
        <f t="shared" si="7"/>
        <v>tsiionn</v>
      </c>
      <c r="U72" s="31" t="str">
        <f t="shared" si="6"/>
        <v>tshionn</v>
      </c>
      <c r="V72" s="31" t="str">
        <f t="shared" si="6"/>
        <v>tshiionn</v>
      </c>
      <c r="W72" s="31" t="str">
        <f t="shared" si="6"/>
        <v>sionn</v>
      </c>
      <c r="X72" s="31" t="str">
        <f t="shared" si="6"/>
        <v>siionn</v>
      </c>
      <c r="Y72" s="31" t="str">
        <f t="shared" si="6"/>
        <v>jionn</v>
      </c>
      <c r="Z72" s="31" t="str">
        <f t="shared" si="6"/>
        <v>jiionn</v>
      </c>
    </row>
    <row r="73" spans="1:26" ht="44.25">
      <c r="A73" s="16">
        <v>70</v>
      </c>
      <c r="B73" s="25"/>
      <c r="C73" s="26" t="s">
        <v>131</v>
      </c>
      <c r="D73" s="27"/>
      <c r="E73" s="31" t="str">
        <f t="shared" si="7"/>
        <v/>
      </c>
      <c r="F73" s="31" t="str">
        <f t="shared" si="7"/>
        <v/>
      </c>
      <c r="G73" s="31" t="str">
        <f t="shared" si="7"/>
        <v/>
      </c>
      <c r="H73" s="31" t="str">
        <f t="shared" si="7"/>
        <v/>
      </c>
      <c r="I73" s="31" t="str">
        <f t="shared" si="7"/>
        <v/>
      </c>
      <c r="J73" s="31" t="str">
        <f t="shared" si="7"/>
        <v/>
      </c>
      <c r="K73" s="31" t="str">
        <f t="shared" si="7"/>
        <v/>
      </c>
      <c r="L73" s="31" t="str">
        <f t="shared" si="7"/>
        <v/>
      </c>
      <c r="M73" s="31" t="str">
        <f t="shared" si="7"/>
        <v/>
      </c>
      <c r="N73" s="31" t="str">
        <f t="shared" si="7"/>
        <v/>
      </c>
      <c r="O73" s="31" t="str">
        <f t="shared" si="7"/>
        <v/>
      </c>
      <c r="P73" s="31" t="str">
        <f t="shared" si="7"/>
        <v/>
      </c>
      <c r="Q73" s="31" t="str">
        <f t="shared" si="7"/>
        <v/>
      </c>
      <c r="R73" s="31" t="str">
        <f t="shared" si="7"/>
        <v/>
      </c>
      <c r="S73" s="31" t="str">
        <f t="shared" si="7"/>
        <v/>
      </c>
      <c r="T73" s="31" t="str">
        <f t="shared" si="7"/>
        <v/>
      </c>
      <c r="U73" s="31" t="str">
        <f t="shared" si="6"/>
        <v/>
      </c>
      <c r="V73" s="31" t="str">
        <f t="shared" si="6"/>
        <v/>
      </c>
      <c r="W73" s="31" t="str">
        <f t="shared" si="6"/>
        <v/>
      </c>
      <c r="X73" s="31" t="str">
        <f t="shared" si="6"/>
        <v/>
      </c>
      <c r="Y73" s="31" t="str">
        <f t="shared" si="6"/>
        <v/>
      </c>
      <c r="Z73" s="31" t="str">
        <f t="shared" si="6"/>
        <v/>
      </c>
    </row>
    <row r="74" spans="1:26" ht="44.25">
      <c r="A74" s="16">
        <v>71</v>
      </c>
      <c r="B74" s="4" t="s">
        <v>304</v>
      </c>
      <c r="C74" s="17" t="s">
        <v>132</v>
      </c>
      <c r="D74" s="18" t="s">
        <v>306</v>
      </c>
      <c r="E74" s="31" t="str">
        <f t="shared" si="7"/>
        <v>iann</v>
      </c>
      <c r="F74" s="31" t="str">
        <f t="shared" si="7"/>
        <v>piann</v>
      </c>
      <c r="G74" s="31" t="str">
        <f t="shared" si="7"/>
        <v>phiann</v>
      </c>
      <c r="H74" s="31" t="str">
        <f t="shared" si="7"/>
        <v>biann</v>
      </c>
      <c r="I74" s="31" t="str">
        <f t="shared" si="7"/>
        <v>miann</v>
      </c>
      <c r="J74" s="31" t="str">
        <f t="shared" si="7"/>
        <v>tiann</v>
      </c>
      <c r="K74" s="31" t="str">
        <f t="shared" si="7"/>
        <v>thiann</v>
      </c>
      <c r="L74" s="31" t="str">
        <f t="shared" si="7"/>
        <v>liann</v>
      </c>
      <c r="M74" s="31" t="str">
        <f t="shared" si="7"/>
        <v>niann</v>
      </c>
      <c r="N74" s="31" t="str">
        <f t="shared" si="7"/>
        <v>kiann</v>
      </c>
      <c r="O74" s="31" t="str">
        <f t="shared" si="7"/>
        <v>khiann</v>
      </c>
      <c r="P74" s="31" t="str">
        <f t="shared" si="7"/>
        <v>giann</v>
      </c>
      <c r="Q74" s="31" t="str">
        <f t="shared" si="7"/>
        <v>ngiann</v>
      </c>
      <c r="R74" s="31" t="str">
        <f t="shared" si="7"/>
        <v>hiann</v>
      </c>
      <c r="S74" s="31" t="str">
        <f t="shared" si="7"/>
        <v>tsiann</v>
      </c>
      <c r="T74" s="31" t="str">
        <f t="shared" si="7"/>
        <v>tsiiann</v>
      </c>
      <c r="U74" s="31" t="str">
        <f t="shared" si="6"/>
        <v>tshiann</v>
      </c>
      <c r="V74" s="31" t="str">
        <f t="shared" si="6"/>
        <v>tshiiann</v>
      </c>
      <c r="W74" s="31" t="str">
        <f t="shared" si="6"/>
        <v>siann</v>
      </c>
      <c r="X74" s="31" t="str">
        <f t="shared" si="6"/>
        <v>siiann</v>
      </c>
      <c r="Y74" s="31" t="str">
        <f t="shared" si="6"/>
        <v>jiann</v>
      </c>
      <c r="Z74" s="31" t="str">
        <f t="shared" si="6"/>
        <v>jiiann</v>
      </c>
    </row>
    <row r="75" spans="1:26" ht="44.25">
      <c r="A75" s="16">
        <v>72</v>
      </c>
      <c r="B75" s="25"/>
      <c r="C75" s="26" t="s">
        <v>133</v>
      </c>
      <c r="D75" s="27" t="s">
        <v>225</v>
      </c>
      <c r="E75" s="31" t="str">
        <f t="shared" si="7"/>
        <v>iannh</v>
      </c>
      <c r="F75" s="31" t="str">
        <f t="shared" si="7"/>
        <v>piannh</v>
      </c>
      <c r="G75" s="31" t="str">
        <f t="shared" si="7"/>
        <v>phiannh</v>
      </c>
      <c r="H75" s="31" t="str">
        <f t="shared" si="7"/>
        <v>biannh</v>
      </c>
      <c r="I75" s="31" t="str">
        <f t="shared" si="7"/>
        <v>miannh</v>
      </c>
      <c r="J75" s="31" t="str">
        <f t="shared" si="7"/>
        <v>tiannh</v>
      </c>
      <c r="K75" s="31" t="str">
        <f t="shared" si="7"/>
        <v>thiannh</v>
      </c>
      <c r="L75" s="31" t="str">
        <f t="shared" si="7"/>
        <v>liannh</v>
      </c>
      <c r="M75" s="31" t="str">
        <f t="shared" si="7"/>
        <v>niannh</v>
      </c>
      <c r="N75" s="31" t="str">
        <f t="shared" si="7"/>
        <v>kiannh</v>
      </c>
      <c r="O75" s="31" t="str">
        <f t="shared" si="7"/>
        <v>khiannh</v>
      </c>
      <c r="P75" s="31" t="str">
        <f t="shared" si="7"/>
        <v>giannh</v>
      </c>
      <c r="Q75" s="31" t="str">
        <f t="shared" si="7"/>
        <v>ngiannh</v>
      </c>
      <c r="R75" s="31" t="str">
        <f t="shared" si="7"/>
        <v>hiannh</v>
      </c>
      <c r="S75" s="31" t="str">
        <f t="shared" si="7"/>
        <v>tsiannh</v>
      </c>
      <c r="T75" s="31" t="str">
        <f t="shared" si="7"/>
        <v>tsiiannh</v>
      </c>
      <c r="U75" s="31" t="str">
        <f t="shared" si="6"/>
        <v>tshiannh</v>
      </c>
      <c r="V75" s="31" t="str">
        <f t="shared" si="6"/>
        <v>tshiiannh</v>
      </c>
      <c r="W75" s="31" t="str">
        <f t="shared" si="6"/>
        <v>siannh</v>
      </c>
      <c r="X75" s="31" t="str">
        <f t="shared" si="6"/>
        <v>siiannh</v>
      </c>
      <c r="Y75" s="31" t="str">
        <f t="shared" si="6"/>
        <v>jiannh</v>
      </c>
      <c r="Z75" s="31" t="str">
        <f t="shared" si="6"/>
        <v>jiiannh</v>
      </c>
    </row>
    <row r="76" spans="1:26" ht="44.25">
      <c r="A76" s="16">
        <v>73</v>
      </c>
      <c r="B76" s="4" t="s">
        <v>307</v>
      </c>
      <c r="C76" s="17" t="s">
        <v>134</v>
      </c>
      <c r="D76" s="18" t="s">
        <v>226</v>
      </c>
      <c r="E76" s="31" t="str">
        <f t="shared" si="7"/>
        <v>uann</v>
      </c>
      <c r="F76" s="31" t="str">
        <f t="shared" si="7"/>
        <v>puann</v>
      </c>
      <c r="G76" s="31" t="str">
        <f t="shared" si="7"/>
        <v>phuann</v>
      </c>
      <c r="H76" s="31" t="str">
        <f t="shared" si="7"/>
        <v>buann</v>
      </c>
      <c r="I76" s="31" t="str">
        <f t="shared" si="7"/>
        <v>muann</v>
      </c>
      <c r="J76" s="31" t="str">
        <f t="shared" si="7"/>
        <v>tuann</v>
      </c>
      <c r="K76" s="31" t="str">
        <f t="shared" si="7"/>
        <v>thuann</v>
      </c>
      <c r="L76" s="31" t="str">
        <f t="shared" si="7"/>
        <v>luann</v>
      </c>
      <c r="M76" s="31" t="str">
        <f t="shared" si="7"/>
        <v>nuann</v>
      </c>
      <c r="N76" s="31" t="str">
        <f t="shared" si="7"/>
        <v>kuann</v>
      </c>
      <c r="O76" s="31" t="str">
        <f t="shared" si="7"/>
        <v>khuann</v>
      </c>
      <c r="P76" s="31" t="str">
        <f t="shared" si="7"/>
        <v>guann</v>
      </c>
      <c r="Q76" s="31" t="str">
        <f t="shared" si="7"/>
        <v>nguann</v>
      </c>
      <c r="R76" s="31" t="str">
        <f t="shared" si="7"/>
        <v>huann</v>
      </c>
      <c r="S76" s="31" t="str">
        <f t="shared" si="7"/>
        <v>tsuann</v>
      </c>
      <c r="T76" s="31" t="str">
        <f t="shared" si="7"/>
        <v>tsiuann</v>
      </c>
      <c r="U76" s="31" t="str">
        <f t="shared" si="6"/>
        <v>tshuann</v>
      </c>
      <c r="V76" s="31" t="str">
        <f t="shared" si="6"/>
        <v>tshiuann</v>
      </c>
      <c r="W76" s="31" t="str">
        <f t="shared" si="6"/>
        <v>suann</v>
      </c>
      <c r="X76" s="31" t="str">
        <f t="shared" si="6"/>
        <v>siuann</v>
      </c>
      <c r="Y76" s="31" t="str">
        <f t="shared" si="6"/>
        <v>juann</v>
      </c>
      <c r="Z76" s="31" t="str">
        <f t="shared" si="6"/>
        <v>jiuann</v>
      </c>
    </row>
    <row r="77" spans="1:26" ht="44.25">
      <c r="A77" s="16">
        <v>74</v>
      </c>
      <c r="B77" s="25"/>
      <c r="C77" s="26" t="s">
        <v>135</v>
      </c>
      <c r="D77" s="27"/>
      <c r="E77" s="31" t="str">
        <f t="shared" si="7"/>
        <v/>
      </c>
      <c r="F77" s="31" t="str">
        <f t="shared" si="7"/>
        <v/>
      </c>
      <c r="G77" s="31" t="str">
        <f t="shared" si="7"/>
        <v/>
      </c>
      <c r="H77" s="31" t="str">
        <f t="shared" si="7"/>
        <v/>
      </c>
      <c r="I77" s="31" t="str">
        <f t="shared" si="7"/>
        <v/>
      </c>
      <c r="J77" s="31" t="str">
        <f t="shared" si="7"/>
        <v/>
      </c>
      <c r="K77" s="31" t="str">
        <f t="shared" si="7"/>
        <v/>
      </c>
      <c r="L77" s="31" t="str">
        <f t="shared" si="7"/>
        <v/>
      </c>
      <c r="M77" s="31" t="str">
        <f t="shared" si="7"/>
        <v/>
      </c>
      <c r="N77" s="31" t="str">
        <f t="shared" si="7"/>
        <v/>
      </c>
      <c r="O77" s="31" t="str">
        <f t="shared" si="7"/>
        <v/>
      </c>
      <c r="P77" s="31" t="str">
        <f t="shared" si="7"/>
        <v/>
      </c>
      <c r="Q77" s="31" t="str">
        <f t="shared" si="7"/>
        <v/>
      </c>
      <c r="R77" s="31" t="str">
        <f t="shared" si="7"/>
        <v/>
      </c>
      <c r="S77" s="31" t="str">
        <f t="shared" si="7"/>
        <v/>
      </c>
      <c r="T77" s="31" t="str">
        <f t="shared" si="7"/>
        <v/>
      </c>
      <c r="U77" s="31" t="str">
        <f t="shared" si="6"/>
        <v/>
      </c>
      <c r="V77" s="31" t="str">
        <f t="shared" si="6"/>
        <v/>
      </c>
      <c r="W77" s="31" t="str">
        <f t="shared" si="6"/>
        <v/>
      </c>
      <c r="X77" s="31" t="str">
        <f t="shared" si="6"/>
        <v/>
      </c>
      <c r="Y77" s="31" t="str">
        <f t="shared" si="6"/>
        <v/>
      </c>
      <c r="Z77" s="31" t="str">
        <f t="shared" si="6"/>
        <v/>
      </c>
    </row>
    <row r="78" spans="1:26" ht="44.25">
      <c r="A78" s="16">
        <v>75</v>
      </c>
      <c r="B78" s="4" t="s">
        <v>273</v>
      </c>
      <c r="C78" s="17" t="s">
        <v>136</v>
      </c>
      <c r="D78" s="18" t="s">
        <v>52</v>
      </c>
      <c r="E78" s="31" t="str">
        <f t="shared" si="7"/>
        <v>ng</v>
      </c>
      <c r="F78" s="31" t="str">
        <f t="shared" si="7"/>
        <v>png</v>
      </c>
      <c r="G78" s="31" t="str">
        <f t="shared" si="7"/>
        <v>phng</v>
      </c>
      <c r="H78" s="31" t="str">
        <f t="shared" si="7"/>
        <v>bng</v>
      </c>
      <c r="I78" s="31" t="str">
        <f t="shared" si="7"/>
        <v>mng</v>
      </c>
      <c r="J78" s="31" t="str">
        <f t="shared" si="7"/>
        <v>tng</v>
      </c>
      <c r="K78" s="31" t="str">
        <f t="shared" si="7"/>
        <v>thng</v>
      </c>
      <c r="L78" s="31" t="str">
        <f t="shared" si="7"/>
        <v>lng</v>
      </c>
      <c r="M78" s="31" t="str">
        <f t="shared" si="7"/>
        <v>nng</v>
      </c>
      <c r="N78" s="31" t="str">
        <f t="shared" si="7"/>
        <v>kng</v>
      </c>
      <c r="O78" s="31" t="str">
        <f t="shared" si="7"/>
        <v>khng</v>
      </c>
      <c r="P78" s="31" t="str">
        <f t="shared" si="7"/>
        <v>gng</v>
      </c>
      <c r="Q78" s="31" t="str">
        <f t="shared" si="7"/>
        <v>ngng</v>
      </c>
      <c r="R78" s="31" t="str">
        <f t="shared" si="7"/>
        <v>hng</v>
      </c>
      <c r="S78" s="31" t="str">
        <f t="shared" si="7"/>
        <v>tsng</v>
      </c>
      <c r="T78" s="31" t="str">
        <f t="shared" si="7"/>
        <v>tsing</v>
      </c>
      <c r="U78" s="31" t="str">
        <f t="shared" si="6"/>
        <v>tshng</v>
      </c>
      <c r="V78" s="31" t="str">
        <f t="shared" si="6"/>
        <v>tshing</v>
      </c>
      <c r="W78" s="31" t="str">
        <f t="shared" si="6"/>
        <v>sng</v>
      </c>
      <c r="X78" s="31" t="str">
        <f t="shared" si="6"/>
        <v>sing</v>
      </c>
      <c r="Y78" s="31" t="str">
        <f t="shared" si="6"/>
        <v>jng</v>
      </c>
      <c r="Z78" s="31" t="str">
        <f t="shared" si="6"/>
        <v>jing</v>
      </c>
    </row>
    <row r="79" spans="1:26" ht="44.25">
      <c r="A79" s="16">
        <v>76</v>
      </c>
      <c r="B79" s="25"/>
      <c r="C79" s="26" t="s">
        <v>137</v>
      </c>
      <c r="D79" s="27"/>
      <c r="E79" s="31" t="str">
        <f t="shared" si="7"/>
        <v/>
      </c>
      <c r="F79" s="31" t="str">
        <f t="shared" si="7"/>
        <v/>
      </c>
      <c r="G79" s="31" t="str">
        <f t="shared" si="7"/>
        <v/>
      </c>
      <c r="H79" s="31" t="str">
        <f t="shared" si="7"/>
        <v/>
      </c>
      <c r="I79" s="31" t="str">
        <f t="shared" si="7"/>
        <v/>
      </c>
      <c r="J79" s="31" t="str">
        <f t="shared" si="7"/>
        <v/>
      </c>
      <c r="K79" s="31" t="str">
        <f t="shared" si="7"/>
        <v/>
      </c>
      <c r="L79" s="31" t="str">
        <f t="shared" si="7"/>
        <v/>
      </c>
      <c r="M79" s="31" t="str">
        <f t="shared" si="7"/>
        <v/>
      </c>
      <c r="N79" s="31" t="str">
        <f t="shared" si="7"/>
        <v/>
      </c>
      <c r="O79" s="31" t="str">
        <f t="shared" si="7"/>
        <v/>
      </c>
      <c r="P79" s="31" t="str">
        <f t="shared" si="7"/>
        <v/>
      </c>
      <c r="Q79" s="31" t="str">
        <f t="shared" si="7"/>
        <v/>
      </c>
      <c r="R79" s="31" t="str">
        <f t="shared" si="7"/>
        <v/>
      </c>
      <c r="S79" s="31" t="str">
        <f t="shared" si="7"/>
        <v/>
      </c>
      <c r="T79" s="31" t="str">
        <f t="shared" si="7"/>
        <v/>
      </c>
      <c r="U79" s="31" t="str">
        <f t="shared" si="6"/>
        <v/>
      </c>
      <c r="V79" s="31" t="str">
        <f t="shared" si="6"/>
        <v/>
      </c>
      <c r="W79" s="31" t="str">
        <f t="shared" si="6"/>
        <v/>
      </c>
      <c r="X79" s="31" t="str">
        <f t="shared" si="6"/>
        <v/>
      </c>
      <c r="Y79" s="31" t="str">
        <f t="shared" si="6"/>
        <v/>
      </c>
      <c r="Z79" s="31" t="str">
        <f t="shared" si="6"/>
        <v/>
      </c>
    </row>
    <row r="80" spans="1:26" ht="44.25">
      <c r="A80" s="16">
        <v>77</v>
      </c>
      <c r="B80" s="4" t="s">
        <v>308</v>
      </c>
      <c r="C80" s="17" t="s">
        <v>138</v>
      </c>
      <c r="D80" s="18" t="s">
        <v>184</v>
      </c>
      <c r="E80" s="31" t="str">
        <f t="shared" si="7"/>
        <v>e</v>
      </c>
      <c r="F80" s="31" t="str">
        <f t="shared" si="7"/>
        <v>pe</v>
      </c>
      <c r="G80" s="31" t="str">
        <f t="shared" si="7"/>
        <v>phe</v>
      </c>
      <c r="H80" s="31" t="str">
        <f t="shared" si="7"/>
        <v>be</v>
      </c>
      <c r="I80" s="31" t="str">
        <f t="shared" si="7"/>
        <v>me</v>
      </c>
      <c r="J80" s="31" t="str">
        <f t="shared" si="7"/>
        <v>te</v>
      </c>
      <c r="K80" s="31" t="str">
        <f t="shared" si="7"/>
        <v>the</v>
      </c>
      <c r="L80" s="31" t="str">
        <f t="shared" si="7"/>
        <v>le</v>
      </c>
      <c r="M80" s="31" t="str">
        <f t="shared" si="7"/>
        <v>ne</v>
      </c>
      <c r="N80" s="31" t="str">
        <f t="shared" si="7"/>
        <v>ke</v>
      </c>
      <c r="O80" s="31" t="str">
        <f t="shared" si="7"/>
        <v>khe</v>
      </c>
      <c r="P80" s="31" t="str">
        <f t="shared" si="7"/>
        <v>ge</v>
      </c>
      <c r="Q80" s="31" t="str">
        <f t="shared" si="7"/>
        <v>nge</v>
      </c>
      <c r="R80" s="31" t="str">
        <f t="shared" si="7"/>
        <v>he</v>
      </c>
      <c r="S80" s="31" t="str">
        <f t="shared" si="7"/>
        <v>tse</v>
      </c>
      <c r="T80" s="31" t="str">
        <f t="shared" si="7"/>
        <v>tsie</v>
      </c>
      <c r="U80" s="31" t="str">
        <f t="shared" si="6"/>
        <v>tshe</v>
      </c>
      <c r="V80" s="31" t="str">
        <f t="shared" si="6"/>
        <v>tshie</v>
      </c>
      <c r="W80" s="31" t="str">
        <f t="shared" si="6"/>
        <v>se</v>
      </c>
      <c r="X80" s="31" t="str">
        <f t="shared" si="6"/>
        <v>sie</v>
      </c>
      <c r="Y80" s="31" t="str">
        <f t="shared" si="6"/>
        <v>je</v>
      </c>
      <c r="Z80" s="31" t="str">
        <f t="shared" si="6"/>
        <v>jie</v>
      </c>
    </row>
    <row r="81" spans="1:26" ht="44.25">
      <c r="A81" s="16">
        <v>78</v>
      </c>
      <c r="B81" s="4" t="s">
        <v>309</v>
      </c>
      <c r="C81" s="17" t="s">
        <v>139</v>
      </c>
      <c r="D81" s="18" t="s">
        <v>227</v>
      </c>
      <c r="E81" s="31" t="str">
        <f t="shared" si="7"/>
        <v>eh</v>
      </c>
      <c r="F81" s="31" t="str">
        <f t="shared" si="7"/>
        <v>peh</v>
      </c>
      <c r="G81" s="31" t="str">
        <f t="shared" si="7"/>
        <v>pheh</v>
      </c>
      <c r="H81" s="31" t="str">
        <f t="shared" si="7"/>
        <v>beh</v>
      </c>
      <c r="I81" s="31" t="str">
        <f t="shared" si="7"/>
        <v>meh</v>
      </c>
      <c r="J81" s="31" t="str">
        <f t="shared" si="7"/>
        <v>teh</v>
      </c>
      <c r="K81" s="31" t="str">
        <f t="shared" si="7"/>
        <v>theh</v>
      </c>
      <c r="L81" s="31" t="str">
        <f t="shared" si="7"/>
        <v>leh</v>
      </c>
      <c r="M81" s="31" t="str">
        <f t="shared" si="7"/>
        <v>neh</v>
      </c>
      <c r="N81" s="31" t="str">
        <f t="shared" si="7"/>
        <v>keh</v>
      </c>
      <c r="O81" s="31" t="str">
        <f t="shared" si="7"/>
        <v>kheh</v>
      </c>
      <c r="P81" s="31" t="str">
        <f t="shared" si="7"/>
        <v>geh</v>
      </c>
      <c r="Q81" s="31" t="str">
        <f t="shared" si="7"/>
        <v>ngeh</v>
      </c>
      <c r="R81" s="31" t="str">
        <f t="shared" si="7"/>
        <v>heh</v>
      </c>
      <c r="S81" s="31" t="str">
        <f t="shared" si="7"/>
        <v>tseh</v>
      </c>
      <c r="T81" s="31" t="str">
        <f t="shared" si="7"/>
        <v>tsieh</v>
      </c>
      <c r="U81" s="31" t="str">
        <f t="shared" si="6"/>
        <v>tsheh</v>
      </c>
      <c r="V81" s="31" t="str">
        <f t="shared" si="6"/>
        <v>tshieh</v>
      </c>
      <c r="W81" s="31" t="str">
        <f t="shared" si="6"/>
        <v>seh</v>
      </c>
      <c r="X81" s="31" t="str">
        <f t="shared" si="6"/>
        <v>sieh</v>
      </c>
      <c r="Y81" s="31" t="str">
        <f t="shared" si="6"/>
        <v>jeh</v>
      </c>
      <c r="Z81" s="31" t="str">
        <f t="shared" si="6"/>
        <v>jieh</v>
      </c>
    </row>
    <row r="82" spans="1:26" ht="44.25">
      <c r="A82" s="16">
        <v>79</v>
      </c>
      <c r="B82" s="4" t="s">
        <v>310</v>
      </c>
      <c r="C82" s="17" t="s">
        <v>140</v>
      </c>
      <c r="D82" s="18" t="s">
        <v>228</v>
      </c>
      <c r="E82" s="31" t="str">
        <f t="shared" si="7"/>
        <v>ainn</v>
      </c>
      <c r="F82" s="31" t="str">
        <f t="shared" si="7"/>
        <v>painn</v>
      </c>
      <c r="G82" s="31" t="str">
        <f t="shared" si="7"/>
        <v>phainn</v>
      </c>
      <c r="H82" s="31" t="str">
        <f t="shared" si="7"/>
        <v>bainn</v>
      </c>
      <c r="I82" s="31" t="str">
        <f t="shared" si="7"/>
        <v>mainn</v>
      </c>
      <c r="J82" s="31" t="str">
        <f t="shared" si="7"/>
        <v>tainn</v>
      </c>
      <c r="K82" s="31" t="str">
        <f t="shared" si="7"/>
        <v>thainn</v>
      </c>
      <c r="L82" s="31" t="str">
        <f t="shared" si="7"/>
        <v>lainn</v>
      </c>
      <c r="M82" s="31" t="str">
        <f t="shared" si="7"/>
        <v>nainn</v>
      </c>
      <c r="N82" s="31" t="str">
        <f t="shared" si="7"/>
        <v>kainn</v>
      </c>
      <c r="O82" s="31" t="str">
        <f t="shared" si="7"/>
        <v>khainn</v>
      </c>
      <c r="P82" s="31" t="str">
        <f t="shared" si="7"/>
        <v>gainn</v>
      </c>
      <c r="Q82" s="31" t="str">
        <f t="shared" si="7"/>
        <v>ngainn</v>
      </c>
      <c r="R82" s="31" t="str">
        <f t="shared" si="7"/>
        <v>hainn</v>
      </c>
      <c r="S82" s="31" t="str">
        <f t="shared" si="7"/>
        <v>tsainn</v>
      </c>
      <c r="T82" s="31" t="str">
        <f t="shared" si="7"/>
        <v>tsiainn</v>
      </c>
      <c r="U82" s="31" t="str">
        <f t="shared" si="6"/>
        <v>tshainn</v>
      </c>
      <c r="V82" s="31" t="str">
        <f t="shared" si="6"/>
        <v>tshiainn</v>
      </c>
      <c r="W82" s="31" t="str">
        <f t="shared" si="6"/>
        <v>sainn</v>
      </c>
      <c r="X82" s="31" t="str">
        <f t="shared" si="6"/>
        <v>siainn</v>
      </c>
      <c r="Y82" s="31" t="str">
        <f t="shared" si="6"/>
        <v>jainn</v>
      </c>
      <c r="Z82" s="31" t="str">
        <f t="shared" si="6"/>
        <v>jiainn</v>
      </c>
    </row>
    <row r="83" spans="1:26" ht="44.25">
      <c r="A83" s="16">
        <v>80</v>
      </c>
      <c r="B83" s="25"/>
      <c r="C83" s="26" t="s">
        <v>141</v>
      </c>
      <c r="D83" s="27"/>
      <c r="E83" s="31" t="str">
        <f t="shared" si="7"/>
        <v/>
      </c>
      <c r="F83" s="31" t="str">
        <f t="shared" si="7"/>
        <v/>
      </c>
      <c r="G83" s="31" t="str">
        <f t="shared" si="7"/>
        <v/>
      </c>
      <c r="H83" s="31" t="str">
        <f t="shared" si="7"/>
        <v/>
      </c>
      <c r="I83" s="31" t="str">
        <f t="shared" si="7"/>
        <v/>
      </c>
      <c r="J83" s="31" t="str">
        <f t="shared" si="7"/>
        <v/>
      </c>
      <c r="K83" s="31" t="str">
        <f t="shared" si="7"/>
        <v/>
      </c>
      <c r="L83" s="31" t="str">
        <f t="shared" si="7"/>
        <v/>
      </c>
      <c r="M83" s="31" t="str">
        <f t="shared" si="7"/>
        <v/>
      </c>
      <c r="N83" s="31" t="str">
        <f t="shared" si="7"/>
        <v/>
      </c>
      <c r="O83" s="31" t="str">
        <f t="shared" si="7"/>
        <v/>
      </c>
      <c r="P83" s="31" t="str">
        <f t="shared" ref="E83:T99" si="8">IF($D83="", "", _xlfn.CONCAT(P$3, $D83))</f>
        <v/>
      </c>
      <c r="Q83" s="31" t="str">
        <f t="shared" si="8"/>
        <v/>
      </c>
      <c r="R83" s="31" t="str">
        <f t="shared" si="8"/>
        <v/>
      </c>
      <c r="S83" s="31" t="str">
        <f t="shared" si="8"/>
        <v/>
      </c>
      <c r="T83" s="31" t="str">
        <f t="shared" si="8"/>
        <v/>
      </c>
      <c r="U83" s="31" t="str">
        <f t="shared" si="6"/>
        <v/>
      </c>
      <c r="V83" s="31" t="str">
        <f t="shared" si="6"/>
        <v/>
      </c>
      <c r="W83" s="31" t="str">
        <f t="shared" si="6"/>
        <v/>
      </c>
      <c r="X83" s="31" t="str">
        <f t="shared" si="6"/>
        <v/>
      </c>
      <c r="Y83" s="31" t="str">
        <f t="shared" si="6"/>
        <v/>
      </c>
      <c r="Z83" s="31" t="str">
        <f t="shared" si="6"/>
        <v/>
      </c>
    </row>
    <row r="84" spans="1:26" ht="44.25">
      <c r="A84" s="16">
        <v>81</v>
      </c>
      <c r="B84" s="25"/>
      <c r="C84" s="26" t="s">
        <v>142</v>
      </c>
      <c r="D84" s="27" t="s">
        <v>229</v>
      </c>
      <c r="E84" s="31" t="str">
        <f t="shared" si="8"/>
        <v>onn</v>
      </c>
      <c r="F84" s="31" t="str">
        <f t="shared" si="8"/>
        <v>ponn</v>
      </c>
      <c r="G84" s="31" t="str">
        <f t="shared" si="8"/>
        <v>phonn</v>
      </c>
      <c r="H84" s="31" t="str">
        <f t="shared" si="8"/>
        <v>bonn</v>
      </c>
      <c r="I84" s="31" t="str">
        <f t="shared" si="8"/>
        <v>monn</v>
      </c>
      <c r="J84" s="31" t="str">
        <f t="shared" si="8"/>
        <v>tonn</v>
      </c>
      <c r="K84" s="31" t="str">
        <f t="shared" si="8"/>
        <v>thonn</v>
      </c>
      <c r="L84" s="31" t="str">
        <f t="shared" si="8"/>
        <v>lonn</v>
      </c>
      <c r="M84" s="31" t="str">
        <f t="shared" si="8"/>
        <v>nonn</v>
      </c>
      <c r="N84" s="31" t="str">
        <f t="shared" si="8"/>
        <v>konn</v>
      </c>
      <c r="O84" s="31" t="str">
        <f t="shared" si="8"/>
        <v>khonn</v>
      </c>
      <c r="P84" s="31" t="str">
        <f t="shared" si="8"/>
        <v>gonn</v>
      </c>
      <c r="Q84" s="31" t="str">
        <f t="shared" si="8"/>
        <v>ngonn</v>
      </c>
      <c r="R84" s="31" t="str">
        <f t="shared" si="8"/>
        <v>honn</v>
      </c>
      <c r="S84" s="31" t="str">
        <f t="shared" si="8"/>
        <v>tsonn</v>
      </c>
      <c r="T84" s="31" t="str">
        <f t="shared" si="8"/>
        <v>tsionn</v>
      </c>
      <c r="U84" s="31" t="str">
        <f t="shared" si="6"/>
        <v>tshonn</v>
      </c>
      <c r="V84" s="31" t="str">
        <f t="shared" si="6"/>
        <v>tshionn</v>
      </c>
      <c r="W84" s="31" t="str">
        <f t="shared" si="6"/>
        <v>sonn</v>
      </c>
      <c r="X84" s="31" t="str">
        <f t="shared" si="6"/>
        <v>sionn</v>
      </c>
      <c r="Y84" s="31" t="str">
        <f t="shared" si="6"/>
        <v>jonn</v>
      </c>
      <c r="Z84" s="31" t="str">
        <f t="shared" si="6"/>
        <v>jionn</v>
      </c>
    </row>
    <row r="85" spans="1:26" ht="44.25">
      <c r="A85" s="16">
        <v>82</v>
      </c>
      <c r="B85" s="25"/>
      <c r="C85" s="26" t="s">
        <v>143</v>
      </c>
      <c r="D85" s="27"/>
      <c r="E85" s="31" t="str">
        <f t="shared" si="8"/>
        <v/>
      </c>
      <c r="F85" s="31" t="str">
        <f t="shared" si="8"/>
        <v/>
      </c>
      <c r="G85" s="31" t="str">
        <f t="shared" si="8"/>
        <v/>
      </c>
      <c r="H85" s="31" t="str">
        <f t="shared" si="8"/>
        <v/>
      </c>
      <c r="I85" s="31" t="str">
        <f t="shared" si="8"/>
        <v/>
      </c>
      <c r="J85" s="31" t="str">
        <f t="shared" si="8"/>
        <v/>
      </c>
      <c r="K85" s="31" t="str">
        <f t="shared" si="8"/>
        <v/>
      </c>
      <c r="L85" s="31" t="str">
        <f t="shared" si="8"/>
        <v/>
      </c>
      <c r="M85" s="31" t="str">
        <f t="shared" si="8"/>
        <v/>
      </c>
      <c r="N85" s="31" t="str">
        <f t="shared" si="8"/>
        <v/>
      </c>
      <c r="O85" s="31" t="str">
        <f t="shared" si="8"/>
        <v/>
      </c>
      <c r="P85" s="31" t="str">
        <f t="shared" si="8"/>
        <v/>
      </c>
      <c r="Q85" s="31" t="str">
        <f t="shared" si="8"/>
        <v/>
      </c>
      <c r="R85" s="31" t="str">
        <f t="shared" si="8"/>
        <v/>
      </c>
      <c r="S85" s="31" t="str">
        <f t="shared" si="8"/>
        <v/>
      </c>
      <c r="T85" s="31" t="str">
        <f t="shared" si="8"/>
        <v/>
      </c>
      <c r="U85" s="31" t="str">
        <f t="shared" si="6"/>
        <v/>
      </c>
      <c r="V85" s="31" t="str">
        <f t="shared" si="6"/>
        <v/>
      </c>
      <c r="W85" s="31" t="str">
        <f t="shared" si="6"/>
        <v/>
      </c>
      <c r="X85" s="31" t="str">
        <f t="shared" si="6"/>
        <v/>
      </c>
      <c r="Y85" s="31" t="str">
        <f t="shared" si="6"/>
        <v/>
      </c>
      <c r="Z85" s="31" t="str">
        <f t="shared" si="6"/>
        <v/>
      </c>
    </row>
    <row r="86" spans="1:26" ht="44.25">
      <c r="A86" s="16">
        <v>83</v>
      </c>
      <c r="B86" s="4" t="s">
        <v>311</v>
      </c>
      <c r="C86" s="17" t="s">
        <v>144</v>
      </c>
      <c r="D86" s="18" t="s">
        <v>44</v>
      </c>
      <c r="E86" s="31" t="str">
        <f t="shared" si="8"/>
        <v>m</v>
      </c>
      <c r="F86" s="31" t="str">
        <f t="shared" si="8"/>
        <v>pm</v>
      </c>
      <c r="G86" s="31" t="str">
        <f t="shared" si="8"/>
        <v>phm</v>
      </c>
      <c r="H86" s="31" t="str">
        <f t="shared" si="8"/>
        <v>bm</v>
      </c>
      <c r="I86" s="31" t="str">
        <f t="shared" si="8"/>
        <v>mm</v>
      </c>
      <c r="J86" s="31" t="str">
        <f t="shared" si="8"/>
        <v>tm</v>
      </c>
      <c r="K86" s="31" t="str">
        <f t="shared" si="8"/>
        <v>thm</v>
      </c>
      <c r="L86" s="31" t="str">
        <f t="shared" si="8"/>
        <v>lm</v>
      </c>
      <c r="M86" s="31" t="str">
        <f t="shared" si="8"/>
        <v>nm</v>
      </c>
      <c r="N86" s="31" t="str">
        <f t="shared" si="8"/>
        <v>km</v>
      </c>
      <c r="O86" s="31" t="str">
        <f t="shared" si="8"/>
        <v>khm</v>
      </c>
      <c r="P86" s="31" t="str">
        <f t="shared" si="8"/>
        <v>gm</v>
      </c>
      <c r="Q86" s="31" t="str">
        <f t="shared" si="8"/>
        <v>ngm</v>
      </c>
      <c r="R86" s="31" t="str">
        <f t="shared" si="8"/>
        <v>hm</v>
      </c>
      <c r="S86" s="31" t="str">
        <f t="shared" si="8"/>
        <v>tsm</v>
      </c>
      <c r="T86" s="31" t="str">
        <f t="shared" si="8"/>
        <v>tsim</v>
      </c>
      <c r="U86" s="31" t="str">
        <f t="shared" si="6"/>
        <v>tshm</v>
      </c>
      <c r="V86" s="31" t="str">
        <f t="shared" si="6"/>
        <v>tshim</v>
      </c>
      <c r="W86" s="31" t="str">
        <f t="shared" si="6"/>
        <v>sm</v>
      </c>
      <c r="X86" s="31" t="str">
        <f t="shared" si="6"/>
        <v>sim</v>
      </c>
      <c r="Y86" s="31" t="str">
        <f t="shared" si="6"/>
        <v>jm</v>
      </c>
      <c r="Z86" s="31" t="str">
        <f t="shared" si="6"/>
        <v>jim</v>
      </c>
    </row>
    <row r="87" spans="1:26" ht="44.25">
      <c r="A87" s="16">
        <v>84</v>
      </c>
      <c r="B87" s="25"/>
      <c r="C87" s="26" t="s">
        <v>145</v>
      </c>
      <c r="D87" s="27"/>
      <c r="E87" s="31" t="str">
        <f t="shared" si="8"/>
        <v/>
      </c>
      <c r="F87" s="31" t="str">
        <f t="shared" si="8"/>
        <v/>
      </c>
      <c r="G87" s="31" t="str">
        <f t="shared" si="8"/>
        <v/>
      </c>
      <c r="H87" s="31" t="str">
        <f t="shared" si="8"/>
        <v/>
      </c>
      <c r="I87" s="31" t="str">
        <f t="shared" si="8"/>
        <v/>
      </c>
      <c r="J87" s="31" t="str">
        <f t="shared" si="8"/>
        <v/>
      </c>
      <c r="K87" s="31" t="str">
        <f t="shared" si="8"/>
        <v/>
      </c>
      <c r="L87" s="31" t="str">
        <f t="shared" si="8"/>
        <v/>
      </c>
      <c r="M87" s="31" t="str">
        <f t="shared" si="8"/>
        <v/>
      </c>
      <c r="N87" s="31" t="str">
        <f t="shared" si="8"/>
        <v/>
      </c>
      <c r="O87" s="31" t="str">
        <f t="shared" si="8"/>
        <v/>
      </c>
      <c r="P87" s="31" t="str">
        <f t="shared" si="8"/>
        <v/>
      </c>
      <c r="Q87" s="31" t="str">
        <f t="shared" si="8"/>
        <v/>
      </c>
      <c r="R87" s="31" t="str">
        <f t="shared" si="8"/>
        <v/>
      </c>
      <c r="S87" s="31" t="str">
        <f t="shared" si="8"/>
        <v/>
      </c>
      <c r="T87" s="31" t="str">
        <f t="shared" si="8"/>
        <v/>
      </c>
      <c r="U87" s="31" t="str">
        <f t="shared" si="6"/>
        <v/>
      </c>
      <c r="V87" s="31" t="str">
        <f t="shared" si="6"/>
        <v/>
      </c>
      <c r="W87" s="31" t="str">
        <f t="shared" si="6"/>
        <v/>
      </c>
      <c r="X87" s="31" t="str">
        <f t="shared" si="6"/>
        <v/>
      </c>
      <c r="Y87" s="31" t="str">
        <f t="shared" si="6"/>
        <v/>
      </c>
      <c r="Z87" s="31" t="str">
        <f t="shared" si="6"/>
        <v/>
      </c>
    </row>
    <row r="88" spans="1:26" ht="44.25">
      <c r="A88" s="16">
        <v>85</v>
      </c>
      <c r="B88" s="4" t="s">
        <v>312</v>
      </c>
      <c r="C88" s="17" t="s">
        <v>146</v>
      </c>
      <c r="D88" s="18" t="s">
        <v>230</v>
      </c>
      <c r="E88" s="31" t="str">
        <f t="shared" si="8"/>
        <v>uang</v>
      </c>
      <c r="F88" s="31" t="str">
        <f t="shared" si="8"/>
        <v>puang</v>
      </c>
      <c r="G88" s="31" t="str">
        <f t="shared" si="8"/>
        <v>phuang</v>
      </c>
      <c r="H88" s="31" t="str">
        <f t="shared" si="8"/>
        <v>buang</v>
      </c>
      <c r="I88" s="31" t="str">
        <f t="shared" si="8"/>
        <v>muang</v>
      </c>
      <c r="J88" s="31" t="str">
        <f t="shared" si="8"/>
        <v>tuang</v>
      </c>
      <c r="K88" s="31" t="str">
        <f t="shared" si="8"/>
        <v>thuang</v>
      </c>
      <c r="L88" s="31" t="str">
        <f t="shared" si="8"/>
        <v>luang</v>
      </c>
      <c r="M88" s="31" t="str">
        <f t="shared" si="8"/>
        <v>nuang</v>
      </c>
      <c r="N88" s="31" t="str">
        <f t="shared" si="8"/>
        <v>kuang</v>
      </c>
      <c r="O88" s="31" t="str">
        <f t="shared" si="8"/>
        <v>khuang</v>
      </c>
      <c r="P88" s="31" t="str">
        <f t="shared" si="8"/>
        <v>guang</v>
      </c>
      <c r="Q88" s="31" t="str">
        <f t="shared" si="8"/>
        <v>nguang</v>
      </c>
      <c r="R88" s="31" t="str">
        <f t="shared" si="8"/>
        <v>huang</v>
      </c>
      <c r="S88" s="31" t="str">
        <f t="shared" si="8"/>
        <v>tsuang</v>
      </c>
      <c r="T88" s="31" t="str">
        <f t="shared" si="8"/>
        <v>tsiuang</v>
      </c>
      <c r="U88" s="31" t="str">
        <f t="shared" si="6"/>
        <v>tshuang</v>
      </c>
      <c r="V88" s="31" t="str">
        <f t="shared" si="6"/>
        <v>tshiuang</v>
      </c>
      <c r="W88" s="31" t="str">
        <f t="shared" si="6"/>
        <v>suang</v>
      </c>
      <c r="X88" s="31" t="str">
        <f t="shared" si="6"/>
        <v>siuang</v>
      </c>
      <c r="Y88" s="31" t="str">
        <f t="shared" si="6"/>
        <v>juang</v>
      </c>
      <c r="Z88" s="31" t="str">
        <f t="shared" si="6"/>
        <v>jiuang</v>
      </c>
    </row>
    <row r="89" spans="1:26" ht="44.25">
      <c r="A89" s="16">
        <v>86</v>
      </c>
      <c r="B89" s="25"/>
      <c r="C89" s="26" t="s">
        <v>147</v>
      </c>
      <c r="D89" s="27" t="s">
        <v>231</v>
      </c>
      <c r="E89" s="31" t="str">
        <f t="shared" si="8"/>
        <v>uak</v>
      </c>
      <c r="F89" s="31" t="str">
        <f t="shared" si="8"/>
        <v>puak</v>
      </c>
      <c r="G89" s="31" t="str">
        <f t="shared" si="8"/>
        <v>phuak</v>
      </c>
      <c r="H89" s="31" t="str">
        <f t="shared" si="8"/>
        <v>buak</v>
      </c>
      <c r="I89" s="31" t="str">
        <f t="shared" si="8"/>
        <v>muak</v>
      </c>
      <c r="J89" s="31" t="str">
        <f t="shared" si="8"/>
        <v>tuak</v>
      </c>
      <c r="K89" s="31" t="str">
        <f t="shared" si="8"/>
        <v>thuak</v>
      </c>
      <c r="L89" s="31" t="str">
        <f t="shared" si="8"/>
        <v>luak</v>
      </c>
      <c r="M89" s="31" t="str">
        <f t="shared" si="8"/>
        <v>nuak</v>
      </c>
      <c r="N89" s="31" t="str">
        <f t="shared" si="8"/>
        <v>kuak</v>
      </c>
      <c r="O89" s="31" t="str">
        <f t="shared" si="8"/>
        <v>khuak</v>
      </c>
      <c r="P89" s="31" t="str">
        <f t="shared" si="8"/>
        <v>guak</v>
      </c>
      <c r="Q89" s="31" t="str">
        <f t="shared" si="8"/>
        <v>nguak</v>
      </c>
      <c r="R89" s="31" t="str">
        <f t="shared" si="8"/>
        <v>huak</v>
      </c>
      <c r="S89" s="31" t="str">
        <f t="shared" si="8"/>
        <v>tsuak</v>
      </c>
      <c r="T89" s="31" t="str">
        <f t="shared" si="8"/>
        <v>tsiuak</v>
      </c>
      <c r="U89" s="31" t="str">
        <f t="shared" si="6"/>
        <v>tshuak</v>
      </c>
      <c r="V89" s="31" t="str">
        <f t="shared" si="6"/>
        <v>tshiuak</v>
      </c>
      <c r="W89" s="31" t="str">
        <f t="shared" si="6"/>
        <v>suak</v>
      </c>
      <c r="X89" s="31" t="str">
        <f t="shared" si="6"/>
        <v>siuak</v>
      </c>
      <c r="Y89" s="31" t="str">
        <f t="shared" si="6"/>
        <v>juak</v>
      </c>
      <c r="Z89" s="31" t="str">
        <f t="shared" si="6"/>
        <v>jiuak</v>
      </c>
    </row>
    <row r="90" spans="1:26" ht="44.25">
      <c r="A90" s="16">
        <v>87</v>
      </c>
      <c r="B90" s="25"/>
      <c r="C90" s="26" t="s">
        <v>148</v>
      </c>
      <c r="D90" s="27" t="s">
        <v>232</v>
      </c>
      <c r="E90" s="31" t="str">
        <f t="shared" si="8"/>
        <v>uainn</v>
      </c>
      <c r="F90" s="31" t="str">
        <f t="shared" si="8"/>
        <v>puainn</v>
      </c>
      <c r="G90" s="31" t="str">
        <f t="shared" si="8"/>
        <v>phuainn</v>
      </c>
      <c r="H90" s="31" t="str">
        <f t="shared" si="8"/>
        <v>buainn</v>
      </c>
      <c r="I90" s="31" t="str">
        <f t="shared" si="8"/>
        <v>muainn</v>
      </c>
      <c r="J90" s="31" t="str">
        <f t="shared" si="8"/>
        <v>tuainn</v>
      </c>
      <c r="K90" s="31" t="str">
        <f t="shared" si="8"/>
        <v>thuainn</v>
      </c>
      <c r="L90" s="31" t="str">
        <f t="shared" si="8"/>
        <v>luainn</v>
      </c>
      <c r="M90" s="31" t="str">
        <f t="shared" si="8"/>
        <v>nuainn</v>
      </c>
      <c r="N90" s="31" t="str">
        <f t="shared" si="8"/>
        <v>kuainn</v>
      </c>
      <c r="O90" s="31" t="str">
        <f t="shared" si="8"/>
        <v>khuainn</v>
      </c>
      <c r="P90" s="31" t="str">
        <f t="shared" si="8"/>
        <v>guainn</v>
      </c>
      <c r="Q90" s="31" t="str">
        <f t="shared" si="8"/>
        <v>nguainn</v>
      </c>
      <c r="R90" s="31" t="str">
        <f t="shared" si="8"/>
        <v>huainn</v>
      </c>
      <c r="S90" s="31" t="str">
        <f t="shared" si="8"/>
        <v>tsuainn</v>
      </c>
      <c r="T90" s="31" t="str">
        <f t="shared" si="8"/>
        <v>tsiuainn</v>
      </c>
      <c r="U90" s="31" t="str">
        <f t="shared" si="6"/>
        <v>tshuainn</v>
      </c>
      <c r="V90" s="31" t="str">
        <f t="shared" si="6"/>
        <v>tshiuainn</v>
      </c>
      <c r="W90" s="31" t="str">
        <f t="shared" si="6"/>
        <v>suainn</v>
      </c>
      <c r="X90" s="31" t="str">
        <f t="shared" si="6"/>
        <v>siuainn</v>
      </c>
      <c r="Y90" s="31" t="str">
        <f t="shared" si="6"/>
        <v>juainn</v>
      </c>
      <c r="Z90" s="31" t="str">
        <f t="shared" si="6"/>
        <v>jiuainn</v>
      </c>
    </row>
    <row r="91" spans="1:26" ht="44.25">
      <c r="A91" s="16">
        <v>88</v>
      </c>
      <c r="B91" s="25"/>
      <c r="C91" s="26" t="s">
        <v>149</v>
      </c>
      <c r="D91" s="27" t="s">
        <v>233</v>
      </c>
      <c r="E91" s="31" t="str">
        <f t="shared" si="8"/>
        <v>uainnh</v>
      </c>
      <c r="F91" s="31" t="str">
        <f t="shared" si="8"/>
        <v>puainnh</v>
      </c>
      <c r="G91" s="31" t="str">
        <f t="shared" si="8"/>
        <v>phuainnh</v>
      </c>
      <c r="H91" s="31" t="str">
        <f t="shared" si="8"/>
        <v>buainnh</v>
      </c>
      <c r="I91" s="31" t="str">
        <f t="shared" si="8"/>
        <v>muainnh</v>
      </c>
      <c r="J91" s="31" t="str">
        <f t="shared" si="8"/>
        <v>tuainnh</v>
      </c>
      <c r="K91" s="31" t="str">
        <f t="shared" si="8"/>
        <v>thuainnh</v>
      </c>
      <c r="L91" s="31" t="str">
        <f t="shared" si="8"/>
        <v>luainnh</v>
      </c>
      <c r="M91" s="31" t="str">
        <f t="shared" si="8"/>
        <v>nuainnh</v>
      </c>
      <c r="N91" s="31" t="str">
        <f t="shared" si="8"/>
        <v>kuainnh</v>
      </c>
      <c r="O91" s="31" t="str">
        <f t="shared" si="8"/>
        <v>khuainnh</v>
      </c>
      <c r="P91" s="31" t="str">
        <f t="shared" si="8"/>
        <v>guainnh</v>
      </c>
      <c r="Q91" s="31" t="str">
        <f t="shared" si="8"/>
        <v>nguainnh</v>
      </c>
      <c r="R91" s="31" t="str">
        <f t="shared" si="8"/>
        <v>huainnh</v>
      </c>
      <c r="S91" s="31" t="str">
        <f t="shared" si="8"/>
        <v>tsuainnh</v>
      </c>
      <c r="T91" s="31" t="str">
        <f t="shared" si="8"/>
        <v>tsiuainnh</v>
      </c>
      <c r="U91" s="31" t="str">
        <f t="shared" si="6"/>
        <v>tshuainnh</v>
      </c>
      <c r="V91" s="31" t="str">
        <f t="shared" si="6"/>
        <v>tshiuainnh</v>
      </c>
      <c r="W91" s="31" t="str">
        <f t="shared" si="6"/>
        <v>suainnh</v>
      </c>
      <c r="X91" s="31" t="str">
        <f t="shared" si="6"/>
        <v>siuainnh</v>
      </c>
      <c r="Y91" s="31" t="str">
        <f t="shared" si="6"/>
        <v>juainnh</v>
      </c>
      <c r="Z91" s="31" t="str">
        <f t="shared" si="6"/>
        <v>jiuainnh</v>
      </c>
    </row>
    <row r="92" spans="1:26" ht="44.25">
      <c r="A92" s="16">
        <v>89</v>
      </c>
      <c r="B92" s="29" t="s">
        <v>313</v>
      </c>
      <c r="C92" s="26" t="s">
        <v>150</v>
      </c>
      <c r="D92" s="27" t="s">
        <v>234</v>
      </c>
      <c r="E92" s="31" t="str">
        <f t="shared" si="8"/>
        <v>uenn</v>
      </c>
      <c r="F92" s="31" t="str">
        <f t="shared" si="8"/>
        <v>puenn</v>
      </c>
      <c r="G92" s="31" t="str">
        <f t="shared" si="8"/>
        <v>phuenn</v>
      </c>
      <c r="H92" s="31" t="str">
        <f t="shared" si="8"/>
        <v>buenn</v>
      </c>
      <c r="I92" s="31" t="str">
        <f t="shared" si="8"/>
        <v>muenn</v>
      </c>
      <c r="J92" s="31" t="str">
        <f t="shared" si="8"/>
        <v>tuenn</v>
      </c>
      <c r="K92" s="31" t="str">
        <f t="shared" si="8"/>
        <v>thuenn</v>
      </c>
      <c r="L92" s="31" t="str">
        <f t="shared" si="8"/>
        <v>luenn</v>
      </c>
      <c r="M92" s="31" t="str">
        <f t="shared" si="8"/>
        <v>nuenn</v>
      </c>
      <c r="N92" s="31" t="str">
        <f t="shared" si="8"/>
        <v>kuenn</v>
      </c>
      <c r="O92" s="31" t="str">
        <f t="shared" si="8"/>
        <v>khuenn</v>
      </c>
      <c r="P92" s="31" t="str">
        <f t="shared" si="8"/>
        <v>guenn</v>
      </c>
      <c r="Q92" s="31" t="str">
        <f t="shared" si="8"/>
        <v>nguenn</v>
      </c>
      <c r="R92" s="31" t="str">
        <f t="shared" si="8"/>
        <v>huenn</v>
      </c>
      <c r="S92" s="31" t="str">
        <f t="shared" si="8"/>
        <v>tsuenn</v>
      </c>
      <c r="T92" s="31" t="str">
        <f t="shared" si="8"/>
        <v>tsiuenn</v>
      </c>
      <c r="U92" s="31" t="str">
        <f t="shared" si="6"/>
        <v>tshuenn</v>
      </c>
      <c r="V92" s="31" t="str">
        <f t="shared" si="6"/>
        <v>tshiuenn</v>
      </c>
      <c r="W92" s="31" t="str">
        <f t="shared" si="6"/>
        <v>suenn</v>
      </c>
      <c r="X92" s="31" t="str">
        <f t="shared" si="6"/>
        <v>siuenn</v>
      </c>
      <c r="Y92" s="31" t="str">
        <f t="shared" si="6"/>
        <v>juenn</v>
      </c>
      <c r="Z92" s="31" t="str">
        <f t="shared" si="6"/>
        <v>jiuenn</v>
      </c>
    </row>
    <row r="93" spans="1:26" ht="44.25">
      <c r="A93" s="16">
        <v>90</v>
      </c>
      <c r="B93" s="29" t="s">
        <v>314</v>
      </c>
      <c r="C93" s="26" t="s">
        <v>151</v>
      </c>
      <c r="D93" s="27" t="s">
        <v>315</v>
      </c>
      <c r="E93" s="31" t="str">
        <f t="shared" si="8"/>
        <v>uennh</v>
      </c>
      <c r="F93" s="31" t="str">
        <f t="shared" si="8"/>
        <v>puennh</v>
      </c>
      <c r="G93" s="31" t="str">
        <f t="shared" si="8"/>
        <v>phuennh</v>
      </c>
      <c r="H93" s="31" t="str">
        <f t="shared" si="8"/>
        <v>buennh</v>
      </c>
      <c r="I93" s="31" t="str">
        <f t="shared" si="8"/>
        <v>muennh</v>
      </c>
      <c r="J93" s="31" t="str">
        <f t="shared" si="8"/>
        <v>tuennh</v>
      </c>
      <c r="K93" s="31" t="str">
        <f t="shared" si="8"/>
        <v>thuennh</v>
      </c>
      <c r="L93" s="31" t="str">
        <f t="shared" si="8"/>
        <v>luennh</v>
      </c>
      <c r="M93" s="31" t="str">
        <f t="shared" si="8"/>
        <v>nuennh</v>
      </c>
      <c r="N93" s="31" t="str">
        <f t="shared" si="8"/>
        <v>kuennh</v>
      </c>
      <c r="O93" s="31" t="str">
        <f t="shared" si="8"/>
        <v>khuennh</v>
      </c>
      <c r="P93" s="31" t="str">
        <f t="shared" si="8"/>
        <v>guennh</v>
      </c>
      <c r="Q93" s="31" t="str">
        <f t="shared" si="8"/>
        <v>nguennh</v>
      </c>
      <c r="R93" s="31" t="str">
        <f t="shared" si="8"/>
        <v>huennh</v>
      </c>
      <c r="S93" s="31" t="str">
        <f t="shared" si="8"/>
        <v>tsuennh</v>
      </c>
      <c r="T93" s="31" t="str">
        <f t="shared" si="8"/>
        <v>tsiuennh</v>
      </c>
      <c r="U93" s="31" t="str">
        <f t="shared" si="6"/>
        <v>tshuennh</v>
      </c>
      <c r="V93" s="31" t="str">
        <f t="shared" si="6"/>
        <v>tshiuennh</v>
      </c>
      <c r="W93" s="31" t="str">
        <f t="shared" si="6"/>
        <v>suennh</v>
      </c>
      <c r="X93" s="31" t="str">
        <f t="shared" si="6"/>
        <v>siuennh</v>
      </c>
      <c r="Y93" s="31" t="str">
        <f t="shared" si="6"/>
        <v>juennh</v>
      </c>
      <c r="Z93" s="31" t="str">
        <f t="shared" si="6"/>
        <v>jiuennh</v>
      </c>
    </row>
    <row r="94" spans="1:26" ht="44.25">
      <c r="A94" s="16">
        <v>91</v>
      </c>
      <c r="B94" s="4" t="s">
        <v>316</v>
      </c>
      <c r="C94" s="26" t="s">
        <v>152</v>
      </c>
      <c r="D94" s="27" t="s">
        <v>235</v>
      </c>
      <c r="E94" s="31" t="str">
        <f t="shared" si="8"/>
        <v>iaunn</v>
      </c>
      <c r="F94" s="31" t="str">
        <f t="shared" si="8"/>
        <v>piaunn</v>
      </c>
      <c r="G94" s="31" t="str">
        <f t="shared" si="8"/>
        <v>phiaunn</v>
      </c>
      <c r="H94" s="31" t="str">
        <f t="shared" si="8"/>
        <v>biaunn</v>
      </c>
      <c r="I94" s="31" t="str">
        <f t="shared" si="8"/>
        <v>miaunn</v>
      </c>
      <c r="J94" s="31" t="str">
        <f t="shared" si="8"/>
        <v>tiaunn</v>
      </c>
      <c r="K94" s="31" t="str">
        <f t="shared" si="8"/>
        <v>thiaunn</v>
      </c>
      <c r="L94" s="31" t="str">
        <f t="shared" si="8"/>
        <v>liaunn</v>
      </c>
      <c r="M94" s="31" t="str">
        <f t="shared" si="8"/>
        <v>niaunn</v>
      </c>
      <c r="N94" s="31" t="str">
        <f t="shared" si="8"/>
        <v>kiaunn</v>
      </c>
      <c r="O94" s="31" t="str">
        <f t="shared" si="8"/>
        <v>khiaunn</v>
      </c>
      <c r="P94" s="31" t="str">
        <f t="shared" si="8"/>
        <v>giaunn</v>
      </c>
      <c r="Q94" s="31" t="str">
        <f t="shared" si="8"/>
        <v>ngiaunn</v>
      </c>
      <c r="R94" s="31" t="str">
        <f t="shared" si="8"/>
        <v>hiaunn</v>
      </c>
      <c r="S94" s="31" t="str">
        <f t="shared" si="8"/>
        <v>tsiaunn</v>
      </c>
      <c r="T94" s="31" t="str">
        <f t="shared" si="8"/>
        <v>tsiiaunn</v>
      </c>
      <c r="U94" s="31" t="str">
        <f t="shared" si="6"/>
        <v>tshiaunn</v>
      </c>
      <c r="V94" s="31" t="str">
        <f t="shared" si="6"/>
        <v>tshiiaunn</v>
      </c>
      <c r="W94" s="31" t="str">
        <f t="shared" si="6"/>
        <v>siaunn</v>
      </c>
      <c r="X94" s="31" t="str">
        <f t="shared" si="6"/>
        <v>siiaunn</v>
      </c>
      <c r="Y94" s="31" t="str">
        <f t="shared" si="6"/>
        <v>jiaunn</v>
      </c>
      <c r="Z94" s="31" t="str">
        <f t="shared" si="6"/>
        <v>jiiaunn</v>
      </c>
    </row>
    <row r="95" spans="1:26" ht="44.25">
      <c r="A95" s="16">
        <v>92</v>
      </c>
      <c r="B95" s="4" t="s">
        <v>318</v>
      </c>
      <c r="C95" s="26" t="s">
        <v>153</v>
      </c>
      <c r="D95" s="27" t="s">
        <v>317</v>
      </c>
      <c r="E95" s="31" t="str">
        <f t="shared" si="8"/>
        <v>iaunnh</v>
      </c>
      <c r="F95" s="31" t="str">
        <f t="shared" si="8"/>
        <v>piaunnh</v>
      </c>
      <c r="G95" s="31" t="str">
        <f t="shared" si="8"/>
        <v>phiaunnh</v>
      </c>
      <c r="H95" s="31" t="str">
        <f t="shared" si="8"/>
        <v>biaunnh</v>
      </c>
      <c r="I95" s="31" t="str">
        <f t="shared" si="8"/>
        <v>miaunnh</v>
      </c>
      <c r="J95" s="31" t="str">
        <f t="shared" si="8"/>
        <v>tiaunnh</v>
      </c>
      <c r="K95" s="31" t="str">
        <f t="shared" si="8"/>
        <v>thiaunnh</v>
      </c>
      <c r="L95" s="31" t="str">
        <f t="shared" si="8"/>
        <v>liaunnh</v>
      </c>
      <c r="M95" s="31" t="str">
        <f t="shared" si="8"/>
        <v>niaunnh</v>
      </c>
      <c r="N95" s="31" t="str">
        <f t="shared" si="8"/>
        <v>kiaunnh</v>
      </c>
      <c r="O95" s="31" t="str">
        <f t="shared" si="8"/>
        <v>khiaunnh</v>
      </c>
      <c r="P95" s="31" t="str">
        <f t="shared" si="8"/>
        <v>giaunnh</v>
      </c>
      <c r="Q95" s="31" t="str">
        <f t="shared" si="8"/>
        <v>ngiaunnh</v>
      </c>
      <c r="R95" s="31" t="str">
        <f t="shared" si="8"/>
        <v>hiaunnh</v>
      </c>
      <c r="S95" s="31" t="str">
        <f t="shared" si="8"/>
        <v>tsiaunnh</v>
      </c>
      <c r="T95" s="31" t="str">
        <f t="shared" si="8"/>
        <v>tsiiaunnh</v>
      </c>
      <c r="U95" s="31" t="str">
        <f t="shared" si="6"/>
        <v>tshiaunnh</v>
      </c>
      <c r="V95" s="31" t="str">
        <f t="shared" si="6"/>
        <v>tshiiaunnh</v>
      </c>
      <c r="W95" s="31" t="str">
        <f t="shared" si="6"/>
        <v>siaunnh</v>
      </c>
      <c r="X95" s="31" t="str">
        <f t="shared" si="6"/>
        <v>siiaunnh</v>
      </c>
      <c r="Y95" s="31" t="str">
        <f t="shared" si="6"/>
        <v>jiaunnh</v>
      </c>
      <c r="Z95" s="31" t="str">
        <f t="shared" si="6"/>
        <v>jiiaunnh</v>
      </c>
    </row>
    <row r="96" spans="1:26" ht="44.25">
      <c r="A96" s="16">
        <v>93</v>
      </c>
      <c r="B96" s="4" t="s">
        <v>319</v>
      </c>
      <c r="C96" s="17" t="s">
        <v>154</v>
      </c>
      <c r="D96" s="18" t="s">
        <v>236</v>
      </c>
      <c r="E96" s="31" t="str">
        <f t="shared" si="8"/>
        <v>om</v>
      </c>
      <c r="F96" s="31" t="str">
        <f t="shared" si="8"/>
        <v>pom</v>
      </c>
      <c r="G96" s="31" t="str">
        <f t="shared" si="8"/>
        <v>phom</v>
      </c>
      <c r="H96" s="31" t="str">
        <f t="shared" si="8"/>
        <v>bom</v>
      </c>
      <c r="I96" s="31" t="str">
        <f t="shared" si="8"/>
        <v>mom</v>
      </c>
      <c r="J96" s="31" t="str">
        <f t="shared" si="8"/>
        <v>tom</v>
      </c>
      <c r="K96" s="31" t="str">
        <f t="shared" si="8"/>
        <v>thom</v>
      </c>
      <c r="L96" s="31" t="str">
        <f t="shared" si="8"/>
        <v>lom</v>
      </c>
      <c r="M96" s="31" t="str">
        <f t="shared" si="8"/>
        <v>nom</v>
      </c>
      <c r="N96" s="31" t="str">
        <f t="shared" si="8"/>
        <v>kom</v>
      </c>
      <c r="O96" s="31" t="str">
        <f t="shared" si="8"/>
        <v>khom</v>
      </c>
      <c r="P96" s="31" t="str">
        <f t="shared" si="8"/>
        <v>gom</v>
      </c>
      <c r="Q96" s="31" t="str">
        <f t="shared" si="8"/>
        <v>ngom</v>
      </c>
      <c r="R96" s="31" t="str">
        <f t="shared" si="8"/>
        <v>hom</v>
      </c>
      <c r="S96" s="31" t="str">
        <f t="shared" si="8"/>
        <v>tsom</v>
      </c>
      <c r="T96" s="31" t="str">
        <f t="shared" si="8"/>
        <v>tsiom</v>
      </c>
      <c r="U96" s="31" t="str">
        <f t="shared" si="6"/>
        <v>tshom</v>
      </c>
      <c r="V96" s="31" t="str">
        <f t="shared" si="6"/>
        <v>tshiom</v>
      </c>
      <c r="W96" s="31" t="str">
        <f t="shared" si="6"/>
        <v>som</v>
      </c>
      <c r="X96" s="31" t="str">
        <f t="shared" si="6"/>
        <v>siom</v>
      </c>
      <c r="Y96" s="31" t="str">
        <f t="shared" si="6"/>
        <v>jom</v>
      </c>
      <c r="Z96" s="31" t="str">
        <f t="shared" si="6"/>
        <v>jiom</v>
      </c>
    </row>
    <row r="97" spans="1:26" ht="44.25">
      <c r="A97" s="16">
        <v>94</v>
      </c>
      <c r="B97" s="4" t="s">
        <v>320</v>
      </c>
      <c r="C97" s="26" t="s">
        <v>155</v>
      </c>
      <c r="D97" s="27" t="s">
        <v>321</v>
      </c>
      <c r="E97" s="31" t="str">
        <f t="shared" si="8"/>
        <v>op</v>
      </c>
      <c r="F97" s="31" t="str">
        <f t="shared" si="8"/>
        <v>pop</v>
      </c>
      <c r="G97" s="31" t="str">
        <f t="shared" si="8"/>
        <v>phop</v>
      </c>
      <c r="H97" s="31" t="str">
        <f t="shared" si="8"/>
        <v>bop</v>
      </c>
      <c r="I97" s="31" t="str">
        <f t="shared" si="8"/>
        <v>mop</v>
      </c>
      <c r="J97" s="31" t="str">
        <f t="shared" si="8"/>
        <v>top</v>
      </c>
      <c r="K97" s="31" t="str">
        <f t="shared" si="8"/>
        <v>thop</v>
      </c>
      <c r="L97" s="31" t="str">
        <f t="shared" si="8"/>
        <v>lop</v>
      </c>
      <c r="M97" s="31" t="str">
        <f t="shared" si="8"/>
        <v>nop</v>
      </c>
      <c r="N97" s="31" t="str">
        <f t="shared" si="8"/>
        <v>kop</v>
      </c>
      <c r="O97" s="31" t="str">
        <f t="shared" si="8"/>
        <v>khop</v>
      </c>
      <c r="P97" s="31" t="str">
        <f t="shared" si="8"/>
        <v>gop</v>
      </c>
      <c r="Q97" s="31" t="str">
        <f t="shared" si="8"/>
        <v>ngop</v>
      </c>
      <c r="R97" s="31" t="str">
        <f t="shared" si="8"/>
        <v>hop</v>
      </c>
      <c r="S97" s="31" t="str">
        <f t="shared" si="8"/>
        <v>tsop</v>
      </c>
      <c r="T97" s="31" t="str">
        <f t="shared" si="8"/>
        <v>tsiop</v>
      </c>
      <c r="U97" s="31" t="str">
        <f t="shared" si="6"/>
        <v>tshop</v>
      </c>
      <c r="V97" s="31" t="str">
        <f t="shared" si="6"/>
        <v>tshiop</v>
      </c>
      <c r="W97" s="31" t="str">
        <f t="shared" si="6"/>
        <v>sop</v>
      </c>
      <c r="X97" s="31" t="str">
        <f t="shared" si="6"/>
        <v>siop</v>
      </c>
      <c r="Y97" s="31" t="str">
        <f t="shared" si="6"/>
        <v>jop</v>
      </c>
      <c r="Z97" s="31" t="str">
        <f t="shared" si="6"/>
        <v>jiop</v>
      </c>
    </row>
    <row r="98" spans="1:26" ht="32.25">
      <c r="A98" s="16">
        <v>95</v>
      </c>
      <c r="B98" s="30" t="s">
        <v>322</v>
      </c>
      <c r="C98" s="17" t="s">
        <v>156</v>
      </c>
      <c r="D98" s="18" t="s">
        <v>237</v>
      </c>
      <c r="E98" s="31" t="str">
        <f t="shared" si="8"/>
        <v>aunn</v>
      </c>
      <c r="F98" s="31" t="str">
        <f t="shared" si="8"/>
        <v>paunn</v>
      </c>
      <c r="G98" s="31" t="str">
        <f t="shared" si="8"/>
        <v>phaunn</v>
      </c>
      <c r="H98" s="31" t="str">
        <f t="shared" si="8"/>
        <v>baunn</v>
      </c>
      <c r="I98" s="31" t="str">
        <f t="shared" si="8"/>
        <v>maunn</v>
      </c>
      <c r="J98" s="31" t="str">
        <f t="shared" si="8"/>
        <v>taunn</v>
      </c>
      <c r="K98" s="31" t="str">
        <f t="shared" si="8"/>
        <v>thaunn</v>
      </c>
      <c r="L98" s="31" t="str">
        <f t="shared" si="8"/>
        <v>launn</v>
      </c>
      <c r="M98" s="31" t="str">
        <f t="shared" si="8"/>
        <v>naunn</v>
      </c>
      <c r="N98" s="31" t="str">
        <f t="shared" si="8"/>
        <v>kaunn</v>
      </c>
      <c r="O98" s="31" t="str">
        <f t="shared" si="8"/>
        <v>khaunn</v>
      </c>
      <c r="P98" s="31" t="str">
        <f t="shared" si="8"/>
        <v>gaunn</v>
      </c>
      <c r="Q98" s="31" t="str">
        <f t="shared" si="8"/>
        <v>ngaunn</v>
      </c>
      <c r="R98" s="31" t="str">
        <f t="shared" si="8"/>
        <v>haunn</v>
      </c>
      <c r="S98" s="31" t="str">
        <f t="shared" si="8"/>
        <v>tsaunn</v>
      </c>
      <c r="T98" s="31" t="str">
        <f t="shared" si="8"/>
        <v>tsiaunn</v>
      </c>
      <c r="U98" s="31" t="str">
        <f t="shared" si="6"/>
        <v>tshaunn</v>
      </c>
      <c r="V98" s="31" t="str">
        <f t="shared" si="6"/>
        <v>tshiaunn</v>
      </c>
      <c r="W98" s="31" t="str">
        <f t="shared" si="6"/>
        <v>saunn</v>
      </c>
      <c r="X98" s="31" t="str">
        <f t="shared" si="6"/>
        <v>siaunn</v>
      </c>
      <c r="Y98" s="31" t="str">
        <f t="shared" si="6"/>
        <v>jaunn</v>
      </c>
      <c r="Z98" s="31" t="str">
        <f t="shared" si="6"/>
        <v>jiaunn</v>
      </c>
    </row>
    <row r="99" spans="1:26" ht="44.25">
      <c r="A99" s="16">
        <v>96</v>
      </c>
      <c r="B99" s="4"/>
      <c r="C99" s="26" t="s">
        <v>157</v>
      </c>
      <c r="D99" s="27"/>
      <c r="E99" s="31" t="str">
        <f t="shared" si="8"/>
        <v/>
      </c>
      <c r="F99" s="31" t="str">
        <f t="shared" si="8"/>
        <v/>
      </c>
      <c r="G99" s="31" t="str">
        <f t="shared" si="8"/>
        <v/>
      </c>
      <c r="H99" s="31" t="str">
        <f t="shared" si="8"/>
        <v/>
      </c>
      <c r="I99" s="31" t="str">
        <f t="shared" si="8"/>
        <v/>
      </c>
      <c r="J99" s="31" t="str">
        <f t="shared" si="8"/>
        <v/>
      </c>
      <c r="K99" s="31" t="str">
        <f t="shared" si="8"/>
        <v/>
      </c>
      <c r="L99" s="31" t="str">
        <f t="shared" si="8"/>
        <v/>
      </c>
      <c r="M99" s="31" t="str">
        <f t="shared" si="8"/>
        <v/>
      </c>
      <c r="N99" s="31" t="str">
        <f t="shared" si="8"/>
        <v/>
      </c>
      <c r="O99" s="31" t="str">
        <f t="shared" ref="E99:T103" si="9">IF($D99="", "", _xlfn.CONCAT(O$3, $D99))</f>
        <v/>
      </c>
      <c r="P99" s="31" t="str">
        <f t="shared" si="9"/>
        <v/>
      </c>
      <c r="Q99" s="31" t="str">
        <f t="shared" si="9"/>
        <v/>
      </c>
      <c r="R99" s="31" t="str">
        <f t="shared" si="9"/>
        <v/>
      </c>
      <c r="S99" s="31" t="str">
        <f t="shared" si="9"/>
        <v/>
      </c>
      <c r="T99" s="31" t="str">
        <f t="shared" si="9"/>
        <v/>
      </c>
      <c r="U99" s="31" t="str">
        <f t="shared" si="6"/>
        <v/>
      </c>
      <c r="V99" s="31" t="str">
        <f t="shared" si="6"/>
        <v/>
      </c>
      <c r="W99" s="31" t="str">
        <f t="shared" si="6"/>
        <v/>
      </c>
      <c r="X99" s="31" t="str">
        <f t="shared" si="6"/>
        <v/>
      </c>
      <c r="Y99" s="31" t="str">
        <f t="shared" si="6"/>
        <v/>
      </c>
      <c r="Z99" s="31" t="str">
        <f t="shared" si="6"/>
        <v/>
      </c>
    </row>
    <row r="100" spans="1:26" ht="44.25">
      <c r="A100" s="16">
        <v>97</v>
      </c>
      <c r="B100" s="4"/>
      <c r="C100" s="26" t="s">
        <v>158</v>
      </c>
      <c r="D100" s="27" t="s">
        <v>229</v>
      </c>
      <c r="E100" s="31" t="str">
        <f t="shared" si="9"/>
        <v>onn</v>
      </c>
      <c r="F100" s="31" t="str">
        <f t="shared" si="9"/>
        <v>ponn</v>
      </c>
      <c r="G100" s="31" t="str">
        <f t="shared" si="9"/>
        <v>phonn</v>
      </c>
      <c r="H100" s="31" t="str">
        <f t="shared" si="9"/>
        <v>bonn</v>
      </c>
      <c r="I100" s="31" t="str">
        <f t="shared" si="9"/>
        <v>monn</v>
      </c>
      <c r="J100" s="31" t="str">
        <f t="shared" si="9"/>
        <v>tonn</v>
      </c>
      <c r="K100" s="31" t="str">
        <f t="shared" si="9"/>
        <v>thonn</v>
      </c>
      <c r="L100" s="31" t="str">
        <f t="shared" si="9"/>
        <v>lonn</v>
      </c>
      <c r="M100" s="31" t="str">
        <f t="shared" si="9"/>
        <v>nonn</v>
      </c>
      <c r="N100" s="31" t="str">
        <f t="shared" si="9"/>
        <v>konn</v>
      </c>
      <c r="O100" s="31" t="str">
        <f t="shared" si="9"/>
        <v>khonn</v>
      </c>
      <c r="P100" s="31" t="str">
        <f t="shared" si="9"/>
        <v>gonn</v>
      </c>
      <c r="Q100" s="31" t="str">
        <f t="shared" si="9"/>
        <v>ngonn</v>
      </c>
      <c r="R100" s="31" t="str">
        <f t="shared" si="9"/>
        <v>honn</v>
      </c>
      <c r="S100" s="31" t="str">
        <f t="shared" si="9"/>
        <v>tsonn</v>
      </c>
      <c r="T100" s="31" t="str">
        <f t="shared" si="9"/>
        <v>tsionn</v>
      </c>
      <c r="U100" s="31" t="str">
        <f t="shared" si="6"/>
        <v>tshonn</v>
      </c>
      <c r="V100" s="31" t="str">
        <f t="shared" si="6"/>
        <v>tshionn</v>
      </c>
      <c r="W100" s="31" t="str">
        <f t="shared" si="6"/>
        <v>sonn</v>
      </c>
      <c r="X100" s="31" t="str">
        <f t="shared" si="6"/>
        <v>sionn</v>
      </c>
      <c r="Y100" s="31" t="str">
        <f t="shared" si="6"/>
        <v>jonn</v>
      </c>
      <c r="Z100" s="31" t="str">
        <f t="shared" si="6"/>
        <v>jionn</v>
      </c>
    </row>
    <row r="101" spans="1:26" ht="44.25">
      <c r="A101" s="16">
        <v>98</v>
      </c>
      <c r="B101" s="4"/>
      <c r="C101" s="26" t="s">
        <v>159</v>
      </c>
      <c r="D101" s="27" t="s">
        <v>323</v>
      </c>
      <c r="E101" s="31" t="str">
        <f t="shared" si="9"/>
        <v>onnh</v>
      </c>
      <c r="F101" s="31" t="str">
        <f t="shared" si="9"/>
        <v>ponnh</v>
      </c>
      <c r="G101" s="31" t="str">
        <f t="shared" si="9"/>
        <v>phonnh</v>
      </c>
      <c r="H101" s="31" t="str">
        <f t="shared" si="9"/>
        <v>bonnh</v>
      </c>
      <c r="I101" s="31" t="str">
        <f t="shared" si="9"/>
        <v>monnh</v>
      </c>
      <c r="J101" s="31" t="str">
        <f t="shared" si="9"/>
        <v>tonnh</v>
      </c>
      <c r="K101" s="31" t="str">
        <f t="shared" si="9"/>
        <v>thonnh</v>
      </c>
      <c r="L101" s="31" t="str">
        <f t="shared" si="9"/>
        <v>lonnh</v>
      </c>
      <c r="M101" s="31" t="str">
        <f t="shared" si="9"/>
        <v>nonnh</v>
      </c>
      <c r="N101" s="31" t="str">
        <f t="shared" si="9"/>
        <v>konnh</v>
      </c>
      <c r="O101" s="31" t="str">
        <f t="shared" si="9"/>
        <v>khonnh</v>
      </c>
      <c r="P101" s="31" t="str">
        <f t="shared" si="9"/>
        <v>gonnh</v>
      </c>
      <c r="Q101" s="31" t="str">
        <f t="shared" si="9"/>
        <v>ngonnh</v>
      </c>
      <c r="R101" s="31" t="str">
        <f t="shared" si="9"/>
        <v>honnh</v>
      </c>
      <c r="S101" s="31" t="str">
        <f t="shared" si="9"/>
        <v>tsonnh</v>
      </c>
      <c r="T101" s="31" t="str">
        <f t="shared" si="9"/>
        <v>tsionnh</v>
      </c>
      <c r="U101" s="31" t="str">
        <f t="shared" si="6"/>
        <v>tshonnh</v>
      </c>
      <c r="V101" s="31" t="str">
        <f t="shared" si="6"/>
        <v>tshionnh</v>
      </c>
      <c r="W101" s="31" t="str">
        <f t="shared" si="6"/>
        <v>sonnh</v>
      </c>
      <c r="X101" s="31" t="str">
        <f t="shared" si="6"/>
        <v>sionnh</v>
      </c>
      <c r="Y101" s="31" t="str">
        <f t="shared" si="6"/>
        <v>jonnh</v>
      </c>
      <c r="Z101" s="31" t="str">
        <f t="shared" si="6"/>
        <v>jionnh</v>
      </c>
    </row>
    <row r="102" spans="1:26" ht="44.25">
      <c r="A102" s="16">
        <v>99</v>
      </c>
      <c r="B102" s="4" t="s">
        <v>303</v>
      </c>
      <c r="C102" s="17" t="s">
        <v>160</v>
      </c>
      <c r="D102" s="18" t="s">
        <v>239</v>
      </c>
      <c r="E102" s="31" t="str">
        <f t="shared" si="9"/>
        <v>iunn</v>
      </c>
      <c r="F102" s="31" t="str">
        <f t="shared" si="9"/>
        <v>piunn</v>
      </c>
      <c r="G102" s="31" t="str">
        <f t="shared" si="9"/>
        <v>phiunn</v>
      </c>
      <c r="H102" s="31" t="str">
        <f t="shared" si="9"/>
        <v>biunn</v>
      </c>
      <c r="I102" s="31" t="str">
        <f t="shared" si="9"/>
        <v>miunn</v>
      </c>
      <c r="J102" s="31" t="str">
        <f t="shared" si="9"/>
        <v>tiunn</v>
      </c>
      <c r="K102" s="31" t="str">
        <f t="shared" si="9"/>
        <v>thiunn</v>
      </c>
      <c r="L102" s="31" t="str">
        <f t="shared" si="9"/>
        <v>liunn</v>
      </c>
      <c r="M102" s="31" t="str">
        <f t="shared" si="9"/>
        <v>niunn</v>
      </c>
      <c r="N102" s="31" t="str">
        <f t="shared" si="9"/>
        <v>kiunn</v>
      </c>
      <c r="O102" s="31" t="str">
        <f t="shared" si="9"/>
        <v>khiunn</v>
      </c>
      <c r="P102" s="31" t="str">
        <f t="shared" si="9"/>
        <v>giunn</v>
      </c>
      <c r="Q102" s="31" t="str">
        <f t="shared" si="9"/>
        <v>ngiunn</v>
      </c>
      <c r="R102" s="31" t="str">
        <f t="shared" si="9"/>
        <v>hiunn</v>
      </c>
      <c r="S102" s="31" t="str">
        <f t="shared" si="9"/>
        <v>tsiunn</v>
      </c>
      <c r="T102" s="31" t="str">
        <f t="shared" si="9"/>
        <v>tsiiunn</v>
      </c>
      <c r="U102" s="31" t="str">
        <f t="shared" si="6"/>
        <v>tshiunn</v>
      </c>
      <c r="V102" s="31" t="str">
        <f t="shared" si="6"/>
        <v>tshiiunn</v>
      </c>
      <c r="W102" s="31" t="str">
        <f t="shared" si="6"/>
        <v>siunn</v>
      </c>
      <c r="X102" s="31" t="str">
        <f t="shared" si="6"/>
        <v>siiunn</v>
      </c>
      <c r="Y102" s="31" t="str">
        <f t="shared" si="6"/>
        <v>jiunn</v>
      </c>
      <c r="Z102" s="31" t="str">
        <f t="shared" si="6"/>
        <v>jiiunn</v>
      </c>
    </row>
    <row r="103" spans="1:26" ht="44.25">
      <c r="A103" s="16">
        <v>100</v>
      </c>
      <c r="B103" s="4"/>
      <c r="C103" s="26" t="s">
        <v>161</v>
      </c>
      <c r="D103" s="27"/>
      <c r="E103" s="32" t="str">
        <f t="shared" si="9"/>
        <v/>
      </c>
      <c r="F103" s="32" t="str">
        <f t="shared" si="9"/>
        <v/>
      </c>
      <c r="G103" s="32" t="str">
        <f t="shared" si="9"/>
        <v/>
      </c>
      <c r="H103" s="32" t="str">
        <f t="shared" si="9"/>
        <v/>
      </c>
      <c r="I103" s="32" t="str">
        <f t="shared" si="9"/>
        <v/>
      </c>
      <c r="J103" s="32" t="str">
        <f t="shared" si="9"/>
        <v/>
      </c>
      <c r="K103" s="32" t="str">
        <f t="shared" si="9"/>
        <v/>
      </c>
      <c r="L103" s="32" t="str">
        <f t="shared" si="9"/>
        <v/>
      </c>
      <c r="M103" s="32" t="str">
        <f t="shared" si="9"/>
        <v/>
      </c>
      <c r="N103" s="32" t="str">
        <f t="shared" si="9"/>
        <v/>
      </c>
      <c r="O103" s="32" t="str">
        <f t="shared" si="9"/>
        <v/>
      </c>
      <c r="P103" s="32" t="str">
        <f t="shared" si="9"/>
        <v/>
      </c>
      <c r="Q103" s="32" t="str">
        <f t="shared" si="9"/>
        <v/>
      </c>
      <c r="R103" s="32" t="str">
        <f t="shared" si="9"/>
        <v/>
      </c>
      <c r="S103" s="32" t="str">
        <f t="shared" si="9"/>
        <v/>
      </c>
      <c r="T103" s="32" t="str">
        <f t="shared" si="9"/>
        <v/>
      </c>
      <c r="U103" s="32" t="str">
        <f t="shared" si="6"/>
        <v/>
      </c>
      <c r="V103" s="32" t="str">
        <f t="shared" si="6"/>
        <v/>
      </c>
      <c r="W103" s="32" t="str">
        <f t="shared" si="6"/>
        <v/>
      </c>
      <c r="X103" s="32" t="str">
        <f t="shared" si="6"/>
        <v/>
      </c>
      <c r="Y103" s="32" t="str">
        <f t="shared" si="6"/>
        <v/>
      </c>
      <c r="Z103" s="32" t="str">
        <f t="shared" si="6"/>
        <v/>
      </c>
    </row>
  </sheetData>
  <mergeCells count="3">
    <mergeCell ref="A1:D1"/>
    <mergeCell ref="A2:D2"/>
    <mergeCell ref="A3:D3"/>
  </mergeCells>
  <phoneticPr fontId="2" type="noConversion"/>
  <conditionalFormatting sqref="E4:Z103">
    <cfRule type="expression" dxfId="1" priority="1">
      <formula>E4=""</formula>
    </cfRule>
  </conditionalFormatting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5735A7-A696-418F-922F-4B8C378CF4A0}">
  <dimension ref="A1:Z83"/>
  <sheetViews>
    <sheetView workbookViewId="0"/>
  </sheetViews>
  <sheetFormatPr defaultRowHeight="16.5"/>
  <cols>
    <col min="1" max="1" width="5.5" customWidth="1"/>
    <col min="3" max="3" width="12.875" style="1" customWidth="1"/>
    <col min="4" max="4" width="9.625" style="2" customWidth="1"/>
    <col min="5" max="26" width="11" customWidth="1"/>
  </cols>
  <sheetData>
    <row r="1" spans="1:26" ht="44.25">
      <c r="A1" s="33"/>
      <c r="B1" s="33"/>
      <c r="C1" s="33"/>
      <c r="D1" s="35" t="s">
        <v>325</v>
      </c>
      <c r="E1" s="4" t="s">
        <v>18</v>
      </c>
      <c r="F1" s="4" t="s">
        <v>19</v>
      </c>
      <c r="G1" s="4" t="s">
        <v>20</v>
      </c>
      <c r="H1" s="5" t="s">
        <v>21</v>
      </c>
      <c r="I1" s="6" t="s">
        <v>22</v>
      </c>
      <c r="J1" s="4" t="s">
        <v>23</v>
      </c>
      <c r="K1" s="4" t="s">
        <v>24</v>
      </c>
      <c r="L1" s="5" t="s">
        <v>25</v>
      </c>
      <c r="M1" s="6" t="s">
        <v>26</v>
      </c>
      <c r="N1" s="4" t="s">
        <v>27</v>
      </c>
      <c r="O1" s="4" t="s">
        <v>28</v>
      </c>
      <c r="P1" s="5" t="s">
        <v>29</v>
      </c>
      <c r="Q1" s="6" t="s">
        <v>30</v>
      </c>
      <c r="R1" s="4" t="s">
        <v>31</v>
      </c>
      <c r="S1" s="7" t="s">
        <v>32</v>
      </c>
      <c r="T1" s="4" t="s">
        <v>33</v>
      </c>
      <c r="U1" s="7" t="s">
        <v>34</v>
      </c>
      <c r="V1" s="4" t="s">
        <v>35</v>
      </c>
      <c r="W1" s="7" t="s">
        <v>36</v>
      </c>
      <c r="X1" s="4" t="s">
        <v>37</v>
      </c>
      <c r="Y1" s="5" t="s">
        <v>38</v>
      </c>
      <c r="Z1" s="5" t="s">
        <v>39</v>
      </c>
    </row>
    <row r="2" spans="1:26" ht="29.25">
      <c r="A2" s="33"/>
      <c r="B2" s="33"/>
      <c r="C2" s="33"/>
      <c r="D2" s="35" t="s">
        <v>0</v>
      </c>
      <c r="E2" s="8" t="s">
        <v>1</v>
      </c>
      <c r="F2" s="8" t="s">
        <v>2</v>
      </c>
      <c r="G2" s="8" t="s">
        <v>3</v>
      </c>
      <c r="H2" s="9" t="s">
        <v>4</v>
      </c>
      <c r="I2" s="10" t="s">
        <v>4</v>
      </c>
      <c r="J2" s="8" t="s">
        <v>5</v>
      </c>
      <c r="K2" s="8" t="s">
        <v>6</v>
      </c>
      <c r="L2" s="9" t="s">
        <v>7</v>
      </c>
      <c r="M2" s="10" t="s">
        <v>7</v>
      </c>
      <c r="N2" s="8" t="s">
        <v>8</v>
      </c>
      <c r="O2" s="8" t="s">
        <v>9</v>
      </c>
      <c r="P2" s="9" t="s">
        <v>10</v>
      </c>
      <c r="Q2" s="10" t="s">
        <v>10</v>
      </c>
      <c r="R2" s="8" t="s">
        <v>11</v>
      </c>
      <c r="S2" s="11" t="s">
        <v>12</v>
      </c>
      <c r="T2" s="8" t="s">
        <v>12</v>
      </c>
      <c r="U2" s="11" t="s">
        <v>13</v>
      </c>
      <c r="V2" s="8" t="s">
        <v>13</v>
      </c>
      <c r="W2" s="11" t="s">
        <v>14</v>
      </c>
      <c r="X2" s="8" t="s">
        <v>14</v>
      </c>
      <c r="Y2" s="9" t="s">
        <v>15</v>
      </c>
      <c r="Z2" s="9" t="s">
        <v>16</v>
      </c>
    </row>
    <row r="3" spans="1:26" ht="29.25">
      <c r="A3" s="3"/>
      <c r="B3" s="34"/>
      <c r="C3" s="34"/>
      <c r="D3" s="35" t="s">
        <v>326</v>
      </c>
      <c r="E3" s="12" t="s">
        <v>327</v>
      </c>
      <c r="F3" s="12" t="s">
        <v>41</v>
      </c>
      <c r="G3" s="12" t="s">
        <v>42</v>
      </c>
      <c r="H3" s="13" t="s">
        <v>43</v>
      </c>
      <c r="I3" s="14" t="s">
        <v>44</v>
      </c>
      <c r="J3" s="12" t="s">
        <v>45</v>
      </c>
      <c r="K3" s="12" t="s">
        <v>46</v>
      </c>
      <c r="L3" s="13" t="s">
        <v>47</v>
      </c>
      <c r="M3" s="14" t="s">
        <v>48</v>
      </c>
      <c r="N3" s="12" t="s">
        <v>49</v>
      </c>
      <c r="O3" s="12" t="s">
        <v>50</v>
      </c>
      <c r="P3" s="13" t="s">
        <v>51</v>
      </c>
      <c r="Q3" s="14" t="s">
        <v>52</v>
      </c>
      <c r="R3" s="12" t="s">
        <v>53</v>
      </c>
      <c r="S3" s="15" t="s">
        <v>54</v>
      </c>
      <c r="T3" s="12" t="s">
        <v>55</v>
      </c>
      <c r="U3" s="15" t="s">
        <v>56</v>
      </c>
      <c r="V3" s="12" t="s">
        <v>57</v>
      </c>
      <c r="W3" s="15" t="s">
        <v>58</v>
      </c>
      <c r="X3" s="12" t="s">
        <v>59</v>
      </c>
      <c r="Y3" s="13" t="s">
        <v>60</v>
      </c>
      <c r="Z3" s="13" t="s">
        <v>61</v>
      </c>
    </row>
    <row r="4" spans="1:26" ht="9.75" customHeight="1">
      <c r="A4" s="36"/>
      <c r="B4" s="37"/>
      <c r="C4" s="37"/>
      <c r="D4" s="38"/>
      <c r="E4" s="39"/>
      <c r="F4" s="39"/>
      <c r="G4" s="39"/>
      <c r="H4" s="39"/>
      <c r="I4" s="40"/>
      <c r="J4" s="39"/>
      <c r="K4" s="39"/>
      <c r="L4" s="39"/>
      <c r="M4" s="40"/>
      <c r="N4" s="39"/>
      <c r="O4" s="39"/>
      <c r="P4" s="39"/>
      <c r="Q4" s="40"/>
      <c r="R4" s="39"/>
      <c r="S4" s="39"/>
      <c r="T4" s="39"/>
      <c r="U4" s="39"/>
      <c r="V4" s="39"/>
      <c r="W4" s="39"/>
      <c r="X4" s="39"/>
      <c r="Y4" s="39"/>
      <c r="Z4" s="39"/>
    </row>
    <row r="5" spans="1:26" ht="44.25">
      <c r="A5" s="16">
        <v>55</v>
      </c>
      <c r="B5" s="4" t="s">
        <v>294</v>
      </c>
      <c r="C5" s="17" t="s">
        <v>116</v>
      </c>
      <c r="D5" s="18" t="s">
        <v>212</v>
      </c>
      <c r="E5" s="31" t="str">
        <f t="shared" ref="E5:N14" si="0">IF($D5="", "", _xlfn.CONCAT(E$3, $D5))</f>
        <v>Øa</v>
      </c>
      <c r="F5" s="31" t="str">
        <f t="shared" si="0"/>
        <v>pa</v>
      </c>
      <c r="G5" s="31" t="str">
        <f t="shared" si="0"/>
        <v>pha</v>
      </c>
      <c r="H5" s="31" t="str">
        <f t="shared" si="0"/>
        <v>ba</v>
      </c>
      <c r="I5" s="31" t="str">
        <f t="shared" si="0"/>
        <v>ma</v>
      </c>
      <c r="J5" s="31" t="str">
        <f t="shared" si="0"/>
        <v>ta</v>
      </c>
      <c r="K5" s="31" t="str">
        <f t="shared" si="0"/>
        <v>tha</v>
      </c>
      <c r="L5" s="31" t="str">
        <f t="shared" si="0"/>
        <v>la</v>
      </c>
      <c r="M5" s="31" t="str">
        <f t="shared" si="0"/>
        <v>na</v>
      </c>
      <c r="N5" s="31" t="str">
        <f t="shared" si="0"/>
        <v>ka</v>
      </c>
      <c r="O5" s="31" t="str">
        <f t="shared" ref="O5:Z14" si="1">IF($D5="", "", _xlfn.CONCAT(O$3, $D5))</f>
        <v>kha</v>
      </c>
      <c r="P5" s="31" t="str">
        <f t="shared" si="1"/>
        <v>ga</v>
      </c>
      <c r="Q5" s="31" t="str">
        <f t="shared" si="1"/>
        <v>nga</v>
      </c>
      <c r="R5" s="31" t="str">
        <f t="shared" si="1"/>
        <v>ha</v>
      </c>
      <c r="S5" s="31" t="str">
        <f t="shared" si="1"/>
        <v>tsa</v>
      </c>
      <c r="T5" s="31" t="str">
        <f t="shared" si="1"/>
        <v>tsia</v>
      </c>
      <c r="U5" s="31" t="str">
        <f t="shared" si="1"/>
        <v>tsha</v>
      </c>
      <c r="V5" s="31" t="str">
        <f t="shared" si="1"/>
        <v>tshia</v>
      </c>
      <c r="W5" s="31" t="str">
        <f t="shared" si="1"/>
        <v>sa</v>
      </c>
      <c r="X5" s="31" t="str">
        <f t="shared" si="1"/>
        <v>sia</v>
      </c>
      <c r="Y5" s="31" t="str">
        <f t="shared" si="1"/>
        <v>ja</v>
      </c>
      <c r="Z5" s="31" t="str">
        <f t="shared" si="1"/>
        <v>jia</v>
      </c>
    </row>
    <row r="6" spans="1:26" ht="44.25">
      <c r="A6" s="16">
        <v>56</v>
      </c>
      <c r="B6" s="4" t="s">
        <v>295</v>
      </c>
      <c r="C6" s="17" t="s">
        <v>117</v>
      </c>
      <c r="D6" s="18" t="s">
        <v>213</v>
      </c>
      <c r="E6" s="31" t="str">
        <f t="shared" si="0"/>
        <v>Øah</v>
      </c>
      <c r="F6" s="31" t="str">
        <f t="shared" si="0"/>
        <v>pah</v>
      </c>
      <c r="G6" s="31" t="str">
        <f t="shared" si="0"/>
        <v>phah</v>
      </c>
      <c r="H6" s="31" t="str">
        <f t="shared" si="0"/>
        <v>bah</v>
      </c>
      <c r="I6" s="31" t="str">
        <f t="shared" si="0"/>
        <v>mah</v>
      </c>
      <c r="J6" s="31" t="str">
        <f t="shared" si="0"/>
        <v>tah</v>
      </c>
      <c r="K6" s="31" t="str">
        <f t="shared" si="0"/>
        <v>thah</v>
      </c>
      <c r="L6" s="31" t="str">
        <f t="shared" si="0"/>
        <v>lah</v>
      </c>
      <c r="M6" s="31" t="str">
        <f t="shared" si="0"/>
        <v>nah</v>
      </c>
      <c r="N6" s="31" t="str">
        <f t="shared" si="0"/>
        <v>kah</v>
      </c>
      <c r="O6" s="31" t="str">
        <f t="shared" si="1"/>
        <v>khah</v>
      </c>
      <c r="P6" s="31" t="str">
        <f t="shared" si="1"/>
        <v>gah</v>
      </c>
      <c r="Q6" s="31" t="str">
        <f t="shared" si="1"/>
        <v>ngah</v>
      </c>
      <c r="R6" s="31" t="str">
        <f t="shared" si="1"/>
        <v>hah</v>
      </c>
      <c r="S6" s="31" t="str">
        <f t="shared" si="1"/>
        <v>tsah</v>
      </c>
      <c r="T6" s="31" t="str">
        <f t="shared" si="1"/>
        <v>tsiah</v>
      </c>
      <c r="U6" s="31" t="str">
        <f t="shared" si="1"/>
        <v>tshah</v>
      </c>
      <c r="V6" s="31" t="str">
        <f t="shared" si="1"/>
        <v>tshiah</v>
      </c>
      <c r="W6" s="31" t="str">
        <f t="shared" si="1"/>
        <v>sah</v>
      </c>
      <c r="X6" s="31" t="str">
        <f t="shared" si="1"/>
        <v>siah</v>
      </c>
      <c r="Y6" s="31" t="str">
        <f t="shared" si="1"/>
        <v>jah</v>
      </c>
      <c r="Z6" s="31" t="str">
        <f t="shared" si="1"/>
        <v>jiah</v>
      </c>
    </row>
    <row r="7" spans="1:26" ht="44.25">
      <c r="A7" s="16">
        <v>31</v>
      </c>
      <c r="B7" s="4" t="s">
        <v>270</v>
      </c>
      <c r="C7" s="17" t="s">
        <v>92</v>
      </c>
      <c r="D7" s="18" t="s">
        <v>189</v>
      </c>
      <c r="E7" s="31" t="str">
        <f t="shared" si="0"/>
        <v>Øai</v>
      </c>
      <c r="F7" s="31" t="str">
        <f t="shared" si="0"/>
        <v>pai</v>
      </c>
      <c r="G7" s="31" t="str">
        <f t="shared" si="0"/>
        <v>phai</v>
      </c>
      <c r="H7" s="31" t="str">
        <f t="shared" si="0"/>
        <v>bai</v>
      </c>
      <c r="I7" s="31" t="str">
        <f t="shared" si="0"/>
        <v>mai</v>
      </c>
      <c r="J7" s="31" t="str">
        <f t="shared" si="0"/>
        <v>tai</v>
      </c>
      <c r="K7" s="31" t="str">
        <f t="shared" si="0"/>
        <v>thai</v>
      </c>
      <c r="L7" s="31" t="str">
        <f t="shared" si="0"/>
        <v>lai</v>
      </c>
      <c r="M7" s="31" t="str">
        <f t="shared" si="0"/>
        <v>nai</v>
      </c>
      <c r="N7" s="31" t="str">
        <f t="shared" si="0"/>
        <v>kai</v>
      </c>
      <c r="O7" s="31" t="str">
        <f t="shared" si="1"/>
        <v>khai</v>
      </c>
      <c r="P7" s="31" t="str">
        <f t="shared" si="1"/>
        <v>gai</v>
      </c>
      <c r="Q7" s="31" t="str">
        <f t="shared" si="1"/>
        <v>ngai</v>
      </c>
      <c r="R7" s="31" t="str">
        <f t="shared" si="1"/>
        <v>hai</v>
      </c>
      <c r="S7" s="31" t="str">
        <f t="shared" si="1"/>
        <v>tsai</v>
      </c>
      <c r="T7" s="31" t="str">
        <f t="shared" si="1"/>
        <v>tsiai</v>
      </c>
      <c r="U7" s="31" t="str">
        <f t="shared" si="1"/>
        <v>tshai</v>
      </c>
      <c r="V7" s="31" t="str">
        <f t="shared" si="1"/>
        <v>tshiai</v>
      </c>
      <c r="W7" s="31" t="str">
        <f t="shared" si="1"/>
        <v>sai</v>
      </c>
      <c r="X7" s="31" t="str">
        <f t="shared" si="1"/>
        <v>siai</v>
      </c>
      <c r="Y7" s="31" t="str">
        <f t="shared" si="1"/>
        <v>jai</v>
      </c>
      <c r="Z7" s="31" t="str">
        <f t="shared" si="1"/>
        <v>jiai</v>
      </c>
    </row>
    <row r="8" spans="1:26" ht="44.25">
      <c r="A8" s="16">
        <v>79</v>
      </c>
      <c r="B8" s="4" t="s">
        <v>310</v>
      </c>
      <c r="C8" s="17" t="s">
        <v>140</v>
      </c>
      <c r="D8" s="18" t="s">
        <v>228</v>
      </c>
      <c r="E8" s="31" t="str">
        <f t="shared" si="0"/>
        <v>Øainn</v>
      </c>
      <c r="F8" s="31" t="str">
        <f t="shared" si="0"/>
        <v>painn</v>
      </c>
      <c r="G8" s="31" t="str">
        <f t="shared" si="0"/>
        <v>phainn</v>
      </c>
      <c r="H8" s="31" t="str">
        <f t="shared" si="0"/>
        <v>bainn</v>
      </c>
      <c r="I8" s="31" t="str">
        <f t="shared" si="0"/>
        <v>mainn</v>
      </c>
      <c r="J8" s="31" t="str">
        <f t="shared" si="0"/>
        <v>tainn</v>
      </c>
      <c r="K8" s="31" t="str">
        <f t="shared" si="0"/>
        <v>thainn</v>
      </c>
      <c r="L8" s="31" t="str">
        <f t="shared" si="0"/>
        <v>lainn</v>
      </c>
      <c r="M8" s="31" t="str">
        <f t="shared" si="0"/>
        <v>nainn</v>
      </c>
      <c r="N8" s="31" t="str">
        <f t="shared" si="0"/>
        <v>kainn</v>
      </c>
      <c r="O8" s="31" t="str">
        <f t="shared" si="1"/>
        <v>khainn</v>
      </c>
      <c r="P8" s="31" t="str">
        <f t="shared" si="1"/>
        <v>gainn</v>
      </c>
      <c r="Q8" s="31" t="str">
        <f t="shared" si="1"/>
        <v>ngainn</v>
      </c>
      <c r="R8" s="31" t="str">
        <f t="shared" si="1"/>
        <v>hainn</v>
      </c>
      <c r="S8" s="31" t="str">
        <f t="shared" si="1"/>
        <v>tsainn</v>
      </c>
      <c r="T8" s="31" t="str">
        <f t="shared" si="1"/>
        <v>tsiainn</v>
      </c>
      <c r="U8" s="31" t="str">
        <f t="shared" si="1"/>
        <v>tshainn</v>
      </c>
      <c r="V8" s="31" t="str">
        <f t="shared" si="1"/>
        <v>tshiainn</v>
      </c>
      <c r="W8" s="31" t="str">
        <f t="shared" si="1"/>
        <v>sainn</v>
      </c>
      <c r="X8" s="31" t="str">
        <f t="shared" si="1"/>
        <v>siainn</v>
      </c>
      <c r="Y8" s="31" t="str">
        <f t="shared" si="1"/>
        <v>jainn</v>
      </c>
      <c r="Z8" s="31" t="str">
        <f t="shared" si="1"/>
        <v>jiainn</v>
      </c>
    </row>
    <row r="9" spans="1:26" ht="44.25">
      <c r="A9" s="16">
        <v>42</v>
      </c>
      <c r="B9" s="4" t="s">
        <v>281</v>
      </c>
      <c r="C9" s="17" t="s">
        <v>103</v>
      </c>
      <c r="D9" s="18" t="s">
        <v>199</v>
      </c>
      <c r="E9" s="31" t="str">
        <f t="shared" si="0"/>
        <v>Øak</v>
      </c>
      <c r="F9" s="31" t="str">
        <f t="shared" si="0"/>
        <v>pak</v>
      </c>
      <c r="G9" s="31" t="str">
        <f t="shared" si="0"/>
        <v>phak</v>
      </c>
      <c r="H9" s="31" t="str">
        <f t="shared" si="0"/>
        <v>bak</v>
      </c>
      <c r="I9" s="31" t="str">
        <f t="shared" si="0"/>
        <v>mak</v>
      </c>
      <c r="J9" s="31" t="str">
        <f t="shared" si="0"/>
        <v>tak</v>
      </c>
      <c r="K9" s="31" t="str">
        <f t="shared" si="0"/>
        <v>thak</v>
      </c>
      <c r="L9" s="31" t="str">
        <f t="shared" si="0"/>
        <v>lak</v>
      </c>
      <c r="M9" s="31" t="str">
        <f t="shared" si="0"/>
        <v>nak</v>
      </c>
      <c r="N9" s="31" t="str">
        <f t="shared" si="0"/>
        <v>kak</v>
      </c>
      <c r="O9" s="31" t="str">
        <f t="shared" si="1"/>
        <v>khak</v>
      </c>
      <c r="P9" s="31" t="str">
        <f t="shared" si="1"/>
        <v>gak</v>
      </c>
      <c r="Q9" s="31" t="str">
        <f t="shared" si="1"/>
        <v>ngak</v>
      </c>
      <c r="R9" s="31" t="str">
        <f t="shared" si="1"/>
        <v>hak</v>
      </c>
      <c r="S9" s="31" t="str">
        <f t="shared" si="1"/>
        <v>tsak</v>
      </c>
      <c r="T9" s="31" t="str">
        <f t="shared" si="1"/>
        <v>tsiak</v>
      </c>
      <c r="U9" s="31" t="str">
        <f t="shared" si="1"/>
        <v>tshak</v>
      </c>
      <c r="V9" s="31" t="str">
        <f t="shared" si="1"/>
        <v>tshiak</v>
      </c>
      <c r="W9" s="31" t="str">
        <f t="shared" si="1"/>
        <v>sak</v>
      </c>
      <c r="X9" s="31" t="str">
        <f t="shared" si="1"/>
        <v>siak</v>
      </c>
      <c r="Y9" s="31" t="str">
        <f t="shared" si="1"/>
        <v>jak</v>
      </c>
      <c r="Z9" s="31" t="str">
        <f t="shared" si="1"/>
        <v>jiak</v>
      </c>
    </row>
    <row r="10" spans="1:26" ht="44.25">
      <c r="A10" s="16">
        <v>37</v>
      </c>
      <c r="B10" s="4" t="s">
        <v>276</v>
      </c>
      <c r="C10" s="17" t="s">
        <v>98</v>
      </c>
      <c r="D10" s="18" t="s">
        <v>194</v>
      </c>
      <c r="E10" s="31" t="str">
        <f t="shared" si="0"/>
        <v>Øam</v>
      </c>
      <c r="F10" s="31" t="str">
        <f t="shared" si="0"/>
        <v>pam</v>
      </c>
      <c r="G10" s="31" t="str">
        <f t="shared" si="0"/>
        <v>pham</v>
      </c>
      <c r="H10" s="31" t="str">
        <f t="shared" si="0"/>
        <v>bam</v>
      </c>
      <c r="I10" s="31" t="str">
        <f t="shared" si="0"/>
        <v>mam</v>
      </c>
      <c r="J10" s="31" t="str">
        <f t="shared" si="0"/>
        <v>tam</v>
      </c>
      <c r="K10" s="31" t="str">
        <f t="shared" si="0"/>
        <v>tham</v>
      </c>
      <c r="L10" s="31" t="str">
        <f t="shared" si="0"/>
        <v>lam</v>
      </c>
      <c r="M10" s="31" t="str">
        <f t="shared" si="0"/>
        <v>nam</v>
      </c>
      <c r="N10" s="31" t="str">
        <f t="shared" si="0"/>
        <v>kam</v>
      </c>
      <c r="O10" s="31" t="str">
        <f t="shared" si="1"/>
        <v>kham</v>
      </c>
      <c r="P10" s="31" t="str">
        <f t="shared" si="1"/>
        <v>gam</v>
      </c>
      <c r="Q10" s="31" t="str">
        <f t="shared" si="1"/>
        <v>ngam</v>
      </c>
      <c r="R10" s="31" t="str">
        <f t="shared" si="1"/>
        <v>ham</v>
      </c>
      <c r="S10" s="31" t="str">
        <f t="shared" si="1"/>
        <v>tsam</v>
      </c>
      <c r="T10" s="31" t="str">
        <f t="shared" si="1"/>
        <v>tsiam</v>
      </c>
      <c r="U10" s="31" t="str">
        <f t="shared" si="1"/>
        <v>tsham</v>
      </c>
      <c r="V10" s="31" t="str">
        <f t="shared" si="1"/>
        <v>tshiam</v>
      </c>
      <c r="W10" s="31" t="str">
        <f t="shared" si="1"/>
        <v>sam</v>
      </c>
      <c r="X10" s="31" t="str">
        <f t="shared" si="1"/>
        <v>siam</v>
      </c>
      <c r="Y10" s="31" t="str">
        <f t="shared" si="1"/>
        <v>jam</v>
      </c>
      <c r="Z10" s="31" t="str">
        <f t="shared" si="1"/>
        <v>jiam</v>
      </c>
    </row>
    <row r="11" spans="1:26" ht="44.25">
      <c r="A11" s="16">
        <v>11</v>
      </c>
      <c r="B11" s="4" t="s">
        <v>251</v>
      </c>
      <c r="C11" s="17" t="s">
        <v>72</v>
      </c>
      <c r="D11" s="18" t="s">
        <v>171</v>
      </c>
      <c r="E11" s="31" t="str">
        <f t="shared" si="0"/>
        <v>Øan</v>
      </c>
      <c r="F11" s="31" t="str">
        <f t="shared" si="0"/>
        <v>pan</v>
      </c>
      <c r="G11" s="31" t="str">
        <f t="shared" si="0"/>
        <v>phan</v>
      </c>
      <c r="H11" s="31" t="str">
        <f t="shared" si="0"/>
        <v>ban</v>
      </c>
      <c r="I11" s="31" t="str">
        <f t="shared" si="0"/>
        <v>man</v>
      </c>
      <c r="J11" s="31" t="str">
        <f t="shared" si="0"/>
        <v>tan</v>
      </c>
      <c r="K11" s="31" t="str">
        <f t="shared" si="0"/>
        <v>than</v>
      </c>
      <c r="L11" s="31" t="str">
        <f t="shared" si="0"/>
        <v>lan</v>
      </c>
      <c r="M11" s="31" t="str">
        <f t="shared" si="0"/>
        <v>nan</v>
      </c>
      <c r="N11" s="31" t="str">
        <f t="shared" si="0"/>
        <v>kan</v>
      </c>
      <c r="O11" s="31" t="str">
        <f t="shared" si="1"/>
        <v>khan</v>
      </c>
      <c r="P11" s="31" t="str">
        <f t="shared" si="1"/>
        <v>gan</v>
      </c>
      <c r="Q11" s="31" t="str">
        <f t="shared" si="1"/>
        <v>ngan</v>
      </c>
      <c r="R11" s="31" t="str">
        <f t="shared" si="1"/>
        <v>han</v>
      </c>
      <c r="S11" s="31" t="str">
        <f t="shared" si="1"/>
        <v>tsan</v>
      </c>
      <c r="T11" s="31" t="str">
        <f t="shared" si="1"/>
        <v>tsian</v>
      </c>
      <c r="U11" s="31" t="str">
        <f t="shared" si="1"/>
        <v>tshan</v>
      </c>
      <c r="V11" s="31" t="str">
        <f t="shared" si="1"/>
        <v>tshian</v>
      </c>
      <c r="W11" s="31" t="str">
        <f t="shared" si="1"/>
        <v>san</v>
      </c>
      <c r="X11" s="31" t="str">
        <f t="shared" si="1"/>
        <v>sian</v>
      </c>
      <c r="Y11" s="31" t="str">
        <f t="shared" si="1"/>
        <v>jan</v>
      </c>
      <c r="Z11" s="31" t="str">
        <f t="shared" si="1"/>
        <v>jian</v>
      </c>
    </row>
    <row r="12" spans="1:26" ht="44.25">
      <c r="A12" s="16">
        <v>41</v>
      </c>
      <c r="B12" s="4" t="s">
        <v>280</v>
      </c>
      <c r="C12" s="17" t="s">
        <v>102</v>
      </c>
      <c r="D12" s="18" t="s">
        <v>198</v>
      </c>
      <c r="E12" s="31" t="str">
        <f t="shared" si="0"/>
        <v>Øang</v>
      </c>
      <c r="F12" s="31" t="str">
        <f t="shared" si="0"/>
        <v>pang</v>
      </c>
      <c r="G12" s="31" t="str">
        <f t="shared" si="0"/>
        <v>phang</v>
      </c>
      <c r="H12" s="31" t="str">
        <f t="shared" si="0"/>
        <v>bang</v>
      </c>
      <c r="I12" s="31" t="str">
        <f t="shared" si="0"/>
        <v>mang</v>
      </c>
      <c r="J12" s="31" t="str">
        <f t="shared" si="0"/>
        <v>tang</v>
      </c>
      <c r="K12" s="31" t="str">
        <f t="shared" si="0"/>
        <v>thang</v>
      </c>
      <c r="L12" s="31" t="str">
        <f t="shared" si="0"/>
        <v>lang</v>
      </c>
      <c r="M12" s="31" t="str">
        <f t="shared" si="0"/>
        <v>nang</v>
      </c>
      <c r="N12" s="31" t="str">
        <f t="shared" si="0"/>
        <v>kang</v>
      </c>
      <c r="O12" s="31" t="str">
        <f t="shared" si="1"/>
        <v>khang</v>
      </c>
      <c r="P12" s="31" t="str">
        <f t="shared" si="1"/>
        <v>gang</v>
      </c>
      <c r="Q12" s="31" t="str">
        <f t="shared" si="1"/>
        <v>ngang</v>
      </c>
      <c r="R12" s="31" t="str">
        <f t="shared" si="1"/>
        <v>hang</v>
      </c>
      <c r="S12" s="31" t="str">
        <f t="shared" si="1"/>
        <v>tsang</v>
      </c>
      <c r="T12" s="31" t="str">
        <f t="shared" si="1"/>
        <v>tsiang</v>
      </c>
      <c r="U12" s="31" t="str">
        <f t="shared" si="1"/>
        <v>tshang</v>
      </c>
      <c r="V12" s="31" t="str">
        <f t="shared" si="1"/>
        <v>tshiang</v>
      </c>
      <c r="W12" s="31" t="str">
        <f t="shared" si="1"/>
        <v>sang</v>
      </c>
      <c r="X12" s="31" t="str">
        <f t="shared" si="1"/>
        <v>siang</v>
      </c>
      <c r="Y12" s="31" t="str">
        <f t="shared" si="1"/>
        <v>jang</v>
      </c>
      <c r="Z12" s="31" t="str">
        <f t="shared" si="1"/>
        <v>jiang</v>
      </c>
    </row>
    <row r="13" spans="1:26" ht="44.25">
      <c r="A13" s="16">
        <v>51</v>
      </c>
      <c r="B13" s="4" t="s">
        <v>290</v>
      </c>
      <c r="C13" s="17" t="s">
        <v>112</v>
      </c>
      <c r="D13" s="18" t="s">
        <v>208</v>
      </c>
      <c r="E13" s="31" t="str">
        <f t="shared" si="0"/>
        <v>Øann</v>
      </c>
      <c r="F13" s="31" t="str">
        <f t="shared" si="0"/>
        <v>pann</v>
      </c>
      <c r="G13" s="31" t="str">
        <f t="shared" si="0"/>
        <v>phann</v>
      </c>
      <c r="H13" s="31" t="str">
        <f t="shared" si="0"/>
        <v>bann</v>
      </c>
      <c r="I13" s="31" t="str">
        <f t="shared" si="0"/>
        <v>mann</v>
      </c>
      <c r="J13" s="31" t="str">
        <f t="shared" si="0"/>
        <v>tann</v>
      </c>
      <c r="K13" s="31" t="str">
        <f t="shared" si="0"/>
        <v>thann</v>
      </c>
      <c r="L13" s="31" t="str">
        <f t="shared" si="0"/>
        <v>lann</v>
      </c>
      <c r="M13" s="31" t="str">
        <f t="shared" si="0"/>
        <v>nann</v>
      </c>
      <c r="N13" s="31" t="str">
        <f t="shared" si="0"/>
        <v>kann</v>
      </c>
      <c r="O13" s="31" t="str">
        <f t="shared" si="1"/>
        <v>khann</v>
      </c>
      <c r="P13" s="31" t="str">
        <f t="shared" si="1"/>
        <v>gann</v>
      </c>
      <c r="Q13" s="31" t="str">
        <f t="shared" si="1"/>
        <v>ngann</v>
      </c>
      <c r="R13" s="31" t="str">
        <f t="shared" si="1"/>
        <v>hann</v>
      </c>
      <c r="S13" s="31" t="str">
        <f t="shared" si="1"/>
        <v>tsann</v>
      </c>
      <c r="T13" s="31" t="str">
        <f t="shared" si="1"/>
        <v>tsiann</v>
      </c>
      <c r="U13" s="31" t="str">
        <f t="shared" si="1"/>
        <v>tshann</v>
      </c>
      <c r="V13" s="31" t="str">
        <f t="shared" si="1"/>
        <v>tshiann</v>
      </c>
      <c r="W13" s="31" t="str">
        <f t="shared" si="1"/>
        <v>sann</v>
      </c>
      <c r="X13" s="31" t="str">
        <f t="shared" si="1"/>
        <v>siann</v>
      </c>
      <c r="Y13" s="31" t="str">
        <f t="shared" si="1"/>
        <v>jann</v>
      </c>
      <c r="Z13" s="31" t="str">
        <f t="shared" si="1"/>
        <v>jiann</v>
      </c>
    </row>
    <row r="14" spans="1:26" ht="44.25">
      <c r="A14" s="16">
        <v>52</v>
      </c>
      <c r="B14" s="28" t="s">
        <v>291</v>
      </c>
      <c r="C14" s="17" t="s">
        <v>113</v>
      </c>
      <c r="D14" s="18" t="s">
        <v>209</v>
      </c>
      <c r="E14" s="31" t="str">
        <f t="shared" si="0"/>
        <v>Øannh</v>
      </c>
      <c r="F14" s="31" t="str">
        <f t="shared" si="0"/>
        <v>pannh</v>
      </c>
      <c r="G14" s="31" t="str">
        <f t="shared" si="0"/>
        <v>phannh</v>
      </c>
      <c r="H14" s="31" t="str">
        <f t="shared" si="0"/>
        <v>bannh</v>
      </c>
      <c r="I14" s="31" t="str">
        <f t="shared" si="0"/>
        <v>mannh</v>
      </c>
      <c r="J14" s="31" t="str">
        <f t="shared" si="0"/>
        <v>tannh</v>
      </c>
      <c r="K14" s="31" t="str">
        <f t="shared" si="0"/>
        <v>thannh</v>
      </c>
      <c r="L14" s="31" t="str">
        <f t="shared" si="0"/>
        <v>lannh</v>
      </c>
      <c r="M14" s="31" t="str">
        <f t="shared" si="0"/>
        <v>nannh</v>
      </c>
      <c r="N14" s="31" t="str">
        <f t="shared" si="0"/>
        <v>kannh</v>
      </c>
      <c r="O14" s="31" t="str">
        <f t="shared" si="1"/>
        <v>khannh</v>
      </c>
      <c r="P14" s="31" t="str">
        <f t="shared" si="1"/>
        <v>gannh</v>
      </c>
      <c r="Q14" s="31" t="str">
        <f t="shared" si="1"/>
        <v>ngannh</v>
      </c>
      <c r="R14" s="31" t="str">
        <f t="shared" si="1"/>
        <v>hannh</v>
      </c>
      <c r="S14" s="31" t="str">
        <f t="shared" si="1"/>
        <v>tsannh</v>
      </c>
      <c r="T14" s="31" t="str">
        <f t="shared" si="1"/>
        <v>tsiannh</v>
      </c>
      <c r="U14" s="31" t="str">
        <f t="shared" si="1"/>
        <v>tshannh</v>
      </c>
      <c r="V14" s="31" t="str">
        <f t="shared" si="1"/>
        <v>tshiannh</v>
      </c>
      <c r="W14" s="31" t="str">
        <f t="shared" si="1"/>
        <v>sannh</v>
      </c>
      <c r="X14" s="31" t="str">
        <f t="shared" si="1"/>
        <v>siannh</v>
      </c>
      <c r="Y14" s="31" t="str">
        <f t="shared" si="1"/>
        <v>jannh</v>
      </c>
      <c r="Z14" s="31" t="str">
        <f t="shared" si="1"/>
        <v>jiannh</v>
      </c>
    </row>
    <row r="15" spans="1:26" ht="44.25">
      <c r="A15" s="16">
        <v>38</v>
      </c>
      <c r="B15" s="4" t="s">
        <v>277</v>
      </c>
      <c r="C15" s="17" t="s">
        <v>99</v>
      </c>
      <c r="D15" s="18" t="s">
        <v>195</v>
      </c>
      <c r="E15" s="31" t="str">
        <f t="shared" ref="E15:N24" si="2">IF($D15="", "", _xlfn.CONCAT(E$3, $D15))</f>
        <v>Øap</v>
      </c>
      <c r="F15" s="31" t="str">
        <f t="shared" si="2"/>
        <v>pap</v>
      </c>
      <c r="G15" s="31" t="str">
        <f t="shared" si="2"/>
        <v>phap</v>
      </c>
      <c r="H15" s="31" t="str">
        <f t="shared" si="2"/>
        <v>bap</v>
      </c>
      <c r="I15" s="31" t="str">
        <f t="shared" si="2"/>
        <v>map</v>
      </c>
      <c r="J15" s="31" t="str">
        <f t="shared" si="2"/>
        <v>tap</v>
      </c>
      <c r="K15" s="31" t="str">
        <f t="shared" si="2"/>
        <v>thap</v>
      </c>
      <c r="L15" s="31" t="str">
        <f t="shared" si="2"/>
        <v>lap</v>
      </c>
      <c r="M15" s="31" t="str">
        <f t="shared" si="2"/>
        <v>nap</v>
      </c>
      <c r="N15" s="31" t="str">
        <f t="shared" si="2"/>
        <v>kap</v>
      </c>
      <c r="O15" s="31" t="str">
        <f t="shared" ref="O15:Z24" si="3">IF($D15="", "", _xlfn.CONCAT(O$3, $D15))</f>
        <v>khap</v>
      </c>
      <c r="P15" s="31" t="str">
        <f t="shared" si="3"/>
        <v>gap</v>
      </c>
      <c r="Q15" s="31" t="str">
        <f t="shared" si="3"/>
        <v>ngap</v>
      </c>
      <c r="R15" s="31" t="str">
        <f t="shared" si="3"/>
        <v>hap</v>
      </c>
      <c r="S15" s="31" t="str">
        <f t="shared" si="3"/>
        <v>tsap</v>
      </c>
      <c r="T15" s="31" t="str">
        <f t="shared" si="3"/>
        <v>tsiap</v>
      </c>
      <c r="U15" s="31" t="str">
        <f t="shared" si="3"/>
        <v>tshap</v>
      </c>
      <c r="V15" s="31" t="str">
        <f t="shared" si="3"/>
        <v>tshiap</v>
      </c>
      <c r="W15" s="31" t="str">
        <f t="shared" si="3"/>
        <v>sap</v>
      </c>
      <c r="X15" s="31" t="str">
        <f t="shared" si="3"/>
        <v>siap</v>
      </c>
      <c r="Y15" s="31" t="str">
        <f t="shared" si="3"/>
        <v>jap</v>
      </c>
      <c r="Z15" s="31" t="str">
        <f t="shared" si="3"/>
        <v>jiap</v>
      </c>
    </row>
    <row r="16" spans="1:26" ht="44.25">
      <c r="A16" s="16">
        <v>12</v>
      </c>
      <c r="B16" s="4" t="s">
        <v>245</v>
      </c>
      <c r="C16" s="17" t="s">
        <v>73</v>
      </c>
      <c r="D16" s="18" t="s">
        <v>172</v>
      </c>
      <c r="E16" s="31" t="str">
        <f t="shared" si="2"/>
        <v>Øat</v>
      </c>
      <c r="F16" s="31" t="str">
        <f t="shared" si="2"/>
        <v>pat</v>
      </c>
      <c r="G16" s="31" t="str">
        <f t="shared" si="2"/>
        <v>phat</v>
      </c>
      <c r="H16" s="31" t="str">
        <f t="shared" si="2"/>
        <v>bat</v>
      </c>
      <c r="I16" s="31" t="str">
        <f t="shared" si="2"/>
        <v>mat</v>
      </c>
      <c r="J16" s="31" t="str">
        <f t="shared" si="2"/>
        <v>tat</v>
      </c>
      <c r="K16" s="31" t="str">
        <f t="shared" si="2"/>
        <v>that</v>
      </c>
      <c r="L16" s="31" t="str">
        <f t="shared" si="2"/>
        <v>lat</v>
      </c>
      <c r="M16" s="31" t="str">
        <f t="shared" si="2"/>
        <v>nat</v>
      </c>
      <c r="N16" s="31" t="str">
        <f t="shared" si="2"/>
        <v>kat</v>
      </c>
      <c r="O16" s="31" t="str">
        <f t="shared" si="3"/>
        <v>khat</v>
      </c>
      <c r="P16" s="31" t="str">
        <f t="shared" si="3"/>
        <v>gat</v>
      </c>
      <c r="Q16" s="31" t="str">
        <f t="shared" si="3"/>
        <v>ngat</v>
      </c>
      <c r="R16" s="31" t="str">
        <f t="shared" si="3"/>
        <v>hat</v>
      </c>
      <c r="S16" s="31" t="str">
        <f t="shared" si="3"/>
        <v>tsat</v>
      </c>
      <c r="T16" s="31" t="str">
        <f t="shared" si="3"/>
        <v>tsiat</v>
      </c>
      <c r="U16" s="31" t="str">
        <f t="shared" si="3"/>
        <v>tshat</v>
      </c>
      <c r="V16" s="31" t="str">
        <f t="shared" si="3"/>
        <v>tshiat</v>
      </c>
      <c r="W16" s="31" t="str">
        <f t="shared" si="3"/>
        <v>sat</v>
      </c>
      <c r="X16" s="31" t="str">
        <f t="shared" si="3"/>
        <v>siat</v>
      </c>
      <c r="Y16" s="31" t="str">
        <f t="shared" si="3"/>
        <v>jat</v>
      </c>
      <c r="Z16" s="31" t="str">
        <f t="shared" si="3"/>
        <v>jiat</v>
      </c>
    </row>
    <row r="17" spans="1:26" ht="44.25">
      <c r="A17" s="16">
        <v>45</v>
      </c>
      <c r="B17" s="4" t="s">
        <v>284</v>
      </c>
      <c r="C17" s="17" t="s">
        <v>106</v>
      </c>
      <c r="D17" s="18" t="s">
        <v>202</v>
      </c>
      <c r="E17" s="31" t="str">
        <f t="shared" si="2"/>
        <v>Øau</v>
      </c>
      <c r="F17" s="31" t="str">
        <f t="shared" si="2"/>
        <v>pau</v>
      </c>
      <c r="G17" s="31" t="str">
        <f t="shared" si="2"/>
        <v>phau</v>
      </c>
      <c r="H17" s="31" t="str">
        <f t="shared" si="2"/>
        <v>bau</v>
      </c>
      <c r="I17" s="31" t="str">
        <f t="shared" si="2"/>
        <v>mau</v>
      </c>
      <c r="J17" s="31" t="str">
        <f t="shared" si="2"/>
        <v>tau</v>
      </c>
      <c r="K17" s="31" t="str">
        <f t="shared" si="2"/>
        <v>thau</v>
      </c>
      <c r="L17" s="31" t="str">
        <f t="shared" si="2"/>
        <v>lau</v>
      </c>
      <c r="M17" s="31" t="str">
        <f t="shared" si="2"/>
        <v>nau</v>
      </c>
      <c r="N17" s="31" t="str">
        <f t="shared" si="2"/>
        <v>kau</v>
      </c>
      <c r="O17" s="31" t="str">
        <f t="shared" si="3"/>
        <v>khau</v>
      </c>
      <c r="P17" s="31" t="str">
        <f t="shared" si="3"/>
        <v>gau</v>
      </c>
      <c r="Q17" s="31" t="str">
        <f t="shared" si="3"/>
        <v>ngau</v>
      </c>
      <c r="R17" s="31" t="str">
        <f t="shared" si="3"/>
        <v>hau</v>
      </c>
      <c r="S17" s="31" t="str">
        <f t="shared" si="3"/>
        <v>tsau</v>
      </c>
      <c r="T17" s="31" t="str">
        <f t="shared" si="3"/>
        <v>tsiau</v>
      </c>
      <c r="U17" s="31" t="str">
        <f t="shared" si="3"/>
        <v>tshau</v>
      </c>
      <c r="V17" s="31" t="str">
        <f t="shared" si="3"/>
        <v>tshiau</v>
      </c>
      <c r="W17" s="31" t="str">
        <f t="shared" si="3"/>
        <v>sau</v>
      </c>
      <c r="X17" s="31" t="str">
        <f t="shared" si="3"/>
        <v>siau</v>
      </c>
      <c r="Y17" s="31" t="str">
        <f t="shared" si="3"/>
        <v>jau</v>
      </c>
      <c r="Z17" s="31" t="str">
        <f t="shared" si="3"/>
        <v>jiau</v>
      </c>
    </row>
    <row r="18" spans="1:26" ht="44.25">
      <c r="A18" s="16">
        <v>46</v>
      </c>
      <c r="B18" s="4" t="s">
        <v>285</v>
      </c>
      <c r="C18" s="17" t="s">
        <v>107</v>
      </c>
      <c r="D18" s="18" t="s">
        <v>203</v>
      </c>
      <c r="E18" s="31" t="str">
        <f t="shared" si="2"/>
        <v>Øauh</v>
      </c>
      <c r="F18" s="31" t="str">
        <f t="shared" si="2"/>
        <v>pauh</v>
      </c>
      <c r="G18" s="31" t="str">
        <f t="shared" si="2"/>
        <v>phauh</v>
      </c>
      <c r="H18" s="31" t="str">
        <f t="shared" si="2"/>
        <v>bauh</v>
      </c>
      <c r="I18" s="31" t="str">
        <f t="shared" si="2"/>
        <v>mauh</v>
      </c>
      <c r="J18" s="31" t="str">
        <f t="shared" si="2"/>
        <v>tauh</v>
      </c>
      <c r="K18" s="31" t="str">
        <f t="shared" si="2"/>
        <v>thauh</v>
      </c>
      <c r="L18" s="31" t="str">
        <f t="shared" si="2"/>
        <v>lauh</v>
      </c>
      <c r="M18" s="31" t="str">
        <f t="shared" si="2"/>
        <v>nauh</v>
      </c>
      <c r="N18" s="31" t="str">
        <f t="shared" si="2"/>
        <v>kauh</v>
      </c>
      <c r="O18" s="31" t="str">
        <f t="shared" si="3"/>
        <v>khauh</v>
      </c>
      <c r="P18" s="31" t="str">
        <f t="shared" si="3"/>
        <v>gauh</v>
      </c>
      <c r="Q18" s="31" t="str">
        <f t="shared" si="3"/>
        <v>ngauh</v>
      </c>
      <c r="R18" s="31" t="str">
        <f t="shared" si="3"/>
        <v>hauh</v>
      </c>
      <c r="S18" s="31" t="str">
        <f t="shared" si="3"/>
        <v>tsauh</v>
      </c>
      <c r="T18" s="31" t="str">
        <f t="shared" si="3"/>
        <v>tsiauh</v>
      </c>
      <c r="U18" s="31" t="str">
        <f t="shared" si="3"/>
        <v>tshauh</v>
      </c>
      <c r="V18" s="31" t="str">
        <f t="shared" si="3"/>
        <v>tshiauh</v>
      </c>
      <c r="W18" s="31" t="str">
        <f t="shared" si="3"/>
        <v>sauh</v>
      </c>
      <c r="X18" s="31" t="str">
        <f t="shared" si="3"/>
        <v>siauh</v>
      </c>
      <c r="Y18" s="31" t="str">
        <f t="shared" si="3"/>
        <v>jauh</v>
      </c>
      <c r="Z18" s="31" t="str">
        <f t="shared" si="3"/>
        <v>jiauh</v>
      </c>
    </row>
    <row r="19" spans="1:26" ht="32.25">
      <c r="A19" s="16">
        <v>95</v>
      </c>
      <c r="B19" s="30" t="s">
        <v>322</v>
      </c>
      <c r="C19" s="17" t="s">
        <v>156</v>
      </c>
      <c r="D19" s="18" t="s">
        <v>237</v>
      </c>
      <c r="E19" s="31" t="str">
        <f t="shared" si="2"/>
        <v>Øaunn</v>
      </c>
      <c r="F19" s="31" t="str">
        <f t="shared" si="2"/>
        <v>paunn</v>
      </c>
      <c r="G19" s="31" t="str">
        <f t="shared" si="2"/>
        <v>phaunn</v>
      </c>
      <c r="H19" s="31" t="str">
        <f t="shared" si="2"/>
        <v>baunn</v>
      </c>
      <c r="I19" s="31" t="str">
        <f t="shared" si="2"/>
        <v>maunn</v>
      </c>
      <c r="J19" s="31" t="str">
        <f t="shared" si="2"/>
        <v>taunn</v>
      </c>
      <c r="K19" s="31" t="str">
        <f t="shared" si="2"/>
        <v>thaunn</v>
      </c>
      <c r="L19" s="31" t="str">
        <f t="shared" si="2"/>
        <v>launn</v>
      </c>
      <c r="M19" s="31" t="str">
        <f t="shared" si="2"/>
        <v>naunn</v>
      </c>
      <c r="N19" s="31" t="str">
        <f t="shared" si="2"/>
        <v>kaunn</v>
      </c>
      <c r="O19" s="31" t="str">
        <f t="shared" si="3"/>
        <v>khaunn</v>
      </c>
      <c r="P19" s="31" t="str">
        <f t="shared" si="3"/>
        <v>gaunn</v>
      </c>
      <c r="Q19" s="31" t="str">
        <f t="shared" si="3"/>
        <v>ngaunn</v>
      </c>
      <c r="R19" s="31" t="str">
        <f t="shared" si="3"/>
        <v>haunn</v>
      </c>
      <c r="S19" s="31" t="str">
        <f t="shared" si="3"/>
        <v>tsaunn</v>
      </c>
      <c r="T19" s="31" t="str">
        <f t="shared" si="3"/>
        <v>tsiaunn</v>
      </c>
      <c r="U19" s="31" t="str">
        <f t="shared" si="3"/>
        <v>tshaunn</v>
      </c>
      <c r="V19" s="31" t="str">
        <f t="shared" si="3"/>
        <v>tshiaunn</v>
      </c>
      <c r="W19" s="31" t="str">
        <f t="shared" si="3"/>
        <v>saunn</v>
      </c>
      <c r="X19" s="31" t="str">
        <f t="shared" si="3"/>
        <v>siaunn</v>
      </c>
      <c r="Y19" s="31" t="str">
        <f t="shared" si="3"/>
        <v>jaunn</v>
      </c>
      <c r="Z19" s="31" t="str">
        <f t="shared" si="3"/>
        <v>jiaunn</v>
      </c>
    </row>
    <row r="20" spans="1:26" ht="44.25">
      <c r="A20" s="16">
        <v>25</v>
      </c>
      <c r="B20" s="19" t="s">
        <v>265</v>
      </c>
      <c r="C20" s="20" t="s">
        <v>86</v>
      </c>
      <c r="D20" s="21" t="s">
        <v>184</v>
      </c>
      <c r="E20" s="31" t="str">
        <f t="shared" si="2"/>
        <v>Øe</v>
      </c>
      <c r="F20" s="31" t="str">
        <f t="shared" si="2"/>
        <v>pe</v>
      </c>
      <c r="G20" s="31" t="str">
        <f t="shared" si="2"/>
        <v>phe</v>
      </c>
      <c r="H20" s="31" t="str">
        <f t="shared" si="2"/>
        <v>be</v>
      </c>
      <c r="I20" s="31" t="str">
        <f t="shared" si="2"/>
        <v>me</v>
      </c>
      <c r="J20" s="31" t="str">
        <f t="shared" si="2"/>
        <v>te</v>
      </c>
      <c r="K20" s="31" t="str">
        <f t="shared" si="2"/>
        <v>the</v>
      </c>
      <c r="L20" s="31" t="str">
        <f t="shared" si="2"/>
        <v>le</v>
      </c>
      <c r="M20" s="31" t="str">
        <f t="shared" si="2"/>
        <v>ne</v>
      </c>
      <c r="N20" s="31" t="str">
        <f t="shared" si="2"/>
        <v>ke</v>
      </c>
      <c r="O20" s="31" t="str">
        <f t="shared" si="3"/>
        <v>khe</v>
      </c>
      <c r="P20" s="31" t="str">
        <f t="shared" si="3"/>
        <v>ge</v>
      </c>
      <c r="Q20" s="31" t="str">
        <f t="shared" si="3"/>
        <v>nge</v>
      </c>
      <c r="R20" s="31" t="str">
        <f t="shared" si="3"/>
        <v>he</v>
      </c>
      <c r="S20" s="31" t="str">
        <f t="shared" si="3"/>
        <v>tse</v>
      </c>
      <c r="T20" s="31" t="str">
        <f t="shared" si="3"/>
        <v>tsie</v>
      </c>
      <c r="U20" s="31" t="str">
        <f t="shared" si="3"/>
        <v>tshe</v>
      </c>
      <c r="V20" s="31" t="str">
        <f t="shared" si="3"/>
        <v>tshie</v>
      </c>
      <c r="W20" s="31" t="str">
        <f t="shared" si="3"/>
        <v>se</v>
      </c>
      <c r="X20" s="31" t="str">
        <f t="shared" si="3"/>
        <v>sie</v>
      </c>
      <c r="Y20" s="31" t="str">
        <f t="shared" si="3"/>
        <v>je</v>
      </c>
      <c r="Z20" s="31" t="str">
        <f t="shared" si="3"/>
        <v>jie</v>
      </c>
    </row>
    <row r="21" spans="1:26" ht="44.25">
      <c r="A21" s="16">
        <v>77</v>
      </c>
      <c r="B21" s="4" t="s">
        <v>308</v>
      </c>
      <c r="C21" s="17" t="s">
        <v>138</v>
      </c>
      <c r="D21" s="18" t="s">
        <v>184</v>
      </c>
      <c r="E21" s="31" t="str">
        <f t="shared" si="2"/>
        <v>Øe</v>
      </c>
      <c r="F21" s="31" t="str">
        <f t="shared" si="2"/>
        <v>pe</v>
      </c>
      <c r="G21" s="31" t="str">
        <f t="shared" si="2"/>
        <v>phe</v>
      </c>
      <c r="H21" s="31" t="str">
        <f t="shared" si="2"/>
        <v>be</v>
      </c>
      <c r="I21" s="31" t="str">
        <f t="shared" si="2"/>
        <v>me</v>
      </c>
      <c r="J21" s="31" t="str">
        <f t="shared" si="2"/>
        <v>te</v>
      </c>
      <c r="K21" s="31" t="str">
        <f t="shared" si="2"/>
        <v>the</v>
      </c>
      <c r="L21" s="31" t="str">
        <f t="shared" si="2"/>
        <v>le</v>
      </c>
      <c r="M21" s="31" t="str">
        <f t="shared" si="2"/>
        <v>ne</v>
      </c>
      <c r="N21" s="31" t="str">
        <f t="shared" si="2"/>
        <v>ke</v>
      </c>
      <c r="O21" s="31" t="str">
        <f t="shared" si="3"/>
        <v>khe</v>
      </c>
      <c r="P21" s="31" t="str">
        <f t="shared" si="3"/>
        <v>ge</v>
      </c>
      <c r="Q21" s="31" t="str">
        <f t="shared" si="3"/>
        <v>nge</v>
      </c>
      <c r="R21" s="31" t="str">
        <f t="shared" si="3"/>
        <v>he</v>
      </c>
      <c r="S21" s="31" t="str">
        <f t="shared" si="3"/>
        <v>tse</v>
      </c>
      <c r="T21" s="31" t="str">
        <f t="shared" si="3"/>
        <v>tsie</v>
      </c>
      <c r="U21" s="31" t="str">
        <f t="shared" si="3"/>
        <v>tshe</v>
      </c>
      <c r="V21" s="31" t="str">
        <f t="shared" si="3"/>
        <v>tshie</v>
      </c>
      <c r="W21" s="31" t="str">
        <f t="shared" si="3"/>
        <v>se</v>
      </c>
      <c r="X21" s="31" t="str">
        <f t="shared" si="3"/>
        <v>sie</v>
      </c>
      <c r="Y21" s="31" t="str">
        <f t="shared" si="3"/>
        <v>je</v>
      </c>
      <c r="Z21" s="31" t="str">
        <f t="shared" si="3"/>
        <v>jie</v>
      </c>
    </row>
    <row r="22" spans="1:26" ht="44.25">
      <c r="A22" s="16">
        <v>9</v>
      </c>
      <c r="B22" s="19" t="s">
        <v>249</v>
      </c>
      <c r="C22" s="20" t="s">
        <v>70</v>
      </c>
      <c r="D22" s="21" t="s">
        <v>169</v>
      </c>
      <c r="E22" s="31" t="str">
        <f t="shared" si="2"/>
        <v>Øee</v>
      </c>
      <c r="F22" s="31" t="str">
        <f t="shared" si="2"/>
        <v>pee</v>
      </c>
      <c r="G22" s="31" t="str">
        <f t="shared" si="2"/>
        <v>phee</v>
      </c>
      <c r="H22" s="31" t="str">
        <f t="shared" si="2"/>
        <v>bee</v>
      </c>
      <c r="I22" s="31" t="str">
        <f t="shared" si="2"/>
        <v>mee</v>
      </c>
      <c r="J22" s="31" t="str">
        <f t="shared" si="2"/>
        <v>tee</v>
      </c>
      <c r="K22" s="31" t="str">
        <f t="shared" si="2"/>
        <v>thee</v>
      </c>
      <c r="L22" s="31" t="str">
        <f t="shared" si="2"/>
        <v>lee</v>
      </c>
      <c r="M22" s="31" t="str">
        <f t="shared" si="2"/>
        <v>nee</v>
      </c>
      <c r="N22" s="31" t="str">
        <f t="shared" si="2"/>
        <v>kee</v>
      </c>
      <c r="O22" s="31" t="str">
        <f t="shared" si="3"/>
        <v>khee</v>
      </c>
      <c r="P22" s="31" t="str">
        <f t="shared" si="3"/>
        <v>gee</v>
      </c>
      <c r="Q22" s="31" t="str">
        <f t="shared" si="3"/>
        <v>ngee</v>
      </c>
      <c r="R22" s="31" t="str">
        <f t="shared" si="3"/>
        <v>hee</v>
      </c>
      <c r="S22" s="31" t="str">
        <f t="shared" si="3"/>
        <v>tsee</v>
      </c>
      <c r="T22" s="31" t="str">
        <f t="shared" si="3"/>
        <v>tsiee</v>
      </c>
      <c r="U22" s="31" t="str">
        <f t="shared" si="3"/>
        <v>tshee</v>
      </c>
      <c r="V22" s="31" t="str">
        <f t="shared" si="3"/>
        <v>tshiee</v>
      </c>
      <c r="W22" s="31" t="str">
        <f t="shared" si="3"/>
        <v>see</v>
      </c>
      <c r="X22" s="31" t="str">
        <f t="shared" si="3"/>
        <v>siee</v>
      </c>
      <c r="Y22" s="31" t="str">
        <f t="shared" si="3"/>
        <v>jee</v>
      </c>
      <c r="Z22" s="31" t="str">
        <f t="shared" si="3"/>
        <v>jiee</v>
      </c>
    </row>
    <row r="23" spans="1:26" ht="44.25">
      <c r="A23" s="16">
        <v>10</v>
      </c>
      <c r="B23" s="19" t="s">
        <v>250</v>
      </c>
      <c r="C23" s="20" t="s">
        <v>71</v>
      </c>
      <c r="D23" s="21" t="s">
        <v>170</v>
      </c>
      <c r="E23" s="31" t="str">
        <f t="shared" si="2"/>
        <v>Øeeh</v>
      </c>
      <c r="F23" s="31" t="str">
        <f t="shared" si="2"/>
        <v>peeh</v>
      </c>
      <c r="G23" s="31" t="str">
        <f t="shared" si="2"/>
        <v>pheeh</v>
      </c>
      <c r="H23" s="31" t="str">
        <f t="shared" si="2"/>
        <v>beeh</v>
      </c>
      <c r="I23" s="31" t="str">
        <f t="shared" si="2"/>
        <v>meeh</v>
      </c>
      <c r="J23" s="31" t="str">
        <f t="shared" si="2"/>
        <v>teeh</v>
      </c>
      <c r="K23" s="31" t="str">
        <f t="shared" si="2"/>
        <v>theeh</v>
      </c>
      <c r="L23" s="31" t="str">
        <f t="shared" si="2"/>
        <v>leeh</v>
      </c>
      <c r="M23" s="31" t="str">
        <f t="shared" si="2"/>
        <v>neeh</v>
      </c>
      <c r="N23" s="31" t="str">
        <f t="shared" si="2"/>
        <v>keeh</v>
      </c>
      <c r="O23" s="31" t="str">
        <f t="shared" si="3"/>
        <v>kheeh</v>
      </c>
      <c r="P23" s="31" t="str">
        <f t="shared" si="3"/>
        <v>geeh</v>
      </c>
      <c r="Q23" s="31" t="str">
        <f t="shared" si="3"/>
        <v>ngeeh</v>
      </c>
      <c r="R23" s="31" t="str">
        <f t="shared" si="3"/>
        <v>heeh</v>
      </c>
      <c r="S23" s="31" t="str">
        <f t="shared" si="3"/>
        <v>tseeh</v>
      </c>
      <c r="T23" s="31" t="str">
        <f t="shared" si="3"/>
        <v>tsieeh</v>
      </c>
      <c r="U23" s="31" t="str">
        <f t="shared" si="3"/>
        <v>tsheeh</v>
      </c>
      <c r="V23" s="31" t="str">
        <f t="shared" si="3"/>
        <v>tshieeh</v>
      </c>
      <c r="W23" s="31" t="str">
        <f t="shared" si="3"/>
        <v>seeh</v>
      </c>
      <c r="X23" s="31" t="str">
        <f t="shared" si="3"/>
        <v>sieeh</v>
      </c>
      <c r="Y23" s="31" t="str">
        <f t="shared" si="3"/>
        <v>jeeh</v>
      </c>
      <c r="Z23" s="31" t="str">
        <f t="shared" si="3"/>
        <v>jieeh</v>
      </c>
    </row>
    <row r="24" spans="1:26" ht="44.25">
      <c r="A24" s="16">
        <v>78</v>
      </c>
      <c r="B24" s="4" t="s">
        <v>309</v>
      </c>
      <c r="C24" s="17" t="s">
        <v>139</v>
      </c>
      <c r="D24" s="18" t="s">
        <v>227</v>
      </c>
      <c r="E24" s="31" t="str">
        <f t="shared" si="2"/>
        <v>Øeh</v>
      </c>
      <c r="F24" s="31" t="str">
        <f t="shared" si="2"/>
        <v>peh</v>
      </c>
      <c r="G24" s="31" t="str">
        <f t="shared" si="2"/>
        <v>pheh</v>
      </c>
      <c r="H24" s="31" t="str">
        <f t="shared" si="2"/>
        <v>beh</v>
      </c>
      <c r="I24" s="31" t="str">
        <f t="shared" si="2"/>
        <v>meh</v>
      </c>
      <c r="J24" s="31" t="str">
        <f t="shared" si="2"/>
        <v>teh</v>
      </c>
      <c r="K24" s="31" t="str">
        <f t="shared" si="2"/>
        <v>theh</v>
      </c>
      <c r="L24" s="31" t="str">
        <f t="shared" si="2"/>
        <v>leh</v>
      </c>
      <c r="M24" s="31" t="str">
        <f t="shared" si="2"/>
        <v>neh</v>
      </c>
      <c r="N24" s="31" t="str">
        <f t="shared" si="2"/>
        <v>keh</v>
      </c>
      <c r="O24" s="31" t="str">
        <f t="shared" si="3"/>
        <v>kheh</v>
      </c>
      <c r="P24" s="31" t="str">
        <f t="shared" si="3"/>
        <v>geh</v>
      </c>
      <c r="Q24" s="31" t="str">
        <f t="shared" si="3"/>
        <v>ngeh</v>
      </c>
      <c r="R24" s="31" t="str">
        <f t="shared" si="3"/>
        <v>heh</v>
      </c>
      <c r="S24" s="31" t="str">
        <f t="shared" si="3"/>
        <v>tseh</v>
      </c>
      <c r="T24" s="31" t="str">
        <f t="shared" si="3"/>
        <v>tsieh</v>
      </c>
      <c r="U24" s="31" t="str">
        <f t="shared" si="3"/>
        <v>tsheh</v>
      </c>
      <c r="V24" s="31" t="str">
        <f t="shared" si="3"/>
        <v>tshieh</v>
      </c>
      <c r="W24" s="31" t="str">
        <f t="shared" si="3"/>
        <v>seh</v>
      </c>
      <c r="X24" s="31" t="str">
        <f t="shared" si="3"/>
        <v>sieh</v>
      </c>
      <c r="Y24" s="31" t="str">
        <f t="shared" si="3"/>
        <v>jeh</v>
      </c>
      <c r="Z24" s="31" t="str">
        <f t="shared" si="3"/>
        <v>jieh</v>
      </c>
    </row>
    <row r="25" spans="1:26" ht="44.25">
      <c r="A25" s="16">
        <v>61</v>
      </c>
      <c r="B25" s="4" t="s">
        <v>298</v>
      </c>
      <c r="C25" s="17" t="s">
        <v>122</v>
      </c>
      <c r="D25" s="18" t="s">
        <v>217</v>
      </c>
      <c r="E25" s="31" t="str">
        <f t="shared" ref="E25:N34" si="4">IF($D25="", "", _xlfn.CONCAT(E$3, $D25))</f>
        <v>Øenn</v>
      </c>
      <c r="F25" s="31" t="str">
        <f t="shared" si="4"/>
        <v>penn</v>
      </c>
      <c r="G25" s="31" t="str">
        <f t="shared" si="4"/>
        <v>phenn</v>
      </c>
      <c r="H25" s="31" t="str">
        <f t="shared" si="4"/>
        <v>benn</v>
      </c>
      <c r="I25" s="31" t="str">
        <f t="shared" si="4"/>
        <v>menn</v>
      </c>
      <c r="J25" s="31" t="str">
        <f t="shared" si="4"/>
        <v>tenn</v>
      </c>
      <c r="K25" s="31" t="str">
        <f t="shared" si="4"/>
        <v>thenn</v>
      </c>
      <c r="L25" s="31" t="str">
        <f t="shared" si="4"/>
        <v>lenn</v>
      </c>
      <c r="M25" s="31" t="str">
        <f t="shared" si="4"/>
        <v>nenn</v>
      </c>
      <c r="N25" s="31" t="str">
        <f t="shared" si="4"/>
        <v>kenn</v>
      </c>
      <c r="O25" s="31" t="str">
        <f t="shared" ref="O25:Z34" si="5">IF($D25="", "", _xlfn.CONCAT(O$3, $D25))</f>
        <v>khenn</v>
      </c>
      <c r="P25" s="31" t="str">
        <f t="shared" si="5"/>
        <v>genn</v>
      </c>
      <c r="Q25" s="31" t="str">
        <f t="shared" si="5"/>
        <v>ngenn</v>
      </c>
      <c r="R25" s="31" t="str">
        <f t="shared" si="5"/>
        <v>henn</v>
      </c>
      <c r="S25" s="31" t="str">
        <f t="shared" si="5"/>
        <v>tsenn</v>
      </c>
      <c r="T25" s="31" t="str">
        <f t="shared" si="5"/>
        <v>tsienn</v>
      </c>
      <c r="U25" s="31" t="str">
        <f t="shared" si="5"/>
        <v>tshenn</v>
      </c>
      <c r="V25" s="31" t="str">
        <f t="shared" si="5"/>
        <v>tshienn</v>
      </c>
      <c r="W25" s="31" t="str">
        <f t="shared" si="5"/>
        <v>senn</v>
      </c>
      <c r="X25" s="31" t="str">
        <f t="shared" si="5"/>
        <v>sienn</v>
      </c>
      <c r="Y25" s="31" t="str">
        <f t="shared" si="5"/>
        <v>jenn</v>
      </c>
      <c r="Z25" s="31" t="str">
        <f t="shared" si="5"/>
        <v>jienn</v>
      </c>
    </row>
    <row r="26" spans="1:26" ht="44.25">
      <c r="A26" s="16">
        <v>62</v>
      </c>
      <c r="B26" s="4" t="s">
        <v>299</v>
      </c>
      <c r="C26" s="17" t="s">
        <v>123</v>
      </c>
      <c r="D26" s="18" t="s">
        <v>218</v>
      </c>
      <c r="E26" s="31" t="str">
        <f t="shared" si="4"/>
        <v>Øennh</v>
      </c>
      <c r="F26" s="31" t="str">
        <f t="shared" si="4"/>
        <v>pennh</v>
      </c>
      <c r="G26" s="31" t="str">
        <f t="shared" si="4"/>
        <v>phennh</v>
      </c>
      <c r="H26" s="31" t="str">
        <f t="shared" si="4"/>
        <v>bennh</v>
      </c>
      <c r="I26" s="31" t="str">
        <f t="shared" si="4"/>
        <v>mennh</v>
      </c>
      <c r="J26" s="31" t="str">
        <f t="shared" si="4"/>
        <v>tennh</v>
      </c>
      <c r="K26" s="31" t="str">
        <f t="shared" si="4"/>
        <v>thennh</v>
      </c>
      <c r="L26" s="31" t="str">
        <f t="shared" si="4"/>
        <v>lennh</v>
      </c>
      <c r="M26" s="31" t="str">
        <f t="shared" si="4"/>
        <v>nennh</v>
      </c>
      <c r="N26" s="31" t="str">
        <f t="shared" si="4"/>
        <v>kennh</v>
      </c>
      <c r="O26" s="31" t="str">
        <f t="shared" si="5"/>
        <v>khennh</v>
      </c>
      <c r="P26" s="31" t="str">
        <f t="shared" si="5"/>
        <v>gennh</v>
      </c>
      <c r="Q26" s="31" t="str">
        <f t="shared" si="5"/>
        <v>ngennh</v>
      </c>
      <c r="R26" s="31" t="str">
        <f t="shared" si="5"/>
        <v>hennh</v>
      </c>
      <c r="S26" s="31" t="str">
        <f t="shared" si="5"/>
        <v>tsennh</v>
      </c>
      <c r="T26" s="31" t="str">
        <f t="shared" si="5"/>
        <v>tsiennh</v>
      </c>
      <c r="U26" s="31" t="str">
        <f t="shared" si="5"/>
        <v>tshennh</v>
      </c>
      <c r="V26" s="31" t="str">
        <f t="shared" si="5"/>
        <v>tshiennh</v>
      </c>
      <c r="W26" s="31" t="str">
        <f t="shared" si="5"/>
        <v>sennh</v>
      </c>
      <c r="X26" s="31" t="str">
        <f t="shared" si="5"/>
        <v>siennh</v>
      </c>
      <c r="Y26" s="31" t="str">
        <f t="shared" si="5"/>
        <v>jennh</v>
      </c>
      <c r="Z26" s="31" t="str">
        <f t="shared" si="5"/>
        <v>jiennh</v>
      </c>
    </row>
    <row r="27" spans="1:26" ht="44.25">
      <c r="A27" s="16">
        <v>57</v>
      </c>
      <c r="B27" s="4" t="s">
        <v>246</v>
      </c>
      <c r="C27" s="17" t="s">
        <v>118</v>
      </c>
      <c r="D27" s="18" t="s">
        <v>214</v>
      </c>
      <c r="E27" s="31" t="str">
        <f t="shared" si="4"/>
        <v>Øi</v>
      </c>
      <c r="F27" s="31" t="str">
        <f t="shared" si="4"/>
        <v>pi</v>
      </c>
      <c r="G27" s="31" t="str">
        <f t="shared" si="4"/>
        <v>phi</v>
      </c>
      <c r="H27" s="31" t="str">
        <f t="shared" si="4"/>
        <v>bi</v>
      </c>
      <c r="I27" s="31" t="str">
        <f t="shared" si="4"/>
        <v>mi</v>
      </c>
      <c r="J27" s="31" t="str">
        <f t="shared" si="4"/>
        <v>ti</v>
      </c>
      <c r="K27" s="31" t="str">
        <f t="shared" si="4"/>
        <v>thi</v>
      </c>
      <c r="L27" s="31" t="str">
        <f t="shared" si="4"/>
        <v>li</v>
      </c>
      <c r="M27" s="31" t="str">
        <f t="shared" si="4"/>
        <v>ni</v>
      </c>
      <c r="N27" s="31" t="str">
        <f t="shared" si="4"/>
        <v>ki</v>
      </c>
      <c r="O27" s="31" t="str">
        <f t="shared" si="5"/>
        <v>khi</v>
      </c>
      <c r="P27" s="31" t="str">
        <f t="shared" si="5"/>
        <v>gi</v>
      </c>
      <c r="Q27" s="31" t="str">
        <f t="shared" si="5"/>
        <v>ngi</v>
      </c>
      <c r="R27" s="31" t="str">
        <f t="shared" si="5"/>
        <v>hi</v>
      </c>
      <c r="S27" s="31" t="str">
        <f t="shared" si="5"/>
        <v>tsi</v>
      </c>
      <c r="T27" s="31" t="str">
        <f t="shared" si="5"/>
        <v>tsii</v>
      </c>
      <c r="U27" s="31" t="str">
        <f t="shared" si="5"/>
        <v>tshi</v>
      </c>
      <c r="V27" s="31" t="str">
        <f t="shared" si="5"/>
        <v>tshii</v>
      </c>
      <c r="W27" s="31" t="str">
        <f t="shared" si="5"/>
        <v>si</v>
      </c>
      <c r="X27" s="31" t="str">
        <f t="shared" si="5"/>
        <v>sii</v>
      </c>
      <c r="Y27" s="31" t="str">
        <f t="shared" si="5"/>
        <v>ji</v>
      </c>
      <c r="Z27" s="31" t="str">
        <f t="shared" si="5"/>
        <v>jii</v>
      </c>
    </row>
    <row r="28" spans="1:26" ht="44.25">
      <c r="A28" s="16">
        <v>47</v>
      </c>
      <c r="B28" s="4" t="s">
        <v>286</v>
      </c>
      <c r="C28" s="17" t="s">
        <v>108</v>
      </c>
      <c r="D28" s="18" t="s">
        <v>204</v>
      </c>
      <c r="E28" s="31" t="str">
        <f t="shared" si="4"/>
        <v>Øia</v>
      </c>
      <c r="F28" s="31" t="str">
        <f t="shared" si="4"/>
        <v>pia</v>
      </c>
      <c r="G28" s="31" t="str">
        <f t="shared" si="4"/>
        <v>phia</v>
      </c>
      <c r="H28" s="31" t="str">
        <f t="shared" si="4"/>
        <v>bia</v>
      </c>
      <c r="I28" s="31" t="str">
        <f t="shared" si="4"/>
        <v>mia</v>
      </c>
      <c r="J28" s="31" t="str">
        <f t="shared" si="4"/>
        <v>tia</v>
      </c>
      <c r="K28" s="31" t="str">
        <f t="shared" si="4"/>
        <v>thia</v>
      </c>
      <c r="L28" s="31" t="str">
        <f t="shared" si="4"/>
        <v>lia</v>
      </c>
      <c r="M28" s="31" t="str">
        <f t="shared" si="4"/>
        <v>nia</v>
      </c>
      <c r="N28" s="31" t="str">
        <f t="shared" si="4"/>
        <v>kia</v>
      </c>
      <c r="O28" s="31" t="str">
        <f t="shared" si="5"/>
        <v>khia</v>
      </c>
      <c r="P28" s="31" t="str">
        <f t="shared" si="5"/>
        <v>gia</v>
      </c>
      <c r="Q28" s="31" t="str">
        <f t="shared" si="5"/>
        <v>ngia</v>
      </c>
      <c r="R28" s="31" t="str">
        <f t="shared" si="5"/>
        <v>hia</v>
      </c>
      <c r="S28" s="31" t="str">
        <f t="shared" si="5"/>
        <v>tsia</v>
      </c>
      <c r="T28" s="31" t="str">
        <f t="shared" si="5"/>
        <v>tsiia</v>
      </c>
      <c r="U28" s="31" t="str">
        <f t="shared" si="5"/>
        <v>tshia</v>
      </c>
      <c r="V28" s="31" t="str">
        <f t="shared" si="5"/>
        <v>tshiia</v>
      </c>
      <c r="W28" s="31" t="str">
        <f t="shared" si="5"/>
        <v>sia</v>
      </c>
      <c r="X28" s="31" t="str">
        <f t="shared" si="5"/>
        <v>siia</v>
      </c>
      <c r="Y28" s="31" t="str">
        <f t="shared" si="5"/>
        <v>jia</v>
      </c>
      <c r="Z28" s="31" t="str">
        <f t="shared" si="5"/>
        <v>jiia</v>
      </c>
    </row>
    <row r="29" spans="1:26" ht="44.25">
      <c r="A29" s="16">
        <v>48</v>
      </c>
      <c r="B29" s="4" t="s">
        <v>287</v>
      </c>
      <c r="C29" s="17" t="s">
        <v>109</v>
      </c>
      <c r="D29" s="18" t="s">
        <v>205</v>
      </c>
      <c r="E29" s="31" t="str">
        <f t="shared" si="4"/>
        <v>Øiah</v>
      </c>
      <c r="F29" s="31" t="str">
        <f t="shared" si="4"/>
        <v>piah</v>
      </c>
      <c r="G29" s="31" t="str">
        <f t="shared" si="4"/>
        <v>phiah</v>
      </c>
      <c r="H29" s="31" t="str">
        <f t="shared" si="4"/>
        <v>biah</v>
      </c>
      <c r="I29" s="31" t="str">
        <f t="shared" si="4"/>
        <v>miah</v>
      </c>
      <c r="J29" s="31" t="str">
        <f t="shared" si="4"/>
        <v>tiah</v>
      </c>
      <c r="K29" s="31" t="str">
        <f t="shared" si="4"/>
        <v>thiah</v>
      </c>
      <c r="L29" s="31" t="str">
        <f t="shared" si="4"/>
        <v>liah</v>
      </c>
      <c r="M29" s="31" t="str">
        <f t="shared" si="4"/>
        <v>niah</v>
      </c>
      <c r="N29" s="31" t="str">
        <f t="shared" si="4"/>
        <v>kiah</v>
      </c>
      <c r="O29" s="31" t="str">
        <f t="shared" si="5"/>
        <v>khiah</v>
      </c>
      <c r="P29" s="31" t="str">
        <f t="shared" si="5"/>
        <v>giah</v>
      </c>
      <c r="Q29" s="31" t="str">
        <f t="shared" si="5"/>
        <v>ngiah</v>
      </c>
      <c r="R29" s="31" t="str">
        <f t="shared" si="5"/>
        <v>hiah</v>
      </c>
      <c r="S29" s="31" t="str">
        <f t="shared" si="5"/>
        <v>tsiah</v>
      </c>
      <c r="T29" s="31" t="str">
        <f t="shared" si="5"/>
        <v>tsiiah</v>
      </c>
      <c r="U29" s="31" t="str">
        <f t="shared" si="5"/>
        <v>tshiah</v>
      </c>
      <c r="V29" s="31" t="str">
        <f t="shared" si="5"/>
        <v>tshiiah</v>
      </c>
      <c r="W29" s="31" t="str">
        <f t="shared" si="5"/>
        <v>siah</v>
      </c>
      <c r="X29" s="31" t="str">
        <f t="shared" si="5"/>
        <v>siiah</v>
      </c>
      <c r="Y29" s="31" t="str">
        <f t="shared" si="5"/>
        <v>jiah</v>
      </c>
      <c r="Z29" s="31" t="str">
        <f t="shared" si="5"/>
        <v>jiiah</v>
      </c>
    </row>
    <row r="30" spans="1:26" ht="44.25">
      <c r="A30" s="16">
        <v>36</v>
      </c>
      <c r="B30" s="4" t="s">
        <v>275</v>
      </c>
      <c r="C30" s="17" t="s">
        <v>97</v>
      </c>
      <c r="D30" s="18" t="s">
        <v>193</v>
      </c>
      <c r="E30" s="31" t="str">
        <f t="shared" si="4"/>
        <v>Øiak</v>
      </c>
      <c r="F30" s="31" t="str">
        <f t="shared" si="4"/>
        <v>piak</v>
      </c>
      <c r="G30" s="31" t="str">
        <f t="shared" si="4"/>
        <v>phiak</v>
      </c>
      <c r="H30" s="31" t="str">
        <f t="shared" si="4"/>
        <v>biak</v>
      </c>
      <c r="I30" s="31" t="str">
        <f t="shared" si="4"/>
        <v>miak</v>
      </c>
      <c r="J30" s="31" t="str">
        <f t="shared" si="4"/>
        <v>tiak</v>
      </c>
      <c r="K30" s="31" t="str">
        <f t="shared" si="4"/>
        <v>thiak</v>
      </c>
      <c r="L30" s="31" t="str">
        <f t="shared" si="4"/>
        <v>liak</v>
      </c>
      <c r="M30" s="31" t="str">
        <f t="shared" si="4"/>
        <v>niak</v>
      </c>
      <c r="N30" s="31" t="str">
        <f t="shared" si="4"/>
        <v>kiak</v>
      </c>
      <c r="O30" s="31" t="str">
        <f t="shared" si="5"/>
        <v>khiak</v>
      </c>
      <c r="P30" s="31" t="str">
        <f t="shared" si="5"/>
        <v>giak</v>
      </c>
      <c r="Q30" s="31" t="str">
        <f t="shared" si="5"/>
        <v>ngiak</v>
      </c>
      <c r="R30" s="31" t="str">
        <f t="shared" si="5"/>
        <v>hiak</v>
      </c>
      <c r="S30" s="31" t="str">
        <f t="shared" si="5"/>
        <v>tsiak</v>
      </c>
      <c r="T30" s="31" t="str">
        <f t="shared" si="5"/>
        <v>tsiiak</v>
      </c>
      <c r="U30" s="31" t="str">
        <f t="shared" si="5"/>
        <v>tshiak</v>
      </c>
      <c r="V30" s="31" t="str">
        <f t="shared" si="5"/>
        <v>tshiiak</v>
      </c>
      <c r="W30" s="31" t="str">
        <f t="shared" si="5"/>
        <v>siak</v>
      </c>
      <c r="X30" s="31" t="str">
        <f t="shared" si="5"/>
        <v>siiak</v>
      </c>
      <c r="Y30" s="31" t="str">
        <f t="shared" si="5"/>
        <v>jiak</v>
      </c>
      <c r="Z30" s="31" t="str">
        <f t="shared" si="5"/>
        <v>jiiak</v>
      </c>
    </row>
    <row r="31" spans="1:26" ht="44.25">
      <c r="A31" s="16">
        <v>43</v>
      </c>
      <c r="B31" s="4" t="s">
        <v>282</v>
      </c>
      <c r="C31" s="17" t="s">
        <v>104</v>
      </c>
      <c r="D31" s="18" t="s">
        <v>200</v>
      </c>
      <c r="E31" s="31" t="str">
        <f t="shared" si="4"/>
        <v>Øiam</v>
      </c>
      <c r="F31" s="31" t="str">
        <f t="shared" si="4"/>
        <v>piam</v>
      </c>
      <c r="G31" s="31" t="str">
        <f t="shared" si="4"/>
        <v>phiam</v>
      </c>
      <c r="H31" s="31" t="str">
        <f t="shared" si="4"/>
        <v>biam</v>
      </c>
      <c r="I31" s="31" t="str">
        <f t="shared" si="4"/>
        <v>miam</v>
      </c>
      <c r="J31" s="31" t="str">
        <f t="shared" si="4"/>
        <v>tiam</v>
      </c>
      <c r="K31" s="31" t="str">
        <f t="shared" si="4"/>
        <v>thiam</v>
      </c>
      <c r="L31" s="31" t="str">
        <f t="shared" si="4"/>
        <v>liam</v>
      </c>
      <c r="M31" s="31" t="str">
        <f t="shared" si="4"/>
        <v>niam</v>
      </c>
      <c r="N31" s="31" t="str">
        <f t="shared" si="4"/>
        <v>kiam</v>
      </c>
      <c r="O31" s="31" t="str">
        <f t="shared" si="5"/>
        <v>khiam</v>
      </c>
      <c r="P31" s="31" t="str">
        <f t="shared" si="5"/>
        <v>giam</v>
      </c>
      <c r="Q31" s="31" t="str">
        <f t="shared" si="5"/>
        <v>ngiam</v>
      </c>
      <c r="R31" s="31" t="str">
        <f t="shared" si="5"/>
        <v>hiam</v>
      </c>
      <c r="S31" s="31" t="str">
        <f t="shared" si="5"/>
        <v>tsiam</v>
      </c>
      <c r="T31" s="31" t="str">
        <f t="shared" si="5"/>
        <v>tsiiam</v>
      </c>
      <c r="U31" s="31" t="str">
        <f t="shared" si="5"/>
        <v>tshiam</v>
      </c>
      <c r="V31" s="31" t="str">
        <f t="shared" si="5"/>
        <v>tshiiam</v>
      </c>
      <c r="W31" s="31" t="str">
        <f t="shared" si="5"/>
        <v>siam</v>
      </c>
      <c r="X31" s="31" t="str">
        <f t="shared" si="5"/>
        <v>siiam</v>
      </c>
      <c r="Y31" s="31" t="str">
        <f t="shared" si="5"/>
        <v>jiam</v>
      </c>
      <c r="Z31" s="31" t="str">
        <f t="shared" si="5"/>
        <v>jiiam</v>
      </c>
    </row>
    <row r="32" spans="1:26" ht="44.25">
      <c r="A32" s="16">
        <v>3</v>
      </c>
      <c r="B32" s="4" t="s">
        <v>241</v>
      </c>
      <c r="C32" s="17" t="s">
        <v>64</v>
      </c>
      <c r="D32" s="18" t="s">
        <v>164</v>
      </c>
      <c r="E32" s="31" t="str">
        <f t="shared" si="4"/>
        <v>Øian</v>
      </c>
      <c r="F32" s="31" t="str">
        <f t="shared" si="4"/>
        <v>pian</v>
      </c>
      <c r="G32" s="31" t="str">
        <f t="shared" si="4"/>
        <v>phian</v>
      </c>
      <c r="H32" s="31" t="str">
        <f t="shared" si="4"/>
        <v>bian</v>
      </c>
      <c r="I32" s="31" t="str">
        <f t="shared" si="4"/>
        <v>mian</v>
      </c>
      <c r="J32" s="31" t="str">
        <f t="shared" si="4"/>
        <v>tian</v>
      </c>
      <c r="K32" s="31" t="str">
        <f t="shared" si="4"/>
        <v>thian</v>
      </c>
      <c r="L32" s="31" t="str">
        <f t="shared" si="4"/>
        <v>lian</v>
      </c>
      <c r="M32" s="31" t="str">
        <f t="shared" si="4"/>
        <v>nian</v>
      </c>
      <c r="N32" s="31" t="str">
        <f t="shared" si="4"/>
        <v>kian</v>
      </c>
      <c r="O32" s="31" t="str">
        <f t="shared" si="5"/>
        <v>khian</v>
      </c>
      <c r="P32" s="31" t="str">
        <f t="shared" si="5"/>
        <v>gian</v>
      </c>
      <c r="Q32" s="31" t="str">
        <f t="shared" si="5"/>
        <v>ngian</v>
      </c>
      <c r="R32" s="31" t="str">
        <f t="shared" si="5"/>
        <v>hian</v>
      </c>
      <c r="S32" s="31" t="str">
        <f t="shared" si="5"/>
        <v>tsian</v>
      </c>
      <c r="T32" s="31" t="str">
        <f t="shared" si="5"/>
        <v>tsiian</v>
      </c>
      <c r="U32" s="31" t="str">
        <f t="shared" si="5"/>
        <v>tshian</v>
      </c>
      <c r="V32" s="31" t="str">
        <f t="shared" si="5"/>
        <v>tshiian</v>
      </c>
      <c r="W32" s="31" t="str">
        <f t="shared" si="5"/>
        <v>sian</v>
      </c>
      <c r="X32" s="31" t="str">
        <f t="shared" si="5"/>
        <v>siian</v>
      </c>
      <c r="Y32" s="31" t="str">
        <f t="shared" si="5"/>
        <v>jian</v>
      </c>
      <c r="Z32" s="31" t="str">
        <f t="shared" si="5"/>
        <v>jiian</v>
      </c>
    </row>
    <row r="33" spans="1:26" ht="44.25">
      <c r="A33" s="16">
        <v>35</v>
      </c>
      <c r="B33" s="4" t="s">
        <v>274</v>
      </c>
      <c r="C33" s="17" t="s">
        <v>96</v>
      </c>
      <c r="D33" s="18" t="s">
        <v>192</v>
      </c>
      <c r="E33" s="31" t="str">
        <f t="shared" si="4"/>
        <v>Øiang</v>
      </c>
      <c r="F33" s="31" t="str">
        <f t="shared" si="4"/>
        <v>piang</v>
      </c>
      <c r="G33" s="31" t="str">
        <f t="shared" si="4"/>
        <v>phiang</v>
      </c>
      <c r="H33" s="31" t="str">
        <f t="shared" si="4"/>
        <v>biang</v>
      </c>
      <c r="I33" s="31" t="str">
        <f t="shared" si="4"/>
        <v>miang</v>
      </c>
      <c r="J33" s="31" t="str">
        <f t="shared" si="4"/>
        <v>tiang</v>
      </c>
      <c r="K33" s="31" t="str">
        <f t="shared" si="4"/>
        <v>thiang</v>
      </c>
      <c r="L33" s="31" t="str">
        <f t="shared" si="4"/>
        <v>liang</v>
      </c>
      <c r="M33" s="31" t="str">
        <f t="shared" si="4"/>
        <v>niang</v>
      </c>
      <c r="N33" s="31" t="str">
        <f t="shared" si="4"/>
        <v>kiang</v>
      </c>
      <c r="O33" s="31" t="str">
        <f t="shared" si="5"/>
        <v>khiang</v>
      </c>
      <c r="P33" s="31" t="str">
        <f t="shared" si="5"/>
        <v>giang</v>
      </c>
      <c r="Q33" s="31" t="str">
        <f t="shared" si="5"/>
        <v>ngiang</v>
      </c>
      <c r="R33" s="31" t="str">
        <f t="shared" si="5"/>
        <v>hiang</v>
      </c>
      <c r="S33" s="31" t="str">
        <f t="shared" si="5"/>
        <v>tsiang</v>
      </c>
      <c r="T33" s="31" t="str">
        <f t="shared" si="5"/>
        <v>tsiiang</v>
      </c>
      <c r="U33" s="31" t="str">
        <f t="shared" si="5"/>
        <v>tshiang</v>
      </c>
      <c r="V33" s="31" t="str">
        <f t="shared" si="5"/>
        <v>tshiiang</v>
      </c>
      <c r="W33" s="31" t="str">
        <f t="shared" si="5"/>
        <v>siang</v>
      </c>
      <c r="X33" s="31" t="str">
        <f t="shared" si="5"/>
        <v>siiang</v>
      </c>
      <c r="Y33" s="31" t="str">
        <f t="shared" si="5"/>
        <v>jiang</v>
      </c>
      <c r="Z33" s="31" t="str">
        <f t="shared" si="5"/>
        <v>jiiang</v>
      </c>
    </row>
    <row r="34" spans="1:26" ht="44.25">
      <c r="A34" s="16">
        <v>71</v>
      </c>
      <c r="B34" s="4" t="s">
        <v>304</v>
      </c>
      <c r="C34" s="17" t="s">
        <v>132</v>
      </c>
      <c r="D34" s="18" t="s">
        <v>306</v>
      </c>
      <c r="E34" s="31" t="str">
        <f t="shared" si="4"/>
        <v>Øiann</v>
      </c>
      <c r="F34" s="31" t="str">
        <f t="shared" si="4"/>
        <v>piann</v>
      </c>
      <c r="G34" s="31" t="str">
        <f t="shared" si="4"/>
        <v>phiann</v>
      </c>
      <c r="H34" s="31" t="str">
        <f t="shared" si="4"/>
        <v>biann</v>
      </c>
      <c r="I34" s="31" t="str">
        <f t="shared" si="4"/>
        <v>miann</v>
      </c>
      <c r="J34" s="31" t="str">
        <f t="shared" si="4"/>
        <v>tiann</v>
      </c>
      <c r="K34" s="31" t="str">
        <f t="shared" si="4"/>
        <v>thiann</v>
      </c>
      <c r="L34" s="31" t="str">
        <f t="shared" si="4"/>
        <v>liann</v>
      </c>
      <c r="M34" s="31" t="str">
        <f t="shared" si="4"/>
        <v>niann</v>
      </c>
      <c r="N34" s="31" t="str">
        <f t="shared" si="4"/>
        <v>kiann</v>
      </c>
      <c r="O34" s="31" t="str">
        <f t="shared" si="5"/>
        <v>khiann</v>
      </c>
      <c r="P34" s="31" t="str">
        <f t="shared" si="5"/>
        <v>giann</v>
      </c>
      <c r="Q34" s="31" t="str">
        <f t="shared" si="5"/>
        <v>ngiann</v>
      </c>
      <c r="R34" s="31" t="str">
        <f t="shared" si="5"/>
        <v>hiann</v>
      </c>
      <c r="S34" s="31" t="str">
        <f t="shared" si="5"/>
        <v>tsiann</v>
      </c>
      <c r="T34" s="31" t="str">
        <f t="shared" si="5"/>
        <v>tsiiann</v>
      </c>
      <c r="U34" s="31" t="str">
        <f t="shared" si="5"/>
        <v>tshiann</v>
      </c>
      <c r="V34" s="31" t="str">
        <f t="shared" si="5"/>
        <v>tshiiann</v>
      </c>
      <c r="W34" s="31" t="str">
        <f t="shared" si="5"/>
        <v>siann</v>
      </c>
      <c r="X34" s="31" t="str">
        <f t="shared" si="5"/>
        <v>siiann</v>
      </c>
      <c r="Y34" s="31" t="str">
        <f t="shared" si="5"/>
        <v>jiann</v>
      </c>
      <c r="Z34" s="31" t="str">
        <f t="shared" si="5"/>
        <v>jiiann</v>
      </c>
    </row>
    <row r="35" spans="1:26" ht="44.25">
      <c r="A35" s="16">
        <v>44</v>
      </c>
      <c r="B35" s="4" t="s">
        <v>283</v>
      </c>
      <c r="C35" s="17" t="s">
        <v>105</v>
      </c>
      <c r="D35" s="18" t="s">
        <v>201</v>
      </c>
      <c r="E35" s="31" t="str">
        <f t="shared" ref="E35:N44" si="6">IF($D35="", "", _xlfn.CONCAT(E$3, $D35))</f>
        <v>Øiap</v>
      </c>
      <c r="F35" s="31" t="str">
        <f t="shared" si="6"/>
        <v>piap</v>
      </c>
      <c r="G35" s="31" t="str">
        <f t="shared" si="6"/>
        <v>phiap</v>
      </c>
      <c r="H35" s="31" t="str">
        <f t="shared" si="6"/>
        <v>biap</v>
      </c>
      <c r="I35" s="31" t="str">
        <f t="shared" si="6"/>
        <v>miap</v>
      </c>
      <c r="J35" s="31" t="str">
        <f t="shared" si="6"/>
        <v>tiap</v>
      </c>
      <c r="K35" s="31" t="str">
        <f t="shared" si="6"/>
        <v>thiap</v>
      </c>
      <c r="L35" s="31" t="str">
        <f t="shared" si="6"/>
        <v>liap</v>
      </c>
      <c r="M35" s="31" t="str">
        <f t="shared" si="6"/>
        <v>niap</v>
      </c>
      <c r="N35" s="31" t="str">
        <f t="shared" si="6"/>
        <v>kiap</v>
      </c>
      <c r="O35" s="31" t="str">
        <f t="shared" ref="O35:Z44" si="7">IF($D35="", "", _xlfn.CONCAT(O$3, $D35))</f>
        <v>khiap</v>
      </c>
      <c r="P35" s="31" t="str">
        <f t="shared" si="7"/>
        <v>giap</v>
      </c>
      <c r="Q35" s="31" t="str">
        <f t="shared" si="7"/>
        <v>ngiap</v>
      </c>
      <c r="R35" s="31" t="str">
        <f t="shared" si="7"/>
        <v>hiap</v>
      </c>
      <c r="S35" s="31" t="str">
        <f t="shared" si="7"/>
        <v>tsiap</v>
      </c>
      <c r="T35" s="31" t="str">
        <f t="shared" si="7"/>
        <v>tsiiap</v>
      </c>
      <c r="U35" s="31" t="str">
        <f t="shared" si="7"/>
        <v>tshiap</v>
      </c>
      <c r="V35" s="31" t="str">
        <f t="shared" si="7"/>
        <v>tshiiap</v>
      </c>
      <c r="W35" s="31" t="str">
        <f t="shared" si="7"/>
        <v>siap</v>
      </c>
      <c r="X35" s="31" t="str">
        <f t="shared" si="7"/>
        <v>siiap</v>
      </c>
      <c r="Y35" s="31" t="str">
        <f t="shared" si="7"/>
        <v>jiap</v>
      </c>
      <c r="Z35" s="31" t="str">
        <f t="shared" si="7"/>
        <v>jiiap</v>
      </c>
    </row>
    <row r="36" spans="1:26" ht="44.25">
      <c r="A36" s="16">
        <v>4</v>
      </c>
      <c r="B36" s="4" t="s">
        <v>243</v>
      </c>
      <c r="C36" s="17" t="s">
        <v>65</v>
      </c>
      <c r="D36" s="18" t="s">
        <v>165</v>
      </c>
      <c r="E36" s="31" t="str">
        <f t="shared" si="6"/>
        <v>Øiat</v>
      </c>
      <c r="F36" s="31" t="str">
        <f t="shared" si="6"/>
        <v>piat</v>
      </c>
      <c r="G36" s="31" t="str">
        <f t="shared" si="6"/>
        <v>phiat</v>
      </c>
      <c r="H36" s="31" t="str">
        <f t="shared" si="6"/>
        <v>biat</v>
      </c>
      <c r="I36" s="31" t="str">
        <f t="shared" si="6"/>
        <v>miat</v>
      </c>
      <c r="J36" s="31" t="str">
        <f t="shared" si="6"/>
        <v>tiat</v>
      </c>
      <c r="K36" s="31" t="str">
        <f t="shared" si="6"/>
        <v>thiat</v>
      </c>
      <c r="L36" s="31" t="str">
        <f t="shared" si="6"/>
        <v>liat</v>
      </c>
      <c r="M36" s="31" t="str">
        <f t="shared" si="6"/>
        <v>niat</v>
      </c>
      <c r="N36" s="31" t="str">
        <f t="shared" si="6"/>
        <v>kiat</v>
      </c>
      <c r="O36" s="31" t="str">
        <f t="shared" si="7"/>
        <v>khiat</v>
      </c>
      <c r="P36" s="31" t="str">
        <f t="shared" si="7"/>
        <v>giat</v>
      </c>
      <c r="Q36" s="31" t="str">
        <f t="shared" si="7"/>
        <v>ngiat</v>
      </c>
      <c r="R36" s="31" t="str">
        <f t="shared" si="7"/>
        <v>hiat</v>
      </c>
      <c r="S36" s="31" t="str">
        <f t="shared" si="7"/>
        <v>tsiat</v>
      </c>
      <c r="T36" s="31" t="str">
        <f t="shared" si="7"/>
        <v>tsiiat</v>
      </c>
      <c r="U36" s="31" t="str">
        <f t="shared" si="7"/>
        <v>tshiat</v>
      </c>
      <c r="V36" s="31" t="str">
        <f t="shared" si="7"/>
        <v>tshiiat</v>
      </c>
      <c r="W36" s="31" t="str">
        <f t="shared" si="7"/>
        <v>siat</v>
      </c>
      <c r="X36" s="31" t="str">
        <f t="shared" si="7"/>
        <v>siiat</v>
      </c>
      <c r="Y36" s="31" t="str">
        <f t="shared" si="7"/>
        <v>jiat</v>
      </c>
      <c r="Z36" s="31" t="str">
        <f t="shared" si="7"/>
        <v>jiiat</v>
      </c>
    </row>
    <row r="37" spans="1:26" ht="44.25">
      <c r="A37" s="16">
        <v>23</v>
      </c>
      <c r="B37" s="4" t="s">
        <v>263</v>
      </c>
      <c r="C37" s="17" t="s">
        <v>84</v>
      </c>
      <c r="D37" s="18" t="s">
        <v>182</v>
      </c>
      <c r="E37" s="31" t="str">
        <f t="shared" si="6"/>
        <v>Øiau</v>
      </c>
      <c r="F37" s="31" t="str">
        <f t="shared" si="6"/>
        <v>piau</v>
      </c>
      <c r="G37" s="31" t="str">
        <f t="shared" si="6"/>
        <v>phiau</v>
      </c>
      <c r="H37" s="31" t="str">
        <f t="shared" si="6"/>
        <v>biau</v>
      </c>
      <c r="I37" s="31" t="str">
        <f t="shared" si="6"/>
        <v>miau</v>
      </c>
      <c r="J37" s="31" t="str">
        <f t="shared" si="6"/>
        <v>tiau</v>
      </c>
      <c r="K37" s="31" t="str">
        <f t="shared" si="6"/>
        <v>thiau</v>
      </c>
      <c r="L37" s="31" t="str">
        <f t="shared" si="6"/>
        <v>liau</v>
      </c>
      <c r="M37" s="31" t="str">
        <f t="shared" si="6"/>
        <v>niau</v>
      </c>
      <c r="N37" s="31" t="str">
        <f t="shared" si="6"/>
        <v>kiau</v>
      </c>
      <c r="O37" s="31" t="str">
        <f t="shared" si="7"/>
        <v>khiau</v>
      </c>
      <c r="P37" s="31" t="str">
        <f t="shared" si="7"/>
        <v>giau</v>
      </c>
      <c r="Q37" s="31" t="str">
        <f t="shared" si="7"/>
        <v>ngiau</v>
      </c>
      <c r="R37" s="31" t="str">
        <f t="shared" si="7"/>
        <v>hiau</v>
      </c>
      <c r="S37" s="31" t="str">
        <f t="shared" si="7"/>
        <v>tsiau</v>
      </c>
      <c r="T37" s="31" t="str">
        <f t="shared" si="7"/>
        <v>tsiiau</v>
      </c>
      <c r="U37" s="31" t="str">
        <f t="shared" si="7"/>
        <v>tshiau</v>
      </c>
      <c r="V37" s="31" t="str">
        <f t="shared" si="7"/>
        <v>tshiiau</v>
      </c>
      <c r="W37" s="31" t="str">
        <f t="shared" si="7"/>
        <v>siau</v>
      </c>
      <c r="X37" s="31" t="str">
        <f t="shared" si="7"/>
        <v>siiau</v>
      </c>
      <c r="Y37" s="31" t="str">
        <f t="shared" si="7"/>
        <v>jiau</v>
      </c>
      <c r="Z37" s="31" t="str">
        <f t="shared" si="7"/>
        <v>jiiau</v>
      </c>
    </row>
    <row r="38" spans="1:26" ht="44.25">
      <c r="A38" s="16">
        <v>24</v>
      </c>
      <c r="B38" s="25" t="s">
        <v>264</v>
      </c>
      <c r="C38" s="26" t="s">
        <v>85</v>
      </c>
      <c r="D38" s="27" t="s">
        <v>183</v>
      </c>
      <c r="E38" s="31" t="str">
        <f t="shared" si="6"/>
        <v>Øiauh</v>
      </c>
      <c r="F38" s="31" t="str">
        <f t="shared" si="6"/>
        <v>piauh</v>
      </c>
      <c r="G38" s="31" t="str">
        <f t="shared" si="6"/>
        <v>phiauh</v>
      </c>
      <c r="H38" s="31" t="str">
        <f t="shared" si="6"/>
        <v>biauh</v>
      </c>
      <c r="I38" s="31" t="str">
        <f t="shared" si="6"/>
        <v>miauh</v>
      </c>
      <c r="J38" s="31" t="str">
        <f t="shared" si="6"/>
        <v>tiauh</v>
      </c>
      <c r="K38" s="31" t="str">
        <f t="shared" si="6"/>
        <v>thiauh</v>
      </c>
      <c r="L38" s="31" t="str">
        <f t="shared" si="6"/>
        <v>liauh</v>
      </c>
      <c r="M38" s="31" t="str">
        <f t="shared" si="6"/>
        <v>niauh</v>
      </c>
      <c r="N38" s="31" t="str">
        <f t="shared" si="6"/>
        <v>kiauh</v>
      </c>
      <c r="O38" s="31" t="str">
        <f t="shared" si="7"/>
        <v>khiauh</v>
      </c>
      <c r="P38" s="31" t="str">
        <f t="shared" si="7"/>
        <v>giauh</v>
      </c>
      <c r="Q38" s="31" t="str">
        <f t="shared" si="7"/>
        <v>ngiauh</v>
      </c>
      <c r="R38" s="31" t="str">
        <f t="shared" si="7"/>
        <v>hiauh</v>
      </c>
      <c r="S38" s="31" t="str">
        <f t="shared" si="7"/>
        <v>tsiauh</v>
      </c>
      <c r="T38" s="31" t="str">
        <f t="shared" si="7"/>
        <v>tsiiauh</v>
      </c>
      <c r="U38" s="31" t="str">
        <f t="shared" si="7"/>
        <v>tshiauh</v>
      </c>
      <c r="V38" s="31" t="str">
        <f t="shared" si="7"/>
        <v>tshiiauh</v>
      </c>
      <c r="W38" s="31" t="str">
        <f t="shared" si="7"/>
        <v>siauh</v>
      </c>
      <c r="X38" s="31" t="str">
        <f t="shared" si="7"/>
        <v>siiauh</v>
      </c>
      <c r="Y38" s="31" t="str">
        <f t="shared" si="7"/>
        <v>jiauh</v>
      </c>
      <c r="Z38" s="31" t="str">
        <f t="shared" si="7"/>
        <v>jiiauh</v>
      </c>
    </row>
    <row r="39" spans="1:26" ht="44.25">
      <c r="A39" s="16">
        <v>91</v>
      </c>
      <c r="B39" s="4" t="s">
        <v>316</v>
      </c>
      <c r="C39" s="26" t="s">
        <v>152</v>
      </c>
      <c r="D39" s="27" t="s">
        <v>235</v>
      </c>
      <c r="E39" s="31" t="str">
        <f t="shared" si="6"/>
        <v>Øiaunn</v>
      </c>
      <c r="F39" s="31" t="str">
        <f t="shared" si="6"/>
        <v>piaunn</v>
      </c>
      <c r="G39" s="31" t="str">
        <f t="shared" si="6"/>
        <v>phiaunn</v>
      </c>
      <c r="H39" s="31" t="str">
        <f t="shared" si="6"/>
        <v>biaunn</v>
      </c>
      <c r="I39" s="31" t="str">
        <f t="shared" si="6"/>
        <v>miaunn</v>
      </c>
      <c r="J39" s="31" t="str">
        <f t="shared" si="6"/>
        <v>tiaunn</v>
      </c>
      <c r="K39" s="31" t="str">
        <f t="shared" si="6"/>
        <v>thiaunn</v>
      </c>
      <c r="L39" s="31" t="str">
        <f t="shared" si="6"/>
        <v>liaunn</v>
      </c>
      <c r="M39" s="31" t="str">
        <f t="shared" si="6"/>
        <v>niaunn</v>
      </c>
      <c r="N39" s="31" t="str">
        <f t="shared" si="6"/>
        <v>kiaunn</v>
      </c>
      <c r="O39" s="31" t="str">
        <f t="shared" si="7"/>
        <v>khiaunn</v>
      </c>
      <c r="P39" s="31" t="str">
        <f t="shared" si="7"/>
        <v>giaunn</v>
      </c>
      <c r="Q39" s="31" t="str">
        <f t="shared" si="7"/>
        <v>ngiaunn</v>
      </c>
      <c r="R39" s="31" t="str">
        <f t="shared" si="7"/>
        <v>hiaunn</v>
      </c>
      <c r="S39" s="31" t="str">
        <f t="shared" si="7"/>
        <v>tsiaunn</v>
      </c>
      <c r="T39" s="31" t="str">
        <f t="shared" si="7"/>
        <v>tsiiaunn</v>
      </c>
      <c r="U39" s="31" t="str">
        <f t="shared" si="7"/>
        <v>tshiaunn</v>
      </c>
      <c r="V39" s="31" t="str">
        <f t="shared" si="7"/>
        <v>tshiiaunn</v>
      </c>
      <c r="W39" s="31" t="str">
        <f t="shared" si="7"/>
        <v>siaunn</v>
      </c>
      <c r="X39" s="31" t="str">
        <f t="shared" si="7"/>
        <v>siiaunn</v>
      </c>
      <c r="Y39" s="31" t="str">
        <f t="shared" si="7"/>
        <v>jiaunn</v>
      </c>
      <c r="Z39" s="31" t="str">
        <f t="shared" si="7"/>
        <v>jiiaunn</v>
      </c>
    </row>
    <row r="40" spans="1:26" ht="44.25">
      <c r="A40" s="16">
        <v>92</v>
      </c>
      <c r="B40" s="4" t="s">
        <v>318</v>
      </c>
      <c r="C40" s="26" t="s">
        <v>153</v>
      </c>
      <c r="D40" s="27" t="s">
        <v>317</v>
      </c>
      <c r="E40" s="31" t="str">
        <f t="shared" si="6"/>
        <v>Øiaunnh</v>
      </c>
      <c r="F40" s="31" t="str">
        <f t="shared" si="6"/>
        <v>piaunnh</v>
      </c>
      <c r="G40" s="31" t="str">
        <f t="shared" si="6"/>
        <v>phiaunnh</v>
      </c>
      <c r="H40" s="31" t="str">
        <f t="shared" si="6"/>
        <v>biaunnh</v>
      </c>
      <c r="I40" s="31" t="str">
        <f t="shared" si="6"/>
        <v>miaunnh</v>
      </c>
      <c r="J40" s="31" t="str">
        <f t="shared" si="6"/>
        <v>tiaunnh</v>
      </c>
      <c r="K40" s="31" t="str">
        <f t="shared" si="6"/>
        <v>thiaunnh</v>
      </c>
      <c r="L40" s="31" t="str">
        <f t="shared" si="6"/>
        <v>liaunnh</v>
      </c>
      <c r="M40" s="31" t="str">
        <f t="shared" si="6"/>
        <v>niaunnh</v>
      </c>
      <c r="N40" s="31" t="str">
        <f t="shared" si="6"/>
        <v>kiaunnh</v>
      </c>
      <c r="O40" s="31" t="str">
        <f t="shared" si="7"/>
        <v>khiaunnh</v>
      </c>
      <c r="P40" s="31" t="str">
        <f t="shared" si="7"/>
        <v>giaunnh</v>
      </c>
      <c r="Q40" s="31" t="str">
        <f t="shared" si="7"/>
        <v>ngiaunnh</v>
      </c>
      <c r="R40" s="31" t="str">
        <f t="shared" si="7"/>
        <v>hiaunnh</v>
      </c>
      <c r="S40" s="31" t="str">
        <f t="shared" si="7"/>
        <v>tsiaunnh</v>
      </c>
      <c r="T40" s="31" t="str">
        <f t="shared" si="7"/>
        <v>tsiiaunnh</v>
      </c>
      <c r="U40" s="31" t="str">
        <f t="shared" si="7"/>
        <v>tshiaunnh</v>
      </c>
      <c r="V40" s="31" t="str">
        <f t="shared" si="7"/>
        <v>tshiiaunnh</v>
      </c>
      <c r="W40" s="31" t="str">
        <f t="shared" si="7"/>
        <v>siaunnh</v>
      </c>
      <c r="X40" s="31" t="str">
        <f t="shared" si="7"/>
        <v>siiaunnh</v>
      </c>
      <c r="Y40" s="31" t="str">
        <f t="shared" si="7"/>
        <v>jiaunnh</v>
      </c>
      <c r="Z40" s="31" t="str">
        <f t="shared" si="7"/>
        <v>jiiaunnh</v>
      </c>
    </row>
    <row r="41" spans="1:26" ht="44.25">
      <c r="A41" s="16">
        <v>58</v>
      </c>
      <c r="B41" s="4" t="s">
        <v>296</v>
      </c>
      <c r="C41" s="17" t="s">
        <v>119</v>
      </c>
      <c r="D41" s="18" t="s">
        <v>215</v>
      </c>
      <c r="E41" s="31" t="str">
        <f t="shared" si="6"/>
        <v>Øih</v>
      </c>
      <c r="F41" s="31" t="str">
        <f t="shared" si="6"/>
        <v>pih</v>
      </c>
      <c r="G41" s="31" t="str">
        <f t="shared" si="6"/>
        <v>phih</v>
      </c>
      <c r="H41" s="31" t="str">
        <f t="shared" si="6"/>
        <v>bih</v>
      </c>
      <c r="I41" s="31" t="str">
        <f t="shared" si="6"/>
        <v>mih</v>
      </c>
      <c r="J41" s="31" t="str">
        <f t="shared" si="6"/>
        <v>tih</v>
      </c>
      <c r="K41" s="31" t="str">
        <f t="shared" si="6"/>
        <v>thih</v>
      </c>
      <c r="L41" s="31" t="str">
        <f t="shared" si="6"/>
        <v>lih</v>
      </c>
      <c r="M41" s="31" t="str">
        <f t="shared" si="6"/>
        <v>nih</v>
      </c>
      <c r="N41" s="31" t="str">
        <f t="shared" si="6"/>
        <v>kih</v>
      </c>
      <c r="O41" s="31" t="str">
        <f t="shared" si="7"/>
        <v>khih</v>
      </c>
      <c r="P41" s="31" t="str">
        <f t="shared" si="7"/>
        <v>gih</v>
      </c>
      <c r="Q41" s="31" t="str">
        <f t="shared" si="7"/>
        <v>ngih</v>
      </c>
      <c r="R41" s="31" t="str">
        <f t="shared" si="7"/>
        <v>hih</v>
      </c>
      <c r="S41" s="31" t="str">
        <f t="shared" si="7"/>
        <v>tsih</v>
      </c>
      <c r="T41" s="31" t="str">
        <f t="shared" si="7"/>
        <v>tsiih</v>
      </c>
      <c r="U41" s="31" t="str">
        <f t="shared" si="7"/>
        <v>tshih</v>
      </c>
      <c r="V41" s="31" t="str">
        <f t="shared" si="7"/>
        <v>tshiih</v>
      </c>
      <c r="W41" s="31" t="str">
        <f t="shared" si="7"/>
        <v>sih</v>
      </c>
      <c r="X41" s="31" t="str">
        <f t="shared" si="7"/>
        <v>siih</v>
      </c>
      <c r="Y41" s="31" t="str">
        <f t="shared" si="7"/>
        <v>jih</v>
      </c>
      <c r="Z41" s="31" t="str">
        <f t="shared" si="7"/>
        <v>jiih</v>
      </c>
    </row>
    <row r="42" spans="1:26" ht="44.25">
      <c r="A42" s="16">
        <v>18</v>
      </c>
      <c r="B42" s="4" t="s">
        <v>35</v>
      </c>
      <c r="C42" s="17" t="s">
        <v>79</v>
      </c>
      <c r="D42" s="18" t="s">
        <v>178</v>
      </c>
      <c r="E42" s="31" t="str">
        <f t="shared" si="6"/>
        <v>Øik</v>
      </c>
      <c r="F42" s="31" t="str">
        <f t="shared" si="6"/>
        <v>pik</v>
      </c>
      <c r="G42" s="31" t="str">
        <f t="shared" si="6"/>
        <v>phik</v>
      </c>
      <c r="H42" s="31" t="str">
        <f t="shared" si="6"/>
        <v>bik</v>
      </c>
      <c r="I42" s="31" t="str">
        <f t="shared" si="6"/>
        <v>mik</v>
      </c>
      <c r="J42" s="31" t="str">
        <f t="shared" si="6"/>
        <v>tik</v>
      </c>
      <c r="K42" s="31" t="str">
        <f t="shared" si="6"/>
        <v>thik</v>
      </c>
      <c r="L42" s="31" t="str">
        <f t="shared" si="6"/>
        <v>lik</v>
      </c>
      <c r="M42" s="31" t="str">
        <f t="shared" si="6"/>
        <v>nik</v>
      </c>
      <c r="N42" s="31" t="str">
        <f t="shared" si="6"/>
        <v>kik</v>
      </c>
      <c r="O42" s="31" t="str">
        <f t="shared" si="7"/>
        <v>khik</v>
      </c>
      <c r="P42" s="31" t="str">
        <f t="shared" si="7"/>
        <v>gik</v>
      </c>
      <c r="Q42" s="31" t="str">
        <f t="shared" si="7"/>
        <v>ngik</v>
      </c>
      <c r="R42" s="31" t="str">
        <f t="shared" si="7"/>
        <v>hik</v>
      </c>
      <c r="S42" s="31" t="str">
        <f t="shared" si="7"/>
        <v>tsik</v>
      </c>
      <c r="T42" s="31" t="str">
        <f t="shared" si="7"/>
        <v>tsiik</v>
      </c>
      <c r="U42" s="31" t="str">
        <f t="shared" si="7"/>
        <v>tshik</v>
      </c>
      <c r="V42" s="31" t="str">
        <f t="shared" si="7"/>
        <v>tshiik</v>
      </c>
      <c r="W42" s="31" t="str">
        <f t="shared" si="7"/>
        <v>sik</v>
      </c>
      <c r="X42" s="31" t="str">
        <f t="shared" si="7"/>
        <v>siik</v>
      </c>
      <c r="Y42" s="31" t="str">
        <f t="shared" si="7"/>
        <v>jik</v>
      </c>
      <c r="Z42" s="31" t="str">
        <f t="shared" si="7"/>
        <v>jiik</v>
      </c>
    </row>
    <row r="43" spans="1:26" ht="44.25">
      <c r="A43" s="16">
        <v>5</v>
      </c>
      <c r="B43" s="4" t="s">
        <v>244</v>
      </c>
      <c r="C43" s="17" t="s">
        <v>66</v>
      </c>
      <c r="D43" s="18" t="s">
        <v>166</v>
      </c>
      <c r="E43" s="31" t="str">
        <f t="shared" si="6"/>
        <v>Øim</v>
      </c>
      <c r="F43" s="31" t="str">
        <f t="shared" si="6"/>
        <v>pim</v>
      </c>
      <c r="G43" s="31" t="str">
        <f t="shared" si="6"/>
        <v>phim</v>
      </c>
      <c r="H43" s="31" t="str">
        <f t="shared" si="6"/>
        <v>bim</v>
      </c>
      <c r="I43" s="31" t="str">
        <f t="shared" si="6"/>
        <v>mim</v>
      </c>
      <c r="J43" s="31" t="str">
        <f t="shared" si="6"/>
        <v>tim</v>
      </c>
      <c r="K43" s="31" t="str">
        <f t="shared" si="6"/>
        <v>thim</v>
      </c>
      <c r="L43" s="31" t="str">
        <f t="shared" si="6"/>
        <v>lim</v>
      </c>
      <c r="M43" s="31" t="str">
        <f t="shared" si="6"/>
        <v>nim</v>
      </c>
      <c r="N43" s="31" t="str">
        <f t="shared" si="6"/>
        <v>kim</v>
      </c>
      <c r="O43" s="31" t="str">
        <f t="shared" si="7"/>
        <v>khim</v>
      </c>
      <c r="P43" s="31" t="str">
        <f t="shared" si="7"/>
        <v>gim</v>
      </c>
      <c r="Q43" s="31" t="str">
        <f t="shared" si="7"/>
        <v>ngim</v>
      </c>
      <c r="R43" s="31" t="str">
        <f t="shared" si="7"/>
        <v>him</v>
      </c>
      <c r="S43" s="31" t="str">
        <f t="shared" si="7"/>
        <v>tsim</v>
      </c>
      <c r="T43" s="31" t="str">
        <f t="shared" si="7"/>
        <v>tsiim</v>
      </c>
      <c r="U43" s="31" t="str">
        <f t="shared" si="7"/>
        <v>tshim</v>
      </c>
      <c r="V43" s="31" t="str">
        <f t="shared" si="7"/>
        <v>tshiim</v>
      </c>
      <c r="W43" s="31" t="str">
        <f t="shared" si="7"/>
        <v>sim</v>
      </c>
      <c r="X43" s="31" t="str">
        <f t="shared" si="7"/>
        <v>siim</v>
      </c>
      <c r="Y43" s="31" t="str">
        <f t="shared" si="7"/>
        <v>jim</v>
      </c>
      <c r="Z43" s="31" t="str">
        <f t="shared" si="7"/>
        <v>jiim</v>
      </c>
    </row>
    <row r="44" spans="1:26" ht="44.25">
      <c r="A44" s="16">
        <v>33</v>
      </c>
      <c r="B44" s="4" t="s">
        <v>271</v>
      </c>
      <c r="C44" s="17" t="s">
        <v>94</v>
      </c>
      <c r="D44" s="18" t="s">
        <v>190</v>
      </c>
      <c r="E44" s="31" t="str">
        <f t="shared" si="6"/>
        <v>Øin</v>
      </c>
      <c r="F44" s="31" t="str">
        <f t="shared" si="6"/>
        <v>pin</v>
      </c>
      <c r="G44" s="31" t="str">
        <f t="shared" si="6"/>
        <v>phin</v>
      </c>
      <c r="H44" s="31" t="str">
        <f t="shared" si="6"/>
        <v>bin</v>
      </c>
      <c r="I44" s="31" t="str">
        <f t="shared" si="6"/>
        <v>min</v>
      </c>
      <c r="J44" s="31" t="str">
        <f t="shared" si="6"/>
        <v>tin</v>
      </c>
      <c r="K44" s="31" t="str">
        <f t="shared" si="6"/>
        <v>thin</v>
      </c>
      <c r="L44" s="31" t="str">
        <f t="shared" si="6"/>
        <v>lin</v>
      </c>
      <c r="M44" s="31" t="str">
        <f t="shared" si="6"/>
        <v>nin</v>
      </c>
      <c r="N44" s="31" t="str">
        <f t="shared" si="6"/>
        <v>kin</v>
      </c>
      <c r="O44" s="31" t="str">
        <f t="shared" si="7"/>
        <v>khin</v>
      </c>
      <c r="P44" s="31" t="str">
        <f t="shared" si="7"/>
        <v>gin</v>
      </c>
      <c r="Q44" s="31" t="str">
        <f t="shared" si="7"/>
        <v>ngin</v>
      </c>
      <c r="R44" s="31" t="str">
        <f t="shared" si="7"/>
        <v>hin</v>
      </c>
      <c r="S44" s="31" t="str">
        <f t="shared" si="7"/>
        <v>tsin</v>
      </c>
      <c r="T44" s="31" t="str">
        <f t="shared" si="7"/>
        <v>tsiin</v>
      </c>
      <c r="U44" s="31" t="str">
        <f t="shared" si="7"/>
        <v>tshin</v>
      </c>
      <c r="V44" s="31" t="str">
        <f t="shared" si="7"/>
        <v>tshiin</v>
      </c>
      <c r="W44" s="31" t="str">
        <f t="shared" si="7"/>
        <v>sin</v>
      </c>
      <c r="X44" s="31" t="str">
        <f t="shared" si="7"/>
        <v>siin</v>
      </c>
      <c r="Y44" s="31" t="str">
        <f t="shared" si="7"/>
        <v>jin</v>
      </c>
      <c r="Z44" s="31" t="str">
        <f t="shared" si="7"/>
        <v>jiin</v>
      </c>
    </row>
    <row r="45" spans="1:26" ht="44.25">
      <c r="A45" s="16">
        <v>17</v>
      </c>
      <c r="B45" s="4" t="s">
        <v>259</v>
      </c>
      <c r="C45" s="17" t="s">
        <v>78</v>
      </c>
      <c r="D45" s="18" t="s">
        <v>177</v>
      </c>
      <c r="E45" s="31" t="str">
        <f t="shared" ref="E45:N54" si="8">IF($D45="", "", _xlfn.CONCAT(E$3, $D45))</f>
        <v>Øing</v>
      </c>
      <c r="F45" s="31" t="str">
        <f t="shared" si="8"/>
        <v>ping</v>
      </c>
      <c r="G45" s="31" t="str">
        <f t="shared" si="8"/>
        <v>phing</v>
      </c>
      <c r="H45" s="31" t="str">
        <f t="shared" si="8"/>
        <v>bing</v>
      </c>
      <c r="I45" s="31" t="str">
        <f t="shared" si="8"/>
        <v>ming</v>
      </c>
      <c r="J45" s="31" t="str">
        <f t="shared" si="8"/>
        <v>ting</v>
      </c>
      <c r="K45" s="31" t="str">
        <f t="shared" si="8"/>
        <v>thing</v>
      </c>
      <c r="L45" s="31" t="str">
        <f t="shared" si="8"/>
        <v>ling</v>
      </c>
      <c r="M45" s="31" t="str">
        <f t="shared" si="8"/>
        <v>ning</v>
      </c>
      <c r="N45" s="31" t="str">
        <f t="shared" si="8"/>
        <v>king</v>
      </c>
      <c r="O45" s="31" t="str">
        <f t="shared" ref="O45:Z54" si="9">IF($D45="", "", _xlfn.CONCAT(O$3, $D45))</f>
        <v>khing</v>
      </c>
      <c r="P45" s="31" t="str">
        <f t="shared" si="9"/>
        <v>ging</v>
      </c>
      <c r="Q45" s="31" t="str">
        <f t="shared" si="9"/>
        <v>nging</v>
      </c>
      <c r="R45" s="31" t="str">
        <f t="shared" si="9"/>
        <v>hing</v>
      </c>
      <c r="S45" s="31" t="str">
        <f t="shared" si="9"/>
        <v>tsing</v>
      </c>
      <c r="T45" s="31" t="str">
        <f t="shared" si="9"/>
        <v>tsiing</v>
      </c>
      <c r="U45" s="31" t="str">
        <f t="shared" si="9"/>
        <v>tshing</v>
      </c>
      <c r="V45" s="31" t="str">
        <f t="shared" si="9"/>
        <v>tshiing</v>
      </c>
      <c r="W45" s="31" t="str">
        <f t="shared" si="9"/>
        <v>sing</v>
      </c>
      <c r="X45" s="31" t="str">
        <f t="shared" si="9"/>
        <v>siing</v>
      </c>
      <c r="Y45" s="31" t="str">
        <f t="shared" si="9"/>
        <v>jing</v>
      </c>
      <c r="Z45" s="31" t="str">
        <f t="shared" si="9"/>
        <v>jiing</v>
      </c>
    </row>
    <row r="46" spans="1:26" ht="44.25">
      <c r="A46" s="16">
        <v>67</v>
      </c>
      <c r="B46" s="4" t="s">
        <v>302</v>
      </c>
      <c r="C46" s="17" t="s">
        <v>128</v>
      </c>
      <c r="D46" s="18" t="s">
        <v>222</v>
      </c>
      <c r="E46" s="31" t="str">
        <f t="shared" si="8"/>
        <v>Øinn</v>
      </c>
      <c r="F46" s="31" t="str">
        <f t="shared" si="8"/>
        <v>pinn</v>
      </c>
      <c r="G46" s="31" t="str">
        <f t="shared" si="8"/>
        <v>phinn</v>
      </c>
      <c r="H46" s="31" t="str">
        <f t="shared" si="8"/>
        <v>binn</v>
      </c>
      <c r="I46" s="31" t="str">
        <f t="shared" si="8"/>
        <v>minn</v>
      </c>
      <c r="J46" s="31" t="str">
        <f t="shared" si="8"/>
        <v>tinn</v>
      </c>
      <c r="K46" s="31" t="str">
        <f t="shared" si="8"/>
        <v>thinn</v>
      </c>
      <c r="L46" s="31" t="str">
        <f t="shared" si="8"/>
        <v>linn</v>
      </c>
      <c r="M46" s="31" t="str">
        <f t="shared" si="8"/>
        <v>ninn</v>
      </c>
      <c r="N46" s="31" t="str">
        <f t="shared" si="8"/>
        <v>kinn</v>
      </c>
      <c r="O46" s="31" t="str">
        <f t="shared" si="9"/>
        <v>khinn</v>
      </c>
      <c r="P46" s="31" t="str">
        <f t="shared" si="9"/>
        <v>ginn</v>
      </c>
      <c r="Q46" s="31" t="str">
        <f t="shared" si="9"/>
        <v>nginn</v>
      </c>
      <c r="R46" s="31" t="str">
        <f t="shared" si="9"/>
        <v>hinn</v>
      </c>
      <c r="S46" s="31" t="str">
        <f t="shared" si="9"/>
        <v>tsinn</v>
      </c>
      <c r="T46" s="31" t="str">
        <f t="shared" si="9"/>
        <v>tsiinn</v>
      </c>
      <c r="U46" s="31" t="str">
        <f t="shared" si="9"/>
        <v>tshinn</v>
      </c>
      <c r="V46" s="31" t="str">
        <f t="shared" si="9"/>
        <v>tshiinn</v>
      </c>
      <c r="W46" s="31" t="str">
        <f t="shared" si="9"/>
        <v>sinn</v>
      </c>
      <c r="X46" s="31" t="str">
        <f t="shared" si="9"/>
        <v>siinn</v>
      </c>
      <c r="Y46" s="31" t="str">
        <f t="shared" si="9"/>
        <v>jinn</v>
      </c>
      <c r="Z46" s="31" t="str">
        <f t="shared" si="9"/>
        <v>jiinn</v>
      </c>
    </row>
    <row r="47" spans="1:26" ht="44.25">
      <c r="A47" s="16">
        <v>65</v>
      </c>
      <c r="B47" s="4" t="s">
        <v>300</v>
      </c>
      <c r="C47" s="17" t="s">
        <v>126</v>
      </c>
      <c r="D47" s="18" t="s">
        <v>220</v>
      </c>
      <c r="E47" s="31" t="str">
        <f t="shared" si="8"/>
        <v>Øio</v>
      </c>
      <c r="F47" s="31" t="str">
        <f t="shared" si="8"/>
        <v>pio</v>
      </c>
      <c r="G47" s="31" t="str">
        <f t="shared" si="8"/>
        <v>phio</v>
      </c>
      <c r="H47" s="31" t="str">
        <f t="shared" si="8"/>
        <v>bio</v>
      </c>
      <c r="I47" s="31" t="str">
        <f t="shared" si="8"/>
        <v>mio</v>
      </c>
      <c r="J47" s="31" t="str">
        <f t="shared" si="8"/>
        <v>tio</v>
      </c>
      <c r="K47" s="31" t="str">
        <f t="shared" si="8"/>
        <v>thio</v>
      </c>
      <c r="L47" s="31" t="str">
        <f t="shared" si="8"/>
        <v>lio</v>
      </c>
      <c r="M47" s="31" t="str">
        <f t="shared" si="8"/>
        <v>nio</v>
      </c>
      <c r="N47" s="31" t="str">
        <f t="shared" si="8"/>
        <v>kio</v>
      </c>
      <c r="O47" s="31" t="str">
        <f t="shared" si="9"/>
        <v>khio</v>
      </c>
      <c r="P47" s="31" t="str">
        <f t="shared" si="9"/>
        <v>gio</v>
      </c>
      <c r="Q47" s="31" t="str">
        <f t="shared" si="9"/>
        <v>ngio</v>
      </c>
      <c r="R47" s="31" t="str">
        <f t="shared" si="9"/>
        <v>hio</v>
      </c>
      <c r="S47" s="31" t="str">
        <f t="shared" si="9"/>
        <v>tsio</v>
      </c>
      <c r="T47" s="31" t="str">
        <f t="shared" si="9"/>
        <v>tsiio</v>
      </c>
      <c r="U47" s="31" t="str">
        <f t="shared" si="9"/>
        <v>tshio</v>
      </c>
      <c r="V47" s="31" t="str">
        <f t="shared" si="9"/>
        <v>tshiio</v>
      </c>
      <c r="W47" s="31" t="str">
        <f t="shared" si="9"/>
        <v>sio</v>
      </c>
      <c r="X47" s="31" t="str">
        <f t="shared" si="9"/>
        <v>siio</v>
      </c>
      <c r="Y47" s="31" t="str">
        <f t="shared" si="9"/>
        <v>jio</v>
      </c>
      <c r="Z47" s="31" t="str">
        <f t="shared" si="9"/>
        <v>jiio</v>
      </c>
    </row>
    <row r="48" spans="1:26" ht="44.25">
      <c r="A48" s="16">
        <v>66</v>
      </c>
      <c r="B48" s="4" t="s">
        <v>301</v>
      </c>
      <c r="C48" s="17" t="s">
        <v>127</v>
      </c>
      <c r="D48" s="18" t="s">
        <v>221</v>
      </c>
      <c r="E48" s="31" t="str">
        <f t="shared" si="8"/>
        <v>Øioh</v>
      </c>
      <c r="F48" s="31" t="str">
        <f t="shared" si="8"/>
        <v>pioh</v>
      </c>
      <c r="G48" s="31" t="str">
        <f t="shared" si="8"/>
        <v>phioh</v>
      </c>
      <c r="H48" s="31" t="str">
        <f t="shared" si="8"/>
        <v>bioh</v>
      </c>
      <c r="I48" s="31" t="str">
        <f t="shared" si="8"/>
        <v>mioh</v>
      </c>
      <c r="J48" s="31" t="str">
        <f t="shared" si="8"/>
        <v>tioh</v>
      </c>
      <c r="K48" s="31" t="str">
        <f t="shared" si="8"/>
        <v>thioh</v>
      </c>
      <c r="L48" s="31" t="str">
        <f t="shared" si="8"/>
        <v>lioh</v>
      </c>
      <c r="M48" s="31" t="str">
        <f t="shared" si="8"/>
        <v>nioh</v>
      </c>
      <c r="N48" s="31" t="str">
        <f t="shared" si="8"/>
        <v>kioh</v>
      </c>
      <c r="O48" s="31" t="str">
        <f t="shared" si="9"/>
        <v>khioh</v>
      </c>
      <c r="P48" s="31" t="str">
        <f t="shared" si="9"/>
        <v>gioh</v>
      </c>
      <c r="Q48" s="31" t="str">
        <f t="shared" si="9"/>
        <v>ngioh</v>
      </c>
      <c r="R48" s="31" t="str">
        <f t="shared" si="9"/>
        <v>hioh</v>
      </c>
      <c r="S48" s="31" t="str">
        <f t="shared" si="9"/>
        <v>tsioh</v>
      </c>
      <c r="T48" s="31" t="str">
        <f t="shared" si="9"/>
        <v>tsiioh</v>
      </c>
      <c r="U48" s="31" t="str">
        <f t="shared" si="9"/>
        <v>tshioh</v>
      </c>
      <c r="V48" s="31" t="str">
        <f t="shared" si="9"/>
        <v>tshiioh</v>
      </c>
      <c r="W48" s="31" t="str">
        <f t="shared" si="9"/>
        <v>sioh</v>
      </c>
      <c r="X48" s="31" t="str">
        <f t="shared" si="9"/>
        <v>siioh</v>
      </c>
      <c r="Y48" s="31" t="str">
        <f t="shared" si="9"/>
        <v>jioh</v>
      </c>
      <c r="Z48" s="31" t="str">
        <f t="shared" si="9"/>
        <v>jiioh</v>
      </c>
    </row>
    <row r="49" spans="1:26" ht="44.25">
      <c r="A49" s="16">
        <v>28</v>
      </c>
      <c r="B49" s="4" t="s">
        <v>267</v>
      </c>
      <c r="C49" s="17" t="s">
        <v>89</v>
      </c>
      <c r="D49" s="18" t="s">
        <v>186</v>
      </c>
      <c r="E49" s="31" t="str">
        <f t="shared" si="8"/>
        <v>Øiok</v>
      </c>
      <c r="F49" s="31" t="str">
        <f t="shared" si="8"/>
        <v>piok</v>
      </c>
      <c r="G49" s="31" t="str">
        <f t="shared" si="8"/>
        <v>phiok</v>
      </c>
      <c r="H49" s="31" t="str">
        <f t="shared" si="8"/>
        <v>biok</v>
      </c>
      <c r="I49" s="31" t="str">
        <f t="shared" si="8"/>
        <v>miok</v>
      </c>
      <c r="J49" s="31" t="str">
        <f t="shared" si="8"/>
        <v>tiok</v>
      </c>
      <c r="K49" s="31" t="str">
        <f t="shared" si="8"/>
        <v>thiok</v>
      </c>
      <c r="L49" s="31" t="str">
        <f t="shared" si="8"/>
        <v>liok</v>
      </c>
      <c r="M49" s="31" t="str">
        <f t="shared" si="8"/>
        <v>niok</v>
      </c>
      <c r="N49" s="31" t="str">
        <f t="shared" si="8"/>
        <v>kiok</v>
      </c>
      <c r="O49" s="31" t="str">
        <f t="shared" si="9"/>
        <v>khiok</v>
      </c>
      <c r="P49" s="31" t="str">
        <f t="shared" si="9"/>
        <v>giok</v>
      </c>
      <c r="Q49" s="31" t="str">
        <f t="shared" si="9"/>
        <v>ngiok</v>
      </c>
      <c r="R49" s="31" t="str">
        <f t="shared" si="9"/>
        <v>hiok</v>
      </c>
      <c r="S49" s="31" t="str">
        <f t="shared" si="9"/>
        <v>tsiok</v>
      </c>
      <c r="T49" s="31" t="str">
        <f t="shared" si="9"/>
        <v>tsiiok</v>
      </c>
      <c r="U49" s="31" t="str">
        <f t="shared" si="9"/>
        <v>tshiok</v>
      </c>
      <c r="V49" s="31" t="str">
        <f t="shared" si="9"/>
        <v>tshiiok</v>
      </c>
      <c r="W49" s="31" t="str">
        <f t="shared" si="9"/>
        <v>siok</v>
      </c>
      <c r="X49" s="31" t="str">
        <f t="shared" si="9"/>
        <v>siiok</v>
      </c>
      <c r="Y49" s="31" t="str">
        <f t="shared" si="9"/>
        <v>jiok</v>
      </c>
      <c r="Z49" s="31" t="str">
        <f t="shared" si="9"/>
        <v>jiiok</v>
      </c>
    </row>
    <row r="50" spans="1:26" ht="44.25">
      <c r="A50" s="16">
        <v>27</v>
      </c>
      <c r="B50" s="4" t="s">
        <v>266</v>
      </c>
      <c r="C50" s="17" t="s">
        <v>88</v>
      </c>
      <c r="D50" s="18" t="s">
        <v>185</v>
      </c>
      <c r="E50" s="31" t="str">
        <f t="shared" si="8"/>
        <v>Øiong</v>
      </c>
      <c r="F50" s="31" t="str">
        <f t="shared" si="8"/>
        <v>piong</v>
      </c>
      <c r="G50" s="31" t="str">
        <f t="shared" si="8"/>
        <v>phiong</v>
      </c>
      <c r="H50" s="31" t="str">
        <f t="shared" si="8"/>
        <v>biong</v>
      </c>
      <c r="I50" s="31" t="str">
        <f t="shared" si="8"/>
        <v>miong</v>
      </c>
      <c r="J50" s="31" t="str">
        <f t="shared" si="8"/>
        <v>tiong</v>
      </c>
      <c r="K50" s="31" t="str">
        <f t="shared" si="8"/>
        <v>thiong</v>
      </c>
      <c r="L50" s="31" t="str">
        <f t="shared" si="8"/>
        <v>liong</v>
      </c>
      <c r="M50" s="31" t="str">
        <f t="shared" si="8"/>
        <v>niong</v>
      </c>
      <c r="N50" s="31" t="str">
        <f t="shared" si="8"/>
        <v>kiong</v>
      </c>
      <c r="O50" s="31" t="str">
        <f t="shared" si="9"/>
        <v>khiong</v>
      </c>
      <c r="P50" s="31" t="str">
        <f t="shared" si="9"/>
        <v>giong</v>
      </c>
      <c r="Q50" s="31" t="str">
        <f t="shared" si="9"/>
        <v>ngiong</v>
      </c>
      <c r="R50" s="31" t="str">
        <f t="shared" si="9"/>
        <v>hiong</v>
      </c>
      <c r="S50" s="31" t="str">
        <f t="shared" si="9"/>
        <v>tsiong</v>
      </c>
      <c r="T50" s="31" t="str">
        <f t="shared" si="9"/>
        <v>tsiiong</v>
      </c>
      <c r="U50" s="31" t="str">
        <f t="shared" si="9"/>
        <v>tshiong</v>
      </c>
      <c r="V50" s="31" t="str">
        <f t="shared" si="9"/>
        <v>tshiiong</v>
      </c>
      <c r="W50" s="31" t="str">
        <f t="shared" si="9"/>
        <v>siong</v>
      </c>
      <c r="X50" s="31" t="str">
        <f t="shared" si="9"/>
        <v>siiong</v>
      </c>
      <c r="Y50" s="31" t="str">
        <f t="shared" si="9"/>
        <v>jiong</v>
      </c>
      <c r="Z50" s="31" t="str">
        <f t="shared" si="9"/>
        <v>jiiong</v>
      </c>
    </row>
    <row r="51" spans="1:26" ht="44.25">
      <c r="A51" s="16">
        <v>69</v>
      </c>
      <c r="B51" s="29" t="s">
        <v>303</v>
      </c>
      <c r="C51" s="26" t="s">
        <v>130</v>
      </c>
      <c r="D51" s="27" t="s">
        <v>224</v>
      </c>
      <c r="E51" s="31" t="str">
        <f t="shared" si="8"/>
        <v>Øionn</v>
      </c>
      <c r="F51" s="31" t="str">
        <f t="shared" si="8"/>
        <v>pionn</v>
      </c>
      <c r="G51" s="31" t="str">
        <f t="shared" si="8"/>
        <v>phionn</v>
      </c>
      <c r="H51" s="31" t="str">
        <f t="shared" si="8"/>
        <v>bionn</v>
      </c>
      <c r="I51" s="31" t="str">
        <f t="shared" si="8"/>
        <v>mionn</v>
      </c>
      <c r="J51" s="31" t="str">
        <f t="shared" si="8"/>
        <v>tionn</v>
      </c>
      <c r="K51" s="31" t="str">
        <f t="shared" si="8"/>
        <v>thionn</v>
      </c>
      <c r="L51" s="31" t="str">
        <f t="shared" si="8"/>
        <v>lionn</v>
      </c>
      <c r="M51" s="31" t="str">
        <f t="shared" si="8"/>
        <v>nionn</v>
      </c>
      <c r="N51" s="31" t="str">
        <f t="shared" si="8"/>
        <v>kionn</v>
      </c>
      <c r="O51" s="31" t="str">
        <f t="shared" si="9"/>
        <v>khionn</v>
      </c>
      <c r="P51" s="31" t="str">
        <f t="shared" si="9"/>
        <v>gionn</v>
      </c>
      <c r="Q51" s="31" t="str">
        <f t="shared" si="9"/>
        <v>ngionn</v>
      </c>
      <c r="R51" s="31" t="str">
        <f t="shared" si="9"/>
        <v>hionn</v>
      </c>
      <c r="S51" s="31" t="str">
        <f t="shared" si="9"/>
        <v>tsionn</v>
      </c>
      <c r="T51" s="31" t="str">
        <f t="shared" si="9"/>
        <v>tsiionn</v>
      </c>
      <c r="U51" s="31" t="str">
        <f t="shared" si="9"/>
        <v>tshionn</v>
      </c>
      <c r="V51" s="31" t="str">
        <f t="shared" si="9"/>
        <v>tshiionn</v>
      </c>
      <c r="W51" s="31" t="str">
        <f t="shared" si="9"/>
        <v>sionn</v>
      </c>
      <c r="X51" s="31" t="str">
        <f t="shared" si="9"/>
        <v>siionn</v>
      </c>
      <c r="Y51" s="31" t="str">
        <f t="shared" si="9"/>
        <v>jionn</v>
      </c>
      <c r="Z51" s="31" t="str">
        <f t="shared" si="9"/>
        <v>jiionn</v>
      </c>
    </row>
    <row r="52" spans="1:26" ht="44.25">
      <c r="A52" s="16">
        <v>6</v>
      </c>
      <c r="B52" s="4" t="s">
        <v>247</v>
      </c>
      <c r="C52" s="17" t="s">
        <v>67</v>
      </c>
      <c r="D52" s="18" t="s">
        <v>167</v>
      </c>
      <c r="E52" s="31" t="str">
        <f t="shared" si="8"/>
        <v>Øip</v>
      </c>
      <c r="F52" s="31" t="str">
        <f t="shared" si="8"/>
        <v>pip</v>
      </c>
      <c r="G52" s="31" t="str">
        <f t="shared" si="8"/>
        <v>phip</v>
      </c>
      <c r="H52" s="31" t="str">
        <f t="shared" si="8"/>
        <v>bip</v>
      </c>
      <c r="I52" s="31" t="str">
        <f t="shared" si="8"/>
        <v>mip</v>
      </c>
      <c r="J52" s="31" t="str">
        <f t="shared" si="8"/>
        <v>tip</v>
      </c>
      <c r="K52" s="31" t="str">
        <f t="shared" si="8"/>
        <v>thip</v>
      </c>
      <c r="L52" s="31" t="str">
        <f t="shared" si="8"/>
        <v>lip</v>
      </c>
      <c r="M52" s="31" t="str">
        <f t="shared" si="8"/>
        <v>nip</v>
      </c>
      <c r="N52" s="31" t="str">
        <f t="shared" si="8"/>
        <v>kip</v>
      </c>
      <c r="O52" s="31" t="str">
        <f t="shared" si="9"/>
        <v>khip</v>
      </c>
      <c r="P52" s="31" t="str">
        <f t="shared" si="9"/>
        <v>gip</v>
      </c>
      <c r="Q52" s="31" t="str">
        <f t="shared" si="9"/>
        <v>ngip</v>
      </c>
      <c r="R52" s="31" t="str">
        <f t="shared" si="9"/>
        <v>hip</v>
      </c>
      <c r="S52" s="31" t="str">
        <f t="shared" si="9"/>
        <v>tsip</v>
      </c>
      <c r="T52" s="31" t="str">
        <f t="shared" si="9"/>
        <v>tsiip</v>
      </c>
      <c r="U52" s="31" t="str">
        <f t="shared" si="9"/>
        <v>tship</v>
      </c>
      <c r="V52" s="31" t="str">
        <f t="shared" si="9"/>
        <v>tshiip</v>
      </c>
      <c r="W52" s="31" t="str">
        <f t="shared" si="9"/>
        <v>sip</v>
      </c>
      <c r="X52" s="31" t="str">
        <f t="shared" si="9"/>
        <v>siip</v>
      </c>
      <c r="Y52" s="31" t="str">
        <f t="shared" si="9"/>
        <v>jip</v>
      </c>
      <c r="Z52" s="31" t="str">
        <f t="shared" si="9"/>
        <v>jiip</v>
      </c>
    </row>
    <row r="53" spans="1:26" ht="44.25">
      <c r="A53" s="16">
        <v>34</v>
      </c>
      <c r="B53" s="4" t="s">
        <v>272</v>
      </c>
      <c r="C53" s="17" t="s">
        <v>95</v>
      </c>
      <c r="D53" s="18" t="s">
        <v>191</v>
      </c>
      <c r="E53" s="31" t="str">
        <f t="shared" si="8"/>
        <v>Øit</v>
      </c>
      <c r="F53" s="31" t="str">
        <f t="shared" si="8"/>
        <v>pit</v>
      </c>
      <c r="G53" s="31" t="str">
        <f t="shared" si="8"/>
        <v>phit</v>
      </c>
      <c r="H53" s="31" t="str">
        <f t="shared" si="8"/>
        <v>bit</v>
      </c>
      <c r="I53" s="31" t="str">
        <f t="shared" si="8"/>
        <v>mit</v>
      </c>
      <c r="J53" s="31" t="str">
        <f t="shared" si="8"/>
        <v>tit</v>
      </c>
      <c r="K53" s="31" t="str">
        <f t="shared" si="8"/>
        <v>thit</v>
      </c>
      <c r="L53" s="31" t="str">
        <f t="shared" si="8"/>
        <v>lit</v>
      </c>
      <c r="M53" s="31" t="str">
        <f t="shared" si="8"/>
        <v>nit</v>
      </c>
      <c r="N53" s="31" t="str">
        <f t="shared" si="8"/>
        <v>kit</v>
      </c>
      <c r="O53" s="31" t="str">
        <f t="shared" si="9"/>
        <v>khit</v>
      </c>
      <c r="P53" s="31" t="str">
        <f t="shared" si="9"/>
        <v>git</v>
      </c>
      <c r="Q53" s="31" t="str">
        <f t="shared" si="9"/>
        <v>ngit</v>
      </c>
      <c r="R53" s="31" t="str">
        <f t="shared" si="9"/>
        <v>hit</v>
      </c>
      <c r="S53" s="31" t="str">
        <f t="shared" si="9"/>
        <v>tsit</v>
      </c>
      <c r="T53" s="31" t="str">
        <f t="shared" si="9"/>
        <v>tsiit</v>
      </c>
      <c r="U53" s="31" t="str">
        <f t="shared" si="9"/>
        <v>tshit</v>
      </c>
      <c r="V53" s="31" t="str">
        <f t="shared" si="9"/>
        <v>tshiit</v>
      </c>
      <c r="W53" s="31" t="str">
        <f t="shared" si="9"/>
        <v>sit</v>
      </c>
      <c r="X53" s="31" t="str">
        <f t="shared" si="9"/>
        <v>siit</v>
      </c>
      <c r="Y53" s="31" t="str">
        <f t="shared" si="9"/>
        <v>jit</v>
      </c>
      <c r="Z53" s="31" t="str">
        <f t="shared" si="9"/>
        <v>jiit</v>
      </c>
    </row>
    <row r="54" spans="1:26" ht="44.25">
      <c r="A54" s="16">
        <v>59</v>
      </c>
      <c r="B54" s="4" t="s">
        <v>297</v>
      </c>
      <c r="C54" s="17" t="s">
        <v>120</v>
      </c>
      <c r="D54" s="18" t="s">
        <v>216</v>
      </c>
      <c r="E54" s="31" t="str">
        <f t="shared" si="8"/>
        <v>Øiu</v>
      </c>
      <c r="F54" s="31" t="str">
        <f t="shared" si="8"/>
        <v>piu</v>
      </c>
      <c r="G54" s="31" t="str">
        <f t="shared" si="8"/>
        <v>phiu</v>
      </c>
      <c r="H54" s="31" t="str">
        <f t="shared" si="8"/>
        <v>biu</v>
      </c>
      <c r="I54" s="31" t="str">
        <f t="shared" si="8"/>
        <v>miu</v>
      </c>
      <c r="J54" s="31" t="str">
        <f t="shared" si="8"/>
        <v>tiu</v>
      </c>
      <c r="K54" s="31" t="str">
        <f t="shared" si="8"/>
        <v>thiu</v>
      </c>
      <c r="L54" s="31" t="str">
        <f t="shared" si="8"/>
        <v>liu</v>
      </c>
      <c r="M54" s="31" t="str">
        <f t="shared" si="8"/>
        <v>niu</v>
      </c>
      <c r="N54" s="31" t="str">
        <f t="shared" si="8"/>
        <v>kiu</v>
      </c>
      <c r="O54" s="31" t="str">
        <f t="shared" si="9"/>
        <v>khiu</v>
      </c>
      <c r="P54" s="31" t="str">
        <f t="shared" si="9"/>
        <v>giu</v>
      </c>
      <c r="Q54" s="31" t="str">
        <f t="shared" si="9"/>
        <v>ngiu</v>
      </c>
      <c r="R54" s="31" t="str">
        <f t="shared" si="9"/>
        <v>hiu</v>
      </c>
      <c r="S54" s="31" t="str">
        <f t="shared" si="9"/>
        <v>tsiu</v>
      </c>
      <c r="T54" s="31" t="str">
        <f t="shared" si="9"/>
        <v>tsiiu</v>
      </c>
      <c r="U54" s="31" t="str">
        <f t="shared" si="9"/>
        <v>tshiu</v>
      </c>
      <c r="V54" s="31" t="str">
        <f t="shared" si="9"/>
        <v>tshiiu</v>
      </c>
      <c r="W54" s="31" t="str">
        <f t="shared" si="9"/>
        <v>siu</v>
      </c>
      <c r="X54" s="31" t="str">
        <f t="shared" si="9"/>
        <v>siiu</v>
      </c>
      <c r="Y54" s="31" t="str">
        <f t="shared" si="9"/>
        <v>jiu</v>
      </c>
      <c r="Z54" s="31" t="str">
        <f t="shared" si="9"/>
        <v>jiiu</v>
      </c>
    </row>
    <row r="55" spans="1:26" ht="44.25">
      <c r="A55" s="16">
        <v>99</v>
      </c>
      <c r="B55" s="4" t="s">
        <v>303</v>
      </c>
      <c r="C55" s="17" t="s">
        <v>160</v>
      </c>
      <c r="D55" s="18" t="s">
        <v>239</v>
      </c>
      <c r="E55" s="31" t="str">
        <f t="shared" ref="E55:N64" si="10">IF($D55="", "", _xlfn.CONCAT(E$3, $D55))</f>
        <v>Øiunn</v>
      </c>
      <c r="F55" s="31" t="str">
        <f t="shared" si="10"/>
        <v>piunn</v>
      </c>
      <c r="G55" s="31" t="str">
        <f t="shared" si="10"/>
        <v>phiunn</v>
      </c>
      <c r="H55" s="31" t="str">
        <f t="shared" si="10"/>
        <v>biunn</v>
      </c>
      <c r="I55" s="31" t="str">
        <f t="shared" si="10"/>
        <v>miunn</v>
      </c>
      <c r="J55" s="31" t="str">
        <f t="shared" si="10"/>
        <v>tiunn</v>
      </c>
      <c r="K55" s="31" t="str">
        <f t="shared" si="10"/>
        <v>thiunn</v>
      </c>
      <c r="L55" s="31" t="str">
        <f t="shared" si="10"/>
        <v>liunn</v>
      </c>
      <c r="M55" s="31" t="str">
        <f t="shared" si="10"/>
        <v>niunn</v>
      </c>
      <c r="N55" s="31" t="str">
        <f t="shared" si="10"/>
        <v>kiunn</v>
      </c>
      <c r="O55" s="31" t="str">
        <f t="shared" ref="O55:Z64" si="11">IF($D55="", "", _xlfn.CONCAT(O$3, $D55))</f>
        <v>khiunn</v>
      </c>
      <c r="P55" s="31" t="str">
        <f t="shared" si="11"/>
        <v>giunn</v>
      </c>
      <c r="Q55" s="31" t="str">
        <f t="shared" si="11"/>
        <v>ngiunn</v>
      </c>
      <c r="R55" s="31" t="str">
        <f t="shared" si="11"/>
        <v>hiunn</v>
      </c>
      <c r="S55" s="31" t="str">
        <f t="shared" si="11"/>
        <v>tsiunn</v>
      </c>
      <c r="T55" s="31" t="str">
        <f t="shared" si="11"/>
        <v>tsiiunn</v>
      </c>
      <c r="U55" s="31" t="str">
        <f t="shared" si="11"/>
        <v>tshiunn</v>
      </c>
      <c r="V55" s="31" t="str">
        <f t="shared" si="11"/>
        <v>tshiiunn</v>
      </c>
      <c r="W55" s="31" t="str">
        <f t="shared" si="11"/>
        <v>siunn</v>
      </c>
      <c r="X55" s="31" t="str">
        <f t="shared" si="11"/>
        <v>siiunn</v>
      </c>
      <c r="Y55" s="31" t="str">
        <f t="shared" si="11"/>
        <v>jiunn</v>
      </c>
      <c r="Z55" s="31" t="str">
        <f t="shared" si="11"/>
        <v>jiiunn</v>
      </c>
    </row>
    <row r="56" spans="1:26" ht="44.25">
      <c r="A56" s="16">
        <v>83</v>
      </c>
      <c r="B56" s="4" t="s">
        <v>311</v>
      </c>
      <c r="C56" s="17" t="s">
        <v>144</v>
      </c>
      <c r="D56" s="18" t="s">
        <v>44</v>
      </c>
      <c r="E56" s="31" t="str">
        <f t="shared" si="10"/>
        <v>Øm</v>
      </c>
      <c r="F56" s="31" t="str">
        <f t="shared" si="10"/>
        <v>pm</v>
      </c>
      <c r="G56" s="31" t="str">
        <f t="shared" si="10"/>
        <v>phm</v>
      </c>
      <c r="H56" s="31" t="str">
        <f t="shared" si="10"/>
        <v>bm</v>
      </c>
      <c r="I56" s="31" t="str">
        <f t="shared" si="10"/>
        <v>mm</v>
      </c>
      <c r="J56" s="31" t="str">
        <f t="shared" si="10"/>
        <v>tm</v>
      </c>
      <c r="K56" s="31" t="str">
        <f t="shared" si="10"/>
        <v>thm</v>
      </c>
      <c r="L56" s="31" t="str">
        <f t="shared" si="10"/>
        <v>lm</v>
      </c>
      <c r="M56" s="31" t="str">
        <f t="shared" si="10"/>
        <v>nm</v>
      </c>
      <c r="N56" s="31" t="str">
        <f t="shared" si="10"/>
        <v>km</v>
      </c>
      <c r="O56" s="31" t="str">
        <f t="shared" si="11"/>
        <v>khm</v>
      </c>
      <c r="P56" s="31" t="str">
        <f t="shared" si="11"/>
        <v>gm</v>
      </c>
      <c r="Q56" s="31" t="str">
        <f t="shared" si="11"/>
        <v>ngm</v>
      </c>
      <c r="R56" s="31" t="str">
        <f t="shared" si="11"/>
        <v>hm</v>
      </c>
      <c r="S56" s="31" t="str">
        <f t="shared" si="11"/>
        <v>tsm</v>
      </c>
      <c r="T56" s="31" t="str">
        <f t="shared" si="11"/>
        <v>tsim</v>
      </c>
      <c r="U56" s="31" t="str">
        <f t="shared" si="11"/>
        <v>tshm</v>
      </c>
      <c r="V56" s="31" t="str">
        <f t="shared" si="11"/>
        <v>tshim</v>
      </c>
      <c r="W56" s="31" t="str">
        <f t="shared" si="11"/>
        <v>sm</v>
      </c>
      <c r="X56" s="31" t="str">
        <f t="shared" si="11"/>
        <v>sim</v>
      </c>
      <c r="Y56" s="31" t="str">
        <f t="shared" si="11"/>
        <v>jm</v>
      </c>
      <c r="Z56" s="31" t="str">
        <f t="shared" si="11"/>
        <v>jim</v>
      </c>
    </row>
    <row r="57" spans="1:26" ht="44.25">
      <c r="A57" s="16">
        <v>75</v>
      </c>
      <c r="B57" s="4" t="s">
        <v>273</v>
      </c>
      <c r="C57" s="17" t="s">
        <v>136</v>
      </c>
      <c r="D57" s="18" t="s">
        <v>52</v>
      </c>
      <c r="E57" s="31" t="str">
        <f t="shared" si="10"/>
        <v>Øng</v>
      </c>
      <c r="F57" s="31" t="str">
        <f t="shared" si="10"/>
        <v>png</v>
      </c>
      <c r="G57" s="31" t="str">
        <f t="shared" si="10"/>
        <v>phng</v>
      </c>
      <c r="H57" s="31" t="str">
        <f t="shared" si="10"/>
        <v>bng</v>
      </c>
      <c r="I57" s="31" t="str">
        <f t="shared" si="10"/>
        <v>mng</v>
      </c>
      <c r="J57" s="31" t="str">
        <f t="shared" si="10"/>
        <v>tng</v>
      </c>
      <c r="K57" s="31" t="str">
        <f t="shared" si="10"/>
        <v>thng</v>
      </c>
      <c r="L57" s="31" t="str">
        <f t="shared" si="10"/>
        <v>lng</v>
      </c>
      <c r="M57" s="31" t="str">
        <f t="shared" si="10"/>
        <v>nng</v>
      </c>
      <c r="N57" s="31" t="str">
        <f t="shared" si="10"/>
        <v>kng</v>
      </c>
      <c r="O57" s="31" t="str">
        <f t="shared" si="11"/>
        <v>khng</v>
      </c>
      <c r="P57" s="31" t="str">
        <f t="shared" si="11"/>
        <v>gng</v>
      </c>
      <c r="Q57" s="31" t="str">
        <f t="shared" si="11"/>
        <v>ngng</v>
      </c>
      <c r="R57" s="31" t="str">
        <f t="shared" si="11"/>
        <v>hng</v>
      </c>
      <c r="S57" s="31" t="str">
        <f t="shared" si="11"/>
        <v>tsng</v>
      </c>
      <c r="T57" s="31" t="str">
        <f t="shared" si="11"/>
        <v>tsing</v>
      </c>
      <c r="U57" s="31" t="str">
        <f t="shared" si="11"/>
        <v>tshng</v>
      </c>
      <c r="V57" s="31" t="str">
        <f t="shared" si="11"/>
        <v>tshing</v>
      </c>
      <c r="W57" s="31" t="str">
        <f t="shared" si="11"/>
        <v>sng</v>
      </c>
      <c r="X57" s="31" t="str">
        <f t="shared" si="11"/>
        <v>sing</v>
      </c>
      <c r="Y57" s="31" t="str">
        <f t="shared" si="11"/>
        <v>jng</v>
      </c>
      <c r="Z57" s="31" t="str">
        <f t="shared" si="11"/>
        <v>jing</v>
      </c>
    </row>
    <row r="58" spans="1:26" ht="44.25">
      <c r="A58" s="16">
        <v>29</v>
      </c>
      <c r="B58" s="4" t="s">
        <v>268</v>
      </c>
      <c r="C58" s="17" t="s">
        <v>90</v>
      </c>
      <c r="D58" s="18" t="s">
        <v>187</v>
      </c>
      <c r="E58" s="31" t="str">
        <f t="shared" si="10"/>
        <v>Øo</v>
      </c>
      <c r="F58" s="31" t="str">
        <f t="shared" si="10"/>
        <v>po</v>
      </c>
      <c r="G58" s="31" t="str">
        <f t="shared" si="10"/>
        <v>pho</v>
      </c>
      <c r="H58" s="31" t="str">
        <f t="shared" si="10"/>
        <v>bo</v>
      </c>
      <c r="I58" s="31" t="str">
        <f t="shared" si="10"/>
        <v>mo</v>
      </c>
      <c r="J58" s="31" t="str">
        <f t="shared" si="10"/>
        <v>to</v>
      </c>
      <c r="K58" s="31" t="str">
        <f t="shared" si="10"/>
        <v>tho</v>
      </c>
      <c r="L58" s="31" t="str">
        <f t="shared" si="10"/>
        <v>lo</v>
      </c>
      <c r="M58" s="31" t="str">
        <f t="shared" si="10"/>
        <v>no</v>
      </c>
      <c r="N58" s="31" t="str">
        <f t="shared" si="10"/>
        <v>ko</v>
      </c>
      <c r="O58" s="31" t="str">
        <f t="shared" si="11"/>
        <v>kho</v>
      </c>
      <c r="P58" s="31" t="str">
        <f t="shared" si="11"/>
        <v>go</v>
      </c>
      <c r="Q58" s="31" t="str">
        <f t="shared" si="11"/>
        <v>ngo</v>
      </c>
      <c r="R58" s="31" t="str">
        <f t="shared" si="11"/>
        <v>ho</v>
      </c>
      <c r="S58" s="31" t="str">
        <f t="shared" si="11"/>
        <v>tso</v>
      </c>
      <c r="T58" s="31" t="str">
        <f t="shared" si="11"/>
        <v>tsio</v>
      </c>
      <c r="U58" s="31" t="str">
        <f t="shared" si="11"/>
        <v>tsho</v>
      </c>
      <c r="V58" s="31" t="str">
        <f t="shared" si="11"/>
        <v>tshio</v>
      </c>
      <c r="W58" s="31" t="str">
        <f t="shared" si="11"/>
        <v>so</v>
      </c>
      <c r="X58" s="31" t="str">
        <f t="shared" si="11"/>
        <v>sio</v>
      </c>
      <c r="Y58" s="31" t="str">
        <f t="shared" si="11"/>
        <v>jo</v>
      </c>
      <c r="Z58" s="31" t="str">
        <f t="shared" si="11"/>
        <v>jio</v>
      </c>
    </row>
    <row r="59" spans="1:26" ht="44.25">
      <c r="A59" s="16">
        <v>30</v>
      </c>
      <c r="B59" s="4" t="s">
        <v>269</v>
      </c>
      <c r="C59" s="17" t="s">
        <v>91</v>
      </c>
      <c r="D59" s="18" t="s">
        <v>188</v>
      </c>
      <c r="E59" s="31" t="str">
        <f t="shared" si="10"/>
        <v>Øoh</v>
      </c>
      <c r="F59" s="31" t="str">
        <f t="shared" si="10"/>
        <v>poh</v>
      </c>
      <c r="G59" s="31" t="str">
        <f t="shared" si="10"/>
        <v>phoh</v>
      </c>
      <c r="H59" s="31" t="str">
        <f t="shared" si="10"/>
        <v>boh</v>
      </c>
      <c r="I59" s="31" t="str">
        <f t="shared" si="10"/>
        <v>moh</v>
      </c>
      <c r="J59" s="31" t="str">
        <f t="shared" si="10"/>
        <v>toh</v>
      </c>
      <c r="K59" s="31" t="str">
        <f t="shared" si="10"/>
        <v>thoh</v>
      </c>
      <c r="L59" s="31" t="str">
        <f t="shared" si="10"/>
        <v>loh</v>
      </c>
      <c r="M59" s="31" t="str">
        <f t="shared" si="10"/>
        <v>noh</v>
      </c>
      <c r="N59" s="31" t="str">
        <f t="shared" si="10"/>
        <v>koh</v>
      </c>
      <c r="O59" s="31" t="str">
        <f t="shared" si="11"/>
        <v>khoh</v>
      </c>
      <c r="P59" s="31" t="str">
        <f t="shared" si="11"/>
        <v>goh</v>
      </c>
      <c r="Q59" s="31" t="str">
        <f t="shared" si="11"/>
        <v>ngoh</v>
      </c>
      <c r="R59" s="31" t="str">
        <f t="shared" si="11"/>
        <v>hoh</v>
      </c>
      <c r="S59" s="31" t="str">
        <f t="shared" si="11"/>
        <v>tsoh</v>
      </c>
      <c r="T59" s="31" t="str">
        <f t="shared" si="11"/>
        <v>tsioh</v>
      </c>
      <c r="U59" s="31" t="str">
        <f t="shared" si="11"/>
        <v>tshoh</v>
      </c>
      <c r="V59" s="31" t="str">
        <f t="shared" si="11"/>
        <v>tshioh</v>
      </c>
      <c r="W59" s="31" t="str">
        <f t="shared" si="11"/>
        <v>soh</v>
      </c>
      <c r="X59" s="31" t="str">
        <f t="shared" si="11"/>
        <v>sioh</v>
      </c>
      <c r="Y59" s="31" t="str">
        <f t="shared" si="11"/>
        <v>joh</v>
      </c>
      <c r="Z59" s="31" t="str">
        <f t="shared" si="11"/>
        <v>jioh</v>
      </c>
    </row>
    <row r="60" spans="1:26" ht="44.25">
      <c r="A60" s="16">
        <v>14</v>
      </c>
      <c r="B60" s="4" t="s">
        <v>256</v>
      </c>
      <c r="C60" s="17" t="s">
        <v>75</v>
      </c>
      <c r="D60" s="18" t="s">
        <v>174</v>
      </c>
      <c r="E60" s="31" t="str">
        <f t="shared" si="10"/>
        <v>Øok</v>
      </c>
      <c r="F60" s="31" t="str">
        <f t="shared" si="10"/>
        <v>pok</v>
      </c>
      <c r="G60" s="31" t="str">
        <f t="shared" si="10"/>
        <v>phok</v>
      </c>
      <c r="H60" s="31" t="str">
        <f t="shared" si="10"/>
        <v>bok</v>
      </c>
      <c r="I60" s="31" t="str">
        <f t="shared" si="10"/>
        <v>mok</v>
      </c>
      <c r="J60" s="31" t="str">
        <f t="shared" si="10"/>
        <v>tok</v>
      </c>
      <c r="K60" s="31" t="str">
        <f t="shared" si="10"/>
        <v>thok</v>
      </c>
      <c r="L60" s="31" t="str">
        <f t="shared" si="10"/>
        <v>lok</v>
      </c>
      <c r="M60" s="31" t="str">
        <f t="shared" si="10"/>
        <v>nok</v>
      </c>
      <c r="N60" s="31" t="str">
        <f t="shared" si="10"/>
        <v>kok</v>
      </c>
      <c r="O60" s="31" t="str">
        <f t="shared" si="11"/>
        <v>khok</v>
      </c>
      <c r="P60" s="31" t="str">
        <f t="shared" si="11"/>
        <v>gok</v>
      </c>
      <c r="Q60" s="31" t="str">
        <f t="shared" si="11"/>
        <v>ngok</v>
      </c>
      <c r="R60" s="31" t="str">
        <f t="shared" si="11"/>
        <v>hok</v>
      </c>
      <c r="S60" s="31" t="str">
        <f t="shared" si="11"/>
        <v>tsok</v>
      </c>
      <c r="T60" s="31" t="str">
        <f t="shared" si="11"/>
        <v>tsiok</v>
      </c>
      <c r="U60" s="31" t="str">
        <f t="shared" si="11"/>
        <v>tshok</v>
      </c>
      <c r="V60" s="31" t="str">
        <f t="shared" si="11"/>
        <v>tshiok</v>
      </c>
      <c r="W60" s="31" t="str">
        <f t="shared" si="11"/>
        <v>sok</v>
      </c>
      <c r="X60" s="31" t="str">
        <f t="shared" si="11"/>
        <v>siok</v>
      </c>
      <c r="Y60" s="31" t="str">
        <f t="shared" si="11"/>
        <v>jok</v>
      </c>
      <c r="Z60" s="31" t="str">
        <f t="shared" si="11"/>
        <v>jiok</v>
      </c>
    </row>
    <row r="61" spans="1:26" ht="44.25">
      <c r="A61" s="16">
        <v>93</v>
      </c>
      <c r="B61" s="4" t="s">
        <v>319</v>
      </c>
      <c r="C61" s="17" t="s">
        <v>154</v>
      </c>
      <c r="D61" s="18" t="s">
        <v>236</v>
      </c>
      <c r="E61" s="31" t="str">
        <f t="shared" si="10"/>
        <v>Øom</v>
      </c>
      <c r="F61" s="31" t="str">
        <f t="shared" si="10"/>
        <v>pom</v>
      </c>
      <c r="G61" s="31" t="str">
        <f t="shared" si="10"/>
        <v>phom</v>
      </c>
      <c r="H61" s="31" t="str">
        <f t="shared" si="10"/>
        <v>bom</v>
      </c>
      <c r="I61" s="31" t="str">
        <f t="shared" si="10"/>
        <v>mom</v>
      </c>
      <c r="J61" s="31" t="str">
        <f t="shared" si="10"/>
        <v>tom</v>
      </c>
      <c r="K61" s="31" t="str">
        <f t="shared" si="10"/>
        <v>thom</v>
      </c>
      <c r="L61" s="31" t="str">
        <f t="shared" si="10"/>
        <v>lom</v>
      </c>
      <c r="M61" s="31" t="str">
        <f t="shared" si="10"/>
        <v>nom</v>
      </c>
      <c r="N61" s="31" t="str">
        <f t="shared" si="10"/>
        <v>kom</v>
      </c>
      <c r="O61" s="31" t="str">
        <f t="shared" si="11"/>
        <v>khom</v>
      </c>
      <c r="P61" s="31" t="str">
        <f t="shared" si="11"/>
        <v>gom</v>
      </c>
      <c r="Q61" s="31" t="str">
        <f t="shared" si="11"/>
        <v>ngom</v>
      </c>
      <c r="R61" s="31" t="str">
        <f t="shared" si="11"/>
        <v>hom</v>
      </c>
      <c r="S61" s="31" t="str">
        <f t="shared" si="11"/>
        <v>tsom</v>
      </c>
      <c r="T61" s="31" t="str">
        <f t="shared" si="11"/>
        <v>tsiom</v>
      </c>
      <c r="U61" s="31" t="str">
        <f t="shared" si="11"/>
        <v>tshom</v>
      </c>
      <c r="V61" s="31" t="str">
        <f t="shared" si="11"/>
        <v>tshiom</v>
      </c>
      <c r="W61" s="31" t="str">
        <f t="shared" si="11"/>
        <v>som</v>
      </c>
      <c r="X61" s="31" t="str">
        <f t="shared" si="11"/>
        <v>siom</v>
      </c>
      <c r="Y61" s="31" t="str">
        <f t="shared" si="11"/>
        <v>jom</v>
      </c>
      <c r="Z61" s="31" t="str">
        <f t="shared" si="11"/>
        <v>jiom</v>
      </c>
    </row>
    <row r="62" spans="1:26" ht="44.25">
      <c r="A62" s="16">
        <v>13</v>
      </c>
      <c r="B62" s="4" t="s">
        <v>255</v>
      </c>
      <c r="C62" s="17" t="s">
        <v>74</v>
      </c>
      <c r="D62" s="18" t="s">
        <v>173</v>
      </c>
      <c r="E62" s="31" t="str">
        <f t="shared" si="10"/>
        <v>Øong</v>
      </c>
      <c r="F62" s="31" t="str">
        <f t="shared" si="10"/>
        <v>pong</v>
      </c>
      <c r="G62" s="31" t="str">
        <f t="shared" si="10"/>
        <v>phong</v>
      </c>
      <c r="H62" s="31" t="str">
        <f t="shared" si="10"/>
        <v>bong</v>
      </c>
      <c r="I62" s="31" t="str">
        <f t="shared" si="10"/>
        <v>mong</v>
      </c>
      <c r="J62" s="31" t="str">
        <f t="shared" si="10"/>
        <v>tong</v>
      </c>
      <c r="K62" s="31" t="str">
        <f t="shared" si="10"/>
        <v>thong</v>
      </c>
      <c r="L62" s="31" t="str">
        <f t="shared" si="10"/>
        <v>long</v>
      </c>
      <c r="M62" s="31" t="str">
        <f t="shared" si="10"/>
        <v>nong</v>
      </c>
      <c r="N62" s="31" t="str">
        <f t="shared" si="10"/>
        <v>kong</v>
      </c>
      <c r="O62" s="31" t="str">
        <f t="shared" si="11"/>
        <v>khong</v>
      </c>
      <c r="P62" s="31" t="str">
        <f t="shared" si="11"/>
        <v>gong</v>
      </c>
      <c r="Q62" s="31" t="str">
        <f t="shared" si="11"/>
        <v>ngong</v>
      </c>
      <c r="R62" s="31" t="str">
        <f t="shared" si="11"/>
        <v>hong</v>
      </c>
      <c r="S62" s="31" t="str">
        <f t="shared" si="11"/>
        <v>tsong</v>
      </c>
      <c r="T62" s="31" t="str">
        <f t="shared" si="11"/>
        <v>tsiong</v>
      </c>
      <c r="U62" s="31" t="str">
        <f t="shared" si="11"/>
        <v>tshong</v>
      </c>
      <c r="V62" s="31" t="str">
        <f t="shared" si="11"/>
        <v>tshiong</v>
      </c>
      <c r="W62" s="31" t="str">
        <f t="shared" si="11"/>
        <v>song</v>
      </c>
      <c r="X62" s="31" t="str">
        <f t="shared" si="11"/>
        <v>siong</v>
      </c>
      <c r="Y62" s="31" t="str">
        <f t="shared" si="11"/>
        <v>jong</v>
      </c>
      <c r="Z62" s="31" t="str">
        <f t="shared" si="11"/>
        <v>jiong</v>
      </c>
    </row>
    <row r="63" spans="1:26" ht="44.25">
      <c r="A63" s="16">
        <v>81</v>
      </c>
      <c r="B63" s="25"/>
      <c r="C63" s="26" t="s">
        <v>142</v>
      </c>
      <c r="D63" s="27" t="s">
        <v>229</v>
      </c>
      <c r="E63" s="31" t="str">
        <f t="shared" si="10"/>
        <v>Øonn</v>
      </c>
      <c r="F63" s="31" t="str">
        <f t="shared" si="10"/>
        <v>ponn</v>
      </c>
      <c r="G63" s="31" t="str">
        <f t="shared" si="10"/>
        <v>phonn</v>
      </c>
      <c r="H63" s="31" t="str">
        <f t="shared" si="10"/>
        <v>bonn</v>
      </c>
      <c r="I63" s="31" t="str">
        <f t="shared" si="10"/>
        <v>monn</v>
      </c>
      <c r="J63" s="31" t="str">
        <f t="shared" si="10"/>
        <v>tonn</v>
      </c>
      <c r="K63" s="31" t="str">
        <f t="shared" si="10"/>
        <v>thonn</v>
      </c>
      <c r="L63" s="31" t="str">
        <f t="shared" si="10"/>
        <v>lonn</v>
      </c>
      <c r="M63" s="31" t="str">
        <f t="shared" si="10"/>
        <v>nonn</v>
      </c>
      <c r="N63" s="31" t="str">
        <f t="shared" si="10"/>
        <v>konn</v>
      </c>
      <c r="O63" s="31" t="str">
        <f t="shared" si="11"/>
        <v>khonn</v>
      </c>
      <c r="P63" s="31" t="str">
        <f t="shared" si="11"/>
        <v>gonn</v>
      </c>
      <c r="Q63" s="31" t="str">
        <f t="shared" si="11"/>
        <v>ngonn</v>
      </c>
      <c r="R63" s="31" t="str">
        <f t="shared" si="11"/>
        <v>honn</v>
      </c>
      <c r="S63" s="31" t="str">
        <f t="shared" si="11"/>
        <v>tsonn</v>
      </c>
      <c r="T63" s="31" t="str">
        <f t="shared" si="11"/>
        <v>tsionn</v>
      </c>
      <c r="U63" s="31" t="str">
        <f t="shared" si="11"/>
        <v>tshonn</v>
      </c>
      <c r="V63" s="31" t="str">
        <f t="shared" si="11"/>
        <v>tshionn</v>
      </c>
      <c r="W63" s="31" t="str">
        <f t="shared" si="11"/>
        <v>sonn</v>
      </c>
      <c r="X63" s="31" t="str">
        <f t="shared" si="11"/>
        <v>sionn</v>
      </c>
      <c r="Y63" s="31" t="str">
        <f t="shared" si="11"/>
        <v>jonn</v>
      </c>
      <c r="Z63" s="31" t="str">
        <f t="shared" si="11"/>
        <v>jionn</v>
      </c>
    </row>
    <row r="64" spans="1:26" ht="44.25">
      <c r="A64" s="16">
        <v>21</v>
      </c>
      <c r="B64" s="4" t="s">
        <v>262</v>
      </c>
      <c r="C64" s="17" t="s">
        <v>82</v>
      </c>
      <c r="D64" s="18" t="s">
        <v>181</v>
      </c>
      <c r="E64" s="31" t="str">
        <f t="shared" si="10"/>
        <v>Øoo</v>
      </c>
      <c r="F64" s="31" t="str">
        <f t="shared" si="10"/>
        <v>poo</v>
      </c>
      <c r="G64" s="31" t="str">
        <f t="shared" si="10"/>
        <v>phoo</v>
      </c>
      <c r="H64" s="31" t="str">
        <f t="shared" si="10"/>
        <v>boo</v>
      </c>
      <c r="I64" s="31" t="str">
        <f t="shared" si="10"/>
        <v>moo</v>
      </c>
      <c r="J64" s="31" t="str">
        <f t="shared" si="10"/>
        <v>too</v>
      </c>
      <c r="K64" s="31" t="str">
        <f t="shared" si="10"/>
        <v>thoo</v>
      </c>
      <c r="L64" s="31" t="str">
        <f t="shared" si="10"/>
        <v>loo</v>
      </c>
      <c r="M64" s="31" t="str">
        <f t="shared" si="10"/>
        <v>noo</v>
      </c>
      <c r="N64" s="31" t="str">
        <f t="shared" si="10"/>
        <v>koo</v>
      </c>
      <c r="O64" s="31" t="str">
        <f t="shared" si="11"/>
        <v>khoo</v>
      </c>
      <c r="P64" s="31" t="str">
        <f t="shared" si="11"/>
        <v>goo</v>
      </c>
      <c r="Q64" s="31" t="str">
        <f t="shared" si="11"/>
        <v>ngoo</v>
      </c>
      <c r="R64" s="31" t="str">
        <f t="shared" si="11"/>
        <v>hoo</v>
      </c>
      <c r="S64" s="31" t="str">
        <f t="shared" si="11"/>
        <v>tsoo</v>
      </c>
      <c r="T64" s="31" t="str">
        <f t="shared" si="11"/>
        <v>tsioo</v>
      </c>
      <c r="U64" s="31" t="str">
        <f t="shared" si="11"/>
        <v>tshoo</v>
      </c>
      <c r="V64" s="31" t="str">
        <f t="shared" si="11"/>
        <v>tshioo</v>
      </c>
      <c r="W64" s="31" t="str">
        <f t="shared" si="11"/>
        <v>soo</v>
      </c>
      <c r="X64" s="31" t="str">
        <f t="shared" si="11"/>
        <v>sioo</v>
      </c>
      <c r="Y64" s="31" t="str">
        <f t="shared" si="11"/>
        <v>joo</v>
      </c>
      <c r="Z64" s="31" t="str">
        <f t="shared" si="11"/>
        <v>jioo</v>
      </c>
    </row>
    <row r="65" spans="1:26" ht="44.25">
      <c r="A65" s="16">
        <v>22</v>
      </c>
      <c r="B65" s="4" t="s">
        <v>252</v>
      </c>
      <c r="C65" s="17" t="s">
        <v>83</v>
      </c>
      <c r="D65" s="18" t="s">
        <v>254</v>
      </c>
      <c r="E65" s="31" t="str">
        <f t="shared" ref="E65:N74" si="12">IF($D65="", "", _xlfn.CONCAT(E$3, $D65))</f>
        <v>Øooh</v>
      </c>
      <c r="F65" s="31" t="str">
        <f t="shared" si="12"/>
        <v>pooh</v>
      </c>
      <c r="G65" s="31" t="str">
        <f t="shared" si="12"/>
        <v>phooh</v>
      </c>
      <c r="H65" s="31" t="str">
        <f t="shared" si="12"/>
        <v>booh</v>
      </c>
      <c r="I65" s="31" t="str">
        <f t="shared" si="12"/>
        <v>mooh</v>
      </c>
      <c r="J65" s="31" t="str">
        <f t="shared" si="12"/>
        <v>tooh</v>
      </c>
      <c r="K65" s="31" t="str">
        <f t="shared" si="12"/>
        <v>thooh</v>
      </c>
      <c r="L65" s="31" t="str">
        <f t="shared" si="12"/>
        <v>looh</v>
      </c>
      <c r="M65" s="31" t="str">
        <f t="shared" si="12"/>
        <v>nooh</v>
      </c>
      <c r="N65" s="31" t="str">
        <f t="shared" si="12"/>
        <v>kooh</v>
      </c>
      <c r="O65" s="31" t="str">
        <f t="shared" ref="O65:Z74" si="13">IF($D65="", "", _xlfn.CONCAT(O$3, $D65))</f>
        <v>khooh</v>
      </c>
      <c r="P65" s="31" t="str">
        <f t="shared" si="13"/>
        <v>gooh</v>
      </c>
      <c r="Q65" s="31" t="str">
        <f t="shared" si="13"/>
        <v>ngooh</v>
      </c>
      <c r="R65" s="31" t="str">
        <f t="shared" si="13"/>
        <v>hooh</v>
      </c>
      <c r="S65" s="31" t="str">
        <f t="shared" si="13"/>
        <v>tsooh</v>
      </c>
      <c r="T65" s="31" t="str">
        <f t="shared" si="13"/>
        <v>tsiooh</v>
      </c>
      <c r="U65" s="31" t="str">
        <f t="shared" si="13"/>
        <v>tshooh</v>
      </c>
      <c r="V65" s="31" t="str">
        <f t="shared" si="13"/>
        <v>tshiooh</v>
      </c>
      <c r="W65" s="31" t="str">
        <f t="shared" si="13"/>
        <v>sooh</v>
      </c>
      <c r="X65" s="31" t="str">
        <f t="shared" si="13"/>
        <v>siooh</v>
      </c>
      <c r="Y65" s="31" t="str">
        <f t="shared" si="13"/>
        <v>jooh</v>
      </c>
      <c r="Z65" s="31" t="str">
        <f t="shared" si="13"/>
        <v>jiooh</v>
      </c>
    </row>
    <row r="66" spans="1:26" ht="44.25">
      <c r="A66" s="16">
        <v>94</v>
      </c>
      <c r="B66" s="4" t="s">
        <v>320</v>
      </c>
      <c r="C66" s="26" t="s">
        <v>155</v>
      </c>
      <c r="D66" s="27" t="s">
        <v>321</v>
      </c>
      <c r="E66" s="31" t="str">
        <f t="shared" si="12"/>
        <v>Øop</v>
      </c>
      <c r="F66" s="31" t="str">
        <f t="shared" si="12"/>
        <v>pop</v>
      </c>
      <c r="G66" s="31" t="str">
        <f t="shared" si="12"/>
        <v>phop</v>
      </c>
      <c r="H66" s="31" t="str">
        <f t="shared" si="12"/>
        <v>bop</v>
      </c>
      <c r="I66" s="31" t="str">
        <f t="shared" si="12"/>
        <v>mop</v>
      </c>
      <c r="J66" s="31" t="str">
        <f t="shared" si="12"/>
        <v>top</v>
      </c>
      <c r="K66" s="31" t="str">
        <f t="shared" si="12"/>
        <v>thop</v>
      </c>
      <c r="L66" s="31" t="str">
        <f t="shared" si="12"/>
        <v>lop</v>
      </c>
      <c r="M66" s="31" t="str">
        <f t="shared" si="12"/>
        <v>nop</v>
      </c>
      <c r="N66" s="31" t="str">
        <f t="shared" si="12"/>
        <v>kop</v>
      </c>
      <c r="O66" s="31" t="str">
        <f t="shared" si="13"/>
        <v>khop</v>
      </c>
      <c r="P66" s="31" t="str">
        <f t="shared" si="13"/>
        <v>gop</v>
      </c>
      <c r="Q66" s="31" t="str">
        <f t="shared" si="13"/>
        <v>ngop</v>
      </c>
      <c r="R66" s="31" t="str">
        <f t="shared" si="13"/>
        <v>hop</v>
      </c>
      <c r="S66" s="31" t="str">
        <f t="shared" si="13"/>
        <v>tsop</v>
      </c>
      <c r="T66" s="31" t="str">
        <f t="shared" si="13"/>
        <v>tsiop</v>
      </c>
      <c r="U66" s="31" t="str">
        <f t="shared" si="13"/>
        <v>tshop</v>
      </c>
      <c r="V66" s="31" t="str">
        <f t="shared" si="13"/>
        <v>tshiop</v>
      </c>
      <c r="W66" s="31" t="str">
        <f t="shared" si="13"/>
        <v>sop</v>
      </c>
      <c r="X66" s="31" t="str">
        <f t="shared" si="13"/>
        <v>siop</v>
      </c>
      <c r="Y66" s="31" t="str">
        <f t="shared" si="13"/>
        <v>jop</v>
      </c>
      <c r="Z66" s="31" t="str">
        <f t="shared" si="13"/>
        <v>jiop</v>
      </c>
    </row>
    <row r="67" spans="1:26" ht="44.25">
      <c r="A67" s="16">
        <v>53</v>
      </c>
      <c r="B67" s="4" t="s">
        <v>292</v>
      </c>
      <c r="C67" s="17" t="s">
        <v>114</v>
      </c>
      <c r="D67" s="18" t="s">
        <v>210</v>
      </c>
      <c r="E67" s="31" t="str">
        <f t="shared" si="12"/>
        <v>Øu</v>
      </c>
      <c r="F67" s="31" t="str">
        <f t="shared" si="12"/>
        <v>pu</v>
      </c>
      <c r="G67" s="31" t="str">
        <f t="shared" si="12"/>
        <v>phu</v>
      </c>
      <c r="H67" s="31" t="str">
        <f t="shared" si="12"/>
        <v>bu</v>
      </c>
      <c r="I67" s="31" t="str">
        <f t="shared" si="12"/>
        <v>mu</v>
      </c>
      <c r="J67" s="31" t="str">
        <f t="shared" si="12"/>
        <v>tu</v>
      </c>
      <c r="K67" s="31" t="str">
        <f t="shared" si="12"/>
        <v>thu</v>
      </c>
      <c r="L67" s="31" t="str">
        <f t="shared" si="12"/>
        <v>lu</v>
      </c>
      <c r="M67" s="31" t="str">
        <f t="shared" si="12"/>
        <v>nu</v>
      </c>
      <c r="N67" s="31" t="str">
        <f t="shared" si="12"/>
        <v>ku</v>
      </c>
      <c r="O67" s="31" t="str">
        <f t="shared" si="13"/>
        <v>khu</v>
      </c>
      <c r="P67" s="31" t="str">
        <f t="shared" si="13"/>
        <v>gu</v>
      </c>
      <c r="Q67" s="31" t="str">
        <f t="shared" si="13"/>
        <v>ngu</v>
      </c>
      <c r="R67" s="31" t="str">
        <f t="shared" si="13"/>
        <v>hu</v>
      </c>
      <c r="S67" s="31" t="str">
        <f t="shared" si="13"/>
        <v>tsu</v>
      </c>
      <c r="T67" s="31" t="str">
        <f t="shared" si="13"/>
        <v>tsiu</v>
      </c>
      <c r="U67" s="31" t="str">
        <f t="shared" si="13"/>
        <v>tshu</v>
      </c>
      <c r="V67" s="31" t="str">
        <f t="shared" si="13"/>
        <v>tshiu</v>
      </c>
      <c r="W67" s="31" t="str">
        <f t="shared" si="13"/>
        <v>su</v>
      </c>
      <c r="X67" s="31" t="str">
        <f t="shared" si="13"/>
        <v>siu</v>
      </c>
      <c r="Y67" s="31" t="str">
        <f t="shared" si="13"/>
        <v>ju</v>
      </c>
      <c r="Z67" s="31" t="str">
        <f t="shared" si="13"/>
        <v>jiu</v>
      </c>
    </row>
    <row r="68" spans="1:26" ht="44.25">
      <c r="A68" s="16">
        <v>39</v>
      </c>
      <c r="B68" s="4" t="s">
        <v>278</v>
      </c>
      <c r="C68" s="17" t="s">
        <v>100</v>
      </c>
      <c r="D68" s="18" t="s">
        <v>196</v>
      </c>
      <c r="E68" s="31" t="str">
        <f t="shared" si="12"/>
        <v>Øua</v>
      </c>
      <c r="F68" s="31" t="str">
        <f t="shared" si="12"/>
        <v>pua</v>
      </c>
      <c r="G68" s="31" t="str">
        <f t="shared" si="12"/>
        <v>phua</v>
      </c>
      <c r="H68" s="31" t="str">
        <f t="shared" si="12"/>
        <v>bua</v>
      </c>
      <c r="I68" s="31" t="str">
        <f t="shared" si="12"/>
        <v>mua</v>
      </c>
      <c r="J68" s="31" t="str">
        <f t="shared" si="12"/>
        <v>tua</v>
      </c>
      <c r="K68" s="31" t="str">
        <f t="shared" si="12"/>
        <v>thua</v>
      </c>
      <c r="L68" s="31" t="str">
        <f t="shared" si="12"/>
        <v>lua</v>
      </c>
      <c r="M68" s="31" t="str">
        <f t="shared" si="12"/>
        <v>nua</v>
      </c>
      <c r="N68" s="31" t="str">
        <f t="shared" si="12"/>
        <v>kua</v>
      </c>
      <c r="O68" s="31" t="str">
        <f t="shared" si="13"/>
        <v>khua</v>
      </c>
      <c r="P68" s="31" t="str">
        <f t="shared" si="13"/>
        <v>gua</v>
      </c>
      <c r="Q68" s="31" t="str">
        <f t="shared" si="13"/>
        <v>ngua</v>
      </c>
      <c r="R68" s="31" t="str">
        <f t="shared" si="13"/>
        <v>hua</v>
      </c>
      <c r="S68" s="31" t="str">
        <f t="shared" si="13"/>
        <v>tsua</v>
      </c>
      <c r="T68" s="31" t="str">
        <f t="shared" si="13"/>
        <v>tsiua</v>
      </c>
      <c r="U68" s="31" t="str">
        <f t="shared" si="13"/>
        <v>tshua</v>
      </c>
      <c r="V68" s="31" t="str">
        <f t="shared" si="13"/>
        <v>tshiua</v>
      </c>
      <c r="W68" s="31" t="str">
        <f t="shared" si="13"/>
        <v>sua</v>
      </c>
      <c r="X68" s="31" t="str">
        <f t="shared" si="13"/>
        <v>siua</v>
      </c>
      <c r="Y68" s="31" t="str">
        <f t="shared" si="13"/>
        <v>jua</v>
      </c>
      <c r="Z68" s="31" t="str">
        <f t="shared" si="13"/>
        <v>jiua</v>
      </c>
    </row>
    <row r="69" spans="1:26" ht="44.25">
      <c r="A69" s="16">
        <v>40</v>
      </c>
      <c r="B69" s="4" t="s">
        <v>279</v>
      </c>
      <c r="C69" s="17" t="s">
        <v>101</v>
      </c>
      <c r="D69" s="18" t="s">
        <v>197</v>
      </c>
      <c r="E69" s="31" t="str">
        <f t="shared" si="12"/>
        <v>Øuah</v>
      </c>
      <c r="F69" s="31" t="str">
        <f t="shared" si="12"/>
        <v>puah</v>
      </c>
      <c r="G69" s="31" t="str">
        <f t="shared" si="12"/>
        <v>phuah</v>
      </c>
      <c r="H69" s="31" t="str">
        <f t="shared" si="12"/>
        <v>buah</v>
      </c>
      <c r="I69" s="31" t="str">
        <f t="shared" si="12"/>
        <v>muah</v>
      </c>
      <c r="J69" s="31" t="str">
        <f t="shared" si="12"/>
        <v>tuah</v>
      </c>
      <c r="K69" s="31" t="str">
        <f t="shared" si="12"/>
        <v>thuah</v>
      </c>
      <c r="L69" s="31" t="str">
        <f t="shared" si="12"/>
        <v>luah</v>
      </c>
      <c r="M69" s="31" t="str">
        <f t="shared" si="12"/>
        <v>nuah</v>
      </c>
      <c r="N69" s="31" t="str">
        <f t="shared" si="12"/>
        <v>kuah</v>
      </c>
      <c r="O69" s="31" t="str">
        <f t="shared" si="13"/>
        <v>khuah</v>
      </c>
      <c r="P69" s="31" t="str">
        <f t="shared" si="13"/>
        <v>guah</v>
      </c>
      <c r="Q69" s="31" t="str">
        <f t="shared" si="13"/>
        <v>nguah</v>
      </c>
      <c r="R69" s="31" t="str">
        <f t="shared" si="13"/>
        <v>huah</v>
      </c>
      <c r="S69" s="31" t="str">
        <f t="shared" si="13"/>
        <v>tsuah</v>
      </c>
      <c r="T69" s="31" t="str">
        <f t="shared" si="13"/>
        <v>tsiuah</v>
      </c>
      <c r="U69" s="31" t="str">
        <f t="shared" si="13"/>
        <v>tshuah</v>
      </c>
      <c r="V69" s="31" t="str">
        <f t="shared" si="13"/>
        <v>tshiuah</v>
      </c>
      <c r="W69" s="31" t="str">
        <f t="shared" si="13"/>
        <v>suah</v>
      </c>
      <c r="X69" s="31" t="str">
        <f t="shared" si="13"/>
        <v>siuah</v>
      </c>
      <c r="Y69" s="31" t="str">
        <f t="shared" si="13"/>
        <v>juah</v>
      </c>
      <c r="Z69" s="31" t="str">
        <f t="shared" si="13"/>
        <v>jiuah</v>
      </c>
    </row>
    <row r="70" spans="1:26" ht="44.25">
      <c r="A70" s="16">
        <v>15</v>
      </c>
      <c r="B70" s="4" t="s">
        <v>257</v>
      </c>
      <c r="C70" s="17" t="s">
        <v>76</v>
      </c>
      <c r="D70" s="18" t="s">
        <v>175</v>
      </c>
      <c r="E70" s="31" t="str">
        <f t="shared" si="12"/>
        <v>Øuai</v>
      </c>
      <c r="F70" s="31" t="str">
        <f t="shared" si="12"/>
        <v>puai</v>
      </c>
      <c r="G70" s="31" t="str">
        <f t="shared" si="12"/>
        <v>phuai</v>
      </c>
      <c r="H70" s="31" t="str">
        <f t="shared" si="12"/>
        <v>buai</v>
      </c>
      <c r="I70" s="31" t="str">
        <f t="shared" si="12"/>
        <v>muai</v>
      </c>
      <c r="J70" s="31" t="str">
        <f t="shared" si="12"/>
        <v>tuai</v>
      </c>
      <c r="K70" s="31" t="str">
        <f t="shared" si="12"/>
        <v>thuai</v>
      </c>
      <c r="L70" s="31" t="str">
        <f t="shared" si="12"/>
        <v>luai</v>
      </c>
      <c r="M70" s="31" t="str">
        <f t="shared" si="12"/>
        <v>nuai</v>
      </c>
      <c r="N70" s="31" t="str">
        <f t="shared" si="12"/>
        <v>kuai</v>
      </c>
      <c r="O70" s="31" t="str">
        <f t="shared" si="13"/>
        <v>khuai</v>
      </c>
      <c r="P70" s="31" t="str">
        <f t="shared" si="13"/>
        <v>guai</v>
      </c>
      <c r="Q70" s="31" t="str">
        <f t="shared" si="13"/>
        <v>nguai</v>
      </c>
      <c r="R70" s="31" t="str">
        <f t="shared" si="13"/>
        <v>huai</v>
      </c>
      <c r="S70" s="31" t="str">
        <f t="shared" si="13"/>
        <v>tsuai</v>
      </c>
      <c r="T70" s="31" t="str">
        <f t="shared" si="13"/>
        <v>tsiuai</v>
      </c>
      <c r="U70" s="31" t="str">
        <f t="shared" si="13"/>
        <v>tshuai</v>
      </c>
      <c r="V70" s="31" t="str">
        <f t="shared" si="13"/>
        <v>tshiuai</v>
      </c>
      <c r="W70" s="31" t="str">
        <f t="shared" si="13"/>
        <v>suai</v>
      </c>
      <c r="X70" s="31" t="str">
        <f t="shared" si="13"/>
        <v>siuai</v>
      </c>
      <c r="Y70" s="31" t="str">
        <f t="shared" si="13"/>
        <v>juai</v>
      </c>
      <c r="Z70" s="31" t="str">
        <f t="shared" si="13"/>
        <v>jiuai</v>
      </c>
    </row>
    <row r="71" spans="1:26" ht="44.25">
      <c r="A71" s="16">
        <v>16</v>
      </c>
      <c r="B71" s="22" t="s">
        <v>258</v>
      </c>
      <c r="C71" s="23" t="s">
        <v>77</v>
      </c>
      <c r="D71" s="24" t="s">
        <v>176</v>
      </c>
      <c r="E71" s="31" t="str">
        <f t="shared" si="12"/>
        <v>Øuaih</v>
      </c>
      <c r="F71" s="31" t="str">
        <f t="shared" si="12"/>
        <v>puaih</v>
      </c>
      <c r="G71" s="31" t="str">
        <f t="shared" si="12"/>
        <v>phuaih</v>
      </c>
      <c r="H71" s="31" t="str">
        <f t="shared" si="12"/>
        <v>buaih</v>
      </c>
      <c r="I71" s="31" t="str">
        <f t="shared" si="12"/>
        <v>muaih</v>
      </c>
      <c r="J71" s="31" t="str">
        <f t="shared" si="12"/>
        <v>tuaih</v>
      </c>
      <c r="K71" s="31" t="str">
        <f t="shared" si="12"/>
        <v>thuaih</v>
      </c>
      <c r="L71" s="31" t="str">
        <f t="shared" si="12"/>
        <v>luaih</v>
      </c>
      <c r="M71" s="31" t="str">
        <f t="shared" si="12"/>
        <v>nuaih</v>
      </c>
      <c r="N71" s="31" t="str">
        <f t="shared" si="12"/>
        <v>kuaih</v>
      </c>
      <c r="O71" s="31" t="str">
        <f t="shared" si="13"/>
        <v>khuaih</v>
      </c>
      <c r="P71" s="31" t="str">
        <f t="shared" si="13"/>
        <v>guaih</v>
      </c>
      <c r="Q71" s="31" t="str">
        <f t="shared" si="13"/>
        <v>nguaih</v>
      </c>
      <c r="R71" s="31" t="str">
        <f t="shared" si="13"/>
        <v>huaih</v>
      </c>
      <c r="S71" s="31" t="str">
        <f t="shared" si="13"/>
        <v>tsuaih</v>
      </c>
      <c r="T71" s="31" t="str">
        <f t="shared" si="13"/>
        <v>tsiuaih</v>
      </c>
      <c r="U71" s="31" t="str">
        <f t="shared" si="13"/>
        <v>tshuaih</v>
      </c>
      <c r="V71" s="31" t="str">
        <f t="shared" si="13"/>
        <v>tshiuaih</v>
      </c>
      <c r="W71" s="31" t="str">
        <f t="shared" si="13"/>
        <v>suaih</v>
      </c>
      <c r="X71" s="31" t="str">
        <f t="shared" si="13"/>
        <v>siuaih</v>
      </c>
      <c r="Y71" s="31" t="str">
        <f t="shared" si="13"/>
        <v>juaih</v>
      </c>
      <c r="Z71" s="31" t="str">
        <f t="shared" si="13"/>
        <v>jiuaih</v>
      </c>
    </row>
    <row r="72" spans="1:26" ht="44.25">
      <c r="A72" s="16">
        <v>19</v>
      </c>
      <c r="B72" s="4" t="s">
        <v>260</v>
      </c>
      <c r="C72" s="17" t="s">
        <v>80</v>
      </c>
      <c r="D72" s="18" t="s">
        <v>179</v>
      </c>
      <c r="E72" s="31" t="str">
        <f t="shared" si="12"/>
        <v>Øuan</v>
      </c>
      <c r="F72" s="31" t="str">
        <f t="shared" si="12"/>
        <v>puan</v>
      </c>
      <c r="G72" s="31" t="str">
        <f t="shared" si="12"/>
        <v>phuan</v>
      </c>
      <c r="H72" s="31" t="str">
        <f t="shared" si="12"/>
        <v>buan</v>
      </c>
      <c r="I72" s="31" t="str">
        <f t="shared" si="12"/>
        <v>muan</v>
      </c>
      <c r="J72" s="31" t="str">
        <f t="shared" si="12"/>
        <v>tuan</v>
      </c>
      <c r="K72" s="31" t="str">
        <f t="shared" si="12"/>
        <v>thuan</v>
      </c>
      <c r="L72" s="31" t="str">
        <f t="shared" si="12"/>
        <v>luan</v>
      </c>
      <c r="M72" s="31" t="str">
        <f t="shared" si="12"/>
        <v>nuan</v>
      </c>
      <c r="N72" s="31" t="str">
        <f t="shared" si="12"/>
        <v>kuan</v>
      </c>
      <c r="O72" s="31" t="str">
        <f t="shared" si="13"/>
        <v>khuan</v>
      </c>
      <c r="P72" s="31" t="str">
        <f t="shared" si="13"/>
        <v>guan</v>
      </c>
      <c r="Q72" s="31" t="str">
        <f t="shared" si="13"/>
        <v>nguan</v>
      </c>
      <c r="R72" s="31" t="str">
        <f t="shared" si="13"/>
        <v>huan</v>
      </c>
      <c r="S72" s="31" t="str">
        <f t="shared" si="13"/>
        <v>tsuan</v>
      </c>
      <c r="T72" s="31" t="str">
        <f t="shared" si="13"/>
        <v>tsiuan</v>
      </c>
      <c r="U72" s="31" t="str">
        <f t="shared" si="13"/>
        <v>tshuan</v>
      </c>
      <c r="V72" s="31" t="str">
        <f t="shared" si="13"/>
        <v>tshiuan</v>
      </c>
      <c r="W72" s="31" t="str">
        <f t="shared" si="13"/>
        <v>suan</v>
      </c>
      <c r="X72" s="31" t="str">
        <f t="shared" si="13"/>
        <v>siuan</v>
      </c>
      <c r="Y72" s="31" t="str">
        <f t="shared" si="13"/>
        <v>juan</v>
      </c>
      <c r="Z72" s="31" t="str">
        <f t="shared" si="13"/>
        <v>jiuan</v>
      </c>
    </row>
    <row r="73" spans="1:26" ht="44.25">
      <c r="A73" s="16">
        <v>85</v>
      </c>
      <c r="B73" s="4" t="s">
        <v>312</v>
      </c>
      <c r="C73" s="17" t="s">
        <v>146</v>
      </c>
      <c r="D73" s="18" t="s">
        <v>230</v>
      </c>
      <c r="E73" s="31" t="str">
        <f t="shared" si="12"/>
        <v>Øuang</v>
      </c>
      <c r="F73" s="31" t="str">
        <f t="shared" si="12"/>
        <v>puang</v>
      </c>
      <c r="G73" s="31" t="str">
        <f t="shared" si="12"/>
        <v>phuang</v>
      </c>
      <c r="H73" s="31" t="str">
        <f t="shared" si="12"/>
        <v>buang</v>
      </c>
      <c r="I73" s="31" t="str">
        <f t="shared" si="12"/>
        <v>muang</v>
      </c>
      <c r="J73" s="31" t="str">
        <f t="shared" si="12"/>
        <v>tuang</v>
      </c>
      <c r="K73" s="31" t="str">
        <f t="shared" si="12"/>
        <v>thuang</v>
      </c>
      <c r="L73" s="31" t="str">
        <f t="shared" si="12"/>
        <v>luang</v>
      </c>
      <c r="M73" s="31" t="str">
        <f t="shared" si="12"/>
        <v>nuang</v>
      </c>
      <c r="N73" s="31" t="str">
        <f t="shared" si="12"/>
        <v>kuang</v>
      </c>
      <c r="O73" s="31" t="str">
        <f t="shared" si="13"/>
        <v>khuang</v>
      </c>
      <c r="P73" s="31" t="str">
        <f t="shared" si="13"/>
        <v>guang</v>
      </c>
      <c r="Q73" s="31" t="str">
        <f t="shared" si="13"/>
        <v>nguang</v>
      </c>
      <c r="R73" s="31" t="str">
        <f t="shared" si="13"/>
        <v>huang</v>
      </c>
      <c r="S73" s="31" t="str">
        <f t="shared" si="13"/>
        <v>tsuang</v>
      </c>
      <c r="T73" s="31" t="str">
        <f t="shared" si="13"/>
        <v>tsiuang</v>
      </c>
      <c r="U73" s="31" t="str">
        <f t="shared" si="13"/>
        <v>tshuang</v>
      </c>
      <c r="V73" s="31" t="str">
        <f t="shared" si="13"/>
        <v>tshiuang</v>
      </c>
      <c r="W73" s="31" t="str">
        <f t="shared" si="13"/>
        <v>suang</v>
      </c>
      <c r="X73" s="31" t="str">
        <f t="shared" si="13"/>
        <v>siuang</v>
      </c>
      <c r="Y73" s="31" t="str">
        <f t="shared" si="13"/>
        <v>juang</v>
      </c>
      <c r="Z73" s="31" t="str">
        <f t="shared" si="13"/>
        <v>jiuang</v>
      </c>
    </row>
    <row r="74" spans="1:26" ht="44.25">
      <c r="A74" s="16">
        <v>73</v>
      </c>
      <c r="B74" s="4" t="s">
        <v>307</v>
      </c>
      <c r="C74" s="17" t="s">
        <v>134</v>
      </c>
      <c r="D74" s="18" t="s">
        <v>226</v>
      </c>
      <c r="E74" s="31" t="str">
        <f t="shared" si="12"/>
        <v>Øuann</v>
      </c>
      <c r="F74" s="31" t="str">
        <f t="shared" si="12"/>
        <v>puann</v>
      </c>
      <c r="G74" s="31" t="str">
        <f t="shared" si="12"/>
        <v>phuann</v>
      </c>
      <c r="H74" s="31" t="str">
        <f t="shared" si="12"/>
        <v>buann</v>
      </c>
      <c r="I74" s="31" t="str">
        <f t="shared" si="12"/>
        <v>muann</v>
      </c>
      <c r="J74" s="31" t="str">
        <f t="shared" si="12"/>
        <v>tuann</v>
      </c>
      <c r="K74" s="31" t="str">
        <f t="shared" si="12"/>
        <v>thuann</v>
      </c>
      <c r="L74" s="31" t="str">
        <f t="shared" si="12"/>
        <v>luann</v>
      </c>
      <c r="M74" s="31" t="str">
        <f t="shared" si="12"/>
        <v>nuann</v>
      </c>
      <c r="N74" s="31" t="str">
        <f t="shared" si="12"/>
        <v>kuann</v>
      </c>
      <c r="O74" s="31" t="str">
        <f t="shared" si="13"/>
        <v>khuann</v>
      </c>
      <c r="P74" s="31" t="str">
        <f t="shared" si="13"/>
        <v>guann</v>
      </c>
      <c r="Q74" s="31" t="str">
        <f t="shared" si="13"/>
        <v>nguann</v>
      </c>
      <c r="R74" s="31" t="str">
        <f t="shared" si="13"/>
        <v>huann</v>
      </c>
      <c r="S74" s="31" t="str">
        <f t="shared" si="13"/>
        <v>tsuann</v>
      </c>
      <c r="T74" s="31" t="str">
        <f t="shared" si="13"/>
        <v>tsiuann</v>
      </c>
      <c r="U74" s="31" t="str">
        <f t="shared" si="13"/>
        <v>tshuann</v>
      </c>
      <c r="V74" s="31" t="str">
        <f t="shared" si="13"/>
        <v>tshiuann</v>
      </c>
      <c r="W74" s="31" t="str">
        <f t="shared" si="13"/>
        <v>suann</v>
      </c>
      <c r="X74" s="31" t="str">
        <f t="shared" si="13"/>
        <v>siuann</v>
      </c>
      <c r="Y74" s="31" t="str">
        <f t="shared" si="13"/>
        <v>juann</v>
      </c>
      <c r="Z74" s="31" t="str">
        <f t="shared" si="13"/>
        <v>jiuann</v>
      </c>
    </row>
    <row r="75" spans="1:26" ht="44.25">
      <c r="A75" s="16">
        <v>20</v>
      </c>
      <c r="B75" s="4" t="s">
        <v>261</v>
      </c>
      <c r="C75" s="17" t="s">
        <v>81</v>
      </c>
      <c r="D75" s="18" t="s">
        <v>180</v>
      </c>
      <c r="E75" s="31" t="str">
        <f t="shared" ref="E75:N83" si="14">IF($D75="", "", _xlfn.CONCAT(E$3, $D75))</f>
        <v>Øuat</v>
      </c>
      <c r="F75" s="31" t="str">
        <f t="shared" si="14"/>
        <v>puat</v>
      </c>
      <c r="G75" s="31" t="str">
        <f t="shared" si="14"/>
        <v>phuat</v>
      </c>
      <c r="H75" s="31" t="str">
        <f t="shared" si="14"/>
        <v>buat</v>
      </c>
      <c r="I75" s="31" t="str">
        <f t="shared" si="14"/>
        <v>muat</v>
      </c>
      <c r="J75" s="31" t="str">
        <f t="shared" si="14"/>
        <v>tuat</v>
      </c>
      <c r="K75" s="31" t="str">
        <f t="shared" si="14"/>
        <v>thuat</v>
      </c>
      <c r="L75" s="31" t="str">
        <f t="shared" si="14"/>
        <v>luat</v>
      </c>
      <c r="M75" s="31" t="str">
        <f t="shared" si="14"/>
        <v>nuat</v>
      </c>
      <c r="N75" s="31" t="str">
        <f t="shared" si="14"/>
        <v>kuat</v>
      </c>
      <c r="O75" s="31" t="str">
        <f t="shared" ref="O75:Z83" si="15">IF($D75="", "", _xlfn.CONCAT(O$3, $D75))</f>
        <v>khuat</v>
      </c>
      <c r="P75" s="31" t="str">
        <f t="shared" si="15"/>
        <v>guat</v>
      </c>
      <c r="Q75" s="31" t="str">
        <f t="shared" si="15"/>
        <v>nguat</v>
      </c>
      <c r="R75" s="31" t="str">
        <f t="shared" si="15"/>
        <v>huat</v>
      </c>
      <c r="S75" s="31" t="str">
        <f t="shared" si="15"/>
        <v>tsuat</v>
      </c>
      <c r="T75" s="31" t="str">
        <f t="shared" si="15"/>
        <v>tsiuat</v>
      </c>
      <c r="U75" s="31" t="str">
        <f t="shared" si="15"/>
        <v>tshuat</v>
      </c>
      <c r="V75" s="31" t="str">
        <f t="shared" si="15"/>
        <v>tshiuat</v>
      </c>
      <c r="W75" s="31" t="str">
        <f t="shared" si="15"/>
        <v>suat</v>
      </c>
      <c r="X75" s="31" t="str">
        <f t="shared" si="15"/>
        <v>siuat</v>
      </c>
      <c r="Y75" s="31" t="str">
        <f t="shared" si="15"/>
        <v>juat</v>
      </c>
      <c r="Z75" s="31" t="str">
        <f t="shared" si="15"/>
        <v>jiuat</v>
      </c>
    </row>
    <row r="76" spans="1:26" ht="44.25">
      <c r="A76" s="16">
        <v>49</v>
      </c>
      <c r="B76" s="4" t="s">
        <v>288</v>
      </c>
      <c r="C76" s="17" t="s">
        <v>110</v>
      </c>
      <c r="D76" s="18" t="s">
        <v>206</v>
      </c>
      <c r="E76" s="31" t="str">
        <f t="shared" si="14"/>
        <v>Øue</v>
      </c>
      <c r="F76" s="31" t="str">
        <f t="shared" si="14"/>
        <v>pue</v>
      </c>
      <c r="G76" s="31" t="str">
        <f t="shared" si="14"/>
        <v>phue</v>
      </c>
      <c r="H76" s="31" t="str">
        <f t="shared" si="14"/>
        <v>bue</v>
      </c>
      <c r="I76" s="31" t="str">
        <f t="shared" si="14"/>
        <v>mue</v>
      </c>
      <c r="J76" s="31" t="str">
        <f t="shared" si="14"/>
        <v>tue</v>
      </c>
      <c r="K76" s="31" t="str">
        <f t="shared" si="14"/>
        <v>thue</v>
      </c>
      <c r="L76" s="31" t="str">
        <f t="shared" si="14"/>
        <v>lue</v>
      </c>
      <c r="M76" s="31" t="str">
        <f t="shared" si="14"/>
        <v>nue</v>
      </c>
      <c r="N76" s="31" t="str">
        <f t="shared" si="14"/>
        <v>kue</v>
      </c>
      <c r="O76" s="31" t="str">
        <f t="shared" si="15"/>
        <v>khue</v>
      </c>
      <c r="P76" s="31" t="str">
        <f t="shared" si="15"/>
        <v>gue</v>
      </c>
      <c r="Q76" s="31" t="str">
        <f t="shared" si="15"/>
        <v>ngue</v>
      </c>
      <c r="R76" s="31" t="str">
        <f t="shared" si="15"/>
        <v>hue</v>
      </c>
      <c r="S76" s="31" t="str">
        <f t="shared" si="15"/>
        <v>tsue</v>
      </c>
      <c r="T76" s="31" t="str">
        <f t="shared" si="15"/>
        <v>tsiue</v>
      </c>
      <c r="U76" s="31" t="str">
        <f t="shared" si="15"/>
        <v>tshue</v>
      </c>
      <c r="V76" s="31" t="str">
        <f t="shared" si="15"/>
        <v>tshiue</v>
      </c>
      <c r="W76" s="31" t="str">
        <f t="shared" si="15"/>
        <v>sue</v>
      </c>
      <c r="X76" s="31" t="str">
        <f t="shared" si="15"/>
        <v>siue</v>
      </c>
      <c r="Y76" s="31" t="str">
        <f t="shared" si="15"/>
        <v>jue</v>
      </c>
      <c r="Z76" s="31" t="str">
        <f t="shared" si="15"/>
        <v>jiue</v>
      </c>
    </row>
    <row r="77" spans="1:26" ht="44.25">
      <c r="A77" s="16">
        <v>50</v>
      </c>
      <c r="B77" s="4" t="s">
        <v>289</v>
      </c>
      <c r="C77" s="17" t="s">
        <v>111</v>
      </c>
      <c r="D77" s="18" t="s">
        <v>207</v>
      </c>
      <c r="E77" s="31" t="str">
        <f t="shared" si="14"/>
        <v>Øueh</v>
      </c>
      <c r="F77" s="31" t="str">
        <f t="shared" si="14"/>
        <v>pueh</v>
      </c>
      <c r="G77" s="31" t="str">
        <f t="shared" si="14"/>
        <v>phueh</v>
      </c>
      <c r="H77" s="31" t="str">
        <f t="shared" si="14"/>
        <v>bueh</v>
      </c>
      <c r="I77" s="31" t="str">
        <f t="shared" si="14"/>
        <v>mueh</v>
      </c>
      <c r="J77" s="31" t="str">
        <f t="shared" si="14"/>
        <v>tueh</v>
      </c>
      <c r="K77" s="31" t="str">
        <f t="shared" si="14"/>
        <v>thueh</v>
      </c>
      <c r="L77" s="31" t="str">
        <f t="shared" si="14"/>
        <v>lueh</v>
      </c>
      <c r="M77" s="31" t="str">
        <f t="shared" si="14"/>
        <v>nueh</v>
      </c>
      <c r="N77" s="31" t="str">
        <f t="shared" si="14"/>
        <v>kueh</v>
      </c>
      <c r="O77" s="31" t="str">
        <f t="shared" si="15"/>
        <v>khueh</v>
      </c>
      <c r="P77" s="31" t="str">
        <f t="shared" si="15"/>
        <v>gueh</v>
      </c>
      <c r="Q77" s="31" t="str">
        <f t="shared" si="15"/>
        <v>ngueh</v>
      </c>
      <c r="R77" s="31" t="str">
        <f t="shared" si="15"/>
        <v>hueh</v>
      </c>
      <c r="S77" s="31" t="str">
        <f t="shared" si="15"/>
        <v>tsueh</v>
      </c>
      <c r="T77" s="31" t="str">
        <f t="shared" si="15"/>
        <v>tsiueh</v>
      </c>
      <c r="U77" s="31" t="str">
        <f t="shared" si="15"/>
        <v>tshueh</v>
      </c>
      <c r="V77" s="31" t="str">
        <f t="shared" si="15"/>
        <v>tshiueh</v>
      </c>
      <c r="W77" s="31" t="str">
        <f t="shared" si="15"/>
        <v>sueh</v>
      </c>
      <c r="X77" s="31" t="str">
        <f t="shared" si="15"/>
        <v>siueh</v>
      </c>
      <c r="Y77" s="31" t="str">
        <f t="shared" si="15"/>
        <v>jueh</v>
      </c>
      <c r="Z77" s="31" t="str">
        <f t="shared" si="15"/>
        <v>jiueh</v>
      </c>
    </row>
    <row r="78" spans="1:26" ht="44.25">
      <c r="A78" s="16">
        <v>89</v>
      </c>
      <c r="B78" s="29" t="s">
        <v>313</v>
      </c>
      <c r="C78" s="26" t="s">
        <v>150</v>
      </c>
      <c r="D78" s="27" t="s">
        <v>234</v>
      </c>
      <c r="E78" s="31" t="str">
        <f t="shared" si="14"/>
        <v>Øuenn</v>
      </c>
      <c r="F78" s="31" t="str">
        <f t="shared" si="14"/>
        <v>puenn</v>
      </c>
      <c r="G78" s="31" t="str">
        <f t="shared" si="14"/>
        <v>phuenn</v>
      </c>
      <c r="H78" s="31" t="str">
        <f t="shared" si="14"/>
        <v>buenn</v>
      </c>
      <c r="I78" s="31" t="str">
        <f t="shared" si="14"/>
        <v>muenn</v>
      </c>
      <c r="J78" s="31" t="str">
        <f t="shared" si="14"/>
        <v>tuenn</v>
      </c>
      <c r="K78" s="31" t="str">
        <f t="shared" si="14"/>
        <v>thuenn</v>
      </c>
      <c r="L78" s="31" t="str">
        <f t="shared" si="14"/>
        <v>luenn</v>
      </c>
      <c r="M78" s="31" t="str">
        <f t="shared" si="14"/>
        <v>nuenn</v>
      </c>
      <c r="N78" s="31" t="str">
        <f t="shared" si="14"/>
        <v>kuenn</v>
      </c>
      <c r="O78" s="31" t="str">
        <f t="shared" si="15"/>
        <v>khuenn</v>
      </c>
      <c r="P78" s="31" t="str">
        <f t="shared" si="15"/>
        <v>guenn</v>
      </c>
      <c r="Q78" s="31" t="str">
        <f t="shared" si="15"/>
        <v>nguenn</v>
      </c>
      <c r="R78" s="31" t="str">
        <f t="shared" si="15"/>
        <v>huenn</v>
      </c>
      <c r="S78" s="31" t="str">
        <f t="shared" si="15"/>
        <v>tsuenn</v>
      </c>
      <c r="T78" s="31" t="str">
        <f t="shared" si="15"/>
        <v>tsiuenn</v>
      </c>
      <c r="U78" s="31" t="str">
        <f t="shared" si="15"/>
        <v>tshuenn</v>
      </c>
      <c r="V78" s="31" t="str">
        <f t="shared" si="15"/>
        <v>tshiuenn</v>
      </c>
      <c r="W78" s="31" t="str">
        <f t="shared" si="15"/>
        <v>suenn</v>
      </c>
      <c r="X78" s="31" t="str">
        <f t="shared" si="15"/>
        <v>siuenn</v>
      </c>
      <c r="Y78" s="31" t="str">
        <f t="shared" si="15"/>
        <v>juenn</v>
      </c>
      <c r="Z78" s="31" t="str">
        <f t="shared" si="15"/>
        <v>jiuenn</v>
      </c>
    </row>
    <row r="79" spans="1:26" ht="44.25">
      <c r="A79" s="16">
        <v>90</v>
      </c>
      <c r="B79" s="29" t="s">
        <v>314</v>
      </c>
      <c r="C79" s="26" t="s">
        <v>151</v>
      </c>
      <c r="D79" s="27" t="s">
        <v>315</v>
      </c>
      <c r="E79" s="31" t="str">
        <f t="shared" si="14"/>
        <v>Øuennh</v>
      </c>
      <c r="F79" s="31" t="str">
        <f t="shared" si="14"/>
        <v>puennh</v>
      </c>
      <c r="G79" s="31" t="str">
        <f t="shared" si="14"/>
        <v>phuennh</v>
      </c>
      <c r="H79" s="31" t="str">
        <f t="shared" si="14"/>
        <v>buennh</v>
      </c>
      <c r="I79" s="31" t="str">
        <f t="shared" si="14"/>
        <v>muennh</v>
      </c>
      <c r="J79" s="31" t="str">
        <f t="shared" si="14"/>
        <v>tuennh</v>
      </c>
      <c r="K79" s="31" t="str">
        <f t="shared" si="14"/>
        <v>thuennh</v>
      </c>
      <c r="L79" s="31" t="str">
        <f t="shared" si="14"/>
        <v>luennh</v>
      </c>
      <c r="M79" s="31" t="str">
        <f t="shared" si="14"/>
        <v>nuennh</v>
      </c>
      <c r="N79" s="31" t="str">
        <f t="shared" si="14"/>
        <v>kuennh</v>
      </c>
      <c r="O79" s="31" t="str">
        <f t="shared" si="15"/>
        <v>khuennh</v>
      </c>
      <c r="P79" s="31" t="str">
        <f t="shared" si="15"/>
        <v>guennh</v>
      </c>
      <c r="Q79" s="31" t="str">
        <f t="shared" si="15"/>
        <v>nguennh</v>
      </c>
      <c r="R79" s="31" t="str">
        <f t="shared" si="15"/>
        <v>huennh</v>
      </c>
      <c r="S79" s="31" t="str">
        <f t="shared" si="15"/>
        <v>tsuennh</v>
      </c>
      <c r="T79" s="31" t="str">
        <f t="shared" si="15"/>
        <v>tsiuennh</v>
      </c>
      <c r="U79" s="31" t="str">
        <f t="shared" si="15"/>
        <v>tshuennh</v>
      </c>
      <c r="V79" s="31" t="str">
        <f t="shared" si="15"/>
        <v>tshiuennh</v>
      </c>
      <c r="W79" s="31" t="str">
        <f t="shared" si="15"/>
        <v>suennh</v>
      </c>
      <c r="X79" s="31" t="str">
        <f t="shared" si="15"/>
        <v>siuennh</v>
      </c>
      <c r="Y79" s="31" t="str">
        <f t="shared" si="15"/>
        <v>juennh</v>
      </c>
      <c r="Z79" s="31" t="str">
        <f t="shared" si="15"/>
        <v>jiuennh</v>
      </c>
    </row>
    <row r="80" spans="1:26" ht="44.25">
      <c r="A80" s="16">
        <v>54</v>
      </c>
      <c r="B80" s="4" t="s">
        <v>293</v>
      </c>
      <c r="C80" s="17" t="s">
        <v>115</v>
      </c>
      <c r="D80" s="18" t="s">
        <v>211</v>
      </c>
      <c r="E80" s="31" t="str">
        <f t="shared" si="14"/>
        <v>Øuh</v>
      </c>
      <c r="F80" s="31" t="str">
        <f t="shared" si="14"/>
        <v>puh</v>
      </c>
      <c r="G80" s="31" t="str">
        <f t="shared" si="14"/>
        <v>phuh</v>
      </c>
      <c r="H80" s="31" t="str">
        <f t="shared" si="14"/>
        <v>buh</v>
      </c>
      <c r="I80" s="31" t="str">
        <f t="shared" si="14"/>
        <v>muh</v>
      </c>
      <c r="J80" s="31" t="str">
        <f t="shared" si="14"/>
        <v>tuh</v>
      </c>
      <c r="K80" s="31" t="str">
        <f t="shared" si="14"/>
        <v>thuh</v>
      </c>
      <c r="L80" s="31" t="str">
        <f t="shared" si="14"/>
        <v>luh</v>
      </c>
      <c r="M80" s="31" t="str">
        <f t="shared" si="14"/>
        <v>nuh</v>
      </c>
      <c r="N80" s="31" t="str">
        <f t="shared" si="14"/>
        <v>kuh</v>
      </c>
      <c r="O80" s="31" t="str">
        <f t="shared" si="15"/>
        <v>khuh</v>
      </c>
      <c r="P80" s="31" t="str">
        <f t="shared" si="15"/>
        <v>guh</v>
      </c>
      <c r="Q80" s="31" t="str">
        <f t="shared" si="15"/>
        <v>nguh</v>
      </c>
      <c r="R80" s="31" t="str">
        <f t="shared" si="15"/>
        <v>huh</v>
      </c>
      <c r="S80" s="31" t="str">
        <f t="shared" si="15"/>
        <v>tsuh</v>
      </c>
      <c r="T80" s="31" t="str">
        <f t="shared" si="15"/>
        <v>tsiuh</v>
      </c>
      <c r="U80" s="31" t="str">
        <f t="shared" si="15"/>
        <v>tshuh</v>
      </c>
      <c r="V80" s="31" t="str">
        <f t="shared" si="15"/>
        <v>tshiuh</v>
      </c>
      <c r="W80" s="31" t="str">
        <f t="shared" si="15"/>
        <v>suh</v>
      </c>
      <c r="X80" s="31" t="str">
        <f t="shared" si="15"/>
        <v>siuh</v>
      </c>
      <c r="Y80" s="31" t="str">
        <f t="shared" si="15"/>
        <v>juh</v>
      </c>
      <c r="Z80" s="31" t="str">
        <f t="shared" si="15"/>
        <v>jiuh</v>
      </c>
    </row>
    <row r="81" spans="1:26" ht="44.25">
      <c r="A81" s="16">
        <v>7</v>
      </c>
      <c r="B81" s="4" t="s">
        <v>248</v>
      </c>
      <c r="C81" s="17" t="s">
        <v>68</v>
      </c>
      <c r="D81" s="18" t="s">
        <v>168</v>
      </c>
      <c r="E81" s="31" t="str">
        <f t="shared" si="14"/>
        <v>Øui</v>
      </c>
      <c r="F81" s="31" t="str">
        <f t="shared" si="14"/>
        <v>pui</v>
      </c>
      <c r="G81" s="31" t="str">
        <f t="shared" si="14"/>
        <v>phui</v>
      </c>
      <c r="H81" s="31" t="str">
        <f t="shared" si="14"/>
        <v>bui</v>
      </c>
      <c r="I81" s="31" t="str">
        <f t="shared" si="14"/>
        <v>mui</v>
      </c>
      <c r="J81" s="31" t="str">
        <f t="shared" si="14"/>
        <v>tui</v>
      </c>
      <c r="K81" s="31" t="str">
        <f t="shared" si="14"/>
        <v>thui</v>
      </c>
      <c r="L81" s="31" t="str">
        <f t="shared" si="14"/>
        <v>lui</v>
      </c>
      <c r="M81" s="31" t="str">
        <f t="shared" si="14"/>
        <v>nui</v>
      </c>
      <c r="N81" s="31" t="str">
        <f t="shared" si="14"/>
        <v>kui</v>
      </c>
      <c r="O81" s="31" t="str">
        <f t="shared" si="15"/>
        <v>khui</v>
      </c>
      <c r="P81" s="31" t="str">
        <f t="shared" si="15"/>
        <v>gui</v>
      </c>
      <c r="Q81" s="31" t="str">
        <f t="shared" si="15"/>
        <v>ngui</v>
      </c>
      <c r="R81" s="31" t="str">
        <f t="shared" si="15"/>
        <v>hui</v>
      </c>
      <c r="S81" s="31" t="str">
        <f t="shared" si="15"/>
        <v>tsui</v>
      </c>
      <c r="T81" s="31" t="str">
        <f t="shared" si="15"/>
        <v>tsiui</v>
      </c>
      <c r="U81" s="31" t="str">
        <f t="shared" si="15"/>
        <v>tshui</v>
      </c>
      <c r="V81" s="31" t="str">
        <f t="shared" si="15"/>
        <v>tshiui</v>
      </c>
      <c r="W81" s="31" t="str">
        <f t="shared" si="15"/>
        <v>sui</v>
      </c>
      <c r="X81" s="31" t="str">
        <f t="shared" si="15"/>
        <v>siui</v>
      </c>
      <c r="Y81" s="31" t="str">
        <f t="shared" si="15"/>
        <v>jui</v>
      </c>
      <c r="Z81" s="31" t="str">
        <f t="shared" si="15"/>
        <v>jiui</v>
      </c>
    </row>
    <row r="82" spans="1:26" ht="44.25">
      <c r="A82" s="16">
        <v>1</v>
      </c>
      <c r="B82" s="4" t="s">
        <v>240</v>
      </c>
      <c r="C82" s="17" t="s">
        <v>62</v>
      </c>
      <c r="D82" s="18" t="s">
        <v>162</v>
      </c>
      <c r="E82" s="31" t="str">
        <f t="shared" si="14"/>
        <v>Øun</v>
      </c>
      <c r="F82" s="31" t="str">
        <f t="shared" si="14"/>
        <v>pun</v>
      </c>
      <c r="G82" s="31" t="str">
        <f t="shared" si="14"/>
        <v>phun</v>
      </c>
      <c r="H82" s="31" t="str">
        <f t="shared" si="14"/>
        <v>bun</v>
      </c>
      <c r="I82" s="31" t="str">
        <f t="shared" si="14"/>
        <v>mun</v>
      </c>
      <c r="J82" s="31" t="str">
        <f t="shared" si="14"/>
        <v>tun</v>
      </c>
      <c r="K82" s="31" t="str">
        <f t="shared" si="14"/>
        <v>thun</v>
      </c>
      <c r="L82" s="31" t="str">
        <f t="shared" si="14"/>
        <v>lun</v>
      </c>
      <c r="M82" s="31" t="str">
        <f t="shared" si="14"/>
        <v>nun</v>
      </c>
      <c r="N82" s="31" t="str">
        <f t="shared" si="14"/>
        <v>kun</v>
      </c>
      <c r="O82" s="31" t="str">
        <f t="shared" si="15"/>
        <v>khun</v>
      </c>
      <c r="P82" s="31" t="str">
        <f t="shared" si="15"/>
        <v>gun</v>
      </c>
      <c r="Q82" s="31" t="str">
        <f t="shared" si="15"/>
        <v>ngun</v>
      </c>
      <c r="R82" s="31" t="str">
        <f t="shared" si="15"/>
        <v>hun</v>
      </c>
      <c r="S82" s="31" t="str">
        <f t="shared" si="15"/>
        <v>tsun</v>
      </c>
      <c r="T82" s="31" t="str">
        <f t="shared" si="15"/>
        <v>tsiun</v>
      </c>
      <c r="U82" s="31" t="str">
        <f t="shared" si="15"/>
        <v>tshun</v>
      </c>
      <c r="V82" s="31" t="str">
        <f t="shared" si="15"/>
        <v>tshiun</v>
      </c>
      <c r="W82" s="31" t="str">
        <f t="shared" si="15"/>
        <v>sun</v>
      </c>
      <c r="X82" s="31" t="str">
        <f t="shared" si="15"/>
        <v>siun</v>
      </c>
      <c r="Y82" s="31" t="str">
        <f t="shared" si="15"/>
        <v>jun</v>
      </c>
      <c r="Z82" s="31" t="str">
        <f t="shared" si="15"/>
        <v>jiun</v>
      </c>
    </row>
    <row r="83" spans="1:26" ht="44.25">
      <c r="A83" s="16">
        <v>2</v>
      </c>
      <c r="B83" s="4" t="s">
        <v>242</v>
      </c>
      <c r="C83" s="17" t="s">
        <v>63</v>
      </c>
      <c r="D83" s="18" t="s">
        <v>163</v>
      </c>
      <c r="E83" s="31" t="str">
        <f t="shared" si="14"/>
        <v>Øut</v>
      </c>
      <c r="F83" s="31" t="str">
        <f t="shared" si="14"/>
        <v>put</v>
      </c>
      <c r="G83" s="31" t="str">
        <f t="shared" si="14"/>
        <v>phut</v>
      </c>
      <c r="H83" s="31" t="str">
        <f t="shared" si="14"/>
        <v>but</v>
      </c>
      <c r="I83" s="31" t="str">
        <f t="shared" si="14"/>
        <v>mut</v>
      </c>
      <c r="J83" s="31" t="str">
        <f t="shared" si="14"/>
        <v>tut</v>
      </c>
      <c r="K83" s="31" t="str">
        <f t="shared" si="14"/>
        <v>thut</v>
      </c>
      <c r="L83" s="31" t="str">
        <f t="shared" si="14"/>
        <v>lut</v>
      </c>
      <c r="M83" s="31" t="str">
        <f t="shared" si="14"/>
        <v>nut</v>
      </c>
      <c r="N83" s="31" t="str">
        <f t="shared" si="14"/>
        <v>kut</v>
      </c>
      <c r="O83" s="31" t="str">
        <f t="shared" si="15"/>
        <v>khut</v>
      </c>
      <c r="P83" s="31" t="str">
        <f t="shared" si="15"/>
        <v>gut</v>
      </c>
      <c r="Q83" s="31" t="str">
        <f t="shared" si="15"/>
        <v>ngut</v>
      </c>
      <c r="R83" s="31" t="str">
        <f t="shared" si="15"/>
        <v>hut</v>
      </c>
      <c r="S83" s="31" t="str">
        <f t="shared" si="15"/>
        <v>tsut</v>
      </c>
      <c r="T83" s="31" t="str">
        <f t="shared" si="15"/>
        <v>tsiut</v>
      </c>
      <c r="U83" s="31" t="str">
        <f t="shared" si="15"/>
        <v>tshut</v>
      </c>
      <c r="V83" s="31" t="str">
        <f t="shared" si="15"/>
        <v>tshiut</v>
      </c>
      <c r="W83" s="31" t="str">
        <f t="shared" si="15"/>
        <v>sut</v>
      </c>
      <c r="X83" s="31" t="str">
        <f t="shared" si="15"/>
        <v>siut</v>
      </c>
      <c r="Y83" s="31" t="str">
        <f t="shared" si="15"/>
        <v>jut</v>
      </c>
      <c r="Z83" s="31" t="str">
        <f t="shared" si="15"/>
        <v>jiut</v>
      </c>
    </row>
  </sheetData>
  <sortState xmlns:xlrd2="http://schemas.microsoft.com/office/spreadsheetml/2017/richdata2" ref="A5:Z83">
    <sortCondition ref="D5:D83"/>
  </sortState>
  <phoneticPr fontId="2" type="noConversion"/>
  <conditionalFormatting sqref="E5:Z83">
    <cfRule type="expression" dxfId="0" priority="2">
      <formula>E5=""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B8614-5AEA-4625-B453-467BA18117E8}">
  <dimension ref="B1:AM24"/>
  <sheetViews>
    <sheetView showGridLines="0" topLeftCell="AA1" zoomScale="110" zoomScaleNormal="110" workbookViewId="0">
      <selection activeCell="AG35" sqref="AG35"/>
    </sheetView>
  </sheetViews>
  <sheetFormatPr defaultRowHeight="22.5"/>
  <cols>
    <col min="1" max="1" width="1" style="41" customWidth="1"/>
    <col min="2" max="2" width="6" style="41" customWidth="1"/>
    <col min="3" max="3" width="9.625" style="41" customWidth="1"/>
    <col min="4" max="4" width="9" style="41" customWidth="1"/>
    <col min="5" max="5" width="9.625" style="41" customWidth="1"/>
    <col min="6" max="14" width="9" style="41"/>
    <col min="15" max="15" width="6" style="41" customWidth="1"/>
    <col min="16" max="16" width="9.625" style="41" customWidth="1"/>
    <col min="17" max="17" width="9" style="41"/>
    <col min="18" max="18" width="9.625" style="41" customWidth="1"/>
    <col min="19" max="27" width="9" style="41"/>
    <col min="28" max="28" width="6" style="41" customWidth="1"/>
    <col min="29" max="29" width="9.625" style="41" customWidth="1"/>
    <col min="30" max="30" width="9" style="41"/>
    <col min="31" max="31" width="9.625" style="41" customWidth="1"/>
    <col min="32" max="16384" width="9" style="41"/>
  </cols>
  <sheetData>
    <row r="1" spans="2:39" ht="9" customHeight="1"/>
    <row r="2" spans="2:39">
      <c r="B2" s="154"/>
      <c r="C2" s="155"/>
      <c r="D2" s="155"/>
      <c r="E2" s="155"/>
      <c r="F2" s="156">
        <v>1</v>
      </c>
      <c r="G2" s="156">
        <v>2</v>
      </c>
      <c r="H2" s="156">
        <v>3</v>
      </c>
      <c r="I2" s="156">
        <v>4</v>
      </c>
      <c r="J2" s="156">
        <v>5</v>
      </c>
      <c r="K2" s="156">
        <v>6</v>
      </c>
      <c r="L2" s="156">
        <v>7</v>
      </c>
      <c r="M2" s="157">
        <v>8</v>
      </c>
      <c r="O2" s="154"/>
      <c r="P2" s="155"/>
      <c r="Q2" s="155"/>
      <c r="R2" s="155"/>
      <c r="S2" s="156">
        <v>1</v>
      </c>
      <c r="T2" s="156">
        <v>2</v>
      </c>
      <c r="U2" s="156">
        <v>3</v>
      </c>
      <c r="V2" s="156">
        <v>4</v>
      </c>
      <c r="W2" s="156">
        <v>5</v>
      </c>
      <c r="X2" s="156">
        <v>6</v>
      </c>
      <c r="Y2" s="156">
        <v>7</v>
      </c>
      <c r="Z2" s="157">
        <v>8</v>
      </c>
      <c r="AB2" s="154"/>
      <c r="AC2" s="155"/>
      <c r="AD2" s="155"/>
      <c r="AE2" s="155"/>
      <c r="AF2" s="156">
        <v>1</v>
      </c>
      <c r="AG2" s="156">
        <v>2</v>
      </c>
      <c r="AH2" s="156">
        <v>3</v>
      </c>
      <c r="AI2" s="156">
        <v>4</v>
      </c>
      <c r="AJ2" s="156">
        <v>5</v>
      </c>
      <c r="AK2" s="156">
        <v>6</v>
      </c>
      <c r="AL2" s="156">
        <v>7</v>
      </c>
      <c r="AM2" s="157">
        <v>8</v>
      </c>
    </row>
    <row r="3" spans="2:39" ht="25.5" customHeight="1">
      <c r="B3" s="536" t="s">
        <v>1568</v>
      </c>
      <c r="C3" s="537"/>
      <c r="D3" s="180" t="s">
        <v>1569</v>
      </c>
      <c r="E3" s="181" t="str">
        <f xml:space="preserve"> _xlfn.XLOOKUP( _xlfn.CONCAT($B$3, "（", LEFT(D3,1), "）"), 韻母表[十五音],韻母表[台羅拼音])</f>
        <v>un</v>
      </c>
      <c r="F3" s="49" t="str">
        <f>"君"</f>
        <v>君</v>
      </c>
      <c r="G3" s="49" t="str">
        <f t="shared" ref="G3:M3" si="0">"君"</f>
        <v>君</v>
      </c>
      <c r="H3" s="49" t="str">
        <f t="shared" si="0"/>
        <v>君</v>
      </c>
      <c r="I3" s="136" t="str">
        <f t="shared" si="0"/>
        <v>君</v>
      </c>
      <c r="J3" s="49" t="str">
        <f t="shared" si="0"/>
        <v>君</v>
      </c>
      <c r="K3" s="49" t="str">
        <f t="shared" si="0"/>
        <v>君</v>
      </c>
      <c r="L3" s="49" t="str">
        <f t="shared" si="0"/>
        <v>君</v>
      </c>
      <c r="M3" s="178" t="str">
        <f t="shared" si="0"/>
        <v>君</v>
      </c>
      <c r="O3" s="536" t="s">
        <v>1568</v>
      </c>
      <c r="P3" s="537"/>
      <c r="Q3" s="180" t="s">
        <v>1569</v>
      </c>
      <c r="R3" s="181" t="str">
        <f xml:space="preserve"> _xlfn.XLOOKUP( _xlfn.CONCAT($B$3, "（", LEFT(Q3,1), "）"), 韻母表[十五音],韻母表[台羅拼音])</f>
        <v>un</v>
      </c>
      <c r="S3" s="49" t="str">
        <f>"君"</f>
        <v>君</v>
      </c>
      <c r="T3" s="49" t="str">
        <f t="shared" ref="T3:Z3" si="1">"君"</f>
        <v>君</v>
      </c>
      <c r="U3" s="49" t="str">
        <f t="shared" si="1"/>
        <v>君</v>
      </c>
      <c r="V3" s="136" t="str">
        <f t="shared" si="1"/>
        <v>君</v>
      </c>
      <c r="W3" s="49" t="str">
        <f t="shared" si="1"/>
        <v>君</v>
      </c>
      <c r="X3" s="49" t="str">
        <f t="shared" si="1"/>
        <v>君</v>
      </c>
      <c r="Y3" s="49" t="str">
        <f t="shared" si="1"/>
        <v>君</v>
      </c>
      <c r="Z3" s="178" t="str">
        <f t="shared" si="1"/>
        <v>君</v>
      </c>
      <c r="AB3" s="536" t="s">
        <v>1568</v>
      </c>
      <c r="AC3" s="537"/>
      <c r="AD3" s="180" t="s">
        <v>1569</v>
      </c>
      <c r="AE3" s="181" t="str">
        <f xml:space="preserve"> _xlfn.XLOOKUP( _xlfn.CONCAT($B$3, "（", LEFT(AD3,1), "）"), 韻母表[十五音],韻母表[方音符號])</f>
        <v>ㄨㄣ</v>
      </c>
      <c r="AF3" s="49" t="str">
        <f>"君"</f>
        <v>君</v>
      </c>
      <c r="AG3" s="49" t="str">
        <f t="shared" ref="AG3:AM3" si="2">"君"</f>
        <v>君</v>
      </c>
      <c r="AH3" s="49" t="str">
        <f t="shared" si="2"/>
        <v>君</v>
      </c>
      <c r="AI3" s="136" t="str">
        <f t="shared" si="2"/>
        <v>君</v>
      </c>
      <c r="AJ3" s="49" t="str">
        <f t="shared" si="2"/>
        <v>君</v>
      </c>
      <c r="AK3" s="49" t="str">
        <f t="shared" si="2"/>
        <v>君</v>
      </c>
      <c r="AL3" s="49" t="str">
        <f t="shared" si="2"/>
        <v>君</v>
      </c>
      <c r="AM3" s="178" t="str">
        <f t="shared" si="2"/>
        <v>君</v>
      </c>
    </row>
    <row r="4" spans="2:39" ht="25.5" customHeight="1">
      <c r="B4" s="536"/>
      <c r="C4" s="537"/>
      <c r="D4" s="180"/>
      <c r="E4" s="181"/>
      <c r="F4" s="158">
        <v>1</v>
      </c>
      <c r="G4" s="176">
        <v>2</v>
      </c>
      <c r="H4" s="158">
        <v>3</v>
      </c>
      <c r="I4" s="177">
        <v>4</v>
      </c>
      <c r="J4" s="158">
        <v>5</v>
      </c>
      <c r="K4" s="158">
        <v>6</v>
      </c>
      <c r="L4" s="158">
        <v>7</v>
      </c>
      <c r="M4" s="179">
        <v>8</v>
      </c>
      <c r="O4" s="536"/>
      <c r="P4" s="537"/>
      <c r="Q4" s="180"/>
      <c r="R4" s="181"/>
      <c r="S4" s="158">
        <v>1</v>
      </c>
      <c r="T4" s="176">
        <v>2</v>
      </c>
      <c r="U4" s="158">
        <v>3</v>
      </c>
      <c r="V4" s="177">
        <v>4</v>
      </c>
      <c r="W4" s="158">
        <v>5</v>
      </c>
      <c r="X4" s="158">
        <v>6</v>
      </c>
      <c r="Y4" s="158">
        <v>7</v>
      </c>
      <c r="Z4" s="179">
        <v>8</v>
      </c>
      <c r="AB4" s="536"/>
      <c r="AC4" s="537"/>
      <c r="AD4" s="180"/>
      <c r="AE4" s="181"/>
      <c r="AF4" s="158">
        <v>1</v>
      </c>
      <c r="AG4" s="176">
        <v>2</v>
      </c>
      <c r="AH4" s="158">
        <v>3</v>
      </c>
      <c r="AI4" s="177">
        <v>4</v>
      </c>
      <c r="AJ4" s="158">
        <v>5</v>
      </c>
      <c r="AK4" s="158">
        <v>6</v>
      </c>
      <c r="AL4" s="158">
        <v>7</v>
      </c>
      <c r="AM4" s="179">
        <v>8</v>
      </c>
    </row>
    <row r="5" spans="2:39" ht="25.5" customHeight="1">
      <c r="B5" s="536"/>
      <c r="C5" s="537"/>
      <c r="D5" s="180" t="s">
        <v>1570</v>
      </c>
      <c r="E5" s="181" t="str">
        <f xml:space="preserve"> _xlfn.XLOOKUP( _xlfn.CONCAT($B$3, "（", LEFT(D5,1), "）"), 韻母表[十五音],韻母表[台羅拼音])</f>
        <v>ut</v>
      </c>
      <c r="F5" s="49" t="str">
        <f xml:space="preserve"> _xlfn.CONCAT( IF(OR(F2=4,F2=8), $E$5, $E$3), F4)</f>
        <v>un1</v>
      </c>
      <c r="G5" s="49" t="str">
        <f t="shared" ref="G5:M5" si="3" xml:space="preserve"> _xlfn.CONCAT( IF(OR(G2=4,G2=8), $E$5, $E$3), G4)</f>
        <v>un2</v>
      </c>
      <c r="H5" s="49" t="str">
        <f t="shared" si="3"/>
        <v>un3</v>
      </c>
      <c r="I5" s="136" t="str">
        <f t="shared" si="3"/>
        <v>ut4</v>
      </c>
      <c r="J5" s="49" t="str">
        <f t="shared" si="3"/>
        <v>un5</v>
      </c>
      <c r="K5" s="49" t="str">
        <f t="shared" si="3"/>
        <v>un6</v>
      </c>
      <c r="L5" s="49" t="str">
        <f t="shared" si="3"/>
        <v>un7</v>
      </c>
      <c r="M5" s="178" t="str">
        <f t="shared" si="3"/>
        <v>ut8</v>
      </c>
      <c r="O5" s="536"/>
      <c r="P5" s="537"/>
      <c r="Q5" s="180" t="s">
        <v>1570</v>
      </c>
      <c r="R5" s="181" t="str">
        <f xml:space="preserve"> _xlfn.XLOOKUP( _xlfn.CONCAT($B$3, "（", LEFT(Q5,1), "）"), 韻母表[十五音],韻母表[台羅拼音])</f>
        <v>ut</v>
      </c>
      <c r="S5" s="49" t="str">
        <f t="shared" ref="S5:Z5" si="4" xml:space="preserve"> _xlfn.CONCAT( IF(OR(S2=4,S2=8), $E$5, $E$3), S4)</f>
        <v>un1</v>
      </c>
      <c r="T5" s="49" t="str">
        <f t="shared" si="4"/>
        <v>un2</v>
      </c>
      <c r="U5" s="49" t="str">
        <f t="shared" si="4"/>
        <v>un3</v>
      </c>
      <c r="V5" s="136" t="str">
        <f t="shared" si="4"/>
        <v>ut4</v>
      </c>
      <c r="W5" s="49" t="str">
        <f t="shared" si="4"/>
        <v>un5</v>
      </c>
      <c r="X5" s="49" t="str">
        <f t="shared" si="4"/>
        <v>un6</v>
      </c>
      <c r="Y5" s="49" t="str">
        <f t="shared" si="4"/>
        <v>un7</v>
      </c>
      <c r="Z5" s="178" t="str">
        <f t="shared" si="4"/>
        <v>ut8</v>
      </c>
      <c r="AB5" s="536"/>
      <c r="AC5" s="537"/>
      <c r="AD5" s="180" t="s">
        <v>1570</v>
      </c>
      <c r="AE5" s="181" t="str">
        <f xml:space="preserve"> _xlfn.XLOOKUP( _xlfn.CONCAT($B$3, "（", LEFT(AD5,1), "）"), 韻母表[十五音],韻母表[方音符號])</f>
        <v>ㄨㆵ</v>
      </c>
      <c r="AF5" s="49" t="str">
        <f xml:space="preserve"> _xlfn.CONCAT( IF(OR(AF2=4,AF2=8), $AE$5, $AE$3), _xlfn.XLOOKUP(AF$4,注音聲調表【方音符號】!$L$3:$L$10,注音聲調表【方音符號】!$M$3:$M$10))</f>
        <v>ㄨㄣ</v>
      </c>
      <c r="AG5" s="49" t="str">
        <f xml:space="preserve"> _xlfn.CONCAT( IF(OR(AG2=4,AG2=8), $AE$5, $AE$3), _xlfn.XLOOKUP(AG$4,注音聲調表【方音符號】!$L$3:$L$10,注音聲調表【方音符號】!$M$3:$M$10))</f>
        <v>ㄨㄣˋ</v>
      </c>
      <c r="AH5" s="49" t="str">
        <f xml:space="preserve"> _xlfn.CONCAT( IF(OR(AH2=4,AH2=8), $AE$5, $AE$3), _xlfn.XLOOKUP(AH$4,注音聲調表【方音符號】!$L$3:$L$10,注音聲調表【方音符號】!$M$3:$M$10))</f>
        <v>ㄨㄣ˪</v>
      </c>
      <c r="AI5" s="136" t="str">
        <f xml:space="preserve"> _xlfn.CONCAT( IF(OR(AI2=4,AI2=8), $AE$5, $AE$3), _xlfn.XLOOKUP(AI$4,注音聲調表【方音符號】!$L$3:$L$10,注音聲調表【方音符號】!$M$3:$M$10))</f>
        <v>ㄨㆵ</v>
      </c>
      <c r="AJ5" s="49" t="str">
        <f xml:space="preserve"> _xlfn.CONCAT( IF(OR(AJ2=4,AJ2=8), $AE$5, $AE$3), _xlfn.XLOOKUP(AJ$4,注音聲調表【方音符號】!$L$3:$L$10,注音聲調表【方音符號】!$M$3:$M$10))</f>
        <v>ㄨㄣˊ</v>
      </c>
      <c r="AK5" s="49" t="str">
        <f xml:space="preserve"> _xlfn.CONCAT( IF(OR(AK2=4,AK2=8), $AE$5, $AE$3), _xlfn.XLOOKUP(AK$4,注音聲調表【方音符號】!$L$3:$L$10,注音聲調表【方音符號】!$M$3:$M$10))</f>
        <v>ㄨㄣˋ</v>
      </c>
      <c r="AL5" s="49" t="str">
        <f xml:space="preserve"> _xlfn.CONCAT( IF(OR(AL2=4,AL2=8), $AE$5, $AE$3), _xlfn.XLOOKUP(AL$4,注音聲調表【方音符號】!$L$3:$L$10,注音聲調表【方音符號】!$M$3:$M$10))</f>
        <v>ㄨㄣ˫</v>
      </c>
      <c r="AM5" s="178" t="str">
        <f xml:space="preserve"> _xlfn.CONCAT( IF(OR(AM2=4,AM2=8), $AE$5, $AE$3), _xlfn.XLOOKUP(AM$4,注音聲調表【方音符號】!$L$3:$L$10,注音聲調表【方音符號】!$M$3:$M$10))</f>
        <v>ㄨㆵ˙</v>
      </c>
    </row>
    <row r="6" spans="2:39" ht="6" customHeight="1">
      <c r="B6" s="159"/>
      <c r="C6" s="160"/>
      <c r="D6" s="160"/>
      <c r="E6" s="160"/>
      <c r="F6" s="161"/>
      <c r="G6" s="160"/>
      <c r="H6" s="160"/>
      <c r="I6" s="160"/>
      <c r="J6" s="160"/>
      <c r="K6" s="161"/>
      <c r="L6" s="160"/>
      <c r="M6" s="162"/>
      <c r="O6" s="159"/>
      <c r="P6" s="160"/>
      <c r="Q6" s="160"/>
      <c r="R6" s="160"/>
      <c r="S6" s="161"/>
      <c r="T6" s="160"/>
      <c r="U6" s="160"/>
      <c r="V6" s="160"/>
      <c r="W6" s="160"/>
      <c r="X6" s="161"/>
      <c r="Y6" s="160"/>
      <c r="Z6" s="162"/>
      <c r="AB6" s="159"/>
      <c r="AC6" s="160"/>
      <c r="AD6" s="160"/>
      <c r="AE6" s="160"/>
      <c r="AF6" s="161"/>
      <c r="AG6" s="160"/>
      <c r="AH6" s="160"/>
      <c r="AI6" s="160"/>
      <c r="AJ6" s="160"/>
      <c r="AK6" s="161"/>
      <c r="AL6" s="160"/>
      <c r="AM6" s="162"/>
    </row>
    <row r="7" spans="2:39">
      <c r="B7" s="163">
        <v>1</v>
      </c>
      <c r="C7" s="164" t="str">
        <f xml:space="preserve"> _xlfn.XLOOKUP($E7, 聲母表[台羅拼音], 聲母表[十五音])</f>
        <v>柳</v>
      </c>
      <c r="D7" s="165" t="str">
        <f xml:space="preserve"> _xlfn.CONCAT("[ ", _xlfn.XLOOKUP($E7, 聲母表[台羅拼音], 聲母表[國際音標]), " ]")</f>
        <v>[ l ]</v>
      </c>
      <c r="E7" s="166" t="s">
        <v>47</v>
      </c>
      <c r="F7" s="183" t="str">
        <f xml:space="preserve"> _xlfn.CONCAT(F$3, TEXT(F$2, "[DBNum1][$-zh-TW]G/通用格式"), $C7)</f>
        <v>君一柳</v>
      </c>
      <c r="G7" s="183" t="str">
        <f t="shared" ref="G7:M7" si="5" xml:space="preserve"> _xlfn.CONCAT(G$3, TEXT(G$2, "[DBNum1][$-zh-TW]G/通用格式"), $C7)</f>
        <v>君二柳</v>
      </c>
      <c r="H7" s="183" t="str">
        <f t="shared" si="5"/>
        <v>君三柳</v>
      </c>
      <c r="I7" s="184" t="str">
        <f t="shared" si="5"/>
        <v>君四柳</v>
      </c>
      <c r="J7" s="183" t="str">
        <f t="shared" si="5"/>
        <v>君五柳</v>
      </c>
      <c r="K7" s="183" t="str">
        <f t="shared" si="5"/>
        <v>君六柳</v>
      </c>
      <c r="L7" s="183" t="str">
        <f t="shared" si="5"/>
        <v>君七柳</v>
      </c>
      <c r="M7" s="185" t="str">
        <f t="shared" si="5"/>
        <v>君八柳</v>
      </c>
      <c r="O7" s="163">
        <v>1</v>
      </c>
      <c r="P7" s="164" t="str">
        <f xml:space="preserve"> _xlfn.XLOOKUP($E7, 聲母表[台羅拼音], 聲母表[十五音])</f>
        <v>柳</v>
      </c>
      <c r="Q7" s="165" t="str">
        <f xml:space="preserve"> _xlfn.CONCAT("[ ", _xlfn.XLOOKUP($E7, 聲母表[台羅拼音], 聲母表[國際音標]), " ]")</f>
        <v>[ l ]</v>
      </c>
      <c r="R7" s="166" t="s">
        <v>47</v>
      </c>
      <c r="S7" s="142" t="str">
        <f t="shared" ref="S7:S24" si="6" xml:space="preserve"> _xlfn.CONCAT($E7,S$5)</f>
        <v>lun1</v>
      </c>
      <c r="T7" s="143" t="str">
        <f t="shared" ref="T7:Z22" si="7" xml:space="preserve"> _xlfn.CONCAT($E7,T$5)</f>
        <v>lun2</v>
      </c>
      <c r="U7" s="143" t="str">
        <f t="shared" si="7"/>
        <v>lun3</v>
      </c>
      <c r="V7" s="144" t="str">
        <f t="shared" si="7"/>
        <v>lut4</v>
      </c>
      <c r="W7" s="143" t="str">
        <f t="shared" si="7"/>
        <v>lun5</v>
      </c>
      <c r="X7" s="143" t="str">
        <f t="shared" si="7"/>
        <v>lun6</v>
      </c>
      <c r="Y7" s="143" t="str">
        <f t="shared" si="7"/>
        <v>lun7</v>
      </c>
      <c r="Z7" s="145" t="str">
        <f t="shared" si="7"/>
        <v>lut8</v>
      </c>
      <c r="AB7" s="163">
        <v>1</v>
      </c>
      <c r="AC7" s="164" t="str">
        <f xml:space="preserve"> _xlfn.XLOOKUP($E7, 聲母表[台羅拼音], 聲母表[十五音])</f>
        <v>柳</v>
      </c>
      <c r="AD7" s="165" t="str">
        <f xml:space="preserve"> _xlfn.CONCAT("[ ", _xlfn.XLOOKUP($E7, 聲母表[台羅拼音], 聲母表[國際音標]), " ]")</f>
        <v>[ l ]</v>
      </c>
      <c r="AE7" s="166" t="str">
        <f xml:space="preserve"> _xlfn.XLOOKUP($E7, 聲母表[台羅拼音], 聲母表[方音符號])</f>
        <v>ㄌ</v>
      </c>
      <c r="AF7" s="142" t="str">
        <f xml:space="preserve"> _xlfn.CONCAT($AE7,AF$5)</f>
        <v>ㄌㄨㄣ</v>
      </c>
      <c r="AG7" s="143" t="str">
        <f t="shared" ref="AG7:AM7" si="8" xml:space="preserve"> _xlfn.CONCAT($AE7,AG$5)</f>
        <v>ㄌㄨㄣˋ</v>
      </c>
      <c r="AH7" s="143" t="str">
        <f t="shared" si="8"/>
        <v>ㄌㄨㄣ˪</v>
      </c>
      <c r="AI7" s="144" t="str">
        <f t="shared" si="8"/>
        <v>ㄌㄨㆵ</v>
      </c>
      <c r="AJ7" s="143" t="str">
        <f t="shared" si="8"/>
        <v>ㄌㄨㄣˊ</v>
      </c>
      <c r="AK7" s="143" t="str">
        <f t="shared" si="8"/>
        <v>ㄌㄨㄣˋ</v>
      </c>
      <c r="AL7" s="143" t="str">
        <f t="shared" si="8"/>
        <v>ㄌㄨㄣ˫</v>
      </c>
      <c r="AM7" s="145" t="str">
        <f t="shared" si="8"/>
        <v>ㄌㄨㆵ˙</v>
      </c>
    </row>
    <row r="8" spans="2:39">
      <c r="B8" s="167">
        <v>2</v>
      </c>
      <c r="C8" s="168" t="str">
        <f xml:space="preserve"> _xlfn.XLOOKUP($E8, 聲母表[台羅拼音], 聲母表[十五音])</f>
        <v>柳</v>
      </c>
      <c r="D8" s="169" t="str">
        <f xml:space="preserve"> _xlfn.CONCAT("[ ", _xlfn.XLOOKUP($E8, 聲母表[台羅拼音], 聲母表[國際音標]), " ]")</f>
        <v>[ n ]</v>
      </c>
      <c r="E8" s="170" t="s">
        <v>48</v>
      </c>
      <c r="F8" s="186" t="str">
        <f t="shared" ref="F8:M24" si="9" xml:space="preserve"> _xlfn.CONCAT(F$3, TEXT(F$2, "[DBNum1][$-zh-TW]G/通用格式"), $C8)</f>
        <v>君一柳</v>
      </c>
      <c r="G8" s="186" t="str">
        <f t="shared" si="9"/>
        <v>君二柳</v>
      </c>
      <c r="H8" s="186" t="str">
        <f t="shared" si="9"/>
        <v>君三柳</v>
      </c>
      <c r="I8" s="187" t="str">
        <f t="shared" si="9"/>
        <v>君四柳</v>
      </c>
      <c r="J8" s="186" t="str">
        <f t="shared" si="9"/>
        <v>君五柳</v>
      </c>
      <c r="K8" s="186" t="str">
        <f t="shared" si="9"/>
        <v>君六柳</v>
      </c>
      <c r="L8" s="186" t="str">
        <f t="shared" si="9"/>
        <v>君七柳</v>
      </c>
      <c r="M8" s="188" t="str">
        <f t="shared" si="9"/>
        <v>君八柳</v>
      </c>
      <c r="O8" s="167">
        <v>2</v>
      </c>
      <c r="P8" s="168" t="str">
        <f xml:space="preserve"> _xlfn.XLOOKUP($E8, 聲母表[台羅拼音], 聲母表[十五音])</f>
        <v>柳</v>
      </c>
      <c r="Q8" s="169" t="str">
        <f xml:space="preserve"> _xlfn.CONCAT("[ ", _xlfn.XLOOKUP($E8, 聲母表[台羅拼音], 聲母表[國際音標]), " ]")</f>
        <v>[ n ]</v>
      </c>
      <c r="R8" s="170" t="s">
        <v>48</v>
      </c>
      <c r="S8" s="146" t="str">
        <f t="shared" si="6"/>
        <v>nun1</v>
      </c>
      <c r="T8" s="147" t="str">
        <f t="shared" si="7"/>
        <v>nun2</v>
      </c>
      <c r="U8" s="147" t="str">
        <f t="shared" si="7"/>
        <v>nun3</v>
      </c>
      <c r="V8" s="148" t="str">
        <f t="shared" si="7"/>
        <v>nut4</v>
      </c>
      <c r="W8" s="147" t="str">
        <f t="shared" si="7"/>
        <v>nun5</v>
      </c>
      <c r="X8" s="147" t="str">
        <f t="shared" si="7"/>
        <v>nun6</v>
      </c>
      <c r="Y8" s="147" t="str">
        <f t="shared" si="7"/>
        <v>nun7</v>
      </c>
      <c r="Z8" s="149" t="str">
        <f t="shared" si="7"/>
        <v>nut8</v>
      </c>
      <c r="AB8" s="167">
        <v>2</v>
      </c>
      <c r="AC8" s="168" t="str">
        <f xml:space="preserve"> _xlfn.XLOOKUP($E8, 聲母表[台羅拼音], 聲母表[十五音])</f>
        <v>柳</v>
      </c>
      <c r="AD8" s="169" t="str">
        <f xml:space="preserve"> _xlfn.CONCAT("[ ", _xlfn.XLOOKUP($E8, 聲母表[台羅拼音], 聲母表[國際音標]), " ]")</f>
        <v>[ n ]</v>
      </c>
      <c r="AE8" s="170" t="str">
        <f xml:space="preserve"> _xlfn.XLOOKUP($E8, 聲母表[台羅拼音], 聲母表[方音符號])</f>
        <v>ㄋ</v>
      </c>
      <c r="AF8" s="146" t="str">
        <f t="shared" ref="AF8:AM24" si="10" xml:space="preserve"> _xlfn.CONCAT($AE8,AF$5)</f>
        <v>ㄋㄨㄣ</v>
      </c>
      <c r="AG8" s="147" t="str">
        <f t="shared" si="10"/>
        <v>ㄋㄨㄣˋ</v>
      </c>
      <c r="AH8" s="147" t="str">
        <f t="shared" si="10"/>
        <v>ㄋㄨㄣ˪</v>
      </c>
      <c r="AI8" s="148" t="str">
        <f t="shared" si="10"/>
        <v>ㄋㄨㆵ</v>
      </c>
      <c r="AJ8" s="147" t="str">
        <f t="shared" si="10"/>
        <v>ㄋㄨㄣˊ</v>
      </c>
      <c r="AK8" s="147" t="str">
        <f t="shared" si="10"/>
        <v>ㄋㄨㄣˋ</v>
      </c>
      <c r="AL8" s="147" t="str">
        <f t="shared" si="10"/>
        <v>ㄋㄨㄣ˫</v>
      </c>
      <c r="AM8" s="149" t="str">
        <f t="shared" si="10"/>
        <v>ㄋㄨㆵ˙</v>
      </c>
    </row>
    <row r="9" spans="2:39">
      <c r="B9" s="167">
        <v>3</v>
      </c>
      <c r="C9" s="171" t="str">
        <f xml:space="preserve"> _xlfn.XLOOKUP($E9, 聲母表[台羅拼音], 聲母表[十五音])</f>
        <v>邊</v>
      </c>
      <c r="D9" s="169" t="str">
        <f xml:space="preserve"> _xlfn.CONCAT("[ ", _xlfn.XLOOKUP($E9, 聲母表[台羅拼音], 聲母表[國際音標]), " ]")</f>
        <v>[ p ]</v>
      </c>
      <c r="E9" s="170" t="s">
        <v>41</v>
      </c>
      <c r="F9" s="186" t="str">
        <f t="shared" si="9"/>
        <v>君一邊</v>
      </c>
      <c r="G9" s="186" t="str">
        <f t="shared" si="9"/>
        <v>君二邊</v>
      </c>
      <c r="H9" s="186" t="str">
        <f t="shared" si="9"/>
        <v>君三邊</v>
      </c>
      <c r="I9" s="187" t="str">
        <f t="shared" si="9"/>
        <v>君四邊</v>
      </c>
      <c r="J9" s="186" t="str">
        <f t="shared" si="9"/>
        <v>君五邊</v>
      </c>
      <c r="K9" s="186" t="str">
        <f t="shared" si="9"/>
        <v>君六邊</v>
      </c>
      <c r="L9" s="186" t="str">
        <f t="shared" si="9"/>
        <v>君七邊</v>
      </c>
      <c r="M9" s="188" t="str">
        <f t="shared" si="9"/>
        <v>君八邊</v>
      </c>
      <c r="O9" s="167">
        <v>3</v>
      </c>
      <c r="P9" s="171" t="str">
        <f xml:space="preserve"> _xlfn.XLOOKUP($E9, 聲母表[台羅拼音], 聲母表[十五音])</f>
        <v>邊</v>
      </c>
      <c r="Q9" s="169" t="str">
        <f xml:space="preserve"> _xlfn.CONCAT("[ ", _xlfn.XLOOKUP($E9, 聲母表[台羅拼音], 聲母表[國際音標]), " ]")</f>
        <v>[ p ]</v>
      </c>
      <c r="R9" s="170" t="s">
        <v>41</v>
      </c>
      <c r="S9" s="146" t="str">
        <f t="shared" si="6"/>
        <v>pun1</v>
      </c>
      <c r="T9" s="147" t="str">
        <f t="shared" si="7"/>
        <v>pun2</v>
      </c>
      <c r="U9" s="147" t="str">
        <f t="shared" si="7"/>
        <v>pun3</v>
      </c>
      <c r="V9" s="148" t="str">
        <f t="shared" si="7"/>
        <v>put4</v>
      </c>
      <c r="W9" s="147" t="str">
        <f t="shared" si="7"/>
        <v>pun5</v>
      </c>
      <c r="X9" s="147" t="str">
        <f t="shared" si="7"/>
        <v>pun6</v>
      </c>
      <c r="Y9" s="147" t="str">
        <f t="shared" si="7"/>
        <v>pun7</v>
      </c>
      <c r="Z9" s="149" t="str">
        <f t="shared" si="7"/>
        <v>put8</v>
      </c>
      <c r="AB9" s="167">
        <v>3</v>
      </c>
      <c r="AC9" s="171" t="str">
        <f xml:space="preserve"> _xlfn.XLOOKUP($E9, 聲母表[台羅拼音], 聲母表[十五音])</f>
        <v>邊</v>
      </c>
      <c r="AD9" s="169" t="str">
        <f xml:space="preserve"> _xlfn.CONCAT("[ ", _xlfn.XLOOKUP($E9, 聲母表[台羅拼音], 聲母表[國際音標]), " ]")</f>
        <v>[ p ]</v>
      </c>
      <c r="AE9" s="170" t="str">
        <f xml:space="preserve"> _xlfn.XLOOKUP($E9, 聲母表[台羅拼音], 聲母表[方音符號])</f>
        <v>ㄅ</v>
      </c>
      <c r="AF9" s="146" t="str">
        <f t="shared" si="10"/>
        <v>ㄅㄨㄣ</v>
      </c>
      <c r="AG9" s="147" t="str">
        <f t="shared" si="10"/>
        <v>ㄅㄨㄣˋ</v>
      </c>
      <c r="AH9" s="147" t="str">
        <f t="shared" si="10"/>
        <v>ㄅㄨㄣ˪</v>
      </c>
      <c r="AI9" s="148" t="str">
        <f t="shared" si="10"/>
        <v>ㄅㄨㆵ</v>
      </c>
      <c r="AJ9" s="147" t="str">
        <f t="shared" si="10"/>
        <v>ㄅㄨㄣˊ</v>
      </c>
      <c r="AK9" s="147" t="str">
        <f t="shared" si="10"/>
        <v>ㄅㄨㄣˋ</v>
      </c>
      <c r="AL9" s="147" t="str">
        <f t="shared" si="10"/>
        <v>ㄅㄨㄣ˫</v>
      </c>
      <c r="AM9" s="149" t="str">
        <f t="shared" si="10"/>
        <v>ㄅㄨㆵ˙</v>
      </c>
    </row>
    <row r="10" spans="2:39">
      <c r="B10" s="167">
        <v>4</v>
      </c>
      <c r="C10" s="171" t="str">
        <f xml:space="preserve"> _xlfn.XLOOKUP($E10, 聲母表[台羅拼音], 聲母表[十五音])</f>
        <v>求</v>
      </c>
      <c r="D10" s="169" t="str">
        <f xml:space="preserve"> _xlfn.CONCAT("[ ", _xlfn.XLOOKUP($E10, 聲母表[台羅拼音], 聲母表[國際音標]), " ]")</f>
        <v>[ k ]</v>
      </c>
      <c r="E10" s="170" t="s">
        <v>49</v>
      </c>
      <c r="F10" s="186" t="str">
        <f t="shared" si="9"/>
        <v>君一求</v>
      </c>
      <c r="G10" s="186" t="str">
        <f t="shared" si="9"/>
        <v>君二求</v>
      </c>
      <c r="H10" s="186" t="str">
        <f t="shared" si="9"/>
        <v>君三求</v>
      </c>
      <c r="I10" s="187" t="str">
        <f t="shared" si="9"/>
        <v>君四求</v>
      </c>
      <c r="J10" s="186" t="str">
        <f t="shared" si="9"/>
        <v>君五求</v>
      </c>
      <c r="K10" s="186" t="str">
        <f t="shared" si="9"/>
        <v>君六求</v>
      </c>
      <c r="L10" s="186" t="str">
        <f t="shared" si="9"/>
        <v>君七求</v>
      </c>
      <c r="M10" s="188" t="str">
        <f t="shared" si="9"/>
        <v>君八求</v>
      </c>
      <c r="O10" s="167">
        <v>4</v>
      </c>
      <c r="P10" s="171" t="str">
        <f xml:space="preserve"> _xlfn.XLOOKUP($E10, 聲母表[台羅拼音], 聲母表[十五音])</f>
        <v>求</v>
      </c>
      <c r="Q10" s="169" t="str">
        <f xml:space="preserve"> _xlfn.CONCAT("[ ", _xlfn.XLOOKUP($E10, 聲母表[台羅拼音], 聲母表[國際音標]), " ]")</f>
        <v>[ k ]</v>
      </c>
      <c r="R10" s="170" t="s">
        <v>49</v>
      </c>
      <c r="S10" s="146" t="str">
        <f t="shared" si="6"/>
        <v>kun1</v>
      </c>
      <c r="T10" s="147" t="str">
        <f t="shared" si="7"/>
        <v>kun2</v>
      </c>
      <c r="U10" s="147" t="str">
        <f t="shared" si="7"/>
        <v>kun3</v>
      </c>
      <c r="V10" s="148" t="str">
        <f t="shared" si="7"/>
        <v>kut4</v>
      </c>
      <c r="W10" s="147" t="str">
        <f t="shared" si="7"/>
        <v>kun5</v>
      </c>
      <c r="X10" s="147" t="str">
        <f t="shared" si="7"/>
        <v>kun6</v>
      </c>
      <c r="Y10" s="147" t="str">
        <f t="shared" si="7"/>
        <v>kun7</v>
      </c>
      <c r="Z10" s="149" t="str">
        <f t="shared" si="7"/>
        <v>kut8</v>
      </c>
      <c r="AB10" s="167">
        <v>4</v>
      </c>
      <c r="AC10" s="171" t="str">
        <f xml:space="preserve"> _xlfn.XLOOKUP($E10, 聲母表[台羅拼音], 聲母表[十五音])</f>
        <v>求</v>
      </c>
      <c r="AD10" s="169" t="str">
        <f xml:space="preserve"> _xlfn.CONCAT("[ ", _xlfn.XLOOKUP($E10, 聲母表[台羅拼音], 聲母表[國際音標]), " ]")</f>
        <v>[ k ]</v>
      </c>
      <c r="AE10" s="170" t="str">
        <f xml:space="preserve"> _xlfn.XLOOKUP($E10, 聲母表[台羅拼音], 聲母表[方音符號])</f>
        <v>ㄍ</v>
      </c>
      <c r="AF10" s="146" t="str">
        <f t="shared" si="10"/>
        <v>ㄍㄨㄣ</v>
      </c>
      <c r="AG10" s="147" t="str">
        <f t="shared" si="10"/>
        <v>ㄍㄨㄣˋ</v>
      </c>
      <c r="AH10" s="147" t="str">
        <f t="shared" si="10"/>
        <v>ㄍㄨㄣ˪</v>
      </c>
      <c r="AI10" s="148" t="str">
        <f t="shared" si="10"/>
        <v>ㄍㄨㆵ</v>
      </c>
      <c r="AJ10" s="147" t="str">
        <f t="shared" si="10"/>
        <v>ㄍㄨㄣˊ</v>
      </c>
      <c r="AK10" s="147" t="str">
        <f t="shared" si="10"/>
        <v>ㄍㄨㄣˋ</v>
      </c>
      <c r="AL10" s="147" t="str">
        <f t="shared" si="10"/>
        <v>ㄍㄨㄣ˫</v>
      </c>
      <c r="AM10" s="149" t="str">
        <f t="shared" si="10"/>
        <v>ㄍㄨㆵ˙</v>
      </c>
    </row>
    <row r="11" spans="2:39">
      <c r="B11" s="167">
        <v>5</v>
      </c>
      <c r="C11" s="171" t="str">
        <f xml:space="preserve"> _xlfn.XLOOKUP($E11, 聲母表[台羅拼音], 聲母表[十五音])</f>
        <v>去</v>
      </c>
      <c r="D11" s="169" t="str">
        <f xml:space="preserve"> _xlfn.CONCAT("[ ", _xlfn.XLOOKUP($E11, 聲母表[台羅拼音], 聲母表[國際音標]), " ]")</f>
        <v>[ kʰ ]</v>
      </c>
      <c r="E11" s="170" t="s">
        <v>50</v>
      </c>
      <c r="F11" s="186" t="str">
        <f t="shared" si="9"/>
        <v>君一去</v>
      </c>
      <c r="G11" s="186" t="str">
        <f t="shared" si="9"/>
        <v>君二去</v>
      </c>
      <c r="H11" s="186" t="str">
        <f t="shared" si="9"/>
        <v>君三去</v>
      </c>
      <c r="I11" s="187" t="str">
        <f t="shared" si="9"/>
        <v>君四去</v>
      </c>
      <c r="J11" s="186" t="str">
        <f t="shared" si="9"/>
        <v>君五去</v>
      </c>
      <c r="K11" s="186" t="str">
        <f t="shared" si="9"/>
        <v>君六去</v>
      </c>
      <c r="L11" s="186" t="str">
        <f t="shared" si="9"/>
        <v>君七去</v>
      </c>
      <c r="M11" s="188" t="str">
        <f t="shared" si="9"/>
        <v>君八去</v>
      </c>
      <c r="O11" s="167">
        <v>5</v>
      </c>
      <c r="P11" s="171" t="str">
        <f xml:space="preserve"> _xlfn.XLOOKUP($E11, 聲母表[台羅拼音], 聲母表[十五音])</f>
        <v>去</v>
      </c>
      <c r="Q11" s="169" t="str">
        <f xml:space="preserve"> _xlfn.CONCAT("[ ", _xlfn.XLOOKUP($E11, 聲母表[台羅拼音], 聲母表[國際音標]), " ]")</f>
        <v>[ kʰ ]</v>
      </c>
      <c r="R11" s="170" t="s">
        <v>50</v>
      </c>
      <c r="S11" s="146" t="str">
        <f t="shared" si="6"/>
        <v>khun1</v>
      </c>
      <c r="T11" s="147" t="str">
        <f t="shared" si="7"/>
        <v>khun2</v>
      </c>
      <c r="U11" s="147" t="str">
        <f t="shared" si="7"/>
        <v>khun3</v>
      </c>
      <c r="V11" s="148" t="str">
        <f t="shared" si="7"/>
        <v>khut4</v>
      </c>
      <c r="W11" s="147" t="str">
        <f t="shared" si="7"/>
        <v>khun5</v>
      </c>
      <c r="X11" s="147" t="str">
        <f t="shared" si="7"/>
        <v>khun6</v>
      </c>
      <c r="Y11" s="147" t="str">
        <f t="shared" si="7"/>
        <v>khun7</v>
      </c>
      <c r="Z11" s="149" t="str">
        <f t="shared" si="7"/>
        <v>khut8</v>
      </c>
      <c r="AB11" s="167">
        <v>5</v>
      </c>
      <c r="AC11" s="171" t="str">
        <f xml:space="preserve"> _xlfn.XLOOKUP($E11, 聲母表[台羅拼音], 聲母表[十五音])</f>
        <v>去</v>
      </c>
      <c r="AD11" s="169" t="str">
        <f xml:space="preserve"> _xlfn.CONCAT("[ ", _xlfn.XLOOKUP($E11, 聲母表[台羅拼音], 聲母表[國際音標]), " ]")</f>
        <v>[ kʰ ]</v>
      </c>
      <c r="AE11" s="170" t="str">
        <f xml:space="preserve"> _xlfn.XLOOKUP($E11, 聲母表[台羅拼音], 聲母表[方音符號])</f>
        <v>ㄎ</v>
      </c>
      <c r="AF11" s="146" t="str">
        <f t="shared" si="10"/>
        <v>ㄎㄨㄣ</v>
      </c>
      <c r="AG11" s="147" t="str">
        <f t="shared" si="10"/>
        <v>ㄎㄨㄣˋ</v>
      </c>
      <c r="AH11" s="147" t="str">
        <f t="shared" si="10"/>
        <v>ㄎㄨㄣ˪</v>
      </c>
      <c r="AI11" s="148" t="str">
        <f t="shared" si="10"/>
        <v>ㄎㄨㆵ</v>
      </c>
      <c r="AJ11" s="147" t="str">
        <f t="shared" si="10"/>
        <v>ㄎㄨㄣˊ</v>
      </c>
      <c r="AK11" s="147" t="str">
        <f t="shared" si="10"/>
        <v>ㄎㄨㄣˋ</v>
      </c>
      <c r="AL11" s="147" t="str">
        <f t="shared" si="10"/>
        <v>ㄎㄨㄣ˫</v>
      </c>
      <c r="AM11" s="149" t="str">
        <f t="shared" si="10"/>
        <v>ㄎㄨㆵ˙</v>
      </c>
    </row>
    <row r="12" spans="2:39">
      <c r="B12" s="167">
        <v>6</v>
      </c>
      <c r="C12" s="171" t="str">
        <f xml:space="preserve"> _xlfn.XLOOKUP($E12, 聲母表[台羅拼音], 聲母表[十五音])</f>
        <v>地</v>
      </c>
      <c r="D12" s="169" t="str">
        <f xml:space="preserve"> _xlfn.CONCAT("[ ", _xlfn.XLOOKUP($E12, 聲母表[台羅拼音], 聲母表[國際音標]), " ]")</f>
        <v>[ t ]</v>
      </c>
      <c r="E12" s="170" t="s">
        <v>45</v>
      </c>
      <c r="F12" s="186" t="str">
        <f t="shared" si="9"/>
        <v>君一地</v>
      </c>
      <c r="G12" s="186" t="str">
        <f t="shared" si="9"/>
        <v>君二地</v>
      </c>
      <c r="H12" s="186" t="str">
        <f t="shared" si="9"/>
        <v>君三地</v>
      </c>
      <c r="I12" s="187" t="str">
        <f t="shared" si="9"/>
        <v>君四地</v>
      </c>
      <c r="J12" s="186" t="str">
        <f t="shared" si="9"/>
        <v>君五地</v>
      </c>
      <c r="K12" s="186" t="str">
        <f t="shared" si="9"/>
        <v>君六地</v>
      </c>
      <c r="L12" s="186" t="str">
        <f t="shared" si="9"/>
        <v>君七地</v>
      </c>
      <c r="M12" s="188" t="str">
        <f t="shared" si="9"/>
        <v>君八地</v>
      </c>
      <c r="O12" s="167">
        <v>6</v>
      </c>
      <c r="P12" s="171" t="str">
        <f xml:space="preserve"> _xlfn.XLOOKUP($E12, 聲母表[台羅拼音], 聲母表[十五音])</f>
        <v>地</v>
      </c>
      <c r="Q12" s="169" t="str">
        <f xml:space="preserve"> _xlfn.CONCAT("[ ", _xlfn.XLOOKUP($E12, 聲母表[台羅拼音], 聲母表[國際音標]), " ]")</f>
        <v>[ t ]</v>
      </c>
      <c r="R12" s="170" t="s">
        <v>45</v>
      </c>
      <c r="S12" s="146" t="str">
        <f t="shared" si="6"/>
        <v>tun1</v>
      </c>
      <c r="T12" s="147" t="str">
        <f t="shared" si="7"/>
        <v>tun2</v>
      </c>
      <c r="U12" s="147" t="str">
        <f t="shared" si="7"/>
        <v>tun3</v>
      </c>
      <c r="V12" s="148" t="str">
        <f t="shared" si="7"/>
        <v>tut4</v>
      </c>
      <c r="W12" s="147" t="str">
        <f t="shared" si="7"/>
        <v>tun5</v>
      </c>
      <c r="X12" s="147" t="str">
        <f t="shared" si="7"/>
        <v>tun6</v>
      </c>
      <c r="Y12" s="147" t="str">
        <f t="shared" si="7"/>
        <v>tun7</v>
      </c>
      <c r="Z12" s="149" t="str">
        <f t="shared" si="7"/>
        <v>tut8</v>
      </c>
      <c r="AB12" s="167">
        <v>6</v>
      </c>
      <c r="AC12" s="171" t="str">
        <f xml:space="preserve"> _xlfn.XLOOKUP($E12, 聲母表[台羅拼音], 聲母表[十五音])</f>
        <v>地</v>
      </c>
      <c r="AD12" s="169" t="str">
        <f xml:space="preserve"> _xlfn.CONCAT("[ ", _xlfn.XLOOKUP($E12, 聲母表[台羅拼音], 聲母表[國際音標]), " ]")</f>
        <v>[ t ]</v>
      </c>
      <c r="AE12" s="170" t="str">
        <f xml:space="preserve"> _xlfn.XLOOKUP($E12, 聲母表[台羅拼音], 聲母表[方音符號])</f>
        <v>ㄉ</v>
      </c>
      <c r="AF12" s="146" t="str">
        <f t="shared" si="10"/>
        <v>ㄉㄨㄣ</v>
      </c>
      <c r="AG12" s="147" t="str">
        <f t="shared" si="10"/>
        <v>ㄉㄨㄣˋ</v>
      </c>
      <c r="AH12" s="147" t="str">
        <f t="shared" si="10"/>
        <v>ㄉㄨㄣ˪</v>
      </c>
      <c r="AI12" s="148" t="str">
        <f t="shared" si="10"/>
        <v>ㄉㄨㆵ</v>
      </c>
      <c r="AJ12" s="147" t="str">
        <f t="shared" si="10"/>
        <v>ㄉㄨㄣˊ</v>
      </c>
      <c r="AK12" s="147" t="str">
        <f t="shared" si="10"/>
        <v>ㄉㄨㄣˋ</v>
      </c>
      <c r="AL12" s="147" t="str">
        <f t="shared" si="10"/>
        <v>ㄉㄨㄣ˫</v>
      </c>
      <c r="AM12" s="149" t="str">
        <f t="shared" si="10"/>
        <v>ㄉㄨㆵ˙</v>
      </c>
    </row>
    <row r="13" spans="2:39">
      <c r="B13" s="167">
        <v>7</v>
      </c>
      <c r="C13" s="171" t="str">
        <f xml:space="preserve"> _xlfn.XLOOKUP($E13, 聲母表[台羅拼音], 聲母表[十五音])</f>
        <v>頗</v>
      </c>
      <c r="D13" s="169" t="str">
        <f xml:space="preserve"> _xlfn.CONCAT("[ ", _xlfn.XLOOKUP($E13, 聲母表[台羅拼音], 聲母表[國際音標]), " ]")</f>
        <v>[ pʰ ]</v>
      </c>
      <c r="E13" s="170" t="s">
        <v>42</v>
      </c>
      <c r="F13" s="186" t="str">
        <f t="shared" si="9"/>
        <v>君一頗</v>
      </c>
      <c r="G13" s="186" t="str">
        <f t="shared" si="9"/>
        <v>君二頗</v>
      </c>
      <c r="H13" s="186" t="str">
        <f t="shared" si="9"/>
        <v>君三頗</v>
      </c>
      <c r="I13" s="187" t="str">
        <f t="shared" si="9"/>
        <v>君四頗</v>
      </c>
      <c r="J13" s="186" t="str">
        <f t="shared" si="9"/>
        <v>君五頗</v>
      </c>
      <c r="K13" s="186" t="str">
        <f t="shared" si="9"/>
        <v>君六頗</v>
      </c>
      <c r="L13" s="186" t="str">
        <f t="shared" si="9"/>
        <v>君七頗</v>
      </c>
      <c r="M13" s="188" t="str">
        <f t="shared" si="9"/>
        <v>君八頗</v>
      </c>
      <c r="O13" s="167">
        <v>7</v>
      </c>
      <c r="P13" s="171" t="str">
        <f xml:space="preserve"> _xlfn.XLOOKUP($E13, 聲母表[台羅拼音], 聲母表[十五音])</f>
        <v>頗</v>
      </c>
      <c r="Q13" s="169" t="str">
        <f xml:space="preserve"> _xlfn.CONCAT("[ ", _xlfn.XLOOKUP($E13, 聲母表[台羅拼音], 聲母表[國際音標]), " ]")</f>
        <v>[ pʰ ]</v>
      </c>
      <c r="R13" s="170" t="s">
        <v>42</v>
      </c>
      <c r="S13" s="146" t="str">
        <f t="shared" si="6"/>
        <v>phun1</v>
      </c>
      <c r="T13" s="147" t="str">
        <f t="shared" si="7"/>
        <v>phun2</v>
      </c>
      <c r="U13" s="147" t="str">
        <f t="shared" si="7"/>
        <v>phun3</v>
      </c>
      <c r="V13" s="148" t="str">
        <f t="shared" si="7"/>
        <v>phut4</v>
      </c>
      <c r="W13" s="147" t="str">
        <f t="shared" si="7"/>
        <v>phun5</v>
      </c>
      <c r="X13" s="147" t="str">
        <f t="shared" si="7"/>
        <v>phun6</v>
      </c>
      <c r="Y13" s="147" t="str">
        <f t="shared" si="7"/>
        <v>phun7</v>
      </c>
      <c r="Z13" s="149" t="str">
        <f t="shared" si="7"/>
        <v>phut8</v>
      </c>
      <c r="AB13" s="167">
        <v>7</v>
      </c>
      <c r="AC13" s="171" t="str">
        <f xml:space="preserve"> _xlfn.XLOOKUP($E13, 聲母表[台羅拼音], 聲母表[十五音])</f>
        <v>頗</v>
      </c>
      <c r="AD13" s="169" t="str">
        <f xml:space="preserve"> _xlfn.CONCAT("[ ", _xlfn.XLOOKUP($E13, 聲母表[台羅拼音], 聲母表[國際音標]), " ]")</f>
        <v>[ pʰ ]</v>
      </c>
      <c r="AE13" s="170" t="str">
        <f xml:space="preserve"> _xlfn.XLOOKUP($E13, 聲母表[台羅拼音], 聲母表[方音符號])</f>
        <v>ㄆ</v>
      </c>
      <c r="AF13" s="146" t="str">
        <f t="shared" si="10"/>
        <v>ㄆㄨㄣ</v>
      </c>
      <c r="AG13" s="147" t="str">
        <f t="shared" si="10"/>
        <v>ㄆㄨㄣˋ</v>
      </c>
      <c r="AH13" s="147" t="str">
        <f t="shared" si="10"/>
        <v>ㄆㄨㄣ˪</v>
      </c>
      <c r="AI13" s="148" t="str">
        <f t="shared" si="10"/>
        <v>ㄆㄨㆵ</v>
      </c>
      <c r="AJ13" s="147" t="str">
        <f t="shared" si="10"/>
        <v>ㄆㄨㄣˊ</v>
      </c>
      <c r="AK13" s="147" t="str">
        <f t="shared" si="10"/>
        <v>ㄆㄨㄣˋ</v>
      </c>
      <c r="AL13" s="147" t="str">
        <f t="shared" si="10"/>
        <v>ㄆㄨㄣ˫</v>
      </c>
      <c r="AM13" s="149" t="str">
        <f t="shared" si="10"/>
        <v>ㄆㄨㆵ˙</v>
      </c>
    </row>
    <row r="14" spans="2:39">
      <c r="B14" s="167">
        <v>8</v>
      </c>
      <c r="C14" s="171" t="str">
        <f xml:space="preserve"> _xlfn.XLOOKUP($E14, 聲母表[台羅拼音], 聲母表[十五音])</f>
        <v>他</v>
      </c>
      <c r="D14" s="169" t="str">
        <f xml:space="preserve"> _xlfn.CONCAT("[ ", _xlfn.XLOOKUP($E14, 聲母表[台羅拼音], 聲母表[國際音標]), " ]")</f>
        <v>[ tʰ ]</v>
      </c>
      <c r="E14" s="170" t="s">
        <v>46</v>
      </c>
      <c r="F14" s="186" t="str">
        <f t="shared" si="9"/>
        <v>君一他</v>
      </c>
      <c r="G14" s="186" t="str">
        <f t="shared" si="9"/>
        <v>君二他</v>
      </c>
      <c r="H14" s="186" t="str">
        <f t="shared" si="9"/>
        <v>君三他</v>
      </c>
      <c r="I14" s="187" t="str">
        <f t="shared" si="9"/>
        <v>君四他</v>
      </c>
      <c r="J14" s="186" t="str">
        <f t="shared" si="9"/>
        <v>君五他</v>
      </c>
      <c r="K14" s="186" t="str">
        <f t="shared" si="9"/>
        <v>君六他</v>
      </c>
      <c r="L14" s="186" t="str">
        <f t="shared" si="9"/>
        <v>君七他</v>
      </c>
      <c r="M14" s="188" t="str">
        <f t="shared" si="9"/>
        <v>君八他</v>
      </c>
      <c r="O14" s="167">
        <v>8</v>
      </c>
      <c r="P14" s="171" t="str">
        <f xml:space="preserve"> _xlfn.XLOOKUP($E14, 聲母表[台羅拼音], 聲母表[十五音])</f>
        <v>他</v>
      </c>
      <c r="Q14" s="169" t="str">
        <f xml:space="preserve"> _xlfn.CONCAT("[ ", _xlfn.XLOOKUP($E14, 聲母表[台羅拼音], 聲母表[國際音標]), " ]")</f>
        <v>[ tʰ ]</v>
      </c>
      <c r="R14" s="170" t="s">
        <v>46</v>
      </c>
      <c r="S14" s="146" t="str">
        <f t="shared" si="6"/>
        <v>thun1</v>
      </c>
      <c r="T14" s="147" t="str">
        <f t="shared" si="7"/>
        <v>thun2</v>
      </c>
      <c r="U14" s="147" t="str">
        <f t="shared" si="7"/>
        <v>thun3</v>
      </c>
      <c r="V14" s="148" t="str">
        <f t="shared" si="7"/>
        <v>thut4</v>
      </c>
      <c r="W14" s="147" t="str">
        <f t="shared" si="7"/>
        <v>thun5</v>
      </c>
      <c r="X14" s="147" t="str">
        <f t="shared" si="7"/>
        <v>thun6</v>
      </c>
      <c r="Y14" s="147" t="str">
        <f t="shared" si="7"/>
        <v>thun7</v>
      </c>
      <c r="Z14" s="149" t="str">
        <f t="shared" si="7"/>
        <v>thut8</v>
      </c>
      <c r="AB14" s="167">
        <v>8</v>
      </c>
      <c r="AC14" s="171" t="str">
        <f xml:space="preserve"> _xlfn.XLOOKUP($E14, 聲母表[台羅拼音], 聲母表[十五音])</f>
        <v>他</v>
      </c>
      <c r="AD14" s="169" t="str">
        <f xml:space="preserve"> _xlfn.CONCAT("[ ", _xlfn.XLOOKUP($E14, 聲母表[台羅拼音], 聲母表[國際音標]), " ]")</f>
        <v>[ tʰ ]</v>
      </c>
      <c r="AE14" s="170" t="str">
        <f xml:space="preserve"> _xlfn.XLOOKUP($E14, 聲母表[台羅拼音], 聲母表[方音符號])</f>
        <v>ㄊ</v>
      </c>
      <c r="AF14" s="146" t="str">
        <f t="shared" si="10"/>
        <v>ㄊㄨㄣ</v>
      </c>
      <c r="AG14" s="147" t="str">
        <f t="shared" si="10"/>
        <v>ㄊㄨㄣˋ</v>
      </c>
      <c r="AH14" s="147" t="str">
        <f t="shared" si="10"/>
        <v>ㄊㄨㄣ˪</v>
      </c>
      <c r="AI14" s="148" t="str">
        <f t="shared" si="10"/>
        <v>ㄊㄨㆵ</v>
      </c>
      <c r="AJ14" s="147" t="str">
        <f t="shared" si="10"/>
        <v>ㄊㄨㄣˊ</v>
      </c>
      <c r="AK14" s="147" t="str">
        <f t="shared" si="10"/>
        <v>ㄊㄨㄣˋ</v>
      </c>
      <c r="AL14" s="147" t="str">
        <f t="shared" si="10"/>
        <v>ㄊㄨㄣ˫</v>
      </c>
      <c r="AM14" s="149" t="str">
        <f t="shared" si="10"/>
        <v>ㄊㄨㆵ˙</v>
      </c>
    </row>
    <row r="15" spans="2:39">
      <c r="B15" s="167">
        <v>9</v>
      </c>
      <c r="C15" s="171" t="str">
        <f xml:space="preserve"> _xlfn.XLOOKUP($E15, 聲母表[台羅拼音], 聲母表[十五音])</f>
        <v>曾</v>
      </c>
      <c r="D15" s="169" t="str">
        <f xml:space="preserve"> _xlfn.CONCAT("[ ", _xlfn.XLOOKUP($E15, 聲母表[台羅拼音], 聲母表[國際音標]), " ]")</f>
        <v>[ ʦ ]</v>
      </c>
      <c r="E15" s="170" t="s">
        <v>54</v>
      </c>
      <c r="F15" s="186" t="str">
        <f t="shared" si="9"/>
        <v>君一曾</v>
      </c>
      <c r="G15" s="186" t="str">
        <f t="shared" si="9"/>
        <v>君二曾</v>
      </c>
      <c r="H15" s="186" t="str">
        <f t="shared" si="9"/>
        <v>君三曾</v>
      </c>
      <c r="I15" s="187" t="str">
        <f t="shared" si="9"/>
        <v>君四曾</v>
      </c>
      <c r="J15" s="186" t="str">
        <f t="shared" si="9"/>
        <v>君五曾</v>
      </c>
      <c r="K15" s="186" t="str">
        <f t="shared" si="9"/>
        <v>君六曾</v>
      </c>
      <c r="L15" s="186" t="str">
        <f t="shared" si="9"/>
        <v>君七曾</v>
      </c>
      <c r="M15" s="188" t="str">
        <f t="shared" si="9"/>
        <v>君八曾</v>
      </c>
      <c r="O15" s="167">
        <v>9</v>
      </c>
      <c r="P15" s="171" t="str">
        <f xml:space="preserve"> _xlfn.XLOOKUP($E15, 聲母表[台羅拼音], 聲母表[十五音])</f>
        <v>曾</v>
      </c>
      <c r="Q15" s="169" t="str">
        <f xml:space="preserve"> _xlfn.CONCAT("[ ", _xlfn.XLOOKUP($E15, 聲母表[台羅拼音], 聲母表[國際音標]), " ]")</f>
        <v>[ ʦ ]</v>
      </c>
      <c r="R15" s="170" t="s">
        <v>54</v>
      </c>
      <c r="S15" s="146" t="str">
        <f t="shared" si="6"/>
        <v>tsun1</v>
      </c>
      <c r="T15" s="147" t="str">
        <f t="shared" si="7"/>
        <v>tsun2</v>
      </c>
      <c r="U15" s="147" t="str">
        <f t="shared" si="7"/>
        <v>tsun3</v>
      </c>
      <c r="V15" s="148" t="str">
        <f t="shared" si="7"/>
        <v>tsut4</v>
      </c>
      <c r="W15" s="147" t="str">
        <f t="shared" si="7"/>
        <v>tsun5</v>
      </c>
      <c r="X15" s="147" t="str">
        <f t="shared" si="7"/>
        <v>tsun6</v>
      </c>
      <c r="Y15" s="147" t="str">
        <f t="shared" si="7"/>
        <v>tsun7</v>
      </c>
      <c r="Z15" s="149" t="str">
        <f t="shared" si="7"/>
        <v>tsut8</v>
      </c>
      <c r="AB15" s="167">
        <v>9</v>
      </c>
      <c r="AC15" s="171" t="str">
        <f xml:space="preserve"> _xlfn.XLOOKUP($E15, 聲母表[台羅拼音], 聲母表[十五音])</f>
        <v>曾</v>
      </c>
      <c r="AD15" s="169" t="str">
        <f xml:space="preserve"> _xlfn.CONCAT("[ ", _xlfn.XLOOKUP($E15, 聲母表[台羅拼音], 聲母表[國際音標]), " ]")</f>
        <v>[ ʦ ]</v>
      </c>
      <c r="AE15" s="170" t="str">
        <f xml:space="preserve"> _xlfn.XLOOKUP($E15, 聲母表[台羅拼音], 聲母表[方音符號])</f>
        <v>ㄗ</v>
      </c>
      <c r="AF15" s="146" t="str">
        <f t="shared" si="10"/>
        <v>ㄗㄨㄣ</v>
      </c>
      <c r="AG15" s="147" t="str">
        <f t="shared" si="10"/>
        <v>ㄗㄨㄣˋ</v>
      </c>
      <c r="AH15" s="147" t="str">
        <f t="shared" si="10"/>
        <v>ㄗㄨㄣ˪</v>
      </c>
      <c r="AI15" s="148" t="str">
        <f t="shared" si="10"/>
        <v>ㄗㄨㆵ</v>
      </c>
      <c r="AJ15" s="147" t="str">
        <f t="shared" si="10"/>
        <v>ㄗㄨㄣˊ</v>
      </c>
      <c r="AK15" s="147" t="str">
        <f t="shared" si="10"/>
        <v>ㄗㄨㄣˋ</v>
      </c>
      <c r="AL15" s="147" t="str">
        <f t="shared" si="10"/>
        <v>ㄗㄨㄣ˫</v>
      </c>
      <c r="AM15" s="149" t="str">
        <f t="shared" si="10"/>
        <v>ㄗㄨㆵ˙</v>
      </c>
    </row>
    <row r="16" spans="2:39">
      <c r="B16" s="167">
        <v>10</v>
      </c>
      <c r="C16" s="171" t="str">
        <f xml:space="preserve"> _xlfn.XLOOKUP($E16, 聲母表[台羅拼音], 聲母表[十五音])</f>
        <v>入</v>
      </c>
      <c r="D16" s="169" t="str">
        <f xml:space="preserve"> _xlfn.CONCAT("[ ", _xlfn.XLOOKUP($E16, 聲母表[台羅拼音], 聲母表[國際音標]), " ]")</f>
        <v>[ ʣ ]</v>
      </c>
      <c r="E16" s="170" t="s">
        <v>60</v>
      </c>
      <c r="F16" s="186" t="str">
        <f t="shared" si="9"/>
        <v>君一入</v>
      </c>
      <c r="G16" s="186" t="str">
        <f t="shared" si="9"/>
        <v>君二入</v>
      </c>
      <c r="H16" s="186" t="str">
        <f t="shared" si="9"/>
        <v>君三入</v>
      </c>
      <c r="I16" s="187" t="str">
        <f t="shared" si="9"/>
        <v>君四入</v>
      </c>
      <c r="J16" s="186" t="str">
        <f t="shared" si="9"/>
        <v>君五入</v>
      </c>
      <c r="K16" s="186" t="str">
        <f t="shared" si="9"/>
        <v>君六入</v>
      </c>
      <c r="L16" s="186" t="str">
        <f t="shared" si="9"/>
        <v>君七入</v>
      </c>
      <c r="M16" s="188" t="str">
        <f t="shared" si="9"/>
        <v>君八入</v>
      </c>
      <c r="O16" s="167">
        <v>10</v>
      </c>
      <c r="P16" s="171" t="str">
        <f xml:space="preserve"> _xlfn.XLOOKUP($E16, 聲母表[台羅拼音], 聲母表[十五音])</f>
        <v>入</v>
      </c>
      <c r="Q16" s="169" t="str">
        <f xml:space="preserve"> _xlfn.CONCAT("[ ", _xlfn.XLOOKUP($E16, 聲母表[台羅拼音], 聲母表[國際音標]), " ]")</f>
        <v>[ ʣ ]</v>
      </c>
      <c r="R16" s="170" t="s">
        <v>60</v>
      </c>
      <c r="S16" s="146" t="str">
        <f t="shared" si="6"/>
        <v>jun1</v>
      </c>
      <c r="T16" s="147" t="str">
        <f t="shared" si="7"/>
        <v>jun2</v>
      </c>
      <c r="U16" s="147" t="str">
        <f t="shared" si="7"/>
        <v>jun3</v>
      </c>
      <c r="V16" s="148" t="str">
        <f t="shared" si="7"/>
        <v>jut4</v>
      </c>
      <c r="W16" s="147" t="str">
        <f t="shared" si="7"/>
        <v>jun5</v>
      </c>
      <c r="X16" s="147" t="str">
        <f t="shared" si="7"/>
        <v>jun6</v>
      </c>
      <c r="Y16" s="147" t="str">
        <f t="shared" si="7"/>
        <v>jun7</v>
      </c>
      <c r="Z16" s="149" t="str">
        <f t="shared" si="7"/>
        <v>jut8</v>
      </c>
      <c r="AB16" s="167">
        <v>10</v>
      </c>
      <c r="AC16" s="171" t="str">
        <f xml:space="preserve"> _xlfn.XLOOKUP($E16, 聲母表[台羅拼音], 聲母表[十五音])</f>
        <v>入</v>
      </c>
      <c r="AD16" s="169" t="str">
        <f xml:space="preserve"> _xlfn.CONCAT("[ ", _xlfn.XLOOKUP($E16, 聲母表[台羅拼音], 聲母表[國際音標]), " ]")</f>
        <v>[ ʣ ]</v>
      </c>
      <c r="AE16" s="170" t="str">
        <f xml:space="preserve"> _xlfn.XLOOKUP($E16, 聲母表[台羅拼音], 聲母表[方音符號])</f>
        <v>ㆡ</v>
      </c>
      <c r="AF16" s="146" t="str">
        <f t="shared" si="10"/>
        <v>ㆡㄨㄣ</v>
      </c>
      <c r="AG16" s="147" t="str">
        <f t="shared" si="10"/>
        <v>ㆡㄨㄣˋ</v>
      </c>
      <c r="AH16" s="147" t="str">
        <f t="shared" si="10"/>
        <v>ㆡㄨㄣ˪</v>
      </c>
      <c r="AI16" s="148" t="str">
        <f t="shared" si="10"/>
        <v>ㆡㄨㆵ</v>
      </c>
      <c r="AJ16" s="147" t="str">
        <f t="shared" si="10"/>
        <v>ㆡㄨㄣˊ</v>
      </c>
      <c r="AK16" s="147" t="str">
        <f t="shared" si="10"/>
        <v>ㆡㄨㄣˋ</v>
      </c>
      <c r="AL16" s="147" t="str">
        <f t="shared" si="10"/>
        <v>ㆡㄨㄣ˫</v>
      </c>
      <c r="AM16" s="149" t="str">
        <f t="shared" si="10"/>
        <v>ㆡㄨㆵ˙</v>
      </c>
    </row>
    <row r="17" spans="2:39">
      <c r="B17" s="167">
        <v>11</v>
      </c>
      <c r="C17" s="171" t="str">
        <f xml:space="preserve"> _xlfn.XLOOKUP($E17, 聲母表[台羅拼音], 聲母表[十五音])</f>
        <v>時</v>
      </c>
      <c r="D17" s="169" t="str">
        <f xml:space="preserve"> _xlfn.CONCAT("[ ", _xlfn.XLOOKUP($E17, 聲母表[台羅拼音], 聲母表[國際音標]), " ]")</f>
        <v>[ s ]</v>
      </c>
      <c r="E17" s="170" t="s">
        <v>58</v>
      </c>
      <c r="F17" s="186" t="str">
        <f t="shared" si="9"/>
        <v>君一時</v>
      </c>
      <c r="G17" s="186" t="str">
        <f t="shared" si="9"/>
        <v>君二時</v>
      </c>
      <c r="H17" s="186" t="str">
        <f t="shared" si="9"/>
        <v>君三時</v>
      </c>
      <c r="I17" s="187" t="str">
        <f t="shared" si="9"/>
        <v>君四時</v>
      </c>
      <c r="J17" s="186" t="str">
        <f t="shared" si="9"/>
        <v>君五時</v>
      </c>
      <c r="K17" s="186" t="str">
        <f t="shared" si="9"/>
        <v>君六時</v>
      </c>
      <c r="L17" s="186" t="str">
        <f t="shared" si="9"/>
        <v>君七時</v>
      </c>
      <c r="M17" s="188" t="str">
        <f t="shared" si="9"/>
        <v>君八時</v>
      </c>
      <c r="O17" s="167">
        <v>11</v>
      </c>
      <c r="P17" s="171" t="str">
        <f xml:space="preserve"> _xlfn.XLOOKUP($E17, 聲母表[台羅拼音], 聲母表[十五音])</f>
        <v>時</v>
      </c>
      <c r="Q17" s="169" t="str">
        <f xml:space="preserve"> _xlfn.CONCAT("[ ", _xlfn.XLOOKUP($E17, 聲母表[台羅拼音], 聲母表[國際音標]), " ]")</f>
        <v>[ s ]</v>
      </c>
      <c r="R17" s="170" t="s">
        <v>58</v>
      </c>
      <c r="S17" s="146" t="str">
        <f t="shared" si="6"/>
        <v>sun1</v>
      </c>
      <c r="T17" s="147" t="str">
        <f t="shared" si="7"/>
        <v>sun2</v>
      </c>
      <c r="U17" s="147" t="str">
        <f t="shared" si="7"/>
        <v>sun3</v>
      </c>
      <c r="V17" s="148" t="str">
        <f t="shared" si="7"/>
        <v>sut4</v>
      </c>
      <c r="W17" s="147" t="str">
        <f t="shared" si="7"/>
        <v>sun5</v>
      </c>
      <c r="X17" s="147" t="str">
        <f t="shared" si="7"/>
        <v>sun6</v>
      </c>
      <c r="Y17" s="147" t="str">
        <f t="shared" si="7"/>
        <v>sun7</v>
      </c>
      <c r="Z17" s="149" t="str">
        <f t="shared" si="7"/>
        <v>sut8</v>
      </c>
      <c r="AB17" s="167">
        <v>11</v>
      </c>
      <c r="AC17" s="171" t="str">
        <f xml:space="preserve"> _xlfn.XLOOKUP($E17, 聲母表[台羅拼音], 聲母表[十五音])</f>
        <v>時</v>
      </c>
      <c r="AD17" s="169" t="str">
        <f xml:space="preserve"> _xlfn.CONCAT("[ ", _xlfn.XLOOKUP($E17, 聲母表[台羅拼音], 聲母表[國際音標]), " ]")</f>
        <v>[ s ]</v>
      </c>
      <c r="AE17" s="170" t="str">
        <f xml:space="preserve"> _xlfn.XLOOKUP($E17, 聲母表[台羅拼音], 聲母表[方音符號])</f>
        <v>ㄙ</v>
      </c>
      <c r="AF17" s="146" t="str">
        <f t="shared" si="10"/>
        <v>ㄙㄨㄣ</v>
      </c>
      <c r="AG17" s="147" t="str">
        <f t="shared" si="10"/>
        <v>ㄙㄨㄣˋ</v>
      </c>
      <c r="AH17" s="147" t="str">
        <f t="shared" si="10"/>
        <v>ㄙㄨㄣ˪</v>
      </c>
      <c r="AI17" s="148" t="str">
        <f t="shared" si="10"/>
        <v>ㄙㄨㆵ</v>
      </c>
      <c r="AJ17" s="147" t="str">
        <f t="shared" si="10"/>
        <v>ㄙㄨㄣˊ</v>
      </c>
      <c r="AK17" s="147" t="str">
        <f t="shared" si="10"/>
        <v>ㄙㄨㄣˋ</v>
      </c>
      <c r="AL17" s="147" t="str">
        <f t="shared" si="10"/>
        <v>ㄙㄨㄣ˫</v>
      </c>
      <c r="AM17" s="149" t="str">
        <f t="shared" si="10"/>
        <v>ㄙㄨㆵ˙</v>
      </c>
    </row>
    <row r="18" spans="2:39">
      <c r="B18" s="167">
        <v>12</v>
      </c>
      <c r="C18" s="171" t="str">
        <f xml:space="preserve"> _xlfn.XLOOKUP($E18, 聲母表[台羅拼音], 聲母表[十五音])</f>
        <v>英</v>
      </c>
      <c r="D18" s="169"/>
      <c r="E18" s="182" t="s">
        <v>327</v>
      </c>
      <c r="F18" s="186" t="str">
        <f t="shared" si="9"/>
        <v>君一英</v>
      </c>
      <c r="G18" s="186" t="str">
        <f t="shared" si="9"/>
        <v>君二英</v>
      </c>
      <c r="H18" s="186" t="str">
        <f t="shared" si="9"/>
        <v>君三英</v>
      </c>
      <c r="I18" s="187" t="str">
        <f t="shared" si="9"/>
        <v>君四英</v>
      </c>
      <c r="J18" s="186" t="str">
        <f t="shared" si="9"/>
        <v>君五英</v>
      </c>
      <c r="K18" s="186" t="str">
        <f t="shared" si="9"/>
        <v>君六英</v>
      </c>
      <c r="L18" s="186" t="str">
        <f t="shared" si="9"/>
        <v>君七英</v>
      </c>
      <c r="M18" s="188" t="str">
        <f t="shared" si="9"/>
        <v>君八英</v>
      </c>
      <c r="O18" s="167">
        <v>12</v>
      </c>
      <c r="P18" s="171" t="str">
        <f xml:space="preserve"> _xlfn.XLOOKUP($E18, 聲母表[台羅拼音], 聲母表[十五音])</f>
        <v>英</v>
      </c>
      <c r="Q18" s="169"/>
      <c r="R18" s="182" t="s">
        <v>327</v>
      </c>
      <c r="S18" s="146" t="str">
        <f t="shared" si="6"/>
        <v>Øun1</v>
      </c>
      <c r="T18" s="147" t="str">
        <f t="shared" si="7"/>
        <v>Øun2</v>
      </c>
      <c r="U18" s="147" t="str">
        <f t="shared" si="7"/>
        <v>Øun3</v>
      </c>
      <c r="V18" s="148" t="str">
        <f t="shared" si="7"/>
        <v>Øut4</v>
      </c>
      <c r="W18" s="147" t="str">
        <f t="shared" si="7"/>
        <v>Øun5</v>
      </c>
      <c r="X18" s="147" t="str">
        <f t="shared" si="7"/>
        <v>Øun6</v>
      </c>
      <c r="Y18" s="147" t="str">
        <f t="shared" si="7"/>
        <v>Øun7</v>
      </c>
      <c r="Z18" s="149" t="str">
        <f t="shared" si="7"/>
        <v>Øut8</v>
      </c>
      <c r="AB18" s="167">
        <v>12</v>
      </c>
      <c r="AC18" s="171" t="str">
        <f xml:space="preserve"> _xlfn.XLOOKUP($E18, 聲母表[台羅拼音], 聲母表[十五音])</f>
        <v>英</v>
      </c>
      <c r="AD18" s="169"/>
      <c r="AE18" s="182" t="s">
        <v>327</v>
      </c>
      <c r="AF18" s="146" t="str">
        <f t="shared" si="10"/>
        <v>Øㄨㄣ</v>
      </c>
      <c r="AG18" s="147" t="str">
        <f t="shared" si="10"/>
        <v>Øㄨㄣˋ</v>
      </c>
      <c r="AH18" s="147" t="str">
        <f t="shared" si="10"/>
        <v>Øㄨㄣ˪</v>
      </c>
      <c r="AI18" s="148" t="str">
        <f t="shared" si="10"/>
        <v>Øㄨㆵ</v>
      </c>
      <c r="AJ18" s="147" t="str">
        <f t="shared" si="10"/>
        <v>Øㄨㄣˊ</v>
      </c>
      <c r="AK18" s="147" t="str">
        <f t="shared" si="10"/>
        <v>Øㄨㄣˋ</v>
      </c>
      <c r="AL18" s="147" t="str">
        <f t="shared" si="10"/>
        <v>Øㄨㄣ˫</v>
      </c>
      <c r="AM18" s="149" t="str">
        <f t="shared" si="10"/>
        <v>Øㄨㆵ˙</v>
      </c>
    </row>
    <row r="19" spans="2:39">
      <c r="B19" s="167">
        <v>13</v>
      </c>
      <c r="C19" s="171" t="str">
        <f xml:space="preserve"> _xlfn.XLOOKUP($E19, 聲母表[台羅拼音], 聲母表[十五音])</f>
        <v>門</v>
      </c>
      <c r="D19" s="169" t="str">
        <f xml:space="preserve"> _xlfn.CONCAT("[ ", _xlfn.XLOOKUP($E19, 聲母表[台羅拼音], 聲母表[國際音標]), " ]")</f>
        <v>[ b ]</v>
      </c>
      <c r="E19" s="170" t="s">
        <v>43</v>
      </c>
      <c r="F19" s="186" t="str">
        <f t="shared" si="9"/>
        <v>君一門</v>
      </c>
      <c r="G19" s="186" t="str">
        <f t="shared" si="9"/>
        <v>君二門</v>
      </c>
      <c r="H19" s="186" t="str">
        <f t="shared" si="9"/>
        <v>君三門</v>
      </c>
      <c r="I19" s="187" t="str">
        <f t="shared" si="9"/>
        <v>君四門</v>
      </c>
      <c r="J19" s="186" t="str">
        <f t="shared" si="9"/>
        <v>君五門</v>
      </c>
      <c r="K19" s="186" t="str">
        <f t="shared" si="9"/>
        <v>君六門</v>
      </c>
      <c r="L19" s="186" t="str">
        <f t="shared" si="9"/>
        <v>君七門</v>
      </c>
      <c r="M19" s="188" t="str">
        <f t="shared" si="9"/>
        <v>君八門</v>
      </c>
      <c r="O19" s="167">
        <v>13</v>
      </c>
      <c r="P19" s="171" t="str">
        <f xml:space="preserve"> _xlfn.XLOOKUP($E19, 聲母表[台羅拼音], 聲母表[十五音])</f>
        <v>門</v>
      </c>
      <c r="Q19" s="169" t="str">
        <f xml:space="preserve"> _xlfn.CONCAT("[ ", _xlfn.XLOOKUP($E19, 聲母表[台羅拼音], 聲母表[國際音標]), " ]")</f>
        <v>[ b ]</v>
      </c>
      <c r="R19" s="170" t="s">
        <v>43</v>
      </c>
      <c r="S19" s="146" t="str">
        <f t="shared" si="6"/>
        <v>bun1</v>
      </c>
      <c r="T19" s="147" t="str">
        <f t="shared" si="7"/>
        <v>bun2</v>
      </c>
      <c r="U19" s="147" t="str">
        <f t="shared" si="7"/>
        <v>bun3</v>
      </c>
      <c r="V19" s="148" t="str">
        <f t="shared" si="7"/>
        <v>but4</v>
      </c>
      <c r="W19" s="147" t="str">
        <f t="shared" si="7"/>
        <v>bun5</v>
      </c>
      <c r="X19" s="147" t="str">
        <f t="shared" si="7"/>
        <v>bun6</v>
      </c>
      <c r="Y19" s="147" t="str">
        <f t="shared" si="7"/>
        <v>bun7</v>
      </c>
      <c r="Z19" s="149" t="str">
        <f t="shared" si="7"/>
        <v>but8</v>
      </c>
      <c r="AB19" s="167">
        <v>13</v>
      </c>
      <c r="AC19" s="171" t="str">
        <f xml:space="preserve"> _xlfn.XLOOKUP($E19, 聲母表[台羅拼音], 聲母表[十五音])</f>
        <v>門</v>
      </c>
      <c r="AD19" s="169" t="str">
        <f xml:space="preserve"> _xlfn.CONCAT("[ ", _xlfn.XLOOKUP($E19, 聲母表[台羅拼音], 聲母表[國際音標]), " ]")</f>
        <v>[ b ]</v>
      </c>
      <c r="AE19" s="170" t="str">
        <f xml:space="preserve"> _xlfn.XLOOKUP($E19, 聲母表[台羅拼音], 聲母表[方音符號])</f>
        <v>ㆠ</v>
      </c>
      <c r="AF19" s="146" t="str">
        <f t="shared" si="10"/>
        <v>ㆠㄨㄣ</v>
      </c>
      <c r="AG19" s="147" t="str">
        <f t="shared" si="10"/>
        <v>ㆠㄨㄣˋ</v>
      </c>
      <c r="AH19" s="147" t="str">
        <f t="shared" si="10"/>
        <v>ㆠㄨㄣ˪</v>
      </c>
      <c r="AI19" s="148" t="str">
        <f t="shared" si="10"/>
        <v>ㆠㄨㆵ</v>
      </c>
      <c r="AJ19" s="147" t="str">
        <f t="shared" si="10"/>
        <v>ㆠㄨㄣˊ</v>
      </c>
      <c r="AK19" s="147" t="str">
        <f t="shared" si="10"/>
        <v>ㆠㄨㄣˋ</v>
      </c>
      <c r="AL19" s="147" t="str">
        <f t="shared" si="10"/>
        <v>ㆠㄨㄣ˫</v>
      </c>
      <c r="AM19" s="149" t="str">
        <f t="shared" si="10"/>
        <v>ㆠㄨㆵ˙</v>
      </c>
    </row>
    <row r="20" spans="2:39">
      <c r="B20" s="167">
        <v>14</v>
      </c>
      <c r="C20" s="168" t="str">
        <f xml:space="preserve"> _xlfn.XLOOKUP($E20, 聲母表[台羅拼音], 聲母表[十五音])</f>
        <v>門</v>
      </c>
      <c r="D20" s="169" t="str">
        <f xml:space="preserve"> _xlfn.CONCAT("[ ", _xlfn.XLOOKUP($E20, 聲母表[台羅拼音], 聲母表[國際音標]), " ]")</f>
        <v>[ m ]</v>
      </c>
      <c r="E20" s="170" t="s">
        <v>44</v>
      </c>
      <c r="F20" s="186" t="str">
        <f t="shared" si="9"/>
        <v>君一門</v>
      </c>
      <c r="G20" s="186" t="str">
        <f t="shared" si="9"/>
        <v>君二門</v>
      </c>
      <c r="H20" s="186" t="str">
        <f t="shared" si="9"/>
        <v>君三門</v>
      </c>
      <c r="I20" s="187" t="str">
        <f t="shared" si="9"/>
        <v>君四門</v>
      </c>
      <c r="J20" s="186" t="str">
        <f t="shared" si="9"/>
        <v>君五門</v>
      </c>
      <c r="K20" s="186" t="str">
        <f t="shared" si="9"/>
        <v>君六門</v>
      </c>
      <c r="L20" s="186" t="str">
        <f t="shared" si="9"/>
        <v>君七門</v>
      </c>
      <c r="M20" s="188" t="str">
        <f t="shared" si="9"/>
        <v>君八門</v>
      </c>
      <c r="O20" s="167">
        <v>14</v>
      </c>
      <c r="P20" s="168" t="str">
        <f xml:space="preserve"> _xlfn.XLOOKUP($E20, 聲母表[台羅拼音], 聲母表[十五音])</f>
        <v>門</v>
      </c>
      <c r="Q20" s="169" t="str">
        <f xml:space="preserve"> _xlfn.CONCAT("[ ", _xlfn.XLOOKUP($E20, 聲母表[台羅拼音], 聲母表[國際音標]), " ]")</f>
        <v>[ m ]</v>
      </c>
      <c r="R20" s="170" t="s">
        <v>44</v>
      </c>
      <c r="S20" s="146" t="str">
        <f t="shared" si="6"/>
        <v>mun1</v>
      </c>
      <c r="T20" s="147" t="str">
        <f t="shared" si="7"/>
        <v>mun2</v>
      </c>
      <c r="U20" s="147" t="str">
        <f t="shared" si="7"/>
        <v>mun3</v>
      </c>
      <c r="V20" s="148" t="str">
        <f t="shared" si="7"/>
        <v>mut4</v>
      </c>
      <c r="W20" s="147" t="str">
        <f t="shared" si="7"/>
        <v>mun5</v>
      </c>
      <c r="X20" s="147" t="str">
        <f t="shared" si="7"/>
        <v>mun6</v>
      </c>
      <c r="Y20" s="147" t="str">
        <f t="shared" si="7"/>
        <v>mun7</v>
      </c>
      <c r="Z20" s="149" t="str">
        <f t="shared" si="7"/>
        <v>mut8</v>
      </c>
      <c r="AB20" s="167">
        <v>14</v>
      </c>
      <c r="AC20" s="168" t="str">
        <f xml:space="preserve"> _xlfn.XLOOKUP($E20, 聲母表[台羅拼音], 聲母表[十五音])</f>
        <v>門</v>
      </c>
      <c r="AD20" s="169" t="str">
        <f xml:space="preserve"> _xlfn.CONCAT("[ ", _xlfn.XLOOKUP($E20, 聲母表[台羅拼音], 聲母表[國際音標]), " ]")</f>
        <v>[ m ]</v>
      </c>
      <c r="AE20" s="170" t="str">
        <f xml:space="preserve"> _xlfn.XLOOKUP($E20, 聲母表[台羅拼音], 聲母表[方音符號])</f>
        <v>ㄇ</v>
      </c>
      <c r="AF20" s="146" t="str">
        <f t="shared" si="10"/>
        <v>ㄇㄨㄣ</v>
      </c>
      <c r="AG20" s="147" t="str">
        <f t="shared" si="10"/>
        <v>ㄇㄨㄣˋ</v>
      </c>
      <c r="AH20" s="147" t="str">
        <f t="shared" si="10"/>
        <v>ㄇㄨㄣ˪</v>
      </c>
      <c r="AI20" s="148" t="str">
        <f t="shared" si="10"/>
        <v>ㄇㄨㆵ</v>
      </c>
      <c r="AJ20" s="147" t="str">
        <f t="shared" si="10"/>
        <v>ㄇㄨㄣˊ</v>
      </c>
      <c r="AK20" s="147" t="str">
        <f t="shared" si="10"/>
        <v>ㄇㄨㄣˋ</v>
      </c>
      <c r="AL20" s="147" t="str">
        <f t="shared" si="10"/>
        <v>ㄇㄨㄣ˫</v>
      </c>
      <c r="AM20" s="149" t="str">
        <f t="shared" si="10"/>
        <v>ㄇㄨㆵ˙</v>
      </c>
    </row>
    <row r="21" spans="2:39">
      <c r="B21" s="167">
        <v>15</v>
      </c>
      <c r="C21" s="171" t="str">
        <f xml:space="preserve"> _xlfn.XLOOKUP($E21, 聲母表[台羅拼音], 聲母表[十五音])</f>
        <v>語</v>
      </c>
      <c r="D21" s="169" t="str">
        <f xml:space="preserve"> _xlfn.CONCAT("[ ", _xlfn.XLOOKUP($E21, 聲母表[台羅拼音], 聲母表[國際音標]), " ]")</f>
        <v>[ ɡ ]</v>
      </c>
      <c r="E21" s="170" t="s">
        <v>51</v>
      </c>
      <c r="F21" s="186" t="str">
        <f t="shared" si="9"/>
        <v>君一語</v>
      </c>
      <c r="G21" s="186" t="str">
        <f t="shared" si="9"/>
        <v>君二語</v>
      </c>
      <c r="H21" s="186" t="str">
        <f t="shared" si="9"/>
        <v>君三語</v>
      </c>
      <c r="I21" s="187" t="str">
        <f t="shared" si="9"/>
        <v>君四語</v>
      </c>
      <c r="J21" s="186" t="str">
        <f t="shared" si="9"/>
        <v>君五語</v>
      </c>
      <c r="K21" s="186" t="str">
        <f t="shared" si="9"/>
        <v>君六語</v>
      </c>
      <c r="L21" s="186" t="str">
        <f t="shared" si="9"/>
        <v>君七語</v>
      </c>
      <c r="M21" s="188" t="str">
        <f t="shared" si="9"/>
        <v>君八語</v>
      </c>
      <c r="O21" s="167">
        <v>15</v>
      </c>
      <c r="P21" s="171" t="str">
        <f xml:space="preserve"> _xlfn.XLOOKUP($E21, 聲母表[台羅拼音], 聲母表[十五音])</f>
        <v>語</v>
      </c>
      <c r="Q21" s="169" t="str">
        <f xml:space="preserve"> _xlfn.CONCAT("[ ", _xlfn.XLOOKUP($E21, 聲母表[台羅拼音], 聲母表[國際音標]), " ]")</f>
        <v>[ ɡ ]</v>
      </c>
      <c r="R21" s="170" t="s">
        <v>51</v>
      </c>
      <c r="S21" s="146" t="str">
        <f t="shared" si="6"/>
        <v>gun1</v>
      </c>
      <c r="T21" s="147" t="str">
        <f t="shared" si="7"/>
        <v>gun2</v>
      </c>
      <c r="U21" s="147" t="str">
        <f t="shared" si="7"/>
        <v>gun3</v>
      </c>
      <c r="V21" s="148" t="str">
        <f t="shared" si="7"/>
        <v>gut4</v>
      </c>
      <c r="W21" s="147" t="str">
        <f t="shared" si="7"/>
        <v>gun5</v>
      </c>
      <c r="X21" s="147" t="str">
        <f t="shared" si="7"/>
        <v>gun6</v>
      </c>
      <c r="Y21" s="147" t="str">
        <f t="shared" si="7"/>
        <v>gun7</v>
      </c>
      <c r="Z21" s="149" t="str">
        <f t="shared" si="7"/>
        <v>gut8</v>
      </c>
      <c r="AB21" s="167">
        <v>15</v>
      </c>
      <c r="AC21" s="171" t="str">
        <f xml:space="preserve"> _xlfn.XLOOKUP($E21, 聲母表[台羅拼音], 聲母表[十五音])</f>
        <v>語</v>
      </c>
      <c r="AD21" s="169" t="str">
        <f xml:space="preserve"> _xlfn.CONCAT("[ ", _xlfn.XLOOKUP($E21, 聲母表[台羅拼音], 聲母表[國際音標]), " ]")</f>
        <v>[ ɡ ]</v>
      </c>
      <c r="AE21" s="170" t="str">
        <f xml:space="preserve"> _xlfn.XLOOKUP($E21, 聲母表[台羅拼音], 聲母表[方音符號])</f>
        <v>ㆣ</v>
      </c>
      <c r="AF21" s="146" t="str">
        <f t="shared" si="10"/>
        <v>ㆣㄨㄣ</v>
      </c>
      <c r="AG21" s="147" t="str">
        <f t="shared" si="10"/>
        <v>ㆣㄨㄣˋ</v>
      </c>
      <c r="AH21" s="147" t="str">
        <f t="shared" si="10"/>
        <v>ㆣㄨㄣ˪</v>
      </c>
      <c r="AI21" s="148" t="str">
        <f t="shared" si="10"/>
        <v>ㆣㄨㆵ</v>
      </c>
      <c r="AJ21" s="147" t="str">
        <f t="shared" si="10"/>
        <v>ㆣㄨㄣˊ</v>
      </c>
      <c r="AK21" s="147" t="str">
        <f t="shared" si="10"/>
        <v>ㆣㄨㄣˋ</v>
      </c>
      <c r="AL21" s="147" t="str">
        <f t="shared" si="10"/>
        <v>ㆣㄨㄣ˫</v>
      </c>
      <c r="AM21" s="149" t="str">
        <f t="shared" si="10"/>
        <v>ㆣㄨㆵ˙</v>
      </c>
    </row>
    <row r="22" spans="2:39">
      <c r="B22" s="167">
        <v>16</v>
      </c>
      <c r="C22" s="168" t="str">
        <f xml:space="preserve"> _xlfn.XLOOKUP($E22, 聲母表[台羅拼音], 聲母表[十五音])</f>
        <v>語</v>
      </c>
      <c r="D22" s="169" t="str">
        <f xml:space="preserve"> _xlfn.CONCAT("[ ", _xlfn.XLOOKUP($E22, 聲母表[台羅拼音], 聲母表[國際音標]), " ]")</f>
        <v>[ ŋ ]</v>
      </c>
      <c r="E22" s="170" t="s">
        <v>52</v>
      </c>
      <c r="F22" s="186" t="str">
        <f t="shared" si="9"/>
        <v>君一語</v>
      </c>
      <c r="G22" s="186" t="str">
        <f t="shared" si="9"/>
        <v>君二語</v>
      </c>
      <c r="H22" s="186" t="str">
        <f t="shared" si="9"/>
        <v>君三語</v>
      </c>
      <c r="I22" s="187" t="str">
        <f t="shared" si="9"/>
        <v>君四語</v>
      </c>
      <c r="J22" s="186" t="str">
        <f t="shared" si="9"/>
        <v>君五語</v>
      </c>
      <c r="K22" s="186" t="str">
        <f t="shared" si="9"/>
        <v>君六語</v>
      </c>
      <c r="L22" s="186" t="str">
        <f t="shared" si="9"/>
        <v>君七語</v>
      </c>
      <c r="M22" s="188" t="str">
        <f t="shared" si="9"/>
        <v>君八語</v>
      </c>
      <c r="O22" s="167">
        <v>16</v>
      </c>
      <c r="P22" s="168" t="str">
        <f xml:space="preserve"> _xlfn.XLOOKUP($E22, 聲母表[台羅拼音], 聲母表[十五音])</f>
        <v>語</v>
      </c>
      <c r="Q22" s="169" t="str">
        <f xml:space="preserve"> _xlfn.CONCAT("[ ", _xlfn.XLOOKUP($E22, 聲母表[台羅拼音], 聲母表[國際音標]), " ]")</f>
        <v>[ ŋ ]</v>
      </c>
      <c r="R22" s="170" t="s">
        <v>52</v>
      </c>
      <c r="S22" s="146" t="str">
        <f t="shared" si="6"/>
        <v>ngun1</v>
      </c>
      <c r="T22" s="147" t="str">
        <f t="shared" si="7"/>
        <v>ngun2</v>
      </c>
      <c r="U22" s="147" t="str">
        <f t="shared" si="7"/>
        <v>ngun3</v>
      </c>
      <c r="V22" s="148" t="str">
        <f t="shared" si="7"/>
        <v>ngut4</v>
      </c>
      <c r="W22" s="147" t="str">
        <f t="shared" si="7"/>
        <v>ngun5</v>
      </c>
      <c r="X22" s="147" t="str">
        <f t="shared" si="7"/>
        <v>ngun6</v>
      </c>
      <c r="Y22" s="147" t="str">
        <f t="shared" si="7"/>
        <v>ngun7</v>
      </c>
      <c r="Z22" s="149" t="str">
        <f t="shared" si="7"/>
        <v>ngut8</v>
      </c>
      <c r="AB22" s="167">
        <v>16</v>
      </c>
      <c r="AC22" s="168" t="str">
        <f xml:space="preserve"> _xlfn.XLOOKUP($E22, 聲母表[台羅拼音], 聲母表[十五音])</f>
        <v>語</v>
      </c>
      <c r="AD22" s="169" t="str">
        <f xml:space="preserve"> _xlfn.CONCAT("[ ", _xlfn.XLOOKUP($E22, 聲母表[台羅拼音], 聲母表[國際音標]), " ]")</f>
        <v>[ ŋ ]</v>
      </c>
      <c r="AE22" s="170" t="str">
        <f xml:space="preserve"> _xlfn.XLOOKUP($E22, 聲母表[台羅拼音], 聲母表[方音符號])</f>
        <v>ㄫ</v>
      </c>
      <c r="AF22" s="146" t="str">
        <f t="shared" si="10"/>
        <v>ㄫㄨㄣ</v>
      </c>
      <c r="AG22" s="147" t="str">
        <f t="shared" si="10"/>
        <v>ㄫㄨㄣˋ</v>
      </c>
      <c r="AH22" s="147" t="str">
        <f t="shared" si="10"/>
        <v>ㄫㄨㄣ˪</v>
      </c>
      <c r="AI22" s="148" t="str">
        <f t="shared" si="10"/>
        <v>ㄫㄨㆵ</v>
      </c>
      <c r="AJ22" s="147" t="str">
        <f t="shared" si="10"/>
        <v>ㄫㄨㄣˊ</v>
      </c>
      <c r="AK22" s="147" t="str">
        <f t="shared" si="10"/>
        <v>ㄫㄨㄣˋ</v>
      </c>
      <c r="AL22" s="147" t="str">
        <f t="shared" si="10"/>
        <v>ㄫㄨㄣ˫</v>
      </c>
      <c r="AM22" s="149" t="str">
        <f t="shared" si="10"/>
        <v>ㄫㄨㆵ˙</v>
      </c>
    </row>
    <row r="23" spans="2:39">
      <c r="B23" s="167">
        <v>17</v>
      </c>
      <c r="C23" s="171" t="str">
        <f xml:space="preserve"> _xlfn.XLOOKUP($E23, 聲母表[台羅拼音], 聲母表[十五音])</f>
        <v>出</v>
      </c>
      <c r="D23" s="169" t="str">
        <f xml:space="preserve"> _xlfn.CONCAT("[ ", _xlfn.XLOOKUP($E23, 聲母表[台羅拼音], 聲母表[國際音標]), " ]")</f>
        <v>[ ʦʰ ]</v>
      </c>
      <c r="E23" s="170" t="s">
        <v>56</v>
      </c>
      <c r="F23" s="186" t="str">
        <f t="shared" si="9"/>
        <v>君一出</v>
      </c>
      <c r="G23" s="186" t="str">
        <f t="shared" si="9"/>
        <v>君二出</v>
      </c>
      <c r="H23" s="186" t="str">
        <f t="shared" si="9"/>
        <v>君三出</v>
      </c>
      <c r="I23" s="187" t="str">
        <f t="shared" si="9"/>
        <v>君四出</v>
      </c>
      <c r="J23" s="186" t="str">
        <f t="shared" si="9"/>
        <v>君五出</v>
      </c>
      <c r="K23" s="186" t="str">
        <f t="shared" si="9"/>
        <v>君六出</v>
      </c>
      <c r="L23" s="186" t="str">
        <f t="shared" si="9"/>
        <v>君七出</v>
      </c>
      <c r="M23" s="188" t="str">
        <f t="shared" si="9"/>
        <v>君八出</v>
      </c>
      <c r="O23" s="167">
        <v>17</v>
      </c>
      <c r="P23" s="171" t="str">
        <f xml:space="preserve"> _xlfn.XLOOKUP($E23, 聲母表[台羅拼音], 聲母表[十五音])</f>
        <v>出</v>
      </c>
      <c r="Q23" s="169" t="str">
        <f xml:space="preserve"> _xlfn.CONCAT("[ ", _xlfn.XLOOKUP($E23, 聲母表[台羅拼音], 聲母表[國際音標]), " ]")</f>
        <v>[ ʦʰ ]</v>
      </c>
      <c r="R23" s="170" t="s">
        <v>56</v>
      </c>
      <c r="S23" s="146" t="str">
        <f t="shared" si="6"/>
        <v>tshun1</v>
      </c>
      <c r="T23" s="147" t="str">
        <f t="shared" ref="T23:Z24" si="11" xml:space="preserve"> _xlfn.CONCAT($E23,T$5)</f>
        <v>tshun2</v>
      </c>
      <c r="U23" s="147" t="str">
        <f t="shared" si="11"/>
        <v>tshun3</v>
      </c>
      <c r="V23" s="148" t="str">
        <f t="shared" si="11"/>
        <v>tshut4</v>
      </c>
      <c r="W23" s="147" t="str">
        <f t="shared" si="11"/>
        <v>tshun5</v>
      </c>
      <c r="X23" s="147" t="str">
        <f t="shared" si="11"/>
        <v>tshun6</v>
      </c>
      <c r="Y23" s="147" t="str">
        <f t="shared" si="11"/>
        <v>tshun7</v>
      </c>
      <c r="Z23" s="149" t="str">
        <f t="shared" si="11"/>
        <v>tshut8</v>
      </c>
      <c r="AB23" s="167">
        <v>17</v>
      </c>
      <c r="AC23" s="171" t="str">
        <f xml:space="preserve"> _xlfn.XLOOKUP($E23, 聲母表[台羅拼音], 聲母表[十五音])</f>
        <v>出</v>
      </c>
      <c r="AD23" s="169" t="str">
        <f xml:space="preserve"> _xlfn.CONCAT("[ ", _xlfn.XLOOKUP($E23, 聲母表[台羅拼音], 聲母表[國際音標]), " ]")</f>
        <v>[ ʦʰ ]</v>
      </c>
      <c r="AE23" s="170" t="str">
        <f xml:space="preserve"> _xlfn.XLOOKUP($E23, 聲母表[台羅拼音], 聲母表[方音符號])</f>
        <v>ㄘ</v>
      </c>
      <c r="AF23" s="146" t="str">
        <f t="shared" si="10"/>
        <v>ㄘㄨㄣ</v>
      </c>
      <c r="AG23" s="147" t="str">
        <f t="shared" si="10"/>
        <v>ㄘㄨㄣˋ</v>
      </c>
      <c r="AH23" s="147" t="str">
        <f t="shared" si="10"/>
        <v>ㄘㄨㄣ˪</v>
      </c>
      <c r="AI23" s="148" t="str">
        <f t="shared" si="10"/>
        <v>ㄘㄨㆵ</v>
      </c>
      <c r="AJ23" s="147" t="str">
        <f t="shared" si="10"/>
        <v>ㄘㄨㄣˊ</v>
      </c>
      <c r="AK23" s="147" t="str">
        <f t="shared" si="10"/>
        <v>ㄘㄨㄣˋ</v>
      </c>
      <c r="AL23" s="147" t="str">
        <f t="shared" si="10"/>
        <v>ㄘㄨㄣ˫</v>
      </c>
      <c r="AM23" s="149" t="str">
        <f t="shared" si="10"/>
        <v>ㄘㄨㆵ˙</v>
      </c>
    </row>
    <row r="24" spans="2:39">
      <c r="B24" s="172">
        <v>18</v>
      </c>
      <c r="C24" s="173" t="str">
        <f xml:space="preserve"> _xlfn.XLOOKUP($E24, 聲母表[台羅拼音], 聲母表[十五音])</f>
        <v>喜</v>
      </c>
      <c r="D24" s="174" t="str">
        <f xml:space="preserve"> _xlfn.CONCAT("[ ", _xlfn.XLOOKUP($E24, 聲母表[台羅拼音], 聲母表[國際音標]), " ]")</f>
        <v>[ h ]</v>
      </c>
      <c r="E24" s="175" t="s">
        <v>53</v>
      </c>
      <c r="F24" s="189" t="str">
        <f t="shared" si="9"/>
        <v>君一喜</v>
      </c>
      <c r="G24" s="189" t="str">
        <f t="shared" si="9"/>
        <v>君二喜</v>
      </c>
      <c r="H24" s="189" t="str">
        <f t="shared" si="9"/>
        <v>君三喜</v>
      </c>
      <c r="I24" s="190" t="str">
        <f t="shared" si="9"/>
        <v>君四喜</v>
      </c>
      <c r="J24" s="189" t="str">
        <f t="shared" si="9"/>
        <v>君五喜</v>
      </c>
      <c r="K24" s="189" t="str">
        <f t="shared" si="9"/>
        <v>君六喜</v>
      </c>
      <c r="L24" s="189" t="str">
        <f t="shared" si="9"/>
        <v>君七喜</v>
      </c>
      <c r="M24" s="191" t="str">
        <f t="shared" si="9"/>
        <v>君八喜</v>
      </c>
      <c r="O24" s="172">
        <v>18</v>
      </c>
      <c r="P24" s="173" t="str">
        <f xml:space="preserve"> _xlfn.XLOOKUP($E24, 聲母表[台羅拼音], 聲母表[十五音])</f>
        <v>喜</v>
      </c>
      <c r="Q24" s="174" t="str">
        <f xml:space="preserve"> _xlfn.CONCAT("[ ", _xlfn.XLOOKUP($E24, 聲母表[台羅拼音], 聲母表[國際音標]), " ]")</f>
        <v>[ h ]</v>
      </c>
      <c r="R24" s="175" t="s">
        <v>53</v>
      </c>
      <c r="S24" s="150" t="str">
        <f t="shared" si="6"/>
        <v>hun1</v>
      </c>
      <c r="T24" s="151" t="str">
        <f t="shared" si="11"/>
        <v>hun2</v>
      </c>
      <c r="U24" s="151" t="str">
        <f t="shared" si="11"/>
        <v>hun3</v>
      </c>
      <c r="V24" s="152" t="str">
        <f t="shared" si="11"/>
        <v>hut4</v>
      </c>
      <c r="W24" s="151" t="str">
        <f t="shared" si="11"/>
        <v>hun5</v>
      </c>
      <c r="X24" s="151" t="str">
        <f t="shared" si="11"/>
        <v>hun6</v>
      </c>
      <c r="Y24" s="151" t="str">
        <f t="shared" si="11"/>
        <v>hun7</v>
      </c>
      <c r="Z24" s="153" t="str">
        <f t="shared" si="11"/>
        <v>hut8</v>
      </c>
      <c r="AB24" s="172">
        <v>18</v>
      </c>
      <c r="AC24" s="173" t="str">
        <f xml:space="preserve"> _xlfn.XLOOKUP($E24, 聲母表[台羅拼音], 聲母表[十五音])</f>
        <v>喜</v>
      </c>
      <c r="AD24" s="174" t="str">
        <f xml:space="preserve"> _xlfn.CONCAT("[ ", _xlfn.XLOOKUP($E24, 聲母表[台羅拼音], 聲母表[國際音標]), " ]")</f>
        <v>[ h ]</v>
      </c>
      <c r="AE24" s="175" t="str">
        <f xml:space="preserve"> _xlfn.XLOOKUP($E24, 聲母表[台羅拼音], 聲母表[方音符號])</f>
        <v>ㄏ</v>
      </c>
      <c r="AF24" s="150" t="str">
        <f t="shared" si="10"/>
        <v>ㄏㄨㄣ</v>
      </c>
      <c r="AG24" s="151" t="str">
        <f t="shared" si="10"/>
        <v>ㄏㄨㄣˋ</v>
      </c>
      <c r="AH24" s="151" t="str">
        <f t="shared" si="10"/>
        <v>ㄏㄨㄣ˪</v>
      </c>
      <c r="AI24" s="152" t="str">
        <f t="shared" si="10"/>
        <v>ㄏㄨㆵ</v>
      </c>
      <c r="AJ24" s="151" t="str">
        <f t="shared" si="10"/>
        <v>ㄏㄨㄣˊ</v>
      </c>
      <c r="AK24" s="151" t="str">
        <f t="shared" si="10"/>
        <v>ㄏㄨㄣˋ</v>
      </c>
      <c r="AL24" s="151" t="str">
        <f t="shared" si="10"/>
        <v>ㄏㄨㄣ˫</v>
      </c>
      <c r="AM24" s="153" t="str">
        <f t="shared" si="10"/>
        <v>ㄏㄨㆵ˙</v>
      </c>
    </row>
  </sheetData>
  <mergeCells count="3">
    <mergeCell ref="B3:C5"/>
    <mergeCell ref="AB3:AC5"/>
    <mergeCell ref="O3:P5"/>
  </mergeCells>
  <phoneticPr fontId="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17987-604C-4245-811C-390D5C2D097E}">
  <dimension ref="B2:S28"/>
  <sheetViews>
    <sheetView workbookViewId="0">
      <selection activeCell="G1" sqref="G1:J1048576"/>
    </sheetView>
  </sheetViews>
  <sheetFormatPr defaultRowHeight="16.5" outlineLevelRow="1"/>
  <cols>
    <col min="1" max="1" width="4.125" customWidth="1"/>
    <col min="2" max="2" width="14" customWidth="1"/>
    <col min="3" max="4" width="15.375" customWidth="1"/>
    <col min="5" max="5" width="10.5" bestFit="1" customWidth="1"/>
    <col min="6" max="6" width="15" customWidth="1"/>
    <col min="7" max="7" width="14.75" customWidth="1"/>
    <col min="8" max="10" width="15.25" customWidth="1"/>
    <col min="12" max="12" width="13.75" bestFit="1" customWidth="1"/>
    <col min="13" max="13" width="8.625" customWidth="1"/>
    <col min="14" max="14" width="10.5" customWidth="1"/>
    <col min="15" max="16" width="10.5" style="1" customWidth="1"/>
    <col min="17" max="19" width="12.125" style="1" customWidth="1"/>
  </cols>
  <sheetData>
    <row r="2" spans="2:19" ht="34.5" customHeight="1">
      <c r="B2" s="192" t="s">
        <v>1618</v>
      </c>
      <c r="C2" s="193" t="s">
        <v>1572</v>
      </c>
      <c r="D2" s="193" t="s">
        <v>1573</v>
      </c>
      <c r="E2" s="192" t="s">
        <v>1574</v>
      </c>
      <c r="F2" s="192" t="s">
        <v>1575</v>
      </c>
      <c r="G2" s="192" t="s">
        <v>1576</v>
      </c>
      <c r="H2" s="192" t="s">
        <v>1620</v>
      </c>
      <c r="I2" s="192" t="s">
        <v>1619</v>
      </c>
      <c r="J2" s="193" t="s">
        <v>1577</v>
      </c>
    </row>
    <row r="3" spans="2:19" ht="49.5" customHeight="1">
      <c r="B3" s="195">
        <v>1</v>
      </c>
      <c r="C3" s="196" t="s">
        <v>1578</v>
      </c>
      <c r="D3" s="196" t="s">
        <v>1579</v>
      </c>
      <c r="E3" s="197">
        <v>44</v>
      </c>
      <c r="F3" s="198" t="s">
        <v>1580</v>
      </c>
      <c r="G3" s="199" t="s">
        <v>1581</v>
      </c>
      <c r="H3" s="219" t="str">
        <f xml:space="preserve"> _xlfn.CONCAT("kun", B3)</f>
        <v>kun1</v>
      </c>
      <c r="I3" s="219" t="str">
        <f xml:space="preserve"> IFERROR( _xlfn.CONCAT("k", "u", "", "n"), "")</f>
        <v>kun</v>
      </c>
      <c r="J3" s="219" t="str">
        <f xml:space="preserve"> _xlfn.CONCAT("kun", F3)</f>
        <v>kun;</v>
      </c>
      <c r="Q3"/>
      <c r="S3"/>
    </row>
    <row r="4" spans="2:19" ht="49.5" customHeight="1">
      <c r="B4" s="195">
        <v>2</v>
      </c>
      <c r="C4" s="196" t="s">
        <v>1586</v>
      </c>
      <c r="D4" s="196" t="s">
        <v>1587</v>
      </c>
      <c r="E4" s="197">
        <v>53</v>
      </c>
      <c r="F4" s="198" t="s">
        <v>1588</v>
      </c>
      <c r="G4" s="199" t="s">
        <v>1589</v>
      </c>
      <c r="H4" s="219" t="str">
        <f xml:space="preserve"> _xlfn.CONCAT("kun", B4)</f>
        <v>kun2</v>
      </c>
      <c r="I4" s="219" t="str">
        <f xml:space="preserve"> IFERROR( _xlfn.CONCAT("k", "u", _xlfn.UNICHAR(HEX2DEC(RIGHT("U+0301",4))), "n"), "")</f>
        <v>kún</v>
      </c>
      <c r="J4" s="219" t="str">
        <f xml:space="preserve"> _xlfn.CONCAT("kun", F4)</f>
        <v>kun\</v>
      </c>
      <c r="Q4"/>
      <c r="S4"/>
    </row>
    <row r="5" spans="2:19" ht="49.5" customHeight="1">
      <c r="B5" s="195">
        <v>3</v>
      </c>
      <c r="C5" s="196" t="s">
        <v>1591</v>
      </c>
      <c r="D5" s="196" t="s">
        <v>1592</v>
      </c>
      <c r="E5" s="197">
        <v>21</v>
      </c>
      <c r="F5" s="198" t="s">
        <v>1593</v>
      </c>
      <c r="G5" s="199" t="s">
        <v>1594</v>
      </c>
      <c r="H5" s="219" t="str">
        <f xml:space="preserve"> _xlfn.CONCAT("kun", B5)</f>
        <v>kun3</v>
      </c>
      <c r="I5" s="219" t="str">
        <f xml:space="preserve"> IFERROR( _xlfn.CONCAT("k", "u", _xlfn.UNICHAR(HEX2DEC(RIGHT("U+0300",4))), "n"), "")</f>
        <v>kùn</v>
      </c>
      <c r="J5" s="219" t="str">
        <f xml:space="preserve"> _xlfn.CONCAT("kun", F5)</f>
        <v>kun_</v>
      </c>
      <c r="Q5"/>
      <c r="S5"/>
    </row>
    <row r="6" spans="2:19" ht="49.5" customHeight="1">
      <c r="B6" s="195">
        <v>4</v>
      </c>
      <c r="C6" s="196" t="s">
        <v>1598</v>
      </c>
      <c r="D6" s="196" t="s">
        <v>1599</v>
      </c>
      <c r="E6" s="197">
        <v>30</v>
      </c>
      <c r="F6" s="198" t="s">
        <v>1600</v>
      </c>
      <c r="G6" s="199" t="s">
        <v>1601</v>
      </c>
      <c r="H6" s="219" t="str">
        <f xml:space="preserve"> _xlfn.CONCAT("kut", B6)</f>
        <v>kut4</v>
      </c>
      <c r="I6" s="219" t="str">
        <f xml:space="preserve"> IFERROR( _xlfn.CONCAT("k", "u", "", "t"), "")</f>
        <v>kut</v>
      </c>
      <c r="J6" s="219" t="str">
        <f xml:space="preserve"> _xlfn.CONCAT("kut", F6)</f>
        <v>kut[</v>
      </c>
      <c r="Q6"/>
      <c r="S6"/>
    </row>
    <row r="7" spans="2:19" ht="49.5" customHeight="1">
      <c r="B7" s="201">
        <v>5</v>
      </c>
      <c r="C7" s="202" t="s">
        <v>1582</v>
      </c>
      <c r="D7" s="202" t="s">
        <v>1583</v>
      </c>
      <c r="E7" s="203">
        <v>24</v>
      </c>
      <c r="F7" s="204" t="s">
        <v>1584</v>
      </c>
      <c r="G7" s="205" t="s">
        <v>1585</v>
      </c>
      <c r="H7" s="220" t="str">
        <f xml:space="preserve"> _xlfn.CONCAT("kun", B7)</f>
        <v>kun5</v>
      </c>
      <c r="I7" s="220" t="str">
        <f xml:space="preserve"> IFERROR( _xlfn.CONCAT("k", "u", _xlfn.UNICHAR(HEX2DEC(RIGHT("U+0302",4))), "n"), "")</f>
        <v>kûn</v>
      </c>
      <c r="J7" s="220" t="str">
        <f xml:space="preserve"> _xlfn.CONCAT("kun", F7)</f>
        <v>kun/</v>
      </c>
      <c r="Q7"/>
      <c r="S7"/>
    </row>
    <row r="8" spans="2:19" ht="49.5" customHeight="1">
      <c r="B8" s="201">
        <v>6</v>
      </c>
      <c r="C8" s="202" t="s">
        <v>1590</v>
      </c>
      <c r="D8" s="206"/>
      <c r="E8" s="207"/>
      <c r="F8" s="208"/>
      <c r="G8" s="209"/>
      <c r="H8" s="221"/>
      <c r="I8" s="221"/>
      <c r="J8" s="221"/>
      <c r="Q8"/>
      <c r="S8"/>
    </row>
    <row r="9" spans="2:19" ht="49.5" customHeight="1">
      <c r="B9" s="201">
        <v>7</v>
      </c>
      <c r="C9" s="202" t="s">
        <v>1595</v>
      </c>
      <c r="D9" s="202" t="s">
        <v>1596</v>
      </c>
      <c r="E9" s="203">
        <v>22</v>
      </c>
      <c r="F9" s="204" t="s">
        <v>1597</v>
      </c>
      <c r="G9" s="205" t="s">
        <v>1585</v>
      </c>
      <c r="H9" s="220" t="str">
        <f xml:space="preserve"> _xlfn.CONCAT("kun", B9)</f>
        <v>kun7</v>
      </c>
      <c r="I9" s="220" t="str">
        <f xml:space="preserve"> IFERROR( _xlfn.CONCAT("k", "u", _xlfn.UNICHAR(HEX2DEC(RIGHT("U+0304",4))), "n"), "")</f>
        <v>kūn</v>
      </c>
      <c r="J9" s="220" t="str">
        <f xml:space="preserve"> _xlfn.CONCAT("kun", F9)</f>
        <v>kun-</v>
      </c>
      <c r="Q9"/>
      <c r="S9"/>
    </row>
    <row r="10" spans="2:19" ht="49.5" customHeight="1">
      <c r="B10" s="201">
        <v>8</v>
      </c>
      <c r="C10" s="202" t="s">
        <v>1602</v>
      </c>
      <c r="D10" s="202" t="s">
        <v>1603</v>
      </c>
      <c r="E10" s="203">
        <v>121</v>
      </c>
      <c r="F10" s="204" t="s">
        <v>1604</v>
      </c>
      <c r="G10" s="205" t="s">
        <v>1605</v>
      </c>
      <c r="H10" s="220" t="str">
        <f xml:space="preserve"> _xlfn.CONCAT("kut", B10)</f>
        <v>kut8</v>
      </c>
      <c r="I10" s="220" t="str">
        <f xml:space="preserve"> IFERROR( _xlfn.CONCAT("k", "u", _xlfn.UNICHAR(HEX2DEC(RIGHT("U+030D",4))), "t"), "")</f>
        <v>ku̍t</v>
      </c>
      <c r="J10" s="220" t="str">
        <f xml:space="preserve"> _xlfn.CONCAT("kut", F10)</f>
        <v>kut]</v>
      </c>
      <c r="Q10"/>
      <c r="S10"/>
    </row>
    <row r="11" spans="2:19" ht="49.5" customHeight="1">
      <c r="Q11"/>
      <c r="S11"/>
    </row>
    <row r="12" spans="2:19" ht="49.5" customHeight="1">
      <c r="Q12"/>
      <c r="R12"/>
      <c r="S12"/>
    </row>
    <row r="13" spans="2:19" ht="49.5" customHeight="1">
      <c r="Q13"/>
      <c r="R13"/>
      <c r="S13"/>
    </row>
    <row r="14" spans="2:19" ht="49.5" customHeight="1">
      <c r="Q14"/>
      <c r="R14"/>
      <c r="S14"/>
    </row>
    <row r="15" spans="2:19" ht="49.5" customHeight="1">
      <c r="Q15"/>
      <c r="R15"/>
      <c r="S15"/>
    </row>
    <row r="16" spans="2:19" ht="49.5" customHeight="1">
      <c r="Q16"/>
      <c r="R16"/>
      <c r="S16"/>
    </row>
    <row r="17" spans="17:19" ht="49.5" customHeight="1">
      <c r="Q17"/>
      <c r="R17"/>
      <c r="S17"/>
    </row>
    <row r="18" spans="17:19" ht="49.5" customHeight="1">
      <c r="Q18"/>
      <c r="R18"/>
      <c r="S18"/>
    </row>
    <row r="19" spans="17:19" ht="49.5" customHeight="1">
      <c r="Q19"/>
      <c r="R19"/>
      <c r="S19"/>
    </row>
    <row r="20" spans="17:19" ht="49.5" customHeight="1">
      <c r="Q20"/>
      <c r="R20"/>
      <c r="S20"/>
    </row>
    <row r="21" spans="17:19" ht="54" customHeight="1">
      <c r="Q21"/>
      <c r="R21"/>
      <c r="S21"/>
    </row>
    <row r="22" spans="17:19" ht="54" customHeight="1"/>
    <row r="28" spans="17:19" outlineLevel="1"/>
  </sheetData>
  <sortState xmlns:xlrd2="http://schemas.microsoft.com/office/spreadsheetml/2017/richdata2" ref="B3:J10">
    <sortCondition ref="B3:B10"/>
  </sortState>
  <phoneticPr fontId="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578F3-C31E-4F64-84A5-6535A4311343}">
  <dimension ref="B2:S28"/>
  <sheetViews>
    <sheetView workbookViewId="0"/>
  </sheetViews>
  <sheetFormatPr defaultRowHeight="16.5" outlineLevelRow="1"/>
  <cols>
    <col min="1" max="1" width="4.125" customWidth="1"/>
    <col min="2" max="2" width="14" customWidth="1"/>
    <col min="3" max="4" width="15.375" customWidth="1"/>
    <col min="5" max="5" width="10.5" bestFit="1" customWidth="1"/>
    <col min="6" max="6" width="15" customWidth="1"/>
    <col min="7" max="7" width="14.75" customWidth="1"/>
    <col min="8" max="10" width="15.25" customWidth="1"/>
    <col min="12" max="12" width="13.75" bestFit="1" customWidth="1"/>
    <col min="13" max="14" width="10.5" customWidth="1"/>
    <col min="15" max="16" width="10.5" style="1" customWidth="1"/>
    <col min="17" max="19" width="12.125" style="1" customWidth="1"/>
  </cols>
  <sheetData>
    <row r="2" spans="2:19" ht="34.5" customHeight="1">
      <c r="B2" s="192" t="s">
        <v>1571</v>
      </c>
      <c r="C2" s="193" t="s">
        <v>1572</v>
      </c>
      <c r="D2" s="193" t="s">
        <v>1573</v>
      </c>
      <c r="E2" s="192" t="s">
        <v>1574</v>
      </c>
      <c r="F2" s="192" t="s">
        <v>1575</v>
      </c>
      <c r="G2" s="192" t="s">
        <v>1576</v>
      </c>
      <c r="H2" s="192" t="s">
        <v>1615</v>
      </c>
      <c r="I2" s="192" t="s">
        <v>1616</v>
      </c>
      <c r="J2" s="193" t="s">
        <v>1577</v>
      </c>
      <c r="O2" s="194"/>
      <c r="P2" s="194"/>
    </row>
    <row r="3" spans="2:19" ht="54" customHeight="1">
      <c r="B3" s="195">
        <v>1</v>
      </c>
      <c r="C3" s="196" t="s">
        <v>1578</v>
      </c>
      <c r="D3" s="196" t="s">
        <v>1579</v>
      </c>
      <c r="E3" s="197">
        <v>44</v>
      </c>
      <c r="F3" s="198" t="s">
        <v>1580</v>
      </c>
      <c r="G3" s="199" t="s">
        <v>1581</v>
      </c>
      <c r="H3" s="219" t="str">
        <f xml:space="preserve"> _xlfn.CONCAT("gun", B3)</f>
        <v>gun1</v>
      </c>
      <c r="I3" s="213" t="str">
        <f xml:space="preserve"> IFERROR( _xlfn.CONCAT("g", "u", _xlfn.UNICHAR(HEX2DEC(RIGHT("U+0304",4))), "n"), "")</f>
        <v>gūn</v>
      </c>
      <c r="J3" s="219" t="str">
        <f xml:space="preserve"> _xlfn.CONCAT("gun", F3)</f>
        <v>gun;</v>
      </c>
      <c r="O3" s="194"/>
      <c r="P3" s="194"/>
      <c r="Q3"/>
      <c r="R3"/>
      <c r="S3"/>
    </row>
    <row r="4" spans="2:19" ht="54" customHeight="1">
      <c r="B4" s="201">
        <v>2</v>
      </c>
      <c r="C4" s="202" t="s">
        <v>1582</v>
      </c>
      <c r="D4" s="202" t="s">
        <v>1583</v>
      </c>
      <c r="E4" s="203">
        <v>24</v>
      </c>
      <c r="F4" s="204" t="s">
        <v>1584</v>
      </c>
      <c r="G4" s="205" t="s">
        <v>1585</v>
      </c>
      <c r="H4" s="220" t="str">
        <f xml:space="preserve"> _xlfn.CONCAT("gun", B4)</f>
        <v>gun2</v>
      </c>
      <c r="I4" s="214" t="str">
        <f xml:space="preserve"> IFERROR( _xlfn.CONCAT("g", "u", _xlfn.UNICHAR(HEX2DEC(RIGHT("U+0301",4))), "n"), "")</f>
        <v>gún</v>
      </c>
      <c r="J4" s="220" t="str">
        <f xml:space="preserve"> _xlfn.CONCAT("gun", F4)</f>
        <v>gun/</v>
      </c>
      <c r="O4" s="194"/>
      <c r="P4" s="194"/>
      <c r="Q4"/>
      <c r="R4"/>
      <c r="S4"/>
    </row>
    <row r="5" spans="2:19" ht="54" customHeight="1">
      <c r="B5" s="195">
        <v>3</v>
      </c>
      <c r="C5" s="196" t="s">
        <v>1586</v>
      </c>
      <c r="D5" s="196" t="s">
        <v>1587</v>
      </c>
      <c r="E5" s="197">
        <v>53</v>
      </c>
      <c r="F5" s="198" t="s">
        <v>1588</v>
      </c>
      <c r="G5" s="199" t="s">
        <v>1589</v>
      </c>
      <c r="H5" s="219" t="str">
        <f xml:space="preserve"> _xlfn.CONCAT("gun", B5)</f>
        <v>gun3</v>
      </c>
      <c r="I5" s="213" t="str">
        <f xml:space="preserve"> IFERROR( _xlfn.CONCAT("g", "u", _xlfn.UNICHAR(HEX2DEC(RIGHT("U+030C",4))), "n"), "")</f>
        <v>gǔn</v>
      </c>
      <c r="J5" s="219" t="str">
        <f xml:space="preserve"> _xlfn.CONCAT("gun", F5)</f>
        <v>gun\</v>
      </c>
      <c r="O5" s="194"/>
      <c r="P5" s="194"/>
      <c r="Q5"/>
      <c r="R5"/>
      <c r="S5"/>
    </row>
    <row r="6" spans="2:19" ht="54" customHeight="1">
      <c r="B6" s="201">
        <v>4</v>
      </c>
      <c r="C6" s="202" t="s">
        <v>1590</v>
      </c>
      <c r="D6" s="206"/>
      <c r="E6" s="207"/>
      <c r="F6" s="208"/>
      <c r="G6" s="209"/>
      <c r="H6" s="221"/>
      <c r="I6" s="215"/>
      <c r="J6" s="221"/>
      <c r="O6" s="194"/>
      <c r="P6" s="194"/>
      <c r="Q6"/>
      <c r="R6"/>
      <c r="S6"/>
    </row>
    <row r="7" spans="2:19" ht="54" customHeight="1">
      <c r="B7" s="195">
        <v>5</v>
      </c>
      <c r="C7" s="196" t="s">
        <v>1591</v>
      </c>
      <c r="D7" s="196" t="s">
        <v>1592</v>
      </c>
      <c r="E7" s="197">
        <v>21</v>
      </c>
      <c r="F7" s="198" t="s">
        <v>1593</v>
      </c>
      <c r="G7" s="199" t="s">
        <v>1594</v>
      </c>
      <c r="H7" s="219" t="str">
        <f xml:space="preserve"> _xlfn.CONCAT("gun", B7)</f>
        <v>gun5</v>
      </c>
      <c r="I7" s="213" t="str">
        <f xml:space="preserve"> IFERROR( _xlfn.CONCAT("g", "u", _xlfn.UNICHAR(HEX2DEC(RIGHT("U+0300",4))), "n"), "")</f>
        <v>gùn</v>
      </c>
      <c r="J7" s="219" t="str">
        <f xml:space="preserve"> _xlfn.CONCAT("gun", F7)</f>
        <v>gun_</v>
      </c>
      <c r="O7" s="194"/>
      <c r="P7" s="194"/>
      <c r="Q7"/>
      <c r="R7"/>
      <c r="S7"/>
    </row>
    <row r="8" spans="2:19" ht="54" customHeight="1">
      <c r="B8" s="201">
        <v>6</v>
      </c>
      <c r="C8" s="202" t="s">
        <v>1595</v>
      </c>
      <c r="D8" s="202" t="s">
        <v>1596</v>
      </c>
      <c r="E8" s="203">
        <v>22</v>
      </c>
      <c r="F8" s="204" t="s">
        <v>1597</v>
      </c>
      <c r="G8" s="205" t="s">
        <v>1585</v>
      </c>
      <c r="H8" s="220" t="str">
        <f xml:space="preserve"> _xlfn.CONCAT("gun", B8)</f>
        <v>gun6</v>
      </c>
      <c r="I8" s="214" t="str">
        <f xml:space="preserve"> IFERROR( _xlfn.CONCAT("g", "u", _xlfn.UNICHAR(HEX2DEC(RIGHT("U+0302",4))), "n"), "")</f>
        <v>gûn</v>
      </c>
      <c r="J8" s="220" t="str">
        <f xml:space="preserve"> _xlfn.CONCAT("gun", F8)</f>
        <v>gun-</v>
      </c>
      <c r="O8" s="194"/>
      <c r="P8" s="194"/>
      <c r="Q8"/>
      <c r="R8"/>
      <c r="S8"/>
    </row>
    <row r="9" spans="2:19" ht="54" customHeight="1">
      <c r="B9" s="195">
        <v>7</v>
      </c>
      <c r="C9" s="196" t="s">
        <v>1598</v>
      </c>
      <c r="D9" s="196" t="s">
        <v>1599</v>
      </c>
      <c r="E9" s="197">
        <v>30</v>
      </c>
      <c r="F9" s="198" t="s">
        <v>1600</v>
      </c>
      <c r="G9" s="199" t="s">
        <v>1601</v>
      </c>
      <c r="H9" s="219" t="str">
        <f xml:space="preserve"> _xlfn.CONCAT("gut", B9)</f>
        <v>gut7</v>
      </c>
      <c r="I9" s="213" t="str">
        <f xml:space="preserve"> IFERROR( _xlfn.CONCAT("g", "u", _xlfn.UNICHAR(HEX2DEC(RIGHT("U+0304",4))), "t"), "")</f>
        <v>gūt</v>
      </c>
      <c r="J9" s="219" t="str">
        <f xml:space="preserve"> _xlfn.CONCAT("gut", F9)</f>
        <v>gut[</v>
      </c>
      <c r="O9" s="194"/>
      <c r="P9" s="194"/>
      <c r="Q9"/>
      <c r="R9"/>
      <c r="S9"/>
    </row>
    <row r="10" spans="2:19" ht="54" customHeight="1">
      <c r="B10" s="201">
        <v>8</v>
      </c>
      <c r="C10" s="202" t="s">
        <v>1602</v>
      </c>
      <c r="D10" s="202" t="s">
        <v>1603</v>
      </c>
      <c r="E10" s="203">
        <v>121</v>
      </c>
      <c r="F10" s="204" t="s">
        <v>1604</v>
      </c>
      <c r="G10" s="205" t="s">
        <v>1605</v>
      </c>
      <c r="H10" s="220" t="str">
        <f xml:space="preserve"> _xlfn.CONCAT("gut", B10)</f>
        <v>gut8</v>
      </c>
      <c r="I10" s="214" t="str">
        <f xml:space="preserve"> IFERROR( _xlfn.CONCAT("g", "u", _xlfn.UNICHAR(HEX2DEC(RIGHT("U+0301",4))), "t"), "")</f>
        <v>gút</v>
      </c>
      <c r="J10" s="220" t="str">
        <f xml:space="preserve"> _xlfn.CONCAT("gut", F10)</f>
        <v>gut]</v>
      </c>
      <c r="O10" s="194"/>
      <c r="P10" s="194"/>
      <c r="Q10"/>
      <c r="R10"/>
      <c r="S10"/>
    </row>
    <row r="11" spans="2:19" ht="54" customHeight="1">
      <c r="Q11"/>
      <c r="R11"/>
      <c r="S11"/>
    </row>
    <row r="12" spans="2:19">
      <c r="Q12"/>
      <c r="R12"/>
      <c r="S12"/>
    </row>
    <row r="13" spans="2:19">
      <c r="Q13"/>
      <c r="R13"/>
      <c r="S13"/>
    </row>
    <row r="14" spans="2:19" ht="34.5" customHeight="1">
      <c r="Q14"/>
      <c r="R14"/>
      <c r="S14"/>
    </row>
    <row r="15" spans="2:19" ht="54" customHeight="1">
      <c r="L15" s="210" t="s">
        <v>1610</v>
      </c>
      <c r="M15" s="211" t="str">
        <f xml:space="preserve"> _xlfn.CONCAT("◌", _xlfn.UNICHAR(HEX2DEC(RIGHT($L15,4))))</f>
        <v>◌̇</v>
      </c>
      <c r="N15" s="211"/>
      <c r="O15" s="200" t="str">
        <f xml:space="preserve"> IFERROR( _xlfn.CONCAT("o", _xlfn.UNICHAR(HEX2DEC(RIGHT(L15,4)))), "")</f>
        <v>ȯ</v>
      </c>
      <c r="P15" s="200" t="str">
        <f xml:space="preserve"> IFERROR( _xlfn.CONCAT("t", "o", _xlfn.UNICHAR(HEX2DEC(RIGHT(L15,4))), "ng"), "")</f>
        <v>tȯng</v>
      </c>
      <c r="Q15"/>
      <c r="R15"/>
      <c r="S15"/>
    </row>
    <row r="16" spans="2:19" ht="54" customHeight="1">
      <c r="L16" s="210" t="s">
        <v>1611</v>
      </c>
      <c r="M16" s="211" t="str">
        <f xml:space="preserve"> _xlfn.CONCAT("◌", _xlfn.UNICHAR(HEX2DEC(RIGHT($L16,4))))</f>
        <v>◌̍</v>
      </c>
      <c r="N16" s="211"/>
      <c r="O16" s="200" t="str">
        <f xml:space="preserve"> IFERROR( _xlfn.CONCAT("o", _xlfn.UNICHAR(HEX2DEC(RIGHT(L16,4)))), "")</f>
        <v>o̍</v>
      </c>
      <c r="P16" s="200" t="str">
        <f xml:space="preserve"> IFERROR( _xlfn.CONCAT("t", "o", _xlfn.UNICHAR(HEX2DEC(RIGHT(L16,4))), "ng"), "")</f>
        <v>to̍ng</v>
      </c>
      <c r="Q16"/>
      <c r="R16"/>
      <c r="S16"/>
    </row>
    <row r="17" spans="12:19" ht="54" customHeight="1">
      <c r="L17" s="210" t="s">
        <v>1612</v>
      </c>
      <c r="M17" s="211" t="str">
        <f xml:space="preserve"> _xlfn.CONCAT("◌", _xlfn.UNICHAR(HEX2DEC(RIGHT($L17,4))))</f>
        <v>◌̋</v>
      </c>
      <c r="N17" s="211"/>
      <c r="O17" s="200" t="str">
        <f xml:space="preserve"> IFERROR( _xlfn.CONCAT("o", _xlfn.UNICHAR(HEX2DEC(RIGHT(L17,4)))), "")</f>
        <v>ő</v>
      </c>
      <c r="P17" s="200" t="str">
        <f xml:space="preserve"> IFERROR( _xlfn.CONCAT("t", "o", _xlfn.UNICHAR(HEX2DEC(RIGHT(L17,4))), "ng"), "")</f>
        <v>tőng</v>
      </c>
      <c r="Q17"/>
      <c r="R17"/>
      <c r="S17"/>
    </row>
    <row r="18" spans="12:19" ht="54" customHeight="1">
      <c r="L18" s="210" t="s">
        <v>1613</v>
      </c>
      <c r="M18" s="211" t="str">
        <f xml:space="preserve"> _xlfn.CONCAT("◌", _xlfn.UNICHAR(HEX2DEC(RIGHT($L18,4))))</f>
        <v>◌̥</v>
      </c>
      <c r="N18" s="211"/>
      <c r="O18" s="200" t="str">
        <f xml:space="preserve"> IFERROR( _xlfn.CONCAT("o", _xlfn.UNICHAR(HEX2DEC(RIGHT(L18,4)))), "")</f>
        <v>o̥</v>
      </c>
      <c r="P18" s="200" t="str">
        <f xml:space="preserve"> IFERROR( _xlfn.CONCAT("t", "o", _xlfn.UNICHAR(HEX2DEC(RIGHT(L18,4))), "ng"), "")</f>
        <v>to̥ng</v>
      </c>
      <c r="Q18"/>
      <c r="R18"/>
      <c r="S18"/>
    </row>
    <row r="19" spans="12:19" ht="54" customHeight="1">
      <c r="L19" s="210" t="s">
        <v>1614</v>
      </c>
      <c r="M19" s="211" t="str">
        <f xml:space="preserve"> _xlfn.CONCAT("◌", _xlfn.UNICHAR(HEX2DEC(RIGHT($L19,4))))</f>
        <v>◌̰</v>
      </c>
      <c r="N19" s="211"/>
      <c r="O19" s="200" t="str">
        <f xml:space="preserve"> IFERROR( _xlfn.CONCAT("o", _xlfn.UNICHAR(HEX2DEC(RIGHT(L19,4)))), "")</f>
        <v>o̰</v>
      </c>
      <c r="P19" s="200" t="str">
        <f xml:space="preserve"> IFERROR( _xlfn.CONCAT("t", "o", _xlfn.UNICHAR(HEX2DEC(RIGHT(L19,4))), "ng"), "")</f>
        <v>to̰ng</v>
      </c>
      <c r="Q19"/>
      <c r="R19"/>
      <c r="S19"/>
    </row>
    <row r="20" spans="12:19" ht="54" customHeight="1">
      <c r="Q20"/>
      <c r="R20"/>
      <c r="S20"/>
    </row>
    <row r="21" spans="12:19" ht="54" customHeight="1">
      <c r="Q21"/>
      <c r="R21"/>
      <c r="S21"/>
    </row>
    <row r="22" spans="12:19" ht="54" customHeight="1"/>
    <row r="28" spans="12:19" outlineLevel="1"/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0BBFA-487E-47EE-8CCA-70E244367EF1}">
  <dimension ref="B2:W20"/>
  <sheetViews>
    <sheetView topLeftCell="K10" workbookViewId="0">
      <selection activeCell="U18" sqref="U18"/>
    </sheetView>
  </sheetViews>
  <sheetFormatPr defaultRowHeight="16.5"/>
  <cols>
    <col min="1" max="1" width="5.5" customWidth="1"/>
    <col min="2" max="2" width="14" customWidth="1"/>
    <col min="3" max="4" width="15.375" customWidth="1"/>
    <col min="5" max="5" width="10.5" bestFit="1" customWidth="1"/>
    <col min="6" max="6" width="15" customWidth="1"/>
    <col min="7" max="7" width="14.75" customWidth="1"/>
    <col min="8" max="10" width="19.875" customWidth="1"/>
    <col min="11" max="11" width="15.25" customWidth="1"/>
    <col min="12" max="13" width="9.5" customWidth="1"/>
    <col min="14" max="14" width="20.125" customWidth="1"/>
    <col min="15" max="15" width="18.75" customWidth="1"/>
    <col min="16" max="16" width="14.5" customWidth="1"/>
    <col min="20" max="20" width="22.25" customWidth="1"/>
    <col min="21" max="21" width="13.125" customWidth="1"/>
  </cols>
  <sheetData>
    <row r="2" spans="2:23" ht="25.5">
      <c r="B2" s="192" t="s">
        <v>1618</v>
      </c>
      <c r="C2" s="193" t="s">
        <v>1572</v>
      </c>
      <c r="D2" s="193" t="s">
        <v>1573</v>
      </c>
      <c r="E2" s="192" t="s">
        <v>1574</v>
      </c>
      <c r="F2" s="192" t="s">
        <v>1575</v>
      </c>
      <c r="G2" s="192" t="s">
        <v>1576</v>
      </c>
      <c r="H2" s="192" t="s">
        <v>1681</v>
      </c>
      <c r="I2" s="192" t="s">
        <v>1680</v>
      </c>
      <c r="J2" s="193" t="s">
        <v>1577</v>
      </c>
      <c r="L2" s="360" t="s">
        <v>1633</v>
      </c>
      <c r="M2" s="361" t="s">
        <v>1682</v>
      </c>
      <c r="N2" s="361" t="s">
        <v>1692</v>
      </c>
      <c r="O2" s="361" t="s">
        <v>1634</v>
      </c>
      <c r="P2" s="362" t="s">
        <v>1576</v>
      </c>
    </row>
    <row r="3" spans="2:23" ht="50.1" customHeight="1">
      <c r="B3" s="195">
        <v>1</v>
      </c>
      <c r="C3" s="196" t="s">
        <v>1578</v>
      </c>
      <c r="D3" s="196" t="s">
        <v>1579</v>
      </c>
      <c r="E3" s="197">
        <v>44</v>
      </c>
      <c r="F3" s="212" t="s">
        <v>1678</v>
      </c>
      <c r="G3" s="199" t="s">
        <v>1581</v>
      </c>
      <c r="H3" s="219" t="str">
        <f xml:space="preserve"> _xlfn.CONCAT($E$14, IF(MOD($B3,4)&lt;&gt;0, $E$11, $E$12), B3)</f>
        <v>ㄍㄨㄣ1</v>
      </c>
      <c r="I3" s="219" t="str">
        <f t="shared" ref="I3:I9" si="0" xml:space="preserve"> _xlfn.CONCAT($E$14, IF(MOD($B3,4)&lt;&gt;0, $E$11, $E$12), _xlfn.XLOOKUP(B3, L3:L10, M3:M10))</f>
        <v>ㄍㄨㄣ</v>
      </c>
      <c r="J3" s="219" t="str">
        <f xml:space="preserve"> _xlfn.CONCAT($E$14, IF(MOD($B3,4)&lt;&gt;0, $E$11, $E$12), $F3)</f>
        <v>ㄍㄨㄣ"</v>
      </c>
      <c r="L3" s="354">
        <v>1</v>
      </c>
      <c r="M3" s="228"/>
      <c r="N3" s="228" t="s">
        <v>2567</v>
      </c>
      <c r="O3" s="229" t="s">
        <v>1635</v>
      </c>
      <c r="P3" s="356" t="s">
        <v>280</v>
      </c>
      <c r="T3" s="230" t="s">
        <v>1638</v>
      </c>
      <c r="U3" s="230" t="s">
        <v>1639</v>
      </c>
      <c r="V3" s="230" t="s">
        <v>1640</v>
      </c>
      <c r="W3" s="230" t="s">
        <v>1641</v>
      </c>
    </row>
    <row r="4" spans="2:23" ht="50.1" customHeight="1">
      <c r="B4" s="195">
        <v>2</v>
      </c>
      <c r="C4" s="196" t="s">
        <v>1586</v>
      </c>
      <c r="D4" s="196" t="s">
        <v>1587</v>
      </c>
      <c r="E4" s="197">
        <v>53</v>
      </c>
      <c r="F4" s="198">
        <v>4</v>
      </c>
      <c r="G4" s="199" t="s">
        <v>1589</v>
      </c>
      <c r="H4" s="219" t="str">
        <f t="shared" ref="H4:H9" si="1" xml:space="preserve"> _xlfn.CONCAT($E$14, IF(MOD($B4,4)&lt;&gt;0, $E$11, $E$12), B4)</f>
        <v>ㄍㄨㄣ2</v>
      </c>
      <c r="I4" s="219" t="str">
        <f t="shared" si="0"/>
        <v>ㄍㄨㄣˋ</v>
      </c>
      <c r="J4" s="219" t="str">
        <f t="shared" ref="J4:J9" si="2" xml:space="preserve"> _xlfn.CONCAT($E$14, IF(MOD($B4,4)&lt;&gt;0, $E$11, $E$12), $F4)</f>
        <v>ㄍㄨㄣ4</v>
      </c>
      <c r="L4" s="355">
        <v>2</v>
      </c>
      <c r="M4" s="231" t="str">
        <f t="shared" ref="M4:M10" si="3" xml:space="preserve"> IF($N4="", "", _xlfn.UNICHAR(HEX2DEC(RIGHT($N4,4))))</f>
        <v>ˋ</v>
      </c>
      <c r="N4" s="231" t="s">
        <v>1693</v>
      </c>
      <c r="O4" s="232" t="s">
        <v>1636</v>
      </c>
      <c r="P4" s="357" t="s">
        <v>1637</v>
      </c>
      <c r="T4" s="234" t="s">
        <v>1644</v>
      </c>
      <c r="U4" s="230" t="s">
        <v>1645</v>
      </c>
      <c r="V4" s="230" t="s">
        <v>1646</v>
      </c>
      <c r="W4" s="230" t="s">
        <v>1647</v>
      </c>
    </row>
    <row r="5" spans="2:23" ht="50.1" customHeight="1">
      <c r="B5" s="195">
        <v>3</v>
      </c>
      <c r="C5" s="196" t="s">
        <v>1591</v>
      </c>
      <c r="D5" s="196" t="s">
        <v>1592</v>
      </c>
      <c r="E5" s="197">
        <v>21</v>
      </c>
      <c r="F5" s="198">
        <v>3</v>
      </c>
      <c r="G5" s="199" t="s">
        <v>1594</v>
      </c>
      <c r="H5" s="219" t="str">
        <f t="shared" si="1"/>
        <v>ㄍㄨㄣ3</v>
      </c>
      <c r="I5" s="219" t="str">
        <f t="shared" si="0"/>
        <v>ㄍㄨㄣ˪</v>
      </c>
      <c r="J5" s="219" t="str">
        <f t="shared" si="2"/>
        <v>ㄍㄨㄣ3</v>
      </c>
      <c r="L5" s="354">
        <v>3</v>
      </c>
      <c r="M5" s="228" t="str">
        <f t="shared" si="3"/>
        <v>˪</v>
      </c>
      <c r="N5" s="228" t="s">
        <v>1694</v>
      </c>
      <c r="O5" s="229" t="s">
        <v>1642</v>
      </c>
      <c r="P5" s="356" t="s">
        <v>1643</v>
      </c>
      <c r="T5" s="234" t="s">
        <v>1650</v>
      </c>
      <c r="U5" s="230" t="s">
        <v>1651</v>
      </c>
      <c r="V5" s="230" t="s">
        <v>1652</v>
      </c>
      <c r="W5" s="230" t="s">
        <v>1653</v>
      </c>
    </row>
    <row r="6" spans="2:23" ht="50.1" customHeight="1">
      <c r="B6" s="195">
        <v>4</v>
      </c>
      <c r="C6" s="196" t="s">
        <v>1598</v>
      </c>
      <c r="D6" s="196" t="s">
        <v>1599</v>
      </c>
      <c r="E6" s="197">
        <v>30</v>
      </c>
      <c r="F6" s="198" t="s">
        <v>1600</v>
      </c>
      <c r="G6" s="199" t="s">
        <v>1601</v>
      </c>
      <c r="H6" s="219" t="str">
        <f t="shared" si="1"/>
        <v>ㄍㄨㆵ4</v>
      </c>
      <c r="I6" s="219" t="str">
        <f t="shared" si="0"/>
        <v>ㄍㄨㆵ</v>
      </c>
      <c r="J6" s="219" t="str">
        <f t="shared" si="2"/>
        <v>ㄍㄨㆵ[</v>
      </c>
      <c r="L6" s="355">
        <v>4</v>
      </c>
      <c r="M6" s="231" t="str">
        <f t="shared" si="3"/>
        <v/>
      </c>
      <c r="N6" s="231"/>
      <c r="O6" s="232" t="s">
        <v>1648</v>
      </c>
      <c r="P6" s="358" t="s">
        <v>1649</v>
      </c>
      <c r="T6" s="234" t="s">
        <v>1656</v>
      </c>
      <c r="U6" s="230" t="s">
        <v>1657</v>
      </c>
      <c r="V6" s="230" t="s">
        <v>1658</v>
      </c>
      <c r="W6" s="230"/>
    </row>
    <row r="7" spans="2:23" ht="50.1" customHeight="1">
      <c r="B7" s="201">
        <v>5</v>
      </c>
      <c r="C7" s="202" t="s">
        <v>1582</v>
      </c>
      <c r="D7" s="202" t="s">
        <v>1583</v>
      </c>
      <c r="E7" s="203">
        <v>24</v>
      </c>
      <c r="F7" s="204">
        <v>6</v>
      </c>
      <c r="G7" s="205" t="s">
        <v>1585</v>
      </c>
      <c r="H7" s="220" t="str">
        <f t="shared" si="1"/>
        <v>ㄍㄨㄣ5</v>
      </c>
      <c r="I7" s="220" t="str">
        <f t="shared" si="0"/>
        <v>ㄍㄨㄣˊ</v>
      </c>
      <c r="J7" s="220" t="str">
        <f t="shared" si="2"/>
        <v>ㄍㄨㄣ6</v>
      </c>
      <c r="L7" s="354">
        <v>5</v>
      </c>
      <c r="M7" s="228" t="str">
        <f t="shared" si="3"/>
        <v>ˊ</v>
      </c>
      <c r="N7" s="228" t="s">
        <v>1695</v>
      </c>
      <c r="O7" s="229" t="s">
        <v>1654</v>
      </c>
      <c r="P7" s="359" t="s">
        <v>1655</v>
      </c>
      <c r="T7" s="234" t="s">
        <v>1661</v>
      </c>
      <c r="U7" s="230" t="s">
        <v>1662</v>
      </c>
      <c r="V7" s="230" t="s">
        <v>1663</v>
      </c>
      <c r="W7" s="230"/>
    </row>
    <row r="8" spans="2:23" ht="50.1" customHeight="1">
      <c r="B8" s="201">
        <v>7</v>
      </c>
      <c r="C8" s="202" t="s">
        <v>1595</v>
      </c>
      <c r="D8" s="202" t="s">
        <v>1596</v>
      </c>
      <c r="E8" s="203">
        <v>22</v>
      </c>
      <c r="F8" s="204">
        <v>5</v>
      </c>
      <c r="G8" s="205" t="s">
        <v>1585</v>
      </c>
      <c r="H8" s="220" t="str">
        <f t="shared" si="1"/>
        <v>ㄍㄨㄣ7</v>
      </c>
      <c r="I8" s="220" t="str">
        <f t="shared" si="0"/>
        <v>ㄍㄨㄣ˫</v>
      </c>
      <c r="J8" s="220" t="str">
        <f t="shared" si="2"/>
        <v>ㄍㄨㄣ5</v>
      </c>
      <c r="L8" s="355">
        <v>6</v>
      </c>
      <c r="M8" s="231" t="str">
        <f t="shared" si="3"/>
        <v>ˋ</v>
      </c>
      <c r="N8" s="231" t="s">
        <v>1693</v>
      </c>
      <c r="O8" s="232" t="s">
        <v>1659</v>
      </c>
      <c r="P8" s="358" t="s">
        <v>1660</v>
      </c>
      <c r="T8" s="234" t="s">
        <v>1666</v>
      </c>
      <c r="U8" s="230" t="s">
        <v>1667</v>
      </c>
      <c r="V8" s="230" t="s">
        <v>1668</v>
      </c>
      <c r="W8" s="230"/>
    </row>
    <row r="9" spans="2:23" ht="50.1" customHeight="1">
      <c r="B9" s="201">
        <v>8</v>
      </c>
      <c r="C9" s="202" t="s">
        <v>1602</v>
      </c>
      <c r="D9" s="202" t="s">
        <v>1603</v>
      </c>
      <c r="E9" s="203">
        <v>121</v>
      </c>
      <c r="F9" s="204" t="s">
        <v>1604</v>
      </c>
      <c r="G9" s="205" t="s">
        <v>1605</v>
      </c>
      <c r="H9" s="220" t="str">
        <f t="shared" si="1"/>
        <v>ㄍㄨㆵ8</v>
      </c>
      <c r="I9" s="220" t="str">
        <f t="shared" si="0"/>
        <v>ㄍㄨㆵ˙</v>
      </c>
      <c r="J9" s="220" t="str">
        <f t="shared" si="2"/>
        <v>ㄍㄨㆵ]</v>
      </c>
      <c r="L9" s="354">
        <v>7</v>
      </c>
      <c r="M9" s="228" t="str">
        <f t="shared" si="3"/>
        <v>˫</v>
      </c>
      <c r="N9" s="228" t="s">
        <v>1696</v>
      </c>
      <c r="O9" s="229" t="s">
        <v>1664</v>
      </c>
      <c r="P9" s="356" t="s">
        <v>1665</v>
      </c>
      <c r="T9" s="234" t="s">
        <v>1671</v>
      </c>
      <c r="U9" s="230" t="s">
        <v>1672</v>
      </c>
      <c r="V9" s="230" t="s">
        <v>1673</v>
      </c>
      <c r="W9" s="230"/>
    </row>
    <row r="10" spans="2:23" ht="50.1" customHeight="1">
      <c r="L10" s="363">
        <v>8</v>
      </c>
      <c r="M10" s="364" t="str">
        <f t="shared" si="3"/>
        <v>˙</v>
      </c>
      <c r="N10" s="364" t="s">
        <v>1697</v>
      </c>
      <c r="O10" s="365" t="s">
        <v>1669</v>
      </c>
      <c r="P10" s="366" t="s">
        <v>1670</v>
      </c>
      <c r="T10" s="234" t="s">
        <v>1675</v>
      </c>
      <c r="U10" s="230" t="s">
        <v>1651</v>
      </c>
      <c r="V10" s="230" t="s">
        <v>1676</v>
      </c>
      <c r="W10" s="230" t="s">
        <v>1677</v>
      </c>
    </row>
    <row r="11" spans="2:23" ht="50.1" customHeight="1">
      <c r="B11" s="537" t="s">
        <v>1568</v>
      </c>
      <c r="C11" s="537"/>
      <c r="D11" s="180" t="s">
        <v>1569</v>
      </c>
      <c r="E11" s="181" t="str">
        <f xml:space="preserve"> _xlfn.XLOOKUP( _xlfn.CONCAT(B11, "（", LEFT(D11,1), "）"), 韻母表[十五音],韻母表[方音符號])</f>
        <v>ㄨㄣ</v>
      </c>
    </row>
    <row r="12" spans="2:23" ht="50.1" customHeight="1">
      <c r="B12" s="537"/>
      <c r="C12" s="537"/>
      <c r="D12" s="180" t="s">
        <v>1570</v>
      </c>
      <c r="E12" s="181" t="str">
        <f xml:space="preserve"> _xlfn.XLOOKUP( _xlfn.CONCAT(B11, "（", LEFT(D12,1), "）"), 韻母表[十五音],韻母表[方音符號])</f>
        <v>ㄨㆵ</v>
      </c>
      <c r="L12" s="360" t="s">
        <v>1633</v>
      </c>
      <c r="M12" s="361" t="s">
        <v>1682</v>
      </c>
      <c r="N12" s="361" t="s">
        <v>1692</v>
      </c>
      <c r="O12" s="361" t="s">
        <v>1634</v>
      </c>
      <c r="P12" s="362" t="s">
        <v>1576</v>
      </c>
      <c r="R12" s="229" t="str">
        <f xml:space="preserve"> _xlfn.CONCAT("ㄚ", "ㆷ", _xlfn.UNICHAR(HEX2DEC(RIGHT("U+02D9",4))))</f>
        <v>ㄚㆷ˙</v>
      </c>
    </row>
    <row r="13" spans="2:23" ht="50.1" customHeight="1">
      <c r="L13" s="354">
        <v>1</v>
      </c>
      <c r="M13" s="228" t="str">
        <f t="shared" ref="M13:M20" si="4" xml:space="preserve"> IF($N13="", "", _xlfn.UNICHAR(HEX2DEC(RIGHT($N13,4))))</f>
        <v>̄</v>
      </c>
      <c r="N13" s="228" t="s">
        <v>2569</v>
      </c>
      <c r="O13" s="229" t="s">
        <v>1635</v>
      </c>
      <c r="P13" s="356" t="s">
        <v>280</v>
      </c>
      <c r="R13" s="229" t="str">
        <f xml:space="preserve"> _xlfn.CONCAT("ㄚ",_xlfn.UNICHAR(HEX2DEC(RIGHT("U+0304",4))))</f>
        <v>ㄚ̄</v>
      </c>
    </row>
    <row r="14" spans="2:23" ht="66.75" customHeight="1">
      <c r="B14" s="537" t="s">
        <v>1679</v>
      </c>
      <c r="C14" s="537"/>
      <c r="D14" s="233"/>
      <c r="E14" s="181" t="str">
        <f xml:space="preserve"> _xlfn.XLOOKUP("k", 聲母表[台羅拼音], 聲母表[方音符號])</f>
        <v>ㄍ</v>
      </c>
      <c r="L14" s="355">
        <v>2</v>
      </c>
      <c r="M14" s="231" t="str">
        <f t="shared" si="4"/>
        <v>ˋ</v>
      </c>
      <c r="N14" s="231" t="s">
        <v>1693</v>
      </c>
      <c r="O14" s="232" t="s">
        <v>1636</v>
      </c>
      <c r="P14" s="357" t="s">
        <v>1637</v>
      </c>
      <c r="R14" t="s">
        <v>2566</v>
      </c>
    </row>
    <row r="15" spans="2:23" ht="45">
      <c r="L15" s="354">
        <v>3</v>
      </c>
      <c r="M15" s="228" t="str">
        <f t="shared" si="4"/>
        <v>˪</v>
      </c>
      <c r="N15" s="228" t="s">
        <v>1694</v>
      </c>
      <c r="O15" s="229" t="s">
        <v>1642</v>
      </c>
      <c r="P15" s="356" t="s">
        <v>1643</v>
      </c>
    </row>
    <row r="16" spans="2:23" ht="45">
      <c r="L16" s="355">
        <v>4</v>
      </c>
      <c r="M16" s="231" t="str">
        <f t="shared" si="4"/>
        <v>¯</v>
      </c>
      <c r="N16" s="228" t="s">
        <v>2567</v>
      </c>
      <c r="O16" s="232" t="s">
        <v>1648</v>
      </c>
      <c r="P16" s="358" t="s">
        <v>1649</v>
      </c>
    </row>
    <row r="17" spans="12:16" ht="45">
      <c r="L17" s="354">
        <v>5</v>
      </c>
      <c r="M17" s="228" t="str">
        <f t="shared" si="4"/>
        <v>ˊ</v>
      </c>
      <c r="N17" s="228" t="s">
        <v>1695</v>
      </c>
      <c r="O17" s="229" t="s">
        <v>1654</v>
      </c>
      <c r="P17" s="359" t="s">
        <v>1655</v>
      </c>
    </row>
    <row r="18" spans="12:16" ht="45">
      <c r="L18" s="355">
        <v>6</v>
      </c>
      <c r="M18" s="231" t="str">
        <f t="shared" si="4"/>
        <v>ˋ</v>
      </c>
      <c r="N18" s="231" t="s">
        <v>1693</v>
      </c>
      <c r="O18" s="232" t="s">
        <v>1659</v>
      </c>
      <c r="P18" s="358" t="s">
        <v>1660</v>
      </c>
    </row>
    <row r="19" spans="12:16" ht="45">
      <c r="L19" s="354">
        <v>7</v>
      </c>
      <c r="M19" s="228" t="str">
        <f t="shared" si="4"/>
        <v>˫</v>
      </c>
      <c r="N19" s="228" t="s">
        <v>1696</v>
      </c>
      <c r="O19" s="229" t="s">
        <v>1664</v>
      </c>
      <c r="P19" s="356" t="s">
        <v>1665</v>
      </c>
    </row>
    <row r="20" spans="12:16" ht="45">
      <c r="L20" s="363">
        <v>8</v>
      </c>
      <c r="M20" s="364" t="str">
        <f t="shared" si="4"/>
        <v>˙</v>
      </c>
      <c r="N20" s="364" t="s">
        <v>1697</v>
      </c>
      <c r="O20" s="365" t="s">
        <v>1669</v>
      </c>
      <c r="P20" s="366" t="s">
        <v>1670</v>
      </c>
    </row>
  </sheetData>
  <mergeCells count="2">
    <mergeCell ref="B11:C12"/>
    <mergeCell ref="B14:C14"/>
  </mergeCells>
  <phoneticPr fontId="2" type="noConversion"/>
  <pageMargins left="0.7" right="0.7" top="0.75" bottom="0.75" header="0.3" footer="0.3"/>
  <tableParts count="2">
    <tablePart r:id="rId1"/>
    <tablePart r:id="rId2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846D8-4A45-4DD9-B185-AEFD75CF94AF}">
  <dimension ref="B2:R27"/>
  <sheetViews>
    <sheetView workbookViewId="0">
      <selection activeCell="D14" sqref="D14"/>
    </sheetView>
  </sheetViews>
  <sheetFormatPr defaultRowHeight="16.5" outlineLevelRow="1"/>
  <cols>
    <col min="1" max="1" width="4.125" customWidth="1"/>
    <col min="2" max="2" width="19.5" bestFit="1" customWidth="1"/>
    <col min="3" max="6" width="17.25" customWidth="1"/>
    <col min="7" max="9" width="15.25" customWidth="1"/>
    <col min="11" max="11" width="13.75" bestFit="1" customWidth="1"/>
    <col min="12" max="12" width="8.625" customWidth="1"/>
    <col min="13" max="13" width="10.5" customWidth="1"/>
    <col min="14" max="15" width="10.5" style="1" customWidth="1"/>
    <col min="16" max="18" width="12.125" style="1" customWidth="1"/>
  </cols>
  <sheetData>
    <row r="2" spans="2:18" ht="34.5" customHeight="1">
      <c r="B2" s="193" t="s">
        <v>1628</v>
      </c>
      <c r="C2" s="193" t="s">
        <v>1629</v>
      </c>
      <c r="D2" s="192" t="s">
        <v>1630</v>
      </c>
      <c r="E2" s="192" t="s">
        <v>1631</v>
      </c>
      <c r="F2" s="192" t="s">
        <v>1632</v>
      </c>
    </row>
    <row r="3" spans="2:18" ht="49.5" customHeight="1">
      <c r="B3" s="216" t="s">
        <v>1607</v>
      </c>
      <c r="C3" s="217" t="s">
        <v>1621</v>
      </c>
      <c r="D3" s="217" t="str">
        <f xml:space="preserve"> _xlfn.CONCAT(" ", _xlfn.UNICHAR(HEX2DEC(RIGHT($B3,4))))</f>
        <v xml:space="preserve"> ̀</v>
      </c>
      <c r="E3" s="216" t="str">
        <f t="shared" ref="E3:E13" si="0" xml:space="preserve"> IFERROR( _xlfn.CONCAT("o", _xlfn.UNICHAR(HEX2DEC(RIGHT(B3,4)))), "")</f>
        <v>ò</v>
      </c>
      <c r="F3" s="218" t="str">
        <f xml:space="preserve"> IFERROR( _xlfn.CONCAT("t", "o", _xlfn.UNICHAR(HEX2DEC(RIGHT(B3,4))), "ng"), "")</f>
        <v>tòng</v>
      </c>
      <c r="H3" s="1"/>
      <c r="N3"/>
      <c r="O3"/>
      <c r="P3"/>
      <c r="Q3"/>
      <c r="R3"/>
    </row>
    <row r="4" spans="2:18" ht="49.5" customHeight="1">
      <c r="B4" s="216" t="s">
        <v>1609</v>
      </c>
      <c r="C4" s="217" t="s">
        <v>1622</v>
      </c>
      <c r="D4" s="217" t="str">
        <f xml:space="preserve"> _xlfn.CONCAT(" ", _xlfn.UNICHAR(HEX2DEC(RIGHT($B4,4))))</f>
        <v xml:space="preserve"> ́</v>
      </c>
      <c r="E4" s="216" t="str">
        <f t="shared" si="0"/>
        <v>ó</v>
      </c>
      <c r="F4" s="218" t="str">
        <f xml:space="preserve"> IFERROR( _xlfn.CONCAT("t", "o", _xlfn.UNICHAR(HEX2DEC(RIGHT(B4,4))), "ng"), "")</f>
        <v>tóng</v>
      </c>
      <c r="H4" s="1"/>
      <c r="N4"/>
      <c r="O4"/>
      <c r="P4"/>
      <c r="Q4"/>
      <c r="R4"/>
    </row>
    <row r="5" spans="2:18" ht="49.5" customHeight="1">
      <c r="B5" s="216" t="s">
        <v>1617</v>
      </c>
      <c r="C5" s="217" t="s">
        <v>1623</v>
      </c>
      <c r="D5" s="217" t="str">
        <f xml:space="preserve"> _xlfn.CONCAT(" ", _xlfn.UNICHAR(HEX2DEC(RIGHT($B5,4))))</f>
        <v xml:space="preserve"> ̂</v>
      </c>
      <c r="E5" s="216" t="str">
        <f t="shared" si="0"/>
        <v>ô</v>
      </c>
      <c r="F5" s="218" t="str">
        <f xml:space="preserve"> IFERROR( _xlfn.CONCAT("t", "o", _xlfn.UNICHAR(HEX2DEC(RIGHT(B5,4))), "ng"), "")</f>
        <v>tông</v>
      </c>
      <c r="H5" s="1"/>
      <c r="N5"/>
      <c r="O5"/>
      <c r="P5"/>
      <c r="Q5"/>
      <c r="R5"/>
    </row>
    <row r="6" spans="2:18" ht="49.5" customHeight="1">
      <c r="B6" s="216" t="s">
        <v>1606</v>
      </c>
      <c r="C6" s="217" t="s">
        <v>1624</v>
      </c>
      <c r="D6" s="217" t="str">
        <f xml:space="preserve"> _xlfn.CONCAT(" ", _xlfn.UNICHAR(HEX2DEC(RIGHT($B6,4))))</f>
        <v xml:space="preserve"> ̄</v>
      </c>
      <c r="E6" s="216" t="str">
        <f t="shared" si="0"/>
        <v>ō</v>
      </c>
      <c r="F6" s="218" t="str">
        <f xml:space="preserve"> IFERROR( _xlfn.CONCAT("t", "o", _xlfn.UNICHAR(HEX2DEC(RIGHT(B6,4))), "k"), "")</f>
        <v>tōk</v>
      </c>
      <c r="H6" s="1"/>
      <c r="N6"/>
      <c r="O6"/>
      <c r="P6"/>
      <c r="Q6"/>
      <c r="R6"/>
    </row>
    <row r="7" spans="2:18" ht="49.5" customHeight="1">
      <c r="B7" s="216" t="s">
        <v>1610</v>
      </c>
      <c r="C7" s="217" t="str">
        <f xml:space="preserve"> _xlfn.CONCAT("◌", _xlfn.UNICHAR(HEX2DEC(RIGHT($B7,4))))</f>
        <v>◌̇</v>
      </c>
      <c r="D7" s="217"/>
      <c r="E7" s="216" t="str">
        <f t="shared" si="0"/>
        <v>ȯ</v>
      </c>
      <c r="F7" s="218" t="str">
        <f xml:space="preserve"> IFERROR( _xlfn.CONCAT("t", "o", _xlfn.UNICHAR(HEX2DEC(RIGHT(B7,4))), "ng"), "")</f>
        <v>tȯng</v>
      </c>
      <c r="H7" s="1"/>
      <c r="N7"/>
      <c r="O7"/>
      <c r="P7"/>
      <c r="Q7"/>
      <c r="R7"/>
    </row>
    <row r="8" spans="2:18" ht="49.5" customHeight="1">
      <c r="B8" s="216" t="s">
        <v>1612</v>
      </c>
      <c r="C8" s="217" t="s">
        <v>1625</v>
      </c>
      <c r="D8" s="217" t="str">
        <f xml:space="preserve"> _xlfn.CONCAT(" ", _xlfn.UNICHAR(HEX2DEC(RIGHT($B8,4))))</f>
        <v xml:space="preserve"> ̋</v>
      </c>
      <c r="E8" s="216" t="str">
        <f t="shared" si="0"/>
        <v>ő</v>
      </c>
      <c r="F8" s="218" t="str">
        <f xml:space="preserve"> IFERROR( _xlfn.CONCAT("a", _xlfn.UNICHAR(HEX2DEC(RIGHT(B8,4))), "h"), "")</f>
        <v>a̋h</v>
      </c>
      <c r="H8" s="1"/>
      <c r="N8"/>
      <c r="O8"/>
      <c r="P8"/>
      <c r="Q8"/>
      <c r="R8"/>
    </row>
    <row r="9" spans="2:18" ht="49.5" customHeight="1">
      <c r="B9" s="216" t="s">
        <v>1608</v>
      </c>
      <c r="C9" s="217" t="s">
        <v>1626</v>
      </c>
      <c r="D9" s="217" t="str">
        <f xml:space="preserve"> _xlfn.CONCAT(" ", _xlfn.UNICHAR(HEX2DEC(RIGHT($B9,4))))</f>
        <v xml:space="preserve"> ̌</v>
      </c>
      <c r="E9" s="216" t="str">
        <f t="shared" si="0"/>
        <v>ǒ</v>
      </c>
      <c r="F9" s="218" t="str">
        <f xml:space="preserve"> IFERROR( _xlfn.CONCAT("t", "o", _xlfn.UNICHAR(HEX2DEC(RIGHT(B9,4))), "ng"), "")</f>
        <v>tǒng</v>
      </c>
      <c r="H9" s="1"/>
      <c r="N9"/>
      <c r="O9"/>
      <c r="P9"/>
      <c r="Q9"/>
      <c r="R9"/>
    </row>
    <row r="10" spans="2:18" ht="49.5" customHeight="1">
      <c r="B10" s="216" t="s">
        <v>1611</v>
      </c>
      <c r="C10" s="217" t="s">
        <v>1627</v>
      </c>
      <c r="D10" s="217" t="str">
        <f xml:space="preserve"> _xlfn.CONCAT(" ", _xlfn.UNICHAR(HEX2DEC(RIGHT($B10,4))))</f>
        <v xml:space="preserve"> ̍</v>
      </c>
      <c r="E10" s="216" t="str">
        <f t="shared" si="0"/>
        <v>o̍</v>
      </c>
      <c r="F10" s="218" t="str">
        <f xml:space="preserve"> IFERROR( _xlfn.CONCAT("t", "o", _xlfn.UNICHAR(HEX2DEC(RIGHT(B10,4))), "k"), "")</f>
        <v>to̍k</v>
      </c>
      <c r="H10" s="1"/>
      <c r="N10"/>
      <c r="O10"/>
      <c r="P10"/>
      <c r="Q10"/>
      <c r="R10"/>
    </row>
    <row r="11" spans="2:18" ht="49.5" customHeight="1">
      <c r="B11" s="216" t="s">
        <v>1611</v>
      </c>
      <c r="C11" s="217" t="s">
        <v>1627</v>
      </c>
      <c r="D11" s="217" t="str">
        <f xml:space="preserve"> _xlfn.CONCAT(" ", _xlfn.UNICHAR(HEX2DEC(RIGHT($B11,4))))</f>
        <v xml:space="preserve"> ̍</v>
      </c>
      <c r="E11" s="216" t="str">
        <f t="shared" si="0"/>
        <v>o̍</v>
      </c>
      <c r="F11" s="218" t="str">
        <f xml:space="preserve"> IFERROR( _xlfn.CONCAT("t", "o", _xlfn.UNICHAR(HEX2DEC(RIGHT(B11,4))), "ng"), "")</f>
        <v>to̍ng</v>
      </c>
      <c r="P11"/>
      <c r="R11"/>
    </row>
    <row r="12" spans="2:18" ht="49.5" customHeight="1">
      <c r="B12" s="216" t="s">
        <v>1613</v>
      </c>
      <c r="C12" s="217" t="str">
        <f xml:space="preserve"> _xlfn.CONCAT("◌", _xlfn.UNICHAR(HEX2DEC(RIGHT($B12,4))))</f>
        <v>◌̥</v>
      </c>
      <c r="D12" s="217"/>
      <c r="E12" s="216" t="str">
        <f t="shared" si="0"/>
        <v>o̥</v>
      </c>
      <c r="F12" s="218" t="str">
        <f xml:space="preserve"> IFERROR( _xlfn.CONCAT("t", "o", _xlfn.UNICHAR(HEX2DEC(RIGHT(B12,4))), "ng"), "")</f>
        <v>to̥ng</v>
      </c>
      <c r="P12"/>
      <c r="Q12"/>
      <c r="R12"/>
    </row>
    <row r="13" spans="2:18" ht="49.5" customHeight="1">
      <c r="B13" s="216" t="s">
        <v>1614</v>
      </c>
      <c r="C13" s="217" t="str">
        <f xml:space="preserve"> _xlfn.CONCAT("◌", _xlfn.UNICHAR(HEX2DEC(RIGHT($B13,4))))</f>
        <v>◌̰</v>
      </c>
      <c r="D13" s="217"/>
      <c r="E13" s="216" t="str">
        <f t="shared" si="0"/>
        <v>o̰</v>
      </c>
      <c r="F13" s="218" t="str">
        <f xml:space="preserve"> IFERROR( _xlfn.CONCAT("t", "o", _xlfn.UNICHAR(HEX2DEC(RIGHT(B13,4))), "ng"), "")</f>
        <v>to̰ng</v>
      </c>
      <c r="P13"/>
      <c r="Q13"/>
      <c r="R13"/>
    </row>
    <row r="14" spans="2:18" ht="49.5" customHeight="1">
      <c r="B14" s="216" t="s">
        <v>1687</v>
      </c>
      <c r="D14" s="235" t="s">
        <v>1656</v>
      </c>
      <c r="E14" s="236" t="s">
        <v>1683</v>
      </c>
      <c r="H14" t="s">
        <v>1657</v>
      </c>
      <c r="P14"/>
      <c r="Q14"/>
      <c r="R14"/>
    </row>
    <row r="15" spans="2:18" ht="49.5" customHeight="1">
      <c r="B15" s="216" t="s">
        <v>1688</v>
      </c>
      <c r="D15" s="235" t="s">
        <v>1661</v>
      </c>
      <c r="E15" s="237" t="s">
        <v>1685</v>
      </c>
      <c r="H15" t="s">
        <v>1662</v>
      </c>
      <c r="P15"/>
      <c r="Q15"/>
      <c r="R15"/>
    </row>
    <row r="16" spans="2:18" ht="49.5" customHeight="1">
      <c r="B16" s="216" t="s">
        <v>1689</v>
      </c>
      <c r="D16" s="235" t="s">
        <v>1666</v>
      </c>
      <c r="E16" s="237" t="s">
        <v>1684</v>
      </c>
      <c r="H16" t="s">
        <v>1667</v>
      </c>
      <c r="P16"/>
      <c r="Q16"/>
      <c r="R16"/>
    </row>
    <row r="17" spans="2:18" ht="49.5" customHeight="1">
      <c r="B17" s="216" t="s">
        <v>1690</v>
      </c>
      <c r="D17" s="235" t="s">
        <v>1671</v>
      </c>
      <c r="E17" s="237" t="s">
        <v>1686</v>
      </c>
      <c r="H17" t="s">
        <v>1672</v>
      </c>
      <c r="P17"/>
      <c r="Q17"/>
      <c r="R17"/>
    </row>
    <row r="18" spans="2:18" ht="49.5" customHeight="1">
      <c r="B18" s="216" t="s">
        <v>1691</v>
      </c>
      <c r="D18" s="235" t="s">
        <v>1675</v>
      </c>
      <c r="E18" s="237" t="s">
        <v>1674</v>
      </c>
      <c r="H18" t="s">
        <v>1651</v>
      </c>
      <c r="P18"/>
      <c r="Q18"/>
      <c r="R18"/>
    </row>
    <row r="19" spans="2:18" ht="49.5" customHeight="1">
      <c r="P19"/>
      <c r="Q19"/>
      <c r="R19"/>
    </row>
    <row r="20" spans="2:18" ht="54" customHeight="1">
      <c r="P20"/>
      <c r="Q20"/>
      <c r="R20"/>
    </row>
    <row r="21" spans="2:18" ht="54" customHeight="1"/>
    <row r="27" spans="2:18" outlineLevel="1"/>
  </sheetData>
  <phoneticPr fontId="2" type="noConversion"/>
  <hyperlinks>
    <hyperlink ref="C4" r:id="rId1" display="https://zi-hi.com/sp/uni/0301" xr:uid="{4968ADE0-5FFC-4DAD-9362-3F9308830AD9}"/>
    <hyperlink ref="C3" r:id="rId2" display="https://zi-hi.com/sp/uni/0300" xr:uid="{56AE1F06-4BBC-48BB-92AE-69D596DE5A5C}"/>
    <hyperlink ref="C5" r:id="rId3" display="https://zi-hi.com/sp/uni/0302" xr:uid="{8A2CC2F7-2DE2-4C88-9756-F6B068337D12}"/>
    <hyperlink ref="C9" r:id="rId4" display="https://zi-hi.com/sp/uni/030C" xr:uid="{84F1AA26-12D2-4E71-B65A-324A0E6E2615}"/>
    <hyperlink ref="C6" r:id="rId5" display="https://zi-hi.com/sp/uni/0304" xr:uid="{CB61E64B-B3FA-42ED-9ECF-F26BC62C2A2E}"/>
    <hyperlink ref="C10" r:id="rId6" display="https://zi-hi.com/sp/uni/030D" xr:uid="{47E716B4-E4DD-4DE9-86F7-1E1E4429CBC6}"/>
    <hyperlink ref="C8" r:id="rId7" display="https://zi-hi.com/sp/uni/030B" xr:uid="{AD37829E-C453-4D53-A967-9A358C3C6904}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10F90-0086-48F0-ABD6-79EE4689AB29}">
  <dimension ref="B2:T28"/>
  <sheetViews>
    <sheetView zoomScale="60" zoomScaleNormal="60" workbookViewId="0"/>
  </sheetViews>
  <sheetFormatPr defaultRowHeight="16.5" outlineLevelRow="1"/>
  <cols>
    <col min="1" max="1" width="4.125" customWidth="1"/>
    <col min="2" max="2" width="14" customWidth="1"/>
    <col min="3" max="4" width="15.375" customWidth="1"/>
    <col min="5" max="5" width="10.5" bestFit="1" customWidth="1"/>
    <col min="6" max="6" width="15" customWidth="1"/>
    <col min="7" max="7" width="14.75" customWidth="1"/>
    <col min="8" max="10" width="15.25" customWidth="1"/>
    <col min="12" max="12" width="13.75" bestFit="1" customWidth="1"/>
    <col min="13" max="14" width="14.875" customWidth="1"/>
    <col min="15" max="19" width="14.875" style="1" customWidth="1"/>
    <col min="20" max="20" width="14.875" customWidth="1"/>
  </cols>
  <sheetData>
    <row r="2" spans="2:20" ht="34.5" customHeight="1">
      <c r="B2" s="192" t="s">
        <v>1618</v>
      </c>
      <c r="C2" s="193" t="s">
        <v>1572</v>
      </c>
      <c r="D2" s="193" t="s">
        <v>1573</v>
      </c>
      <c r="E2" s="192" t="s">
        <v>1574</v>
      </c>
      <c r="F2" s="192" t="s">
        <v>1575</v>
      </c>
      <c r="G2" s="192" t="s">
        <v>1576</v>
      </c>
      <c r="H2" s="192" t="s">
        <v>1620</v>
      </c>
      <c r="I2" s="192" t="s">
        <v>1619</v>
      </c>
      <c r="J2" s="193" t="s">
        <v>1577</v>
      </c>
      <c r="L2" s="192" t="s">
        <v>1571</v>
      </c>
      <c r="M2" s="193" t="s">
        <v>1572</v>
      </c>
      <c r="N2" s="193" t="s">
        <v>1573</v>
      </c>
      <c r="O2" s="192" t="s">
        <v>1574</v>
      </c>
      <c r="P2" s="192" t="s">
        <v>1575</v>
      </c>
      <c r="Q2" s="192" t="s">
        <v>1576</v>
      </c>
      <c r="R2" s="192" t="s">
        <v>1615</v>
      </c>
      <c r="S2" s="192" t="s">
        <v>1616</v>
      </c>
      <c r="T2" s="193" t="s">
        <v>1577</v>
      </c>
    </row>
    <row r="3" spans="2:20" ht="49.5" customHeight="1">
      <c r="B3" s="222">
        <v>1</v>
      </c>
      <c r="C3" s="223" t="s">
        <v>1578</v>
      </c>
      <c r="D3" s="223" t="s">
        <v>1579</v>
      </c>
      <c r="E3" s="224">
        <v>44</v>
      </c>
      <c r="F3" s="225" t="s">
        <v>1580</v>
      </c>
      <c r="G3" s="226" t="s">
        <v>1581</v>
      </c>
      <c r="H3" s="227" t="str">
        <f xml:space="preserve"> _xlfn.CONCAT("kun", B3)</f>
        <v>kun1</v>
      </c>
      <c r="I3" s="227" t="str">
        <f xml:space="preserve"> IFERROR( _xlfn.CONCAT("k", "u", "", "n"), "")</f>
        <v>kun</v>
      </c>
      <c r="J3" s="227" t="str">
        <f xml:space="preserve"> _xlfn.CONCAT("kun", F3)</f>
        <v>kun;</v>
      </c>
      <c r="L3" s="195">
        <v>1</v>
      </c>
      <c r="M3" s="196" t="s">
        <v>1578</v>
      </c>
      <c r="N3" s="196" t="s">
        <v>1579</v>
      </c>
      <c r="O3" s="197">
        <v>44</v>
      </c>
      <c r="P3" s="198" t="s">
        <v>1580</v>
      </c>
      <c r="Q3" s="199" t="s">
        <v>1581</v>
      </c>
      <c r="R3" s="219" t="str">
        <f xml:space="preserve"> _xlfn.CONCAT("gun", L3)</f>
        <v>gun1</v>
      </c>
      <c r="S3" s="213" t="str">
        <f xml:space="preserve"> IFERROR( _xlfn.CONCAT("g", "u", _xlfn.UNICHAR(HEX2DEC(RIGHT("U+0304",4))), "n"), "")</f>
        <v>gūn</v>
      </c>
      <c r="T3" s="219" t="str">
        <f xml:space="preserve"> _xlfn.CONCAT("gun", P3)</f>
        <v>gun;</v>
      </c>
    </row>
    <row r="4" spans="2:20" ht="49.5" customHeight="1">
      <c r="B4" s="195">
        <v>7</v>
      </c>
      <c r="C4" s="196" t="s">
        <v>1595</v>
      </c>
      <c r="D4" s="196" t="s">
        <v>1596</v>
      </c>
      <c r="E4" s="197">
        <v>22</v>
      </c>
      <c r="F4" s="198" t="s">
        <v>1597</v>
      </c>
      <c r="G4" s="199" t="s">
        <v>1585</v>
      </c>
      <c r="H4" s="219" t="str">
        <f xml:space="preserve"> _xlfn.CONCAT("kun", B4)</f>
        <v>kun7</v>
      </c>
      <c r="I4" s="219" t="str">
        <f xml:space="preserve"> IFERROR( _xlfn.CONCAT("k", "u", _xlfn.UNICHAR(HEX2DEC(RIGHT("U+0304",4))), "n"), "")</f>
        <v>kūn</v>
      </c>
      <c r="J4" s="219" t="str">
        <f xml:space="preserve"> _xlfn.CONCAT("kun", F4)</f>
        <v>kun-</v>
      </c>
      <c r="L4" s="201">
        <v>6</v>
      </c>
      <c r="M4" s="202" t="s">
        <v>1595</v>
      </c>
      <c r="N4" s="202" t="s">
        <v>1596</v>
      </c>
      <c r="O4" s="203">
        <v>22</v>
      </c>
      <c r="P4" s="204" t="s">
        <v>1597</v>
      </c>
      <c r="Q4" s="205" t="s">
        <v>1585</v>
      </c>
      <c r="R4" s="220" t="str">
        <f xml:space="preserve"> _xlfn.CONCAT("gun", L4)</f>
        <v>gun6</v>
      </c>
      <c r="S4" s="214" t="str">
        <f xml:space="preserve"> IFERROR( _xlfn.CONCAT("g", "u", _xlfn.UNICHAR(HEX2DEC(RIGHT("U+0302",4))), "n"), "")</f>
        <v>gûn</v>
      </c>
      <c r="T4" s="220" t="str">
        <f xml:space="preserve"> _xlfn.CONCAT("gun", P4)</f>
        <v>gun-</v>
      </c>
    </row>
    <row r="5" spans="2:20" ht="49.5" customHeight="1">
      <c r="B5" s="222">
        <v>3</v>
      </c>
      <c r="C5" s="223" t="s">
        <v>1591</v>
      </c>
      <c r="D5" s="223" t="s">
        <v>1592</v>
      </c>
      <c r="E5" s="224">
        <v>21</v>
      </c>
      <c r="F5" s="225" t="s">
        <v>1593</v>
      </c>
      <c r="G5" s="226" t="s">
        <v>1594</v>
      </c>
      <c r="H5" s="227" t="str">
        <f xml:space="preserve"> _xlfn.CONCAT("kun", B5)</f>
        <v>kun3</v>
      </c>
      <c r="I5" s="227" t="str">
        <f xml:space="preserve"> IFERROR( _xlfn.CONCAT("k", "u", _xlfn.UNICHAR(HEX2DEC(RIGHT("U+0300",4))), "n"), "")</f>
        <v>kùn</v>
      </c>
      <c r="J5" s="227" t="str">
        <f xml:space="preserve"> _xlfn.CONCAT("kun", F5)</f>
        <v>kun_</v>
      </c>
      <c r="L5" s="195">
        <v>5</v>
      </c>
      <c r="M5" s="196" t="s">
        <v>1591</v>
      </c>
      <c r="N5" s="196" t="s">
        <v>1592</v>
      </c>
      <c r="O5" s="197">
        <v>21</v>
      </c>
      <c r="P5" s="198" t="s">
        <v>1593</v>
      </c>
      <c r="Q5" s="199" t="s">
        <v>1594</v>
      </c>
      <c r="R5" s="219" t="str">
        <f xml:space="preserve"> _xlfn.CONCAT("gun", L5)</f>
        <v>gun5</v>
      </c>
      <c r="S5" s="213" t="str">
        <f xml:space="preserve"> IFERROR( _xlfn.CONCAT("g", "u", _xlfn.UNICHAR(HEX2DEC(RIGHT("U+0300",4))), "n"), "")</f>
        <v>gùn</v>
      </c>
      <c r="T5" s="219" t="str">
        <f xml:space="preserve"> _xlfn.CONCAT("gun", P5)</f>
        <v>gun_</v>
      </c>
    </row>
    <row r="6" spans="2:20" ht="49.5" customHeight="1">
      <c r="B6" s="222">
        <v>2</v>
      </c>
      <c r="C6" s="223" t="s">
        <v>1586</v>
      </c>
      <c r="D6" s="223" t="s">
        <v>1587</v>
      </c>
      <c r="E6" s="224">
        <v>53</v>
      </c>
      <c r="F6" s="225" t="s">
        <v>1588</v>
      </c>
      <c r="G6" s="226" t="s">
        <v>1589</v>
      </c>
      <c r="H6" s="227" t="str">
        <f xml:space="preserve"> _xlfn.CONCAT("kun", B6)</f>
        <v>kun2</v>
      </c>
      <c r="I6" s="227" t="str">
        <f xml:space="preserve"> IFERROR( _xlfn.CONCAT("k", "u", _xlfn.UNICHAR(HEX2DEC(RIGHT("U+0301",4))), "n"), "")</f>
        <v>kún</v>
      </c>
      <c r="J6" s="227" t="str">
        <f xml:space="preserve"> _xlfn.CONCAT("kun", F6)</f>
        <v>kun\</v>
      </c>
      <c r="L6" s="195">
        <v>3</v>
      </c>
      <c r="M6" s="196" t="s">
        <v>1586</v>
      </c>
      <c r="N6" s="196" t="s">
        <v>1587</v>
      </c>
      <c r="O6" s="197">
        <v>53</v>
      </c>
      <c r="P6" s="198" t="s">
        <v>1588</v>
      </c>
      <c r="Q6" s="199" t="s">
        <v>1589</v>
      </c>
      <c r="R6" s="219" t="str">
        <f xml:space="preserve"> _xlfn.CONCAT("gun", L6)</f>
        <v>gun3</v>
      </c>
      <c r="S6" s="213" t="str">
        <f xml:space="preserve"> IFERROR( _xlfn.CONCAT("g", "u", _xlfn.UNICHAR(HEX2DEC(RIGHT("U+030C",4))), "n"), "")</f>
        <v>gǔn</v>
      </c>
      <c r="T6" s="219" t="str">
        <f xml:space="preserve"> _xlfn.CONCAT("gun", P6)</f>
        <v>gun\</v>
      </c>
    </row>
    <row r="7" spans="2:20" ht="49.5" customHeight="1">
      <c r="B7" s="195">
        <v>5</v>
      </c>
      <c r="C7" s="196" t="s">
        <v>1582</v>
      </c>
      <c r="D7" s="196" t="s">
        <v>1583</v>
      </c>
      <c r="E7" s="197">
        <v>24</v>
      </c>
      <c r="F7" s="198" t="s">
        <v>1584</v>
      </c>
      <c r="G7" s="199" t="s">
        <v>1585</v>
      </c>
      <c r="H7" s="219" t="str">
        <f xml:space="preserve"> _xlfn.CONCAT("kun", B7)</f>
        <v>kun5</v>
      </c>
      <c r="I7" s="219" t="str">
        <f xml:space="preserve"> IFERROR( _xlfn.CONCAT("k", "u", _xlfn.UNICHAR(HEX2DEC(RIGHT("U+0302",4))), "n"), "")</f>
        <v>kûn</v>
      </c>
      <c r="J7" s="219" t="str">
        <f xml:space="preserve"> _xlfn.CONCAT("kun", F7)</f>
        <v>kun/</v>
      </c>
      <c r="L7" s="201">
        <v>2</v>
      </c>
      <c r="M7" s="202" t="s">
        <v>1582</v>
      </c>
      <c r="N7" s="202" t="s">
        <v>1583</v>
      </c>
      <c r="O7" s="203">
        <v>24</v>
      </c>
      <c r="P7" s="204" t="s">
        <v>1584</v>
      </c>
      <c r="Q7" s="205" t="s">
        <v>1585</v>
      </c>
      <c r="R7" s="220" t="str">
        <f xml:space="preserve"> _xlfn.CONCAT("gun", L7)</f>
        <v>gun2</v>
      </c>
      <c r="S7" s="214" t="str">
        <f xml:space="preserve"> IFERROR( _xlfn.CONCAT("g", "u", _xlfn.UNICHAR(HEX2DEC(RIGHT("U+0301",4))), "n"), "")</f>
        <v>gún</v>
      </c>
      <c r="T7" s="220" t="str">
        <f xml:space="preserve"> _xlfn.CONCAT("gun", P7)</f>
        <v>gun/</v>
      </c>
    </row>
    <row r="8" spans="2:20" ht="49.5" customHeight="1">
      <c r="B8" s="222">
        <v>4</v>
      </c>
      <c r="C8" s="223" t="s">
        <v>1598</v>
      </c>
      <c r="D8" s="223" t="s">
        <v>1599</v>
      </c>
      <c r="E8" s="224">
        <v>30</v>
      </c>
      <c r="F8" s="225" t="s">
        <v>1600</v>
      </c>
      <c r="G8" s="226" t="s">
        <v>1601</v>
      </c>
      <c r="H8" s="227" t="str">
        <f xml:space="preserve"> _xlfn.CONCAT("kut", B8)</f>
        <v>kut4</v>
      </c>
      <c r="I8" s="227" t="str">
        <f xml:space="preserve"> IFERROR( _xlfn.CONCAT("k", "u", "", "t"), "")</f>
        <v>kut</v>
      </c>
      <c r="J8" s="227" t="str">
        <f xml:space="preserve"> _xlfn.CONCAT("kut", F8)</f>
        <v>kut[</v>
      </c>
      <c r="L8" s="195">
        <v>7</v>
      </c>
      <c r="M8" s="196" t="s">
        <v>1598</v>
      </c>
      <c r="N8" s="196" t="s">
        <v>1599</v>
      </c>
      <c r="O8" s="197">
        <v>30</v>
      </c>
      <c r="P8" s="198" t="s">
        <v>1600</v>
      </c>
      <c r="Q8" s="199" t="s">
        <v>1601</v>
      </c>
      <c r="R8" s="219" t="str">
        <f xml:space="preserve"> _xlfn.CONCAT("gut", L8)</f>
        <v>gut7</v>
      </c>
      <c r="S8" s="213" t="str">
        <f xml:space="preserve"> IFERROR( _xlfn.CONCAT("g", "u", _xlfn.UNICHAR(HEX2DEC(RIGHT("U+0304",4))), "t"), "")</f>
        <v>gūt</v>
      </c>
      <c r="T8" s="219" t="str">
        <f xml:space="preserve"> _xlfn.CONCAT("gut", P8)</f>
        <v>gut[</v>
      </c>
    </row>
    <row r="9" spans="2:20" ht="49.5" customHeight="1">
      <c r="B9" s="195">
        <v>8</v>
      </c>
      <c r="C9" s="196" t="s">
        <v>1602</v>
      </c>
      <c r="D9" s="196" t="s">
        <v>1603</v>
      </c>
      <c r="E9" s="197">
        <v>121</v>
      </c>
      <c r="F9" s="198" t="s">
        <v>1604</v>
      </c>
      <c r="G9" s="199" t="s">
        <v>1605</v>
      </c>
      <c r="H9" s="219" t="str">
        <f xml:space="preserve"> _xlfn.CONCAT("kut", B9)</f>
        <v>kut8</v>
      </c>
      <c r="I9" s="219" t="str">
        <f xml:space="preserve"> IFERROR( _xlfn.CONCAT("k", "u", _xlfn.UNICHAR(HEX2DEC(RIGHT("U+030D",4))), "t"), "")</f>
        <v>ku̍t</v>
      </c>
      <c r="J9" s="219" t="str">
        <f xml:space="preserve"> _xlfn.CONCAT("kut", F9)</f>
        <v>kut]</v>
      </c>
      <c r="L9" s="201">
        <v>8</v>
      </c>
      <c r="M9" s="202" t="s">
        <v>1602</v>
      </c>
      <c r="N9" s="202" t="s">
        <v>1603</v>
      </c>
      <c r="O9" s="203">
        <v>121</v>
      </c>
      <c r="P9" s="204" t="s">
        <v>1604</v>
      </c>
      <c r="Q9" s="205" t="s">
        <v>1605</v>
      </c>
      <c r="R9" s="220" t="str">
        <f xml:space="preserve"> _xlfn.CONCAT("gut", L9)</f>
        <v>gut8</v>
      </c>
      <c r="S9" s="214" t="str">
        <f xml:space="preserve"> IFERROR( _xlfn.CONCAT("g", "u", _xlfn.UNICHAR(HEX2DEC(RIGHT("U+0301",4))), "t"), "")</f>
        <v>gút</v>
      </c>
      <c r="T9" s="220" t="str">
        <f xml:space="preserve"> _xlfn.CONCAT("gut", P9)</f>
        <v>gut]</v>
      </c>
    </row>
    <row r="10" spans="2:20" ht="49.5" customHeight="1">
      <c r="Q10"/>
      <c r="S10"/>
    </row>
    <row r="11" spans="2:20" ht="49.5" customHeight="1">
      <c r="Q11"/>
      <c r="R11"/>
      <c r="S11"/>
    </row>
    <row r="12" spans="2:20" ht="49.5" customHeight="1">
      <c r="Q12"/>
      <c r="R12"/>
      <c r="S12"/>
    </row>
    <row r="13" spans="2:20" ht="49.5" customHeight="1">
      <c r="Q13"/>
      <c r="R13"/>
      <c r="S13"/>
    </row>
    <row r="14" spans="2:20" ht="49.5" customHeight="1">
      <c r="Q14"/>
      <c r="R14"/>
      <c r="S14"/>
    </row>
    <row r="15" spans="2:20" ht="49.5" customHeight="1">
      <c r="Q15"/>
      <c r="R15"/>
      <c r="S15"/>
    </row>
    <row r="16" spans="2:20" ht="49.5" customHeight="1">
      <c r="Q16"/>
      <c r="R16"/>
      <c r="S16"/>
    </row>
    <row r="17" spans="17:19" ht="49.5" customHeight="1">
      <c r="Q17"/>
      <c r="R17"/>
      <c r="S17"/>
    </row>
    <row r="18" spans="17:19" ht="49.5" customHeight="1">
      <c r="Q18"/>
      <c r="R18"/>
      <c r="S18"/>
    </row>
    <row r="19" spans="17:19" ht="49.5" customHeight="1">
      <c r="Q19"/>
      <c r="R19"/>
      <c r="S19"/>
    </row>
    <row r="20" spans="17:19" ht="49.5" customHeight="1">
      <c r="Q20"/>
      <c r="R20"/>
      <c r="S20"/>
    </row>
    <row r="21" spans="17:19" ht="54" customHeight="1"/>
    <row r="22" spans="17:19" ht="54" customHeight="1"/>
    <row r="28" spans="17:19" outlineLevel="1"/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聲母十五音發聲表</vt:lpstr>
      <vt:lpstr>聲母十五音發聲表（YX互換）</vt:lpstr>
      <vt:lpstr>十五音聲母 (教材)</vt:lpstr>
      <vt:lpstr>十五音韻母（教材）</vt:lpstr>
      <vt:lpstr>字母八音反切</vt:lpstr>
      <vt:lpstr>字母八音反切【上下標音】</vt:lpstr>
      <vt:lpstr>50字母清單</vt:lpstr>
      <vt:lpstr>15呼音字母清單</vt:lpstr>
      <vt:lpstr>呼十五音法</vt:lpstr>
      <vt:lpstr>十五音聲母發音表 (2)</vt:lpstr>
      <vt:lpstr>十五音音節表</vt:lpstr>
      <vt:lpstr>十五音音節表 (BPM)</vt:lpstr>
      <vt:lpstr>音節表【台羅拼音序】</vt:lpstr>
      <vt:lpstr>十五音聲母</vt:lpstr>
      <vt:lpstr>十五音聲母 (BPM)</vt:lpstr>
      <vt:lpstr>十五音韻母</vt:lpstr>
      <vt:lpstr>十五音韻母【台羅拼音】</vt:lpstr>
      <vt:lpstr>工作表2</vt:lpstr>
      <vt:lpstr>工作表1</vt:lpstr>
      <vt:lpstr>十五音音節表【BoPoMo序】</vt:lpstr>
      <vt:lpstr>十五音。八音反切</vt:lpstr>
      <vt:lpstr>拚音聲調表【溫韻】</vt:lpstr>
      <vt:lpstr>閩拚拚音聲調表【溫韻】</vt:lpstr>
      <vt:lpstr>注音聲調表【方音符號】</vt:lpstr>
      <vt:lpstr>Unicode</vt:lpstr>
      <vt:lpstr>W聲調表【溫韻】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2026-08-03T05:08:39Z</dcterms:created>
  <dcterms:modified xsi:type="dcterms:W3CDTF">2026-09-16T05:48:07Z</dcterms:modified>
</cp:coreProperties>
</file>