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2" autoFilterDateGrouping="1"/>
  </bookViews>
  <sheets>
    <sheet name="工作表1" sheetId="1" state="visible" r:id="rId1"/>
    <sheet name="【聲】聲母對照表 (台語注音二式)" sheetId="2" state="visible" r:id="rId2"/>
    <sheet name="【韻】韻母清單（台語注音二式==&gt;閩拼方案）" sheetId="3" state="visible" r:id="rId3"/>
    <sheet name="【韻】韻母清單（台語注音二式==&gt;閩拼方案） (2)" sheetId="4" state="visible" r:id="rId4"/>
    <sheet name="【韻】韻母清單 (台語注音二式)" sheetId="5" state="visible" r:id="rId5"/>
    <sheet name="【韻】韻母清單" sheetId="6" state="visible" r:id="rId6"/>
    <sheet name="【韻】韻母清單（拼音字母標聲調）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5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Noto Sans TC SemiBold"/>
      <charset val="136"/>
      <family val="2"/>
      <color theme="1"/>
      <sz val="12"/>
    </font>
    <font>
      <name val="新細明體"/>
      <charset val="136"/>
      <family val="2"/>
      <sz val="9"/>
      <scheme val="minor"/>
    </font>
    <font>
      <name val="Segoe UI"/>
      <family val="2"/>
      <color theme="1"/>
      <sz val="16"/>
    </font>
    <font>
      <name val="新細明體"/>
      <charset val="136"/>
      <family val="2"/>
      <color theme="1"/>
      <sz val="16"/>
      <scheme val="minor"/>
    </font>
    <font>
      <name val="Segoe UI"/>
      <family val="2"/>
      <color theme="1"/>
      <sz val="18"/>
    </font>
    <font>
      <name val="新細明體"/>
      <charset val="136"/>
      <family val="2"/>
      <color theme="3" tint="0.499984740745262"/>
      <sz val="12"/>
      <scheme val="minor"/>
    </font>
    <font>
      <name val="微軟正黑體"/>
      <charset val="136"/>
      <family val="2"/>
      <b val="1"/>
      <color rgb="FF000000"/>
      <sz val="18"/>
    </font>
    <font>
      <name val="Noto Sans"/>
      <family val="2"/>
      <b val="1"/>
      <color rgb="FF000000"/>
      <sz val="18"/>
    </font>
    <font>
      <name val="Noto Sans"/>
      <family val="2"/>
      <b val="1"/>
      <color rgb="FF000000"/>
      <sz val="11"/>
    </font>
    <font>
      <name val="Segoe UI"/>
      <family val="2"/>
      <b val="1"/>
      <color rgb="FF000000"/>
      <sz val="18"/>
    </font>
    <font>
      <name val="Segoe UI"/>
      <family val="2"/>
      <color rgb="FFFF0000"/>
      <sz val="10"/>
    </font>
    <font>
      <name val="Segoe UI"/>
      <family val="2"/>
      <color theme="1"/>
      <sz val="10"/>
    </font>
    <font>
      <name val="Noto Sans"/>
      <family val="2"/>
      <color rgb="FF000000"/>
      <sz val="18"/>
    </font>
    <font>
      <name val="Noto Sans"/>
      <family val="2"/>
      <b val="1"/>
      <color rgb="FFC00000"/>
      <sz val="18"/>
    </font>
    <font>
      <name val="Noto Sans"/>
      <family val="2"/>
      <color theme="8"/>
      <sz val="18"/>
    </font>
    <font>
      <name val="霞鶩文楷等寬 TC Medium"/>
      <charset val="136"/>
      <family val="3"/>
      <color rgb="FF000000"/>
      <sz val="18"/>
    </font>
    <font>
      <name val="Noto Sans TC SemiBold"/>
      <charset val="136"/>
      <family val="2"/>
      <color theme="1"/>
      <sz val="16"/>
    </font>
    <font>
      <name val="Segoe UI"/>
      <family val="2"/>
      <color theme="3" tint="0.499984740745262"/>
      <sz val="12"/>
    </font>
    <font>
      <name val="細明體"/>
      <charset val="136"/>
      <family val="2"/>
      <color rgb="FF000000"/>
      <sz val="18"/>
    </font>
    <font>
      <name val="Segoe UI"/>
      <family val="2"/>
      <color rgb="FFFF0000"/>
      <sz val="16"/>
    </font>
    <font>
      <name val="Noto Sans"/>
      <family val="2"/>
      <color rgb="FFFF0000"/>
      <sz val="18"/>
    </font>
    <font>
      <name val="Noto Sans TC"/>
      <charset val="136"/>
      <family val="2"/>
      <color rgb="FFFF0000"/>
      <sz val="18"/>
    </font>
    <font>
      <name val="Microsoft JhengHei"/>
      <family val="2"/>
      <color rgb="FFFF0000"/>
      <sz val="18"/>
    </font>
    <font>
      <name val="細明體"/>
      <charset val="136"/>
      <family val="2"/>
      <color rgb="FFFF0000"/>
      <sz val="18"/>
    </font>
    <font>
      <name val="微軟正黑體"/>
      <charset val="136"/>
      <family val="2"/>
      <color rgb="FFFF0000"/>
      <sz val="18"/>
    </font>
    <font>
      <name val="Noto Sans TC Medium"/>
      <charset val="136"/>
      <family val="2"/>
      <color theme="1"/>
      <sz val="16"/>
    </font>
    <font>
      <name val="吳守禮細明台語注音"/>
      <charset val="136"/>
      <family val="1"/>
      <color theme="1"/>
      <sz val="24"/>
    </font>
    <font>
      <name val="吳守禮細明台語破音03"/>
      <charset val="136"/>
      <family val="1"/>
      <color theme="1"/>
      <sz val="24"/>
    </font>
    <font>
      <name val="吳守禮細明台語注音"/>
      <charset val="136"/>
      <family val="1"/>
      <color rgb="FFFF0000"/>
      <sz val="24"/>
    </font>
    <font>
      <name val="吳守禮細明台語破音04"/>
      <charset val="136"/>
      <family val="1"/>
      <color rgb="FFFF0000"/>
      <sz val="24"/>
    </font>
    <font>
      <name val="吳守禮細明台語破音01"/>
      <charset val="136"/>
      <family val="1"/>
      <color theme="1"/>
      <sz val="24"/>
    </font>
    <font>
      <name val="Noto Sans TC Medium"/>
      <charset val="136"/>
      <family val="2"/>
      <color rgb="FFFF0000"/>
      <sz val="16"/>
    </font>
    <font>
      <name val="Noto Sans TC Medium"/>
      <family val="2"/>
      <color rgb="FFFF0000"/>
      <sz val="16"/>
    </font>
    <font>
      <name val="Noto Sans TC Medium"/>
      <charset val="136"/>
      <family val="2"/>
      <color theme="8"/>
      <sz val="16"/>
    </font>
    <font>
      <name val="吳守禮細明台語注音"/>
      <charset val="136"/>
      <family val="1"/>
      <color theme="8"/>
      <sz val="24"/>
    </font>
    <font>
      <name val="Microsoft JhengHei"/>
      <family val="2"/>
      <color rgb="FF000000"/>
      <sz val="18"/>
    </font>
    <font>
      <name val="Noto Sans"/>
      <charset val="136"/>
      <family val="2"/>
      <color rgb="FF000000"/>
      <sz val="18"/>
    </font>
    <font>
      <name val="Segoe UI"/>
      <family val="2"/>
      <b val="1"/>
      <color theme="1"/>
      <sz val="18"/>
    </font>
    <font>
      <name val="Noto Sans TC Medium"/>
      <family val="2"/>
      <color rgb="FFC00000"/>
      <sz val="16"/>
    </font>
    <font>
      <name val="微軟正黑體"/>
      <charset val="136"/>
      <family val="2"/>
      <b val="1"/>
      <color rgb="FFC00000"/>
      <sz val="18"/>
    </font>
    <font>
      <name val="Segoe UI"/>
      <family val="2"/>
      <color theme="1"/>
      <sz val="24"/>
    </font>
    <font>
      <name val="霞鶩文楷等寬 TC Medium"/>
      <charset val="136"/>
      <family val="3"/>
      <color theme="1"/>
      <sz val="24"/>
    </font>
    <font>
      <name val="霞鶩文楷等寬 TC Medium"/>
      <family val="3"/>
      <color theme="1"/>
      <sz val="24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6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</cellStyleXfs>
  <cellXfs count="7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5" fillId="0" borderId="0" applyAlignment="1" pivotButton="0" quotePrefix="0" xfId="1">
      <alignment vertical="center"/>
    </xf>
    <xf numFmtId="0" fontId="6" fillId="0" borderId="0" applyAlignment="1" pivotButton="0" quotePrefix="0" xfId="1">
      <alignment vertical="center"/>
    </xf>
    <xf numFmtId="0" fontId="7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left" vertical="center"/>
    </xf>
    <xf numFmtId="0" fontId="5" fillId="0" borderId="0" applyAlignment="1" pivotButton="0" quotePrefix="0" xfId="1">
      <alignment horizontal="left" vertical="center"/>
    </xf>
    <xf numFmtId="0" fontId="8" fillId="2" borderId="1" applyAlignment="1" pivotButton="0" quotePrefix="0" xfId="1">
      <alignment horizontal="center" vertical="center" wrapText="1"/>
    </xf>
    <xf numFmtId="0" fontId="8" fillId="3" borderId="1" applyAlignment="1" pivotButton="0" quotePrefix="0" xfId="1">
      <alignment horizontal="center" vertical="center" wrapText="1"/>
    </xf>
    <xf numFmtId="0" fontId="9" fillId="2" borderId="0" applyAlignment="1" pivotButton="0" quotePrefix="0" xfId="1">
      <alignment horizontal="center" vertical="center" wrapText="1"/>
    </xf>
    <xf numFmtId="0" fontId="9" fillId="2" borderId="1" applyAlignment="1" pivotButton="0" quotePrefix="0" xfId="1">
      <alignment horizontal="center" vertical="center" wrapText="1"/>
    </xf>
    <xf numFmtId="0" fontId="10" fillId="2" borderId="1" applyAlignment="1" pivotButton="0" quotePrefix="0" xfId="1">
      <alignment horizontal="center" vertical="center" wrapText="1"/>
    </xf>
    <xf numFmtId="0" fontId="11" fillId="2" borderId="1" applyAlignment="1" pivotButton="0" quotePrefix="0" xfId="1">
      <alignment horizontal="center" vertical="center" wrapText="1"/>
    </xf>
    <xf numFmtId="0" fontId="12" fillId="0" borderId="0" applyAlignment="1" pivotButton="0" quotePrefix="0" xfId="1">
      <alignment horizontal="center" vertical="center"/>
    </xf>
    <xf numFmtId="0" fontId="13" fillId="0" borderId="0" applyAlignment="1" pivotButton="0" quotePrefix="0" xfId="1">
      <alignment vertical="center"/>
    </xf>
    <xf numFmtId="0" fontId="14" fillId="2" borderId="1" applyAlignment="1" pivotButton="0" quotePrefix="0" xfId="1">
      <alignment horizontal="left" vertical="center" wrapText="1" indent="1"/>
    </xf>
    <xf numFmtId="0" fontId="15" fillId="3" borderId="1" applyAlignment="1" pivotButton="0" quotePrefix="0" xfId="1">
      <alignment horizontal="left" vertical="center" wrapText="1" indent="1"/>
    </xf>
    <xf numFmtId="0" fontId="16" fillId="3" borderId="1" applyAlignment="1" pivotButton="0" quotePrefix="0" xfId="1">
      <alignment horizontal="left" vertical="center" wrapText="1" indent="1"/>
    </xf>
    <xf numFmtId="0" fontId="17" fillId="2" borderId="1" applyAlignment="1" pivotButton="0" quotePrefix="0" xfId="1">
      <alignment horizontal="left" vertical="center" wrapText="1" indent="1"/>
    </xf>
    <xf numFmtId="0" fontId="14" fillId="2" borderId="1" applyAlignment="1" pivotButton="0" quotePrefix="0" xfId="1">
      <alignment horizontal="center" vertical="center" wrapText="1"/>
    </xf>
    <xf numFmtId="0" fontId="14" fillId="2" borderId="0" applyAlignment="1" pivotButton="0" quotePrefix="0" xfId="1">
      <alignment horizontal="left" vertical="center" wrapText="1" indent="1"/>
    </xf>
    <xf numFmtId="0" fontId="14" fillId="2" borderId="0" applyAlignment="1" pivotButton="0" quotePrefix="0" xfId="1">
      <alignment horizontal="center" vertical="center" wrapText="1"/>
    </xf>
    <xf numFmtId="0" fontId="18" fillId="0" borderId="0" applyAlignment="1" pivotButton="0" quotePrefix="0" xfId="1">
      <alignment vertical="center"/>
    </xf>
    <xf numFmtId="0" fontId="6" fillId="0" borderId="0" applyAlignment="1" pivotButton="0" quotePrefix="0" xfId="1">
      <alignment horizontal="center" vertical="center"/>
    </xf>
    <xf numFmtId="0" fontId="19" fillId="0" borderId="0" applyAlignment="1" pivotButton="0" quotePrefix="0" xfId="1">
      <alignment horizontal="center" vertical="center"/>
    </xf>
    <xf numFmtId="0" fontId="20" fillId="2" borderId="1" applyAlignment="1" pivotButton="0" quotePrefix="0" xfId="1">
      <alignment horizontal="left" vertical="center" wrapText="1" indent="1"/>
    </xf>
    <xf numFmtId="0" fontId="21" fillId="0" borderId="0" applyAlignment="1" pivotButton="0" quotePrefix="0" xfId="1">
      <alignment horizontal="center" vertical="center"/>
    </xf>
    <xf numFmtId="0" fontId="22" fillId="4" borderId="1" applyAlignment="1" pivotButton="0" quotePrefix="0" xfId="1">
      <alignment horizontal="left" vertical="center" wrapText="1" indent="1"/>
    </xf>
    <xf numFmtId="0" fontId="23" fillId="4" borderId="1" applyAlignment="1" pivotButton="0" quotePrefix="0" xfId="1">
      <alignment horizontal="center" vertical="center" wrapText="1"/>
    </xf>
    <xf numFmtId="0" fontId="24" fillId="4" borderId="1" applyAlignment="1" pivotButton="0" quotePrefix="0" xfId="1">
      <alignment horizontal="left" vertical="center" wrapText="1" indent="1"/>
    </xf>
    <xf numFmtId="0" fontId="25" fillId="4" borderId="1" applyAlignment="1" pivotButton="0" quotePrefix="0" xfId="1">
      <alignment horizontal="left" vertical="center" wrapText="1" indent="1"/>
    </xf>
    <xf numFmtId="0" fontId="26" fillId="4" borderId="1" applyAlignment="1" pivotButton="0" quotePrefix="0" xfId="1">
      <alignment horizontal="center" vertical="center" wrapText="1"/>
    </xf>
    <xf numFmtId="0" fontId="27" fillId="5" borderId="2" applyAlignment="1" pivotButton="0" quotePrefix="0" xfId="2">
      <alignment vertical="center"/>
    </xf>
    <xf numFmtId="0" fontId="27" fillId="0" borderId="0" applyAlignment="1" pivotButton="0" quotePrefix="0" xfId="2">
      <alignment vertical="center"/>
    </xf>
    <xf numFmtId="0" fontId="27" fillId="0" borderId="2" applyAlignment="1" pivotButton="0" quotePrefix="0" xfId="2">
      <alignment vertical="center"/>
    </xf>
    <xf numFmtId="0" fontId="28" fillId="0" borderId="2" applyAlignment="1" pivotButton="0" quotePrefix="0" xfId="2">
      <alignment horizontal="center" vertical="center"/>
    </xf>
    <xf numFmtId="0" fontId="29" fillId="0" borderId="2" applyAlignment="1" pivotButton="0" quotePrefix="0" xfId="2">
      <alignment horizontal="center" vertical="center"/>
    </xf>
    <xf numFmtId="0" fontId="30" fillId="0" borderId="2" applyAlignment="1" pivotButton="0" quotePrefix="0" xfId="2">
      <alignment horizontal="center" vertical="center"/>
    </xf>
    <xf numFmtId="0" fontId="31" fillId="0" borderId="2" applyAlignment="1" pivotButton="0" quotePrefix="0" xfId="2">
      <alignment horizontal="center" vertical="center"/>
    </xf>
    <xf numFmtId="0" fontId="32" fillId="0" borderId="2" applyAlignment="1" pivotButton="0" quotePrefix="0" xfId="2">
      <alignment horizontal="center" vertical="center"/>
    </xf>
    <xf numFmtId="0" fontId="33" fillId="0" borderId="2" applyAlignment="1" pivotButton="0" quotePrefix="0" xfId="2">
      <alignment vertical="center"/>
    </xf>
    <xf numFmtId="0" fontId="34" fillId="0" borderId="2" applyAlignment="1" pivotButton="0" quotePrefix="0" xfId="2">
      <alignment vertical="center"/>
    </xf>
    <xf numFmtId="0" fontId="35" fillId="0" borderId="2" applyAlignment="1" pivotButton="0" quotePrefix="0" xfId="2">
      <alignment vertical="center"/>
    </xf>
    <xf numFmtId="0" fontId="36" fillId="0" borderId="2" applyAlignment="1" pivotButton="0" quotePrefix="0" xfId="2">
      <alignment horizontal="center" vertical="center"/>
    </xf>
    <xf numFmtId="0" fontId="33" fillId="4" borderId="2" applyAlignment="1" pivotButton="0" quotePrefix="0" xfId="2">
      <alignment vertical="center"/>
    </xf>
    <xf numFmtId="0" fontId="21" fillId="4" borderId="0" applyAlignment="1" pivotButton="0" quotePrefix="0" xfId="1">
      <alignment horizontal="center" vertical="center"/>
    </xf>
    <xf numFmtId="0" fontId="8" fillId="2" borderId="0" applyAlignment="1" pivotButton="0" quotePrefix="0" xfId="1">
      <alignment horizontal="center" vertical="center" wrapText="1"/>
    </xf>
    <xf numFmtId="0" fontId="8" fillId="2" borderId="1" applyAlignment="1" pivotButton="0" quotePrefix="0" xfId="1">
      <alignment horizontal="left" vertical="center" wrapText="1"/>
    </xf>
    <xf numFmtId="0" fontId="1" fillId="0" borderId="0" applyAlignment="1" pivotButton="0" quotePrefix="0" xfId="1">
      <alignment horizontal="left" vertical="center" indent="1"/>
    </xf>
    <xf numFmtId="0" fontId="8" fillId="2" borderId="1" applyAlignment="1" pivotButton="0" quotePrefix="0" xfId="1">
      <alignment horizontal="left" vertical="center" wrapText="1" indent="1"/>
    </xf>
    <xf numFmtId="0" fontId="37" fillId="2" borderId="1" applyAlignment="1" pivotButton="0" quotePrefix="0" xfId="1">
      <alignment horizontal="left" vertical="center" wrapText="1" indent="1"/>
    </xf>
    <xf numFmtId="0" fontId="38" fillId="2" borderId="1" applyAlignment="1" pivotButton="0" quotePrefix="0" xfId="1">
      <alignment horizontal="left" vertical="center" wrapText="1" indent="1"/>
    </xf>
    <xf numFmtId="0" fontId="27" fillId="5" borderId="0" applyAlignment="1" pivotButton="0" quotePrefix="0" xfId="2">
      <alignment vertical="center"/>
    </xf>
    <xf numFmtId="0" fontId="35" fillId="0" borderId="0" applyAlignment="1" pivotButton="0" quotePrefix="0" xfId="2">
      <alignment vertical="center"/>
    </xf>
    <xf numFmtId="0" fontId="27" fillId="5" borderId="2" applyAlignment="1" pivotButton="0" quotePrefix="0" xfId="2">
      <alignment horizontal="center" vertical="center"/>
    </xf>
    <xf numFmtId="0" fontId="6" fillId="6" borderId="2" applyAlignment="1" pivotButton="0" quotePrefix="0" xfId="0">
      <alignment vertical="center"/>
    </xf>
    <xf numFmtId="0" fontId="6" fillId="6" borderId="4" applyAlignment="1" pivotButton="0" quotePrefix="0" xfId="0">
      <alignment vertical="center"/>
    </xf>
    <xf numFmtId="0" fontId="6" fillId="6" borderId="3" applyAlignment="1" pivotButton="0" quotePrefix="0" xfId="0">
      <alignment vertical="center"/>
    </xf>
    <xf numFmtId="0" fontId="6" fillId="6" borderId="5" applyAlignment="1" pivotButton="0" quotePrefix="0" xfId="0">
      <alignment vertical="center"/>
    </xf>
    <xf numFmtId="0" fontId="39" fillId="5" borderId="3" applyAlignment="1" pivotButton="0" quotePrefix="0" xfId="0">
      <alignment horizontal="center" vertical="center"/>
    </xf>
    <xf numFmtId="0" fontId="40" fillId="3" borderId="2" applyAlignment="1" pivotButton="0" quotePrefix="0" xfId="2">
      <alignment vertical="center"/>
    </xf>
    <xf numFmtId="0" fontId="41" fillId="2" borderId="1" applyAlignment="1" pivotButton="0" quotePrefix="0" xfId="1">
      <alignment horizontal="center" vertical="center" wrapText="1"/>
    </xf>
    <xf numFmtId="0" fontId="42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44" fillId="0" borderId="0" applyAlignment="1" pivotButton="0" quotePrefix="0" xfId="0">
      <alignment vertical="center"/>
    </xf>
    <xf numFmtId="0" fontId="0" fillId="0" borderId="0" pivotButton="0" quotePrefix="0" xfId="0"/>
  </cellXfs>
  <cellStyles count="3">
    <cellStyle name="一般" xfId="0" builtinId="0"/>
    <cellStyle name="一般 4" xfId="1"/>
    <cellStyle name="一般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4" sqref="A14"/>
    </sheetView>
  </sheetViews>
  <sheetFormatPr baseColWidth="8" defaultRowHeight="37.5"/>
  <cols>
    <col width="101.75" customWidth="1" style="66" min="1" max="1"/>
  </cols>
  <sheetData>
    <row r="1" ht="30.75" customHeight="1" s="69">
      <c r="A1" s="67" t="inlineStr">
        <is>
          <t>韻母     Q    規則說明</t>
        </is>
      </c>
    </row>
    <row r="2" ht="30.75" customHeight="1" s="69">
      <c r="A2" s="68" t="inlineStr">
        <is>
          <t>------   --   --------------------</t>
        </is>
      </c>
    </row>
    <row r="3" ht="30.75" customHeight="1" s="69">
      <c r="A3" s="68" t="inlineStr">
        <is>
          <t>ue       e    e &gt; u（不是取 u）</t>
        </is>
      </c>
    </row>
    <row r="4" ht="30.75" customHeight="1" s="69">
      <c r="A4" s="68" t="inlineStr">
        <is>
          <t>ueh      e    e &gt; u</t>
        </is>
      </c>
    </row>
    <row r="5" ht="30.75" customHeight="1" s="69">
      <c r="A5" s="68" t="inlineStr">
        <is>
          <t>oo       o    長元音 oo（優先於單 o）</t>
        </is>
      </c>
    </row>
    <row r="6" ht="30.75" customHeight="1" s="69">
      <c r="A6" s="68" t="inlineStr">
        <is>
          <t>ooh      o    oo 在 ooh 中</t>
        </is>
      </c>
    </row>
    <row r="7" ht="30.75" customHeight="1" s="69">
      <c r="A7" s="68" t="inlineStr">
        <is>
          <t>iu       i    i 與 u 同級，i 先出現取 i</t>
        </is>
      </c>
    </row>
    <row r="8" ht="30.75" customHeight="1" s="69">
      <c r="A8" s="68" t="inlineStr">
        <is>
          <t>uinn     u    u 與 i 同級，u 先出現取 u</t>
        </is>
      </c>
    </row>
    <row r="9" ht="30.75" customHeight="1" s="69">
      <c r="A9" s="68" t="inlineStr">
        <is>
          <t>uih      u    u 與 i 同級，u 先出現取 u</t>
        </is>
      </c>
    </row>
    <row r="10" ht="30.75" customHeight="1" s="69">
      <c r="A10" s="68" t="inlineStr">
        <is>
          <t>mh       m    鼻音音節</t>
        </is>
      </c>
    </row>
    <row r="11" ht="30.75" customHeight="1" s="69">
      <c r="A11" s="68" t="inlineStr">
        <is>
          <t>ng/ngh   n    鼻音音節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ySplit="1" topLeftCell="A2" activePane="bottomLeft" state="frozen"/>
      <selection activeCell="W10" sqref="W10"/>
      <selection pane="bottomLeft" activeCell="E10" sqref="E10"/>
    </sheetView>
  </sheetViews>
  <sheetFormatPr baseColWidth="8" defaultRowHeight="25.5"/>
  <cols>
    <col width="9.625" bestFit="1" customWidth="1" style="37" min="1" max="1"/>
    <col width="13.5" customWidth="1" style="37" min="2" max="11"/>
    <col width="34.625" bestFit="1" customWidth="1" style="37" min="12" max="12"/>
    <col width="9.625" bestFit="1" customWidth="1" style="37" min="13" max="13"/>
    <col width="9.625" customWidth="1" style="37" min="14" max="17"/>
    <col width="5.25" customWidth="1" style="2" min="18" max="18"/>
    <col width="15.125" customWidth="1" style="2" min="19" max="20"/>
    <col width="2.875" customWidth="1" style="2" min="21" max="21"/>
    <col width="13.75" bestFit="1" customWidth="1" style="3" min="22" max="22"/>
    <col width="16.75" customWidth="1" style="3" min="23" max="23"/>
    <col width="4.5" customWidth="1" style="2" min="24" max="24"/>
    <col width="30.75" bestFit="1" customWidth="1" style="6" min="25" max="25"/>
    <col width="9" customWidth="1" style="69" min="26" max="33"/>
    <col width="9" customWidth="1" style="37" min="34" max="34"/>
    <col width="9" customWidth="1" style="37" min="35" max="16384"/>
  </cols>
  <sheetData>
    <row r="1" ht="27.75" customHeight="1" s="69" thickBot="1">
      <c r="A1" s="58" t="inlineStr">
        <is>
          <t>識別號</t>
        </is>
      </c>
      <c r="B1" s="58" t="inlineStr">
        <is>
          <t>國際音標</t>
        </is>
      </c>
      <c r="C1" s="58" t="inlineStr">
        <is>
          <t>台羅拼音</t>
        </is>
      </c>
      <c r="D1" s="58" t="inlineStr">
        <is>
          <t>台語音標</t>
        </is>
      </c>
      <c r="E1" s="58" t="inlineStr">
        <is>
          <t>注音二式</t>
        </is>
      </c>
      <c r="F1" s="58" t="inlineStr">
        <is>
          <t>閩拼方案</t>
        </is>
      </c>
      <c r="G1" s="58" t="inlineStr">
        <is>
          <t>白話字</t>
        </is>
      </c>
      <c r="H1" s="58" t="inlineStr">
        <is>
          <t>方音符號</t>
        </is>
      </c>
      <c r="I1" s="58" t="inlineStr">
        <is>
          <t>台語注音</t>
        </is>
      </c>
      <c r="J1" s="58" t="inlineStr">
        <is>
          <t>十五音</t>
        </is>
      </c>
      <c r="K1" s="58" t="inlineStr">
        <is>
          <t>漢字例</t>
        </is>
      </c>
      <c r="L1" s="58" t="inlineStr">
        <is>
          <t>備註</t>
        </is>
      </c>
      <c r="M1" s="36" t="inlineStr">
        <is>
          <t>字長</t>
        </is>
      </c>
      <c r="N1" s="63" t="inlineStr">
        <is>
          <t>s1</t>
        </is>
      </c>
      <c r="O1" s="63" t="inlineStr">
        <is>
          <t>s2</t>
        </is>
      </c>
      <c r="P1" s="63" t="inlineStr">
        <is>
          <t>s3</t>
        </is>
      </c>
      <c r="Q1" s="56" t="n"/>
      <c r="R1" s="13" t="n"/>
      <c r="S1" s="11">
        <f>D1</f>
        <v/>
      </c>
      <c r="T1" s="11">
        <f>I1</f>
        <v/>
      </c>
      <c r="V1" s="11">
        <f>S1</f>
        <v/>
      </c>
      <c r="W1" s="11">
        <f>T1</f>
        <v/>
      </c>
      <c r="Y1" s="14" t="n"/>
    </row>
    <row r="2" ht="30" customHeight="1" s="69" thickBot="1">
      <c r="A2" s="38" t="n">
        <v>11</v>
      </c>
      <c r="B2" s="38" t="inlineStr">
        <is>
          <t>ʔ</t>
        </is>
      </c>
      <c r="C2" s="38" t="inlineStr">
        <is>
          <t>Ø</t>
        </is>
      </c>
      <c r="D2" s="38" t="inlineStr">
        <is>
          <t>Ø</t>
        </is>
      </c>
      <c r="E2" s="64" t="inlineStr">
        <is>
          <t>Ø</t>
        </is>
      </c>
      <c r="F2" s="38" t="inlineStr">
        <is>
          <t>Ø</t>
        </is>
      </c>
      <c r="G2" s="38" t="inlineStr">
        <is>
          <t>Ø</t>
        </is>
      </c>
      <c r="H2" s="38" t="inlineStr">
        <is>
          <t>Ø</t>
        </is>
      </c>
      <c r="I2" s="38" t="inlineStr">
        <is>
          <t>Ø</t>
        </is>
      </c>
      <c r="J2" s="42" t="inlineStr">
        <is>
          <t>英</t>
        </is>
      </c>
      <c r="K2" s="39" t="inlineStr">
        <is>
          <t>以</t>
        </is>
      </c>
      <c r="L2" s="38" t="n"/>
      <c r="M2" s="46">
        <f>LEN(S2)</f>
        <v/>
      </c>
      <c r="N2" s="59" t="n">
        <v>1</v>
      </c>
      <c r="O2" s="59" t="inlineStr">
        <is>
          <t>Ø</t>
        </is>
      </c>
      <c r="P2" s="59" t="inlineStr">
        <is>
          <t>Ø</t>
        </is>
      </c>
      <c r="Q2" s="57" t="n"/>
      <c r="R2" s="24" t="n"/>
      <c r="S2" s="11">
        <f>D2</f>
        <v/>
      </c>
      <c r="T2" s="11">
        <f>I2</f>
        <v/>
      </c>
      <c r="V2" s="3">
        <f>_xlfn.CONCAT(S2, "")</f>
        <v/>
      </c>
      <c r="W2" s="3">
        <f>IFERROR( _xlfn.CONCAT(T2, ""), "" )</f>
        <v/>
      </c>
      <c r="X2" s="25" t="n"/>
      <c r="Y2" s="26">
        <f>IF(AND(T2&lt;&gt;"", S2&lt;&gt;""), "    - xform/》" &amp; V2 &amp;  "/"  &amp; W2 &amp;  "》/", "")</f>
        <v/>
      </c>
    </row>
    <row r="3" ht="30" customHeight="1" s="69" thickBot="1">
      <c r="A3" s="38" t="n">
        <v>16</v>
      </c>
      <c r="B3" s="38" t="inlineStr">
        <is>
          <t>m</t>
        </is>
      </c>
      <c r="C3" s="38" t="inlineStr">
        <is>
          <t>m</t>
        </is>
      </c>
      <c r="D3" s="38" t="inlineStr">
        <is>
          <t>m</t>
        </is>
      </c>
      <c r="E3" s="64" t="inlineStr">
        <is>
          <t>m</t>
        </is>
      </c>
      <c r="F3" s="38" t="inlineStr">
        <is>
          <t>bbn</t>
        </is>
      </c>
      <c r="G3" s="38" t="inlineStr">
        <is>
          <t>m</t>
        </is>
      </c>
      <c r="H3" s="38" t="inlineStr">
        <is>
          <t>ㄇ</t>
        </is>
      </c>
      <c r="I3" s="38" t="inlineStr">
        <is>
          <t>ㄇ</t>
        </is>
      </c>
      <c r="J3" s="39" t="inlineStr">
        <is>
          <t>毛</t>
        </is>
      </c>
      <c r="K3" s="39" t="inlineStr">
        <is>
          <t>毛</t>
        </is>
      </c>
      <c r="L3" s="44" t="inlineStr">
        <is>
          <t xml:space="preserve">b/m 本不分，此處分門/毛 </t>
        </is>
      </c>
      <c r="M3" s="46">
        <f>LEN(S3)</f>
        <v/>
      </c>
      <c r="N3" s="60" t="n">
        <v>2</v>
      </c>
      <c r="O3" s="60" t="inlineStr">
        <is>
          <t>m</t>
        </is>
      </c>
      <c r="P3" s="60" t="inlineStr">
        <is>
          <t>bbn</t>
        </is>
      </c>
      <c r="Q3" s="57" t="n"/>
      <c r="R3" s="24" t="n"/>
      <c r="S3" s="11">
        <f>D3</f>
        <v/>
      </c>
      <c r="T3" s="11">
        <f>I3</f>
        <v/>
      </c>
      <c r="V3" s="3">
        <f>_xlfn.CONCAT(S3, "")</f>
        <v/>
      </c>
      <c r="W3" s="3">
        <f>IFERROR( _xlfn.CONCAT(T3, ""), "" )</f>
        <v/>
      </c>
      <c r="X3" s="25" t="n"/>
      <c r="Y3" s="26">
        <f>IF(AND(T3&lt;&gt;"", S3&lt;&gt;""), "    - xform/》" &amp; V3 &amp;  "/"  &amp; W3 &amp;  "》/", "")</f>
        <v/>
      </c>
    </row>
    <row r="4" ht="30" customHeight="1" s="69" thickBot="1">
      <c r="A4" s="38" t="n">
        <v>12</v>
      </c>
      <c r="B4" s="38" t="inlineStr">
        <is>
          <t>b</t>
        </is>
      </c>
      <c r="C4" s="38" t="inlineStr">
        <is>
          <t>b</t>
        </is>
      </c>
      <c r="D4" s="38" t="inlineStr">
        <is>
          <t>b</t>
        </is>
      </c>
      <c r="E4" s="64" t="inlineStr">
        <is>
          <t>bb</t>
        </is>
      </c>
      <c r="F4" s="38" t="inlineStr">
        <is>
          <t>bb</t>
        </is>
      </c>
      <c r="G4" s="38" t="inlineStr">
        <is>
          <t>b</t>
        </is>
      </c>
      <c r="H4" s="38" t="inlineStr">
        <is>
          <t>ㆠ</t>
        </is>
      </c>
      <c r="I4" s="48" t="inlineStr">
        <is>
          <t>ㄪ</t>
        </is>
      </c>
      <c r="J4" s="43" t="inlineStr">
        <is>
          <t>門</t>
        </is>
      </c>
      <c r="K4" s="39" t="inlineStr">
        <is>
          <t>美</t>
        </is>
      </c>
      <c r="L4" s="38" t="n"/>
      <c r="M4" s="46">
        <f>LEN(S4)</f>
        <v/>
      </c>
      <c r="N4" s="61" t="n">
        <v>3</v>
      </c>
      <c r="O4" s="61" t="inlineStr">
        <is>
          <t>bb</t>
        </is>
      </c>
      <c r="P4" s="61" t="inlineStr">
        <is>
          <t>bb</t>
        </is>
      </c>
      <c r="Q4" s="57" t="n"/>
      <c r="R4" s="24" t="n"/>
      <c r="S4" s="11">
        <f>D4</f>
        <v/>
      </c>
      <c r="T4" s="11">
        <f>I4</f>
        <v/>
      </c>
      <c r="V4" s="3">
        <f>_xlfn.CONCAT(S4, "")</f>
        <v/>
      </c>
      <c r="W4" s="3">
        <f>IFERROR( _xlfn.CONCAT(T4, ""), "" )</f>
        <v/>
      </c>
      <c r="X4" s="25" t="n"/>
      <c r="Y4" s="26">
        <f>IF(AND(T4&lt;&gt;"", S4&lt;&gt;""), "    - xform/》" &amp; V4 &amp; "/" &amp; W4 &amp; "》/", "")</f>
        <v/>
      </c>
    </row>
    <row r="5" ht="30" customHeight="1" s="69" thickBot="1">
      <c r="A5" s="38" t="n">
        <v>2</v>
      </c>
      <c r="B5" s="38" t="inlineStr">
        <is>
          <t>p</t>
        </is>
      </c>
      <c r="C5" s="38" t="inlineStr">
        <is>
          <t>p</t>
        </is>
      </c>
      <c r="D5" s="38" t="inlineStr">
        <is>
          <t>p</t>
        </is>
      </c>
      <c r="E5" s="64" t="inlineStr">
        <is>
          <t>b</t>
        </is>
      </c>
      <c r="F5" s="38" t="inlineStr">
        <is>
          <t>b</t>
        </is>
      </c>
      <c r="G5" s="38" t="inlineStr">
        <is>
          <t>p</t>
        </is>
      </c>
      <c r="H5" s="38" t="inlineStr">
        <is>
          <t>ㄅ</t>
        </is>
      </c>
      <c r="I5" s="38" t="inlineStr">
        <is>
          <t>ㄅ</t>
        </is>
      </c>
      <c r="J5" s="39" t="inlineStr">
        <is>
          <t>邊</t>
        </is>
      </c>
      <c r="K5" s="39" t="inlineStr">
        <is>
          <t>比</t>
        </is>
      </c>
      <c r="L5" s="38" t="n"/>
      <c r="M5" s="46">
        <f>LEN(S5)</f>
        <v/>
      </c>
      <c r="N5" s="61" t="n">
        <v>4</v>
      </c>
      <c r="O5" s="61" t="inlineStr">
        <is>
          <t>b</t>
        </is>
      </c>
      <c r="P5" s="61" t="inlineStr">
        <is>
          <t>b</t>
        </is>
      </c>
      <c r="Q5" s="57" t="n"/>
      <c r="R5" s="24" t="n"/>
      <c r="S5" s="11">
        <f>D5</f>
        <v/>
      </c>
      <c r="T5" s="11">
        <f>I5</f>
        <v/>
      </c>
      <c r="V5" s="3">
        <f>_xlfn.CONCAT(S5, "")</f>
        <v/>
      </c>
      <c r="W5" s="3">
        <f>IFERROR( _xlfn.CONCAT(T5, ""), "" )</f>
        <v/>
      </c>
      <c r="X5" s="25" t="n"/>
      <c r="Y5" s="26">
        <f>IF(AND(T5&lt;&gt;"", S5&lt;&gt;""), "    - xform/》" &amp; V5 &amp; "/" &amp; W5 &amp; "》/", "")</f>
        <v/>
      </c>
    </row>
    <row r="6" ht="30" customHeight="1" s="69" thickBot="1">
      <c r="A6" s="38" t="n">
        <v>6</v>
      </c>
      <c r="B6" s="38" t="inlineStr">
        <is>
          <t>pʰ</t>
        </is>
      </c>
      <c r="C6" s="38" t="inlineStr">
        <is>
          <t>ph</t>
        </is>
      </c>
      <c r="D6" s="38" t="inlineStr">
        <is>
          <t>ph</t>
        </is>
      </c>
      <c r="E6" s="64" t="inlineStr">
        <is>
          <t>p</t>
        </is>
      </c>
      <c r="F6" s="38" t="inlineStr">
        <is>
          <t>p</t>
        </is>
      </c>
      <c r="G6" s="38" t="inlineStr">
        <is>
          <t>ph</t>
        </is>
      </c>
      <c r="H6" s="38" t="inlineStr">
        <is>
          <t>ㄆ</t>
        </is>
      </c>
      <c r="I6" s="38" t="inlineStr">
        <is>
          <t>ㄆ</t>
        </is>
      </c>
      <c r="J6" s="39" t="inlineStr">
        <is>
          <t>頗</t>
        </is>
      </c>
      <c r="K6" s="39" t="inlineStr">
        <is>
          <t>鄙</t>
        </is>
      </c>
      <c r="L6" s="38" t="n"/>
      <c r="M6" s="46">
        <f>LEN(S6)</f>
        <v/>
      </c>
      <c r="N6" s="62" t="n">
        <v>5</v>
      </c>
      <c r="O6" s="62" t="inlineStr">
        <is>
          <t>p</t>
        </is>
      </c>
      <c r="P6" s="62" t="inlineStr">
        <is>
          <t>p</t>
        </is>
      </c>
      <c r="Q6" s="57" t="n"/>
      <c r="R6" s="24" t="n"/>
      <c r="S6" s="11">
        <f>D6</f>
        <v/>
      </c>
      <c r="T6" s="11">
        <f>I6</f>
        <v/>
      </c>
      <c r="V6" s="3">
        <f>_xlfn.CONCAT(S6, "")</f>
        <v/>
      </c>
      <c r="W6" s="3">
        <f>IFERROR( _xlfn.CONCAT(T6, ""), "" )</f>
        <v/>
      </c>
      <c r="X6" s="25" t="n"/>
      <c r="Y6" s="26">
        <f>IF(AND(T6&lt;&gt;"", S6&lt;&gt;""), "    - xform/》" &amp; V6 &amp; "/" &amp; W6 &amp; "》/", "")</f>
        <v/>
      </c>
    </row>
    <row r="7" ht="30" customHeight="1" s="69" thickBot="1">
      <c r="A7" s="38" t="n">
        <v>17</v>
      </c>
      <c r="B7" s="38" t="inlineStr">
        <is>
          <t>n</t>
        </is>
      </c>
      <c r="C7" s="38" t="inlineStr">
        <is>
          <t>n</t>
        </is>
      </c>
      <c r="D7" s="38" t="inlineStr">
        <is>
          <t>n</t>
        </is>
      </c>
      <c r="E7" s="64" t="inlineStr">
        <is>
          <t>n</t>
        </is>
      </c>
      <c r="F7" s="38" t="inlineStr">
        <is>
          <t>ln</t>
        </is>
      </c>
      <c r="G7" s="38" t="inlineStr">
        <is>
          <t>n</t>
        </is>
      </c>
      <c r="H7" s="38" t="inlineStr">
        <is>
          <t>ㄋ</t>
        </is>
      </c>
      <c r="I7" s="38" t="inlineStr">
        <is>
          <t>ㄋ</t>
        </is>
      </c>
      <c r="J7" s="39" t="inlineStr">
        <is>
          <t>耐</t>
        </is>
      </c>
      <c r="K7" s="39" t="inlineStr">
        <is>
          <t>耐</t>
        </is>
      </c>
      <c r="L7" s="45" t="inlineStr">
        <is>
          <t xml:space="preserve">l/n 本不分，此處分柳/耐 </t>
        </is>
      </c>
      <c r="M7" s="46">
        <f>LEN(S7)</f>
        <v/>
      </c>
      <c r="N7" s="60" t="n">
        <v>6</v>
      </c>
      <c r="O7" s="60" t="inlineStr">
        <is>
          <t>n</t>
        </is>
      </c>
      <c r="P7" s="60" t="inlineStr">
        <is>
          <t>ln</t>
        </is>
      </c>
      <c r="Q7" s="57" t="n"/>
      <c r="R7" s="24" t="n"/>
      <c r="S7" s="11">
        <f>D7</f>
        <v/>
      </c>
      <c r="T7" s="11">
        <f>I7</f>
        <v/>
      </c>
      <c r="V7" s="3">
        <f>_xlfn.CONCAT(S7, "")</f>
        <v/>
      </c>
      <c r="W7" s="3">
        <f>IFERROR( _xlfn.CONCAT(T7, ""), "" )</f>
        <v/>
      </c>
      <c r="X7" s="25" t="n"/>
      <c r="Y7" s="26">
        <f>IF(AND(T7&lt;&gt;"", S7&lt;&gt;""), "    - xform/》" &amp; V7 &amp; "/" &amp; W7 &amp; "》/", "")</f>
        <v/>
      </c>
    </row>
    <row r="8" ht="30" customHeight="1" s="69" thickBot="1">
      <c r="A8" s="38" t="n">
        <v>1</v>
      </c>
      <c r="B8" s="38" t="inlineStr">
        <is>
          <t>l</t>
        </is>
      </c>
      <c r="C8" s="38" t="inlineStr">
        <is>
          <t>l</t>
        </is>
      </c>
      <c r="D8" s="38" t="inlineStr">
        <is>
          <t>l</t>
        </is>
      </c>
      <c r="E8" s="64" t="inlineStr">
        <is>
          <t>l</t>
        </is>
      </c>
      <c r="F8" s="38" t="inlineStr">
        <is>
          <t>l</t>
        </is>
      </c>
      <c r="G8" s="38" t="inlineStr">
        <is>
          <t>l</t>
        </is>
      </c>
      <c r="H8" s="38" t="inlineStr">
        <is>
          <t>ㄌ</t>
        </is>
      </c>
      <c r="I8" s="38" t="inlineStr">
        <is>
          <t>ㄌ</t>
        </is>
      </c>
      <c r="J8" s="39" t="inlineStr">
        <is>
          <t>柳</t>
        </is>
      </c>
      <c r="K8" s="39" t="inlineStr">
        <is>
          <t>理</t>
        </is>
      </c>
      <c r="L8" s="38" t="n"/>
      <c r="M8" s="46">
        <f>LEN(S8)</f>
        <v/>
      </c>
      <c r="N8" s="61" t="n">
        <v>7</v>
      </c>
      <c r="O8" s="61" t="inlineStr">
        <is>
          <t>l</t>
        </is>
      </c>
      <c r="P8" s="61" t="inlineStr">
        <is>
          <t>l</t>
        </is>
      </c>
      <c r="Q8" s="57" t="n"/>
      <c r="R8" s="24" t="n"/>
      <c r="S8" s="11">
        <f>D8</f>
        <v/>
      </c>
      <c r="T8" s="11">
        <f>I8</f>
        <v/>
      </c>
      <c r="V8" s="3">
        <f>_xlfn.CONCAT(S8, "")</f>
        <v/>
      </c>
      <c r="W8" s="3">
        <f>IFERROR( _xlfn.CONCAT(T8, ""), "" )</f>
        <v/>
      </c>
      <c r="X8" s="25" t="n"/>
      <c r="Y8" s="26">
        <f>IF(AND(T8&lt;&gt;"", S8&lt;&gt;""), "    - xform/》" &amp; V8 &amp; "/" &amp; W8 &amp; "》/", "")</f>
        <v/>
      </c>
    </row>
    <row r="9" ht="30" customHeight="1" s="69" thickBot="1">
      <c r="A9" s="38" t="n">
        <v>5</v>
      </c>
      <c r="B9" s="38" t="inlineStr">
        <is>
          <t>t</t>
        </is>
      </c>
      <c r="C9" s="38" t="inlineStr">
        <is>
          <t>t</t>
        </is>
      </c>
      <c r="D9" s="38" t="inlineStr">
        <is>
          <t>t</t>
        </is>
      </c>
      <c r="E9" s="64" t="inlineStr">
        <is>
          <t>d</t>
        </is>
      </c>
      <c r="F9" s="38" t="inlineStr">
        <is>
          <t>d</t>
        </is>
      </c>
      <c r="G9" s="38" t="inlineStr">
        <is>
          <t>t</t>
        </is>
      </c>
      <c r="H9" s="38" t="inlineStr">
        <is>
          <t>ㄉ</t>
        </is>
      </c>
      <c r="I9" s="38" t="inlineStr">
        <is>
          <t>ㄉ</t>
        </is>
      </c>
      <c r="J9" s="39" t="inlineStr">
        <is>
          <t>地</t>
        </is>
      </c>
      <c r="K9" s="39" t="inlineStr">
        <is>
          <t>底</t>
        </is>
      </c>
      <c r="L9" s="38" t="n"/>
      <c r="M9" s="46">
        <f>LEN(S9)</f>
        <v/>
      </c>
      <c r="N9" s="61" t="n">
        <v>8</v>
      </c>
      <c r="O9" s="61" t="inlineStr">
        <is>
          <t>d</t>
        </is>
      </c>
      <c r="P9" s="61" t="inlineStr">
        <is>
          <t>d</t>
        </is>
      </c>
      <c r="Q9" s="57" t="n"/>
      <c r="R9" s="24" t="n"/>
      <c r="S9" s="11">
        <f>D9</f>
        <v/>
      </c>
      <c r="T9" s="11">
        <f>I9</f>
        <v/>
      </c>
      <c r="V9" s="3">
        <f>_xlfn.CONCAT(S9, "")</f>
        <v/>
      </c>
      <c r="W9" s="3">
        <f>IFERROR( _xlfn.CONCAT(T9, ""), "" )</f>
        <v/>
      </c>
      <c r="X9" s="25" t="n"/>
      <c r="Y9" s="26">
        <f>IF(AND(T9&lt;&gt;"", S9&lt;&gt;""), "    - xform/》" &amp; V9 &amp; "/" &amp; W9 &amp; "》/", "")</f>
        <v/>
      </c>
    </row>
    <row r="10" ht="30" customHeight="1" s="69" thickBot="1">
      <c r="A10" s="38" t="n">
        <v>7</v>
      </c>
      <c r="B10" s="38" t="inlineStr">
        <is>
          <t>tʰ</t>
        </is>
      </c>
      <c r="C10" s="38" t="inlineStr">
        <is>
          <t>th</t>
        </is>
      </c>
      <c r="D10" s="38" t="inlineStr">
        <is>
          <t>th</t>
        </is>
      </c>
      <c r="E10" s="64" t="inlineStr">
        <is>
          <t>t</t>
        </is>
      </c>
      <c r="F10" s="38" t="inlineStr">
        <is>
          <t>t</t>
        </is>
      </c>
      <c r="G10" s="38" t="inlineStr">
        <is>
          <t>th</t>
        </is>
      </c>
      <c r="H10" s="38" t="inlineStr">
        <is>
          <t>ㄊ</t>
        </is>
      </c>
      <c r="I10" s="38" t="inlineStr">
        <is>
          <t>ㄊ</t>
        </is>
      </c>
      <c r="J10" s="39" t="inlineStr">
        <is>
          <t>他</t>
        </is>
      </c>
      <c r="K10" s="39" t="inlineStr">
        <is>
          <t>恥</t>
        </is>
      </c>
      <c r="L10" s="38" t="n"/>
      <c r="M10" s="46">
        <f>LEN(S10)</f>
        <v/>
      </c>
      <c r="N10" s="62" t="n">
        <v>9</v>
      </c>
      <c r="O10" s="62" t="inlineStr">
        <is>
          <t>t</t>
        </is>
      </c>
      <c r="P10" s="62" t="inlineStr">
        <is>
          <t>t</t>
        </is>
      </c>
      <c r="Q10" s="57" t="n"/>
      <c r="R10" s="24" t="n"/>
      <c r="S10" s="11">
        <f>D10</f>
        <v/>
      </c>
      <c r="T10" s="11">
        <f>I10</f>
        <v/>
      </c>
      <c r="V10" s="3">
        <f>_xlfn.CONCAT(S10, "")</f>
        <v/>
      </c>
      <c r="W10" s="3">
        <f>IFERROR( _xlfn.CONCAT(T10, ""), "" )</f>
        <v/>
      </c>
      <c r="X10" s="25" t="n"/>
      <c r="Y10" s="26">
        <f>IF(AND(T10&lt;&gt;"", S10&lt;&gt;""), "    - xform/》" &amp; V10 &amp; "/" &amp; W10 &amp; "》/", "")</f>
        <v/>
      </c>
    </row>
    <row r="11" ht="30" customHeight="1" s="69" thickBot="1">
      <c r="A11" s="38" t="n">
        <v>18</v>
      </c>
      <c r="B11" s="38" t="inlineStr">
        <is>
          <t>ŋ</t>
        </is>
      </c>
      <c r="C11" s="38" t="inlineStr">
        <is>
          <t>ng</t>
        </is>
      </c>
      <c r="D11" s="38" t="inlineStr">
        <is>
          <t>ng</t>
        </is>
      </c>
      <c r="E11" s="64" t="inlineStr">
        <is>
          <t>ng</t>
        </is>
      </c>
      <c r="F11" s="38" t="inlineStr">
        <is>
          <t>ggn</t>
        </is>
      </c>
      <c r="G11" s="38" t="inlineStr">
        <is>
          <t>ng</t>
        </is>
      </c>
      <c r="H11" s="38" t="inlineStr">
        <is>
          <t>ㄫ</t>
        </is>
      </c>
      <c r="I11" s="48" t="inlineStr">
        <is>
          <t xml:space="preserve">⁰ㄫ </t>
        </is>
      </c>
      <c r="J11" s="39" t="inlineStr">
        <is>
          <t>雅</t>
        </is>
      </c>
      <c r="K11" s="39" t="inlineStr">
        <is>
          <t>雅</t>
        </is>
      </c>
      <c r="L11" s="45" t="inlineStr">
        <is>
          <t xml:space="preserve">g/ng 本不分，此處分語/雅 </t>
        </is>
      </c>
      <c r="M11" s="46">
        <f>LEN(S11)</f>
        <v/>
      </c>
      <c r="N11" s="60" t="n">
        <v>10</v>
      </c>
      <c r="O11" s="60" t="inlineStr">
        <is>
          <t>ng</t>
        </is>
      </c>
      <c r="P11" s="60" t="inlineStr">
        <is>
          <t>ggn</t>
        </is>
      </c>
      <c r="Q11" s="57" t="n"/>
      <c r="R11" s="24" t="n"/>
      <c r="S11" s="11">
        <f>D11</f>
        <v/>
      </c>
      <c r="T11" s="11">
        <f>I11</f>
        <v/>
      </c>
      <c r="V11" s="3">
        <f>_xlfn.CONCAT(S11, "")</f>
        <v/>
      </c>
      <c r="W11" s="3">
        <f>IFERROR( _xlfn.CONCAT(T11, ""), "" )</f>
        <v/>
      </c>
      <c r="X11" s="25" t="n"/>
      <c r="Y11" s="26">
        <f>IF(AND(T11&lt;&gt;"", S11&lt;&gt;""), "    - xform/》" &amp; V11 &amp; "/" &amp; W11 &amp; "》/", "")</f>
        <v/>
      </c>
    </row>
    <row r="12" ht="30" customHeight="1" s="69" thickBot="1">
      <c r="A12" s="38" t="n">
        <v>13</v>
      </c>
      <c r="B12" s="38" t="inlineStr">
        <is>
          <t>ɡ</t>
        </is>
      </c>
      <c r="C12" s="38" t="inlineStr">
        <is>
          <t>g</t>
        </is>
      </c>
      <c r="D12" s="38" t="inlineStr">
        <is>
          <t>g</t>
        </is>
      </c>
      <c r="E12" s="64" t="inlineStr">
        <is>
          <t>gg</t>
        </is>
      </c>
      <c r="F12" s="38" t="inlineStr">
        <is>
          <t>gg</t>
        </is>
      </c>
      <c r="G12" s="38" t="inlineStr">
        <is>
          <t>g</t>
        </is>
      </c>
      <c r="H12" s="38" t="inlineStr">
        <is>
          <t>ㆣ</t>
        </is>
      </c>
      <c r="I12" s="48" t="inlineStr">
        <is>
          <t>ㄫ</t>
        </is>
      </c>
      <c r="J12" s="39" t="inlineStr">
        <is>
          <t>語</t>
        </is>
      </c>
      <c r="K12" s="39" t="inlineStr">
        <is>
          <t>禦</t>
        </is>
      </c>
      <c r="L12" s="38" t="n"/>
      <c r="M12" s="46">
        <f>LEN(S12)</f>
        <v/>
      </c>
      <c r="N12" s="61" t="n">
        <v>11</v>
      </c>
      <c r="O12" s="61" t="inlineStr">
        <is>
          <t>gg</t>
        </is>
      </c>
      <c r="P12" s="61" t="inlineStr">
        <is>
          <t>gg</t>
        </is>
      </c>
      <c r="Q12" s="57" t="n"/>
      <c r="R12" s="24" t="n"/>
      <c r="S12" s="11">
        <f>D12</f>
        <v/>
      </c>
      <c r="T12" s="11">
        <f>I12</f>
        <v/>
      </c>
      <c r="V12" s="3">
        <f>_xlfn.CONCAT(S12, "")</f>
        <v/>
      </c>
      <c r="W12" s="3">
        <f>IFERROR( _xlfn.CONCAT(T12, ""), "" )</f>
        <v/>
      </c>
      <c r="X12" s="25" t="n"/>
      <c r="Y12" s="26">
        <f>IF(AND(T12&lt;&gt;"", S12&lt;&gt;""), "    - xform/》" &amp; V12 &amp; "/" &amp; W12 &amp; "》/", "")</f>
        <v/>
      </c>
    </row>
    <row r="13" ht="30" customHeight="1" s="69" thickBot="1">
      <c r="A13" s="38" t="n">
        <v>3</v>
      </c>
      <c r="B13" s="38" t="inlineStr">
        <is>
          <t>k</t>
        </is>
      </c>
      <c r="C13" s="38" t="inlineStr">
        <is>
          <t>k</t>
        </is>
      </c>
      <c r="D13" s="38" t="inlineStr">
        <is>
          <t>k</t>
        </is>
      </c>
      <c r="E13" s="64" t="inlineStr">
        <is>
          <t>g</t>
        </is>
      </c>
      <c r="F13" s="38" t="inlineStr">
        <is>
          <t>g</t>
        </is>
      </c>
      <c r="G13" s="38" t="inlineStr">
        <is>
          <t>k</t>
        </is>
      </c>
      <c r="H13" s="38" t="inlineStr">
        <is>
          <t>ㄍ</t>
        </is>
      </c>
      <c r="I13" s="38" t="inlineStr">
        <is>
          <t>ㄍ</t>
        </is>
      </c>
      <c r="J13" s="39" t="inlineStr">
        <is>
          <t>求</t>
        </is>
      </c>
      <c r="K13" s="39" t="inlineStr">
        <is>
          <t>己</t>
        </is>
      </c>
      <c r="L13" s="38" t="n"/>
      <c r="M13" s="46">
        <f>LEN(S13)</f>
        <v/>
      </c>
      <c r="N13" s="61" t="n">
        <v>12</v>
      </c>
      <c r="O13" s="61" t="inlineStr">
        <is>
          <t>g</t>
        </is>
      </c>
      <c r="P13" s="61" t="inlineStr">
        <is>
          <t>g</t>
        </is>
      </c>
      <c r="Q13" s="57" t="n"/>
      <c r="R13" s="24" t="n"/>
      <c r="S13" s="11">
        <f>D13</f>
        <v/>
      </c>
      <c r="T13" s="11">
        <f>I13</f>
        <v/>
      </c>
      <c r="V13" s="3">
        <f>_xlfn.CONCAT(S13, "")</f>
        <v/>
      </c>
      <c r="W13" s="3">
        <f>IFERROR( _xlfn.CONCAT(T13, ""), "" )</f>
        <v/>
      </c>
      <c r="X13" s="25" t="n"/>
      <c r="Y13" s="26">
        <f>IF(AND(T13&lt;&gt;"", S13&lt;&gt;""), "    - xform/》" &amp; V13 &amp; "/" &amp; W13 &amp; "》/", "")</f>
        <v/>
      </c>
    </row>
    <row r="14" ht="30" customHeight="1" s="69" thickBot="1">
      <c r="A14" s="38" t="n">
        <v>4</v>
      </c>
      <c r="B14" s="38" t="inlineStr">
        <is>
          <t>kʰ</t>
        </is>
      </c>
      <c r="C14" s="38" t="inlineStr">
        <is>
          <t>kh</t>
        </is>
      </c>
      <c r="D14" s="38" t="inlineStr">
        <is>
          <t>kh</t>
        </is>
      </c>
      <c r="E14" s="64" t="inlineStr">
        <is>
          <t>k</t>
        </is>
      </c>
      <c r="F14" s="38" t="inlineStr">
        <is>
          <t>k</t>
        </is>
      </c>
      <c r="G14" s="38" t="inlineStr">
        <is>
          <t>kh</t>
        </is>
      </c>
      <c r="H14" s="38" t="inlineStr">
        <is>
          <t>ㄎ</t>
        </is>
      </c>
      <c r="I14" s="38" t="inlineStr">
        <is>
          <t>ㄎ</t>
        </is>
      </c>
      <c r="J14" s="39" t="inlineStr">
        <is>
          <t>去</t>
        </is>
      </c>
      <c r="K14" s="39" t="inlineStr">
        <is>
          <t>起</t>
        </is>
      </c>
      <c r="L14" s="38" t="n"/>
      <c r="M14" s="46">
        <f>LEN(S14)</f>
        <v/>
      </c>
      <c r="N14" s="62" t="n">
        <v>13</v>
      </c>
      <c r="O14" s="62" t="inlineStr">
        <is>
          <t>k</t>
        </is>
      </c>
      <c r="P14" s="62" t="inlineStr">
        <is>
          <t>k</t>
        </is>
      </c>
      <c r="Q14" s="57" t="n"/>
      <c r="R14" s="24" t="n"/>
      <c r="S14" s="11">
        <f>D14</f>
        <v/>
      </c>
      <c r="T14" s="11">
        <f>I14</f>
        <v/>
      </c>
      <c r="V14" s="3">
        <f>_xlfn.CONCAT(S14, "")</f>
        <v/>
      </c>
      <c r="W14" s="3">
        <f>IFERROR( _xlfn.CONCAT(T14, ""), "" )</f>
        <v/>
      </c>
      <c r="X14" s="25" t="n"/>
      <c r="Y14" s="26">
        <f>IF(AND(T14&lt;&gt;"", S14&lt;&gt;""), "    - xform/》" &amp; V14 &amp; "/" &amp; W14 &amp; "》/", "")</f>
        <v/>
      </c>
    </row>
    <row r="15" ht="30" customHeight="1" s="69" thickBot="1">
      <c r="A15" s="38" t="n">
        <v>9</v>
      </c>
      <c r="B15" s="38" t="inlineStr">
        <is>
          <t>ʣ</t>
        </is>
      </c>
      <c r="C15" s="38" t="inlineStr">
        <is>
          <t>j</t>
        </is>
      </c>
      <c r="D15" s="38" t="inlineStr">
        <is>
          <t>j</t>
        </is>
      </c>
      <c r="E15" s="64" t="inlineStr">
        <is>
          <t>zz</t>
        </is>
      </c>
      <c r="F15" s="38" t="inlineStr">
        <is>
          <t>zz</t>
        </is>
      </c>
      <c r="G15" s="38" t="inlineStr">
        <is>
          <t>j</t>
        </is>
      </c>
      <c r="H15" s="38" t="inlineStr">
        <is>
          <t>ㆡ</t>
        </is>
      </c>
      <c r="I15" s="38" t="inlineStr">
        <is>
          <t>ㄖ</t>
        </is>
      </c>
      <c r="J15" s="41" t="inlineStr">
        <is>
          <t>入</t>
        </is>
      </c>
      <c r="K15" s="40" t="inlineStr">
        <is>
          <t>熱</t>
        </is>
      </c>
      <c r="L15" s="38" t="n"/>
      <c r="M15" s="46">
        <f>LEN(S15)</f>
        <v/>
      </c>
      <c r="N15" s="60" t="n">
        <v>14</v>
      </c>
      <c r="O15" s="60" t="inlineStr">
        <is>
          <t>zz</t>
        </is>
      </c>
      <c r="P15" s="60" t="inlineStr">
        <is>
          <t>zz</t>
        </is>
      </c>
      <c r="Q15" s="57" t="n"/>
      <c r="R15" s="24" t="n"/>
      <c r="S15" s="11">
        <f>D15</f>
        <v/>
      </c>
      <c r="T15" s="11">
        <f>I15</f>
        <v/>
      </c>
      <c r="V15" s="3">
        <f>_xlfn.CONCAT(S15, "")</f>
        <v/>
      </c>
      <c r="W15" s="3">
        <f>IFERROR( _xlfn.CONCAT(T15, ""), "" )</f>
        <v/>
      </c>
      <c r="X15" s="25" t="n"/>
      <c r="Y15" s="26">
        <f>IF(AND(T15&lt;&gt;"", S15&lt;&gt;""), "    - xform/》" &amp; V15 &amp; "/" &amp; W15 &amp; "》/", "")</f>
        <v/>
      </c>
    </row>
    <row r="16" ht="30" customHeight="1" s="69" thickBot="1">
      <c r="A16" s="38" t="n">
        <v>8</v>
      </c>
      <c r="B16" s="38" t="inlineStr">
        <is>
          <t>ʦ</t>
        </is>
      </c>
      <c r="C16" s="38" t="inlineStr">
        <is>
          <t>ts</t>
        </is>
      </c>
      <c r="D16" s="38" t="inlineStr">
        <is>
          <t>z</t>
        </is>
      </c>
      <c r="E16" s="64" t="inlineStr">
        <is>
          <t>z</t>
        </is>
      </c>
      <c r="F16" s="38" t="inlineStr">
        <is>
          <t>z</t>
        </is>
      </c>
      <c r="G16" s="38" t="inlineStr">
        <is>
          <t>ch</t>
        </is>
      </c>
      <c r="H16" s="38" t="inlineStr">
        <is>
          <t>ㄗ</t>
        </is>
      </c>
      <c r="I16" s="38" t="inlineStr">
        <is>
          <t>ㄗ</t>
        </is>
      </c>
      <c r="J16" s="39" t="inlineStr">
        <is>
          <t>曾</t>
        </is>
      </c>
      <c r="K16" s="39" t="inlineStr">
        <is>
          <t>阻</t>
        </is>
      </c>
      <c r="L16" s="38" t="n"/>
      <c r="M16" s="46">
        <f>LEN(S16)</f>
        <v/>
      </c>
      <c r="N16" s="61" t="n">
        <v>15</v>
      </c>
      <c r="O16" s="61" t="inlineStr">
        <is>
          <t>z</t>
        </is>
      </c>
      <c r="P16" s="61" t="inlineStr">
        <is>
          <t>z</t>
        </is>
      </c>
      <c r="Q16" s="57" t="n"/>
      <c r="R16" s="24" t="n"/>
      <c r="S16" s="11">
        <f>D16</f>
        <v/>
      </c>
      <c r="T16" s="11">
        <f>I16</f>
        <v/>
      </c>
      <c r="V16" s="3">
        <f>_xlfn.CONCAT(S16, "")</f>
        <v/>
      </c>
      <c r="W16" s="3">
        <f>IFERROR( _xlfn.CONCAT(T16, ""), "" )</f>
        <v/>
      </c>
      <c r="X16" s="25" t="n"/>
      <c r="Y16" s="26">
        <f>IF(AND(T16&lt;&gt;"", S16&lt;&gt;""), "    - xform/》" &amp; V16 &amp; "/" &amp; W16 &amp; "》/", "")</f>
        <v/>
      </c>
    </row>
    <row r="17" ht="30" customHeight="1" s="69" thickBot="1">
      <c r="A17" s="38" t="n">
        <v>14</v>
      </c>
      <c r="B17" s="38" t="inlineStr">
        <is>
          <t>ʦʰ</t>
        </is>
      </c>
      <c r="C17" s="38" t="inlineStr">
        <is>
          <t>tsh</t>
        </is>
      </c>
      <c r="D17" s="38" t="inlineStr">
        <is>
          <t>c</t>
        </is>
      </c>
      <c r="E17" s="64" t="inlineStr">
        <is>
          <t>c</t>
        </is>
      </c>
      <c r="F17" s="38" t="inlineStr">
        <is>
          <t>c</t>
        </is>
      </c>
      <c r="G17" s="38" t="inlineStr">
        <is>
          <t>chh</t>
        </is>
      </c>
      <c r="H17" s="38" t="inlineStr">
        <is>
          <t>ㄘ</t>
        </is>
      </c>
      <c r="I17" s="38" t="inlineStr">
        <is>
          <t>ㄘ</t>
        </is>
      </c>
      <c r="J17" s="39" t="inlineStr">
        <is>
          <t>出</t>
        </is>
      </c>
      <c r="K17" s="39" t="inlineStr">
        <is>
          <t>取</t>
        </is>
      </c>
      <c r="L17" s="38" t="n"/>
      <c r="M17" s="46">
        <f>LEN(S17)</f>
        <v/>
      </c>
      <c r="N17" s="61" t="n">
        <v>16</v>
      </c>
      <c r="O17" s="61" t="inlineStr">
        <is>
          <t>c</t>
        </is>
      </c>
      <c r="P17" s="61" t="inlineStr">
        <is>
          <t>c</t>
        </is>
      </c>
      <c r="Q17" s="57" t="n"/>
      <c r="R17" s="24" t="n"/>
      <c r="S17" s="11">
        <f>D17</f>
        <v/>
      </c>
      <c r="T17" s="11">
        <f>I17</f>
        <v/>
      </c>
      <c r="V17" s="3">
        <f>_xlfn.CONCAT(S17, "")</f>
        <v/>
      </c>
      <c r="W17" s="3">
        <f>IFERROR( _xlfn.CONCAT(T17, ""), "" )</f>
        <v/>
      </c>
      <c r="X17" s="25" t="n"/>
      <c r="Y17" s="26">
        <f>IF(AND(T17&lt;&gt;"", S17&lt;&gt;""), "    - xform/》" &amp; V17 &amp; "/" &amp; W17 &amp; "》/", "")</f>
        <v/>
      </c>
    </row>
    <row r="18" ht="30" customHeight="1" s="69" thickBot="1">
      <c r="A18" s="38" t="n">
        <v>10</v>
      </c>
      <c r="B18" s="38" t="inlineStr">
        <is>
          <t>s</t>
        </is>
      </c>
      <c r="C18" s="38" t="inlineStr">
        <is>
          <t>s</t>
        </is>
      </c>
      <c r="D18" s="38" t="inlineStr">
        <is>
          <t>s</t>
        </is>
      </c>
      <c r="E18" s="64" t="inlineStr">
        <is>
          <t>s</t>
        </is>
      </c>
      <c r="F18" s="38" t="inlineStr">
        <is>
          <t>s</t>
        </is>
      </c>
      <c r="G18" s="38" t="inlineStr">
        <is>
          <t>s</t>
        </is>
      </c>
      <c r="H18" s="38" t="inlineStr">
        <is>
          <t>ㄙ</t>
        </is>
      </c>
      <c r="I18" s="38" t="inlineStr">
        <is>
          <t>ㄙ</t>
        </is>
      </c>
      <c r="J18" s="41" t="inlineStr">
        <is>
          <t>時</t>
        </is>
      </c>
      <c r="K18" s="39" t="inlineStr">
        <is>
          <t>詞</t>
        </is>
      </c>
      <c r="L18" s="38" t="n"/>
      <c r="M18" s="46">
        <f>LEN(S18)</f>
        <v/>
      </c>
      <c r="N18" s="62" t="n">
        <v>17</v>
      </c>
      <c r="O18" s="62" t="inlineStr">
        <is>
          <t>s</t>
        </is>
      </c>
      <c r="P18" s="62" t="inlineStr">
        <is>
          <t>s</t>
        </is>
      </c>
      <c r="Q18" s="57" t="n"/>
      <c r="R18" s="24" t="n"/>
      <c r="S18" s="11">
        <f>D18</f>
        <v/>
      </c>
      <c r="T18" s="11">
        <f>I18</f>
        <v/>
      </c>
      <c r="V18" s="3">
        <f>_xlfn.CONCAT(S18, "")</f>
        <v/>
      </c>
      <c r="W18" s="3">
        <f>IFERROR( _xlfn.CONCAT(T18, ""), "" )</f>
        <v/>
      </c>
      <c r="X18" s="25" t="n"/>
      <c r="Y18" s="26">
        <f>IF(AND(T18&lt;&gt;"", S18&lt;&gt;""), "    - xform/》" &amp; V18 &amp; "/" &amp; W18 &amp; "》/", "")</f>
        <v/>
      </c>
    </row>
    <row r="19" ht="30" customHeight="1" s="69" thickBot="1">
      <c r="A19" s="46" t="n">
        <v>19</v>
      </c>
      <c r="B19" s="44" t="inlineStr">
        <is>
          <t>ʥ</t>
        </is>
      </c>
      <c r="C19" s="46" t="inlineStr">
        <is>
          <t>ji</t>
        </is>
      </c>
      <c r="D19" s="46" t="inlineStr">
        <is>
          <t>ji</t>
        </is>
      </c>
      <c r="E19" s="64" t="inlineStr">
        <is>
          <t>jji</t>
        </is>
      </c>
      <c r="F19" s="46" t="inlineStr">
        <is>
          <t>zzi</t>
        </is>
      </c>
      <c r="G19" s="46" t="inlineStr">
        <is>
          <t>ji</t>
        </is>
      </c>
      <c r="H19" s="44" t="inlineStr">
        <is>
          <t>ㆢ</t>
        </is>
      </c>
      <c r="I19" s="44" t="inlineStr">
        <is>
          <t>ㄖ</t>
        </is>
      </c>
      <c r="J19" s="47" t="inlineStr">
        <is>
          <t>入</t>
        </is>
      </c>
      <c r="K19" s="47" t="inlineStr">
        <is>
          <t>熱</t>
        </is>
      </c>
      <c r="L19" s="45" t="inlineStr">
        <is>
          <t>ㆢ = ㆡㄧ</t>
        </is>
      </c>
      <c r="M19" s="46">
        <f>LEN(S19)</f>
        <v/>
      </c>
      <c r="N19" s="60" t="n">
        <v>18</v>
      </c>
      <c r="O19" s="60" t="inlineStr">
        <is>
          <t>jji</t>
        </is>
      </c>
      <c r="P19" s="60" t="inlineStr">
        <is>
          <t>zzi</t>
        </is>
      </c>
      <c r="Q19" s="57" t="n"/>
      <c r="R19" s="24" t="n"/>
      <c r="S19" s="11">
        <f>D19</f>
        <v/>
      </c>
      <c r="T19" s="11">
        <f>I19</f>
        <v/>
      </c>
      <c r="V19" s="3">
        <f>_xlfn.CONCAT(S19, "")</f>
        <v/>
      </c>
      <c r="W19" s="3">
        <f>IFERROR( _xlfn.CONCAT(T19, ""), "" )</f>
        <v/>
      </c>
      <c r="X19" s="25" t="n"/>
      <c r="Y19" s="26">
        <f>IF(AND(T19&lt;&gt;"", S19&lt;&gt;""), "    - xform/》" &amp; V19 &amp; "/" &amp; W19 &amp; "》/", "")</f>
        <v/>
      </c>
    </row>
    <row r="20" ht="30" customHeight="1" s="69" thickBot="1">
      <c r="A20" s="46" t="n">
        <v>20</v>
      </c>
      <c r="B20" s="45" t="inlineStr">
        <is>
          <t>ʨ</t>
        </is>
      </c>
      <c r="C20" s="46" t="inlineStr">
        <is>
          <t>tsi</t>
        </is>
      </c>
      <c r="D20" s="46" t="inlineStr">
        <is>
          <t>zi</t>
        </is>
      </c>
      <c r="E20" s="64" t="inlineStr">
        <is>
          <t>ji</t>
        </is>
      </c>
      <c r="F20" s="46" t="inlineStr">
        <is>
          <t>zi</t>
        </is>
      </c>
      <c r="G20" s="46" t="inlineStr">
        <is>
          <t>chi</t>
        </is>
      </c>
      <c r="H20" s="45" t="inlineStr">
        <is>
          <t>ㄐ</t>
        </is>
      </c>
      <c r="I20" s="45" t="inlineStr">
        <is>
          <t>ㄐ</t>
        </is>
      </c>
      <c r="J20" s="47" t="inlineStr">
        <is>
          <t>曾</t>
        </is>
      </c>
      <c r="K20" s="47" t="inlineStr">
        <is>
          <t>止</t>
        </is>
      </c>
      <c r="L20" s="45" t="inlineStr">
        <is>
          <t>ㄐ = ㄗㄧ</t>
        </is>
      </c>
      <c r="M20" s="46">
        <f>LEN(S20)</f>
        <v/>
      </c>
      <c r="N20" s="61" t="n">
        <v>19</v>
      </c>
      <c r="O20" s="61" t="inlineStr">
        <is>
          <t>ji</t>
        </is>
      </c>
      <c r="P20" s="61" t="inlineStr">
        <is>
          <t>zi</t>
        </is>
      </c>
      <c r="Q20" s="57" t="n"/>
      <c r="R20" s="24" t="n"/>
      <c r="S20" s="11">
        <f>D20</f>
        <v/>
      </c>
      <c r="T20" s="11">
        <f>I20</f>
        <v/>
      </c>
      <c r="V20" s="3">
        <f>_xlfn.CONCAT(S20, "")</f>
        <v/>
      </c>
      <c r="W20" s="3">
        <f>IFERROR( _xlfn.CONCAT(T20, ""), "" )</f>
        <v/>
      </c>
      <c r="X20" s="25" t="n"/>
      <c r="Y20" s="26">
        <f>IF(AND(T20&lt;&gt;"", S20&lt;&gt;""), "    - xform/》" &amp; V20 &amp; "/" &amp; W20 &amp; "》/", "")</f>
        <v/>
      </c>
    </row>
    <row r="21" ht="30" customHeight="1" s="69" thickBot="1">
      <c r="A21" s="46" t="n">
        <v>21</v>
      </c>
      <c r="B21" s="45" t="inlineStr">
        <is>
          <t>ʨʰ</t>
        </is>
      </c>
      <c r="C21" s="46" t="inlineStr">
        <is>
          <t>tshi</t>
        </is>
      </c>
      <c r="D21" s="46" t="inlineStr">
        <is>
          <t>ci</t>
        </is>
      </c>
      <c r="E21" s="64" t="inlineStr">
        <is>
          <t>chi</t>
        </is>
      </c>
      <c r="F21" s="46" t="inlineStr">
        <is>
          <t>ci</t>
        </is>
      </c>
      <c r="G21" s="46" t="inlineStr">
        <is>
          <t>chhi</t>
        </is>
      </c>
      <c r="H21" s="45" t="inlineStr">
        <is>
          <t>ㄑ</t>
        </is>
      </c>
      <c r="I21" s="45" t="inlineStr">
        <is>
          <t>ㄑ</t>
        </is>
      </c>
      <c r="J21" s="47" t="inlineStr">
        <is>
          <t>出</t>
        </is>
      </c>
      <c r="K21" s="47" t="inlineStr">
        <is>
          <t>測</t>
        </is>
      </c>
      <c r="L21" s="45" t="inlineStr">
        <is>
          <t>ㄑ = ㄘㄧ</t>
        </is>
      </c>
      <c r="M21" s="46">
        <f>LEN(S21)</f>
        <v/>
      </c>
      <c r="N21" s="61" t="n">
        <v>20</v>
      </c>
      <c r="O21" s="61" t="inlineStr">
        <is>
          <t>chi</t>
        </is>
      </c>
      <c r="P21" s="61" t="inlineStr">
        <is>
          <t>ci</t>
        </is>
      </c>
      <c r="Q21" s="57" t="n"/>
      <c r="R21" s="24" t="n"/>
      <c r="S21" s="11">
        <f>D21</f>
        <v/>
      </c>
      <c r="T21" s="11">
        <f>I21</f>
        <v/>
      </c>
      <c r="V21" s="3">
        <f>_xlfn.CONCAT(S21, "")</f>
        <v/>
      </c>
      <c r="W21" s="3">
        <f>IFERROR( _xlfn.CONCAT(T21, ""), "" )</f>
        <v/>
      </c>
      <c r="X21" s="25" t="n"/>
      <c r="Y21" s="26">
        <f>IF(AND(T21&lt;&gt;"", S21&lt;&gt;""), "    - xform/》" &amp; V21 &amp; "/" &amp; W21 &amp; "》/", "")</f>
        <v/>
      </c>
    </row>
    <row r="22" ht="30" customHeight="1" s="69" thickBot="1">
      <c r="A22" s="46" t="n">
        <v>22</v>
      </c>
      <c r="B22" s="45" t="inlineStr">
        <is>
          <t>ɕ</t>
        </is>
      </c>
      <c r="C22" s="46" t="inlineStr">
        <is>
          <t>si</t>
        </is>
      </c>
      <c r="D22" s="46" t="inlineStr">
        <is>
          <t>si</t>
        </is>
      </c>
      <c r="E22" s="64" t="inlineStr">
        <is>
          <t>shi</t>
        </is>
      </c>
      <c r="F22" s="46" t="inlineStr">
        <is>
          <t>si</t>
        </is>
      </c>
      <c r="G22" s="46" t="inlineStr">
        <is>
          <t>si</t>
        </is>
      </c>
      <c r="H22" s="45" t="inlineStr">
        <is>
          <t>ㄒ</t>
        </is>
      </c>
      <c r="I22" s="45" t="inlineStr">
        <is>
          <t>ㄒ</t>
        </is>
      </c>
      <c r="J22" s="47" t="inlineStr">
        <is>
          <t>時</t>
        </is>
      </c>
      <c r="K22" s="47" t="inlineStr">
        <is>
          <t>惜</t>
        </is>
      </c>
      <c r="L22" s="45" t="inlineStr">
        <is>
          <t>ㄒ = ㄙㄧ</t>
        </is>
      </c>
      <c r="M22" s="46">
        <f>LEN(S22)</f>
        <v/>
      </c>
      <c r="N22" s="62" t="n">
        <v>21</v>
      </c>
      <c r="O22" s="62" t="inlineStr">
        <is>
          <t>shi</t>
        </is>
      </c>
      <c r="P22" s="62" t="inlineStr">
        <is>
          <t>si</t>
        </is>
      </c>
      <c r="Q22" s="57" t="n"/>
      <c r="S22" s="11">
        <f>D22</f>
        <v/>
      </c>
      <c r="T22" s="11">
        <f>I22</f>
        <v/>
      </c>
      <c r="V22" s="3">
        <f>_xlfn.CONCAT(S22, "")</f>
        <v/>
      </c>
      <c r="W22" s="3">
        <f>IFERROR( _xlfn.CONCAT(T22, ""), "" )</f>
        <v/>
      </c>
      <c r="X22" s="25" t="n"/>
      <c r="Y22" s="26">
        <f>IF(AND(T22&lt;&gt;"", S22&lt;&gt;""), "    - xform/》" &amp; V22 &amp; "/" &amp; W22 &amp; "》/", "")</f>
        <v/>
      </c>
    </row>
    <row r="23" ht="30" customHeight="1" s="69" thickBot="1">
      <c r="A23" s="38" t="n">
        <v>15</v>
      </c>
      <c r="B23" s="38" t="inlineStr">
        <is>
          <t>h</t>
        </is>
      </c>
      <c r="C23" s="38" t="inlineStr">
        <is>
          <t>h</t>
        </is>
      </c>
      <c r="D23" s="38" t="inlineStr">
        <is>
          <t>h</t>
        </is>
      </c>
      <c r="E23" s="64" t="inlineStr">
        <is>
          <t>h</t>
        </is>
      </c>
      <c r="F23" s="38" t="inlineStr">
        <is>
          <t>h</t>
        </is>
      </c>
      <c r="G23" s="38" t="inlineStr">
        <is>
          <t>h</t>
        </is>
      </c>
      <c r="H23" s="38" t="inlineStr">
        <is>
          <t>ㄏ</t>
        </is>
      </c>
      <c r="I23" s="38" t="inlineStr">
        <is>
          <t>ㄏ</t>
        </is>
      </c>
      <c r="J23" s="39" t="inlineStr">
        <is>
          <t>喜</t>
        </is>
      </c>
      <c r="K23" s="39" t="inlineStr">
        <is>
          <t>喜</t>
        </is>
      </c>
      <c r="L23" s="38" t="n"/>
      <c r="M23" s="46">
        <f>LEN(S23)</f>
        <v/>
      </c>
      <c r="N23" s="62" t="n">
        <v>22</v>
      </c>
      <c r="O23" s="62" t="inlineStr">
        <is>
          <t>h</t>
        </is>
      </c>
      <c r="P23" s="62" t="inlineStr">
        <is>
          <t>h</t>
        </is>
      </c>
      <c r="Q23" s="57" t="n"/>
      <c r="S23" s="11">
        <f>D23</f>
        <v/>
      </c>
      <c r="T23" s="11">
        <f>I23</f>
        <v/>
      </c>
      <c r="V23" s="3">
        <f>_xlfn.CONCAT(S23, "")</f>
        <v/>
      </c>
      <c r="W23" s="3">
        <f>IFERROR( _xlfn.CONCAT(T23, ""), "" )</f>
        <v/>
      </c>
      <c r="X23" s="25" t="n"/>
      <c r="Y23" s="26">
        <f>IF(AND(T23&lt;&gt;"", S23&lt;&gt;""), "    - xform/》" &amp; V23 &amp; "/" &amp; W23 &amp; "》/", "")</f>
        <v/>
      </c>
    </row>
    <row r="25">
      <c r="H25" s="37" t="inlineStr">
        <is>
          <t>U+FF9F</t>
        </is>
      </c>
      <c r="I25" s="37">
        <f>_xlfn.CONCAT(_xlfn.UNICHAR(HEX2DEC(RIGHT(H25, 4))), "ㄫ")</f>
        <v/>
      </c>
    </row>
    <row r="26">
      <c r="H26" s="37" t="inlineStr">
        <is>
          <t>U+309A</t>
        </is>
      </c>
      <c r="I26" s="37">
        <f>_xlfn.CONCAT(_xlfn.UNICHAR(HEX2DEC(RIGHT(H26, 4))), "ㄫ")</f>
        <v/>
      </c>
    </row>
    <row r="27">
      <c r="H27" s="37" t="inlineStr">
        <is>
          <t>U+309C</t>
        </is>
      </c>
      <c r="I27" s="37">
        <f>_xlfn.CONCAT(_xlfn.UNICHAR(HEX2DEC(RIGHT(H27, 4))), "ㄫ")</f>
        <v/>
      </c>
    </row>
    <row r="28">
      <c r="H28" s="37" t="inlineStr">
        <is>
          <t>U+2070</t>
        </is>
      </c>
      <c r="I28" s="37">
        <f>_xlfn.CONCAT(_xlfn.UNICHAR(HEX2DEC(RIGHT(H28, 4))), "ㄫ")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97"/>
  <sheetViews>
    <sheetView showGridLines="0" tabSelected="1" workbookViewId="0">
      <pane ySplit="3" topLeftCell="A60" activePane="bottomLeft" state="frozen"/>
      <selection pane="bottomLeft" activeCell="Q4" sqref="Q4"/>
    </sheetView>
  </sheetViews>
  <sheetFormatPr baseColWidth="8" defaultRowHeight="26.25"/>
  <cols>
    <col width="8.375" customWidth="1" style="2" min="1" max="1"/>
    <col width="15.375" customWidth="1" style="2" min="2" max="4"/>
    <col outlineLevel="1" width="15.375" customWidth="1" style="2" min="5" max="8"/>
    <col width="15.375" customWidth="1" style="2" min="9" max="10"/>
    <col width="7.75" customWidth="1" style="2" min="11" max="11"/>
    <col width="5.25" customWidth="1" style="2" min="12" max="12"/>
    <col width="15.125" customWidth="1" style="2" min="13" max="14"/>
    <col width="2.875" customWidth="1" style="2" min="15" max="15"/>
    <col width="15.75" customWidth="1" style="3" min="16" max="16"/>
    <col outlineLevel="1" width="9" customWidth="1" style="5" min="17" max="17"/>
    <col outlineLevel="1" width="9.25" customWidth="1" style="5" min="18" max="18"/>
    <col width="16.75" customWidth="1" style="3" min="19" max="19"/>
    <col width="4.5" customWidth="1" style="2" min="20" max="20"/>
    <col width="51.75" customWidth="1" style="6" min="21" max="21"/>
    <col width="9" customWidth="1" style="2" min="22" max="22"/>
    <col width="7.5" customWidth="1" style="7" min="23" max="34"/>
    <col width="19.375" bestFit="1" customWidth="1" style="8" min="35" max="40"/>
    <col width="19.875" customWidth="1" style="8" min="41" max="43"/>
    <col width="19.875" customWidth="1" style="2" min="44" max="44"/>
    <col width="9" customWidth="1" style="2" min="45" max="45"/>
    <col width="9" customWidth="1" style="2" min="46" max="16384"/>
  </cols>
  <sheetData>
    <row r="1">
      <c r="A1" s="1" t="n"/>
      <c r="C1" s="1" t="n"/>
      <c r="D1" s="1" t="n"/>
      <c r="H1" s="1" t="n"/>
      <c r="I1" s="1" t="n"/>
      <c r="J1" s="1" t="n"/>
      <c r="K1" s="1" t="n"/>
      <c r="Q1" s="4" t="n"/>
    </row>
    <row r="2" ht="27" customHeight="1" s="69" thickBot="1">
      <c r="A2" s="9" t="inlineStr">
        <is>
          <t>響度優先次第： a &gt; oo &gt; (e = o) &gt; (i = u)〈低元音 &gt; 高元音 &gt; 無擦通音 &gt; 擦音 &gt; 塞音〉</t>
        </is>
      </c>
      <c r="C2" s="1" t="n"/>
      <c r="D2" s="1" t="n"/>
      <c r="H2" s="1" t="n"/>
      <c r="I2" s="1" t="n"/>
      <c r="J2" s="1" t="n"/>
      <c r="K2" s="1" t="n"/>
      <c r="U2" s="10" t="n"/>
      <c r="X2" s="7" t="n">
        <v>1</v>
      </c>
      <c r="Y2" s="7" t="n">
        <v>2</v>
      </c>
      <c r="Z2" s="7" t="n">
        <v>3</v>
      </c>
      <c r="AA2" s="7" t="n">
        <v>4</v>
      </c>
      <c r="AB2" s="7" t="n">
        <v>5</v>
      </c>
      <c r="AC2" s="7" t="n">
        <v>6</v>
      </c>
      <c r="AD2" s="7" t="n">
        <v>7</v>
      </c>
      <c r="AE2" s="7" t="n">
        <v>8</v>
      </c>
      <c r="AF2" s="7" t="n">
        <v>9</v>
      </c>
      <c r="AG2" s="7" t="n">
        <v>9</v>
      </c>
    </row>
    <row r="3" ht="54.75" customHeight="1" s="69" thickBot="1">
      <c r="A3" s="11" t="inlineStr">
        <is>
          <t>序號</t>
        </is>
      </c>
      <c r="B3" s="12" t="inlineStr">
        <is>
          <t>國際音標</t>
        </is>
      </c>
      <c r="C3" s="12" t="inlineStr">
        <is>
          <t>台羅拼音</t>
        </is>
      </c>
      <c r="D3" s="11" t="inlineStr">
        <is>
          <t>台語音標</t>
        </is>
      </c>
      <c r="E3" s="65" t="inlineStr">
        <is>
          <t>台語注音二式</t>
        </is>
      </c>
      <c r="F3" s="11" t="inlineStr">
        <is>
          <t>閩拼方案</t>
        </is>
      </c>
      <c r="G3" s="11" t="inlineStr">
        <is>
          <t>白話字</t>
        </is>
      </c>
      <c r="H3" s="11" t="inlineStr">
        <is>
          <t>十五音</t>
        </is>
      </c>
      <c r="I3" s="11" t="inlineStr">
        <is>
          <t>方音符號</t>
        </is>
      </c>
      <c r="J3" s="11" t="inlineStr">
        <is>
          <t>聲韻調類</t>
        </is>
      </c>
      <c r="K3" s="11" t="inlineStr">
        <is>
          <t>字長</t>
        </is>
      </c>
      <c r="L3" s="13" t="n"/>
      <c r="M3" s="11">
        <f>E3</f>
        <v/>
      </c>
      <c r="N3" s="11">
        <f>F3</f>
        <v/>
      </c>
      <c r="P3" s="11">
        <f>_xlfn.CONCAT(N3, "+調號")</f>
        <v/>
      </c>
      <c r="Q3" s="14" t="inlineStr">
        <is>
          <t>標調字母</t>
        </is>
      </c>
      <c r="R3" s="15" t="inlineStr">
        <is>
          <t>search()</t>
        </is>
      </c>
      <c r="S3" s="11">
        <f>N3</f>
        <v/>
      </c>
      <c r="U3" s="14" t="n"/>
      <c r="W3" s="16" t="n"/>
      <c r="Y3" s="17" t="inlineStr">
        <is>
          <t>U+0301</t>
        </is>
      </c>
      <c r="Z3" s="17" t="inlineStr">
        <is>
          <t>U+0300</t>
        </is>
      </c>
      <c r="AA3" s="17" t="n"/>
      <c r="AB3" s="17" t="inlineStr">
        <is>
          <t>U+030C</t>
        </is>
      </c>
      <c r="AC3" s="17" t="inlineStr">
        <is>
          <t>U+0301</t>
        </is>
      </c>
      <c r="AD3" s="17" t="inlineStr">
        <is>
          <t>U+0304</t>
        </is>
      </c>
      <c r="AE3" s="17" t="inlineStr">
        <is>
          <t>U+030D</t>
        </is>
      </c>
      <c r="AF3" s="17" t="inlineStr">
        <is>
          <t>U+030B</t>
        </is>
      </c>
      <c r="AG3" s="17" t="inlineStr">
        <is>
          <t>U+030A</t>
        </is>
      </c>
      <c r="AH3" s="18" t="n"/>
    </row>
    <row r="4" ht="27.75" customHeight="1" s="69" thickBot="1">
      <c r="A4" s="19" t="n">
        <v>73</v>
      </c>
      <c r="B4" s="20" t="inlineStr">
        <is>
          <t>uãiʔ</t>
        </is>
      </c>
      <c r="C4" s="21" t="inlineStr">
        <is>
          <t>uainnh</t>
        </is>
      </c>
      <c r="D4" s="19" t="inlineStr">
        <is>
          <t>uaihnn</t>
        </is>
      </c>
      <c r="E4" s="19" t="inlineStr">
        <is>
          <t>uainnh</t>
        </is>
      </c>
      <c r="F4" s="31" t="inlineStr">
        <is>
          <t>nuaih</t>
        </is>
      </c>
      <c r="G4" s="22" t="inlineStr">
        <is>
          <t>oaihⁿ</t>
        </is>
      </c>
      <c r="H4" s="23" t="inlineStr">
        <is>
          <t>閂促</t>
        </is>
      </c>
      <c r="I4" s="19" t="inlineStr">
        <is>
          <t>ㄨㆮㆷ</t>
        </is>
      </c>
      <c r="J4" s="29" t="inlineStr">
        <is>
          <t>韻-鼻</t>
        </is>
      </c>
      <c r="K4" s="23">
        <f>LEN(E4)</f>
        <v/>
      </c>
      <c r="L4" s="24" t="n"/>
      <c r="M4" s="11">
        <f>E4</f>
        <v/>
      </c>
      <c r="N4" s="11">
        <f>F4</f>
        <v/>
      </c>
      <c r="P4" s="3">
        <f>_xlfn.CONCAT(N4, "(\d)")</f>
        <v/>
      </c>
      <c r="Q4" s="5">
        <f>IF(ISNUMBER(FIND("a",C4)),"a",IF(ISNUMBER(FIND("oo",C4)),"o",IF(AND(ISNUMBER(FIND("e",C4)),ISNUMBER(FIND("o",C4))),IF(FIND("e",C4)&lt;FIND("o",C4),"e","o"),IF(ISNUMBER(FIND("e",C4)),"e",IF(ISNUMBER(FIND("o",C4)),"o",IF(AND(ISNUMBER(FIND("i",C4)),ISNUMBER(FIND("u",C4))),IF(FIND("i",C4)&lt;FIND("u",C4),"i","u"),IF(ISNUMBER(FIND("i",C4)),"i",IF(ISNUMBER(FIND("u",C4)),"u",IF(LEFT(C4,1)="m","m",IF(ISNUMBER(FIND("n",C4)),"n","")))))))))))</f>
        <v/>
      </c>
      <c r="R4" s="5">
        <f>IFERROR( IF(Q4="", "", SEARCH(Q4, $N4)), "")</f>
        <v/>
      </c>
      <c r="S4" s="3">
        <f>IFERROR( _xlfn.CONCAT(LEFT(N4,R4-1), "》", MID(N4,R4,1), "${1}", RIGHT(N4, LEN(N4)-R4)), "" )</f>
        <v/>
      </c>
      <c r="T4" s="25" t="n"/>
      <c r="U4" s="26">
        <f>IF(AND(N4&lt;&gt;"", M4&lt;&gt;""), "    - xform/》" &amp; P4 &amp;  "/"  &amp; S4 &amp;  "/", "")</f>
        <v/>
      </c>
      <c r="W4" s="7" t="inlineStr">
        <is>
          <t>a</t>
        </is>
      </c>
      <c r="X4" s="27">
        <f>_xlfn.CONCAT($W4, IF(X$3="", "", _xlfn.UNICHAR( HEX2DEC( RIGHT(X$3,4)))))</f>
        <v/>
      </c>
      <c r="Y4" s="27">
        <f>_xlfn.CONCAT($W4, IF(Y$3="", "", _xlfn.UNICHAR( HEX2DEC( RIGHT(Y$3,4)))))</f>
        <v/>
      </c>
      <c r="Z4" s="27">
        <f>_xlfn.CONCAT($W4, IF(Z$3="", "", _xlfn.UNICHAR( HEX2DEC( RIGHT(Z$3,4)))))</f>
        <v/>
      </c>
      <c r="AA4" s="27">
        <f>_xlfn.CONCAT($W4, IF(AA$3="", "", _xlfn.UNICHAR( HEX2DEC( RIGHT(AA$3,4)))))</f>
        <v/>
      </c>
      <c r="AB4" s="27">
        <f>_xlfn.CONCAT($W4, IF(AB$3="", "", _xlfn.UNICHAR( HEX2DEC( RIGHT(AB$3,4)))))</f>
        <v/>
      </c>
      <c r="AC4" s="27">
        <f>_xlfn.CONCAT($W4, IF(AC$3="", "", _xlfn.UNICHAR( HEX2DEC( RIGHT(AC$3,4)))))</f>
        <v/>
      </c>
      <c r="AD4" s="27">
        <f>_xlfn.CONCAT($W4, IF(AD$3="", "", _xlfn.UNICHAR( HEX2DEC( RIGHT(AD$3,4)))))</f>
        <v/>
      </c>
      <c r="AE4" s="27">
        <f>_xlfn.CONCAT($W4, IF(AE$3="", "", _xlfn.UNICHAR( HEX2DEC( RIGHT(AE$3,4)))))</f>
        <v/>
      </c>
      <c r="AF4" s="27">
        <f>_xlfn.CONCAT($W4, IF(AF$3="", "", _xlfn.UNICHAR( HEX2DEC( RIGHT(AF$3,4)))))</f>
        <v/>
      </c>
      <c r="AG4" s="27">
        <f>_xlfn.CONCAT($W4, IF(AG$3="", "", _xlfn.UNICHAR( HEX2DEC( RIGHT(AG$3,4)))))</f>
        <v/>
      </c>
      <c r="AI4" s="28">
        <f>_xlfn.CONCAT("    - xform/》", $W4, X$2, "/", X4, "/")</f>
        <v/>
      </c>
      <c r="AJ4" s="28">
        <f>_xlfn.CONCAT("    - xform/》", $W4, Y$2, "/", Y4, "/")</f>
        <v/>
      </c>
      <c r="AK4" s="28">
        <f>_xlfn.CONCAT("    - xform/》", $W4, Z$2, "/", Z4, "/")</f>
        <v/>
      </c>
      <c r="AL4" s="28">
        <f>_xlfn.CONCAT("    - xform/》", $W4, AA$2, "/", AA4, "/")</f>
        <v/>
      </c>
      <c r="AM4" s="28">
        <f>_xlfn.CONCAT("    - xform/》", $W4, AB$2, "/", AB4, "/")</f>
        <v/>
      </c>
      <c r="AN4" s="28">
        <f>_xlfn.CONCAT("    - xform/》", $W4, AC$2, "/", AC4, "/")</f>
        <v/>
      </c>
      <c r="AO4" s="28">
        <f>_xlfn.CONCAT("    - xform/》", $W4, AD$2, "/", AD4, "/")</f>
        <v/>
      </c>
      <c r="AP4" s="28">
        <f>_xlfn.CONCAT("    - xform/》", $W4, AE$2, "/", AE4, "/")</f>
        <v/>
      </c>
      <c r="AQ4" s="28">
        <f>_xlfn.CONCAT("    - xform/》", $W4, AF$2, "/", AF4, "/")</f>
        <v/>
      </c>
      <c r="AR4" s="28">
        <f>_xlfn.CONCAT("    - xform/》", $W4, AG$2, "/", AG4, "/")</f>
        <v/>
      </c>
      <c r="AS4" s="27" t="n"/>
      <c r="AT4" s="27" t="n"/>
      <c r="AU4" s="7" t="n"/>
    </row>
    <row r="5" ht="30.75" customHeight="1" s="69" thickBot="1">
      <c r="A5" s="19" t="n">
        <v>32</v>
      </c>
      <c r="B5" s="20" t="inlineStr">
        <is>
          <t>iãʔ</t>
        </is>
      </c>
      <c r="C5" s="21" t="inlineStr">
        <is>
          <t>iannh</t>
        </is>
      </c>
      <c r="D5" s="31" t="inlineStr">
        <is>
          <t>iannh</t>
        </is>
      </c>
      <c r="E5" s="31" t="inlineStr">
        <is>
          <t>iannh</t>
        </is>
      </c>
      <c r="F5" s="31" t="inlineStr">
        <is>
          <t>niah</t>
        </is>
      </c>
      <c r="G5" s="31" t="inlineStr">
        <is>
          <t>iahⁿ</t>
        </is>
      </c>
      <c r="H5" s="32" t="inlineStr">
        <is>
          <t>迦促</t>
        </is>
      </c>
      <c r="I5" s="33" t="inlineStr">
        <is>
          <t>ㄧㆩㆷ</t>
        </is>
      </c>
      <c r="J5" s="29" t="inlineStr">
        <is>
          <t>韻-鼻</t>
        </is>
      </c>
      <c r="K5" s="23">
        <f>LEN(E5)</f>
        <v/>
      </c>
      <c r="L5" s="24" t="n"/>
      <c r="M5" s="11">
        <f>E5</f>
        <v/>
      </c>
      <c r="N5" s="11">
        <f>F5</f>
        <v/>
      </c>
      <c r="P5" s="3">
        <f>_xlfn.CONCAT(N5, "(\d)")</f>
        <v/>
      </c>
      <c r="Q5" s="5">
        <f>IF(ISNUMBER(FIND("a",C5)),"a",IF(ISNUMBER(FIND("oo",C5)),"o",IF(AND(ISNUMBER(FIND("e",C5)),ISNUMBER(FIND("o",C5))),IF(FIND("e",C5)&lt;FIND("o",C5),"e","o"),IF(ISNUMBER(FIND("e",C5)),"e",IF(ISNUMBER(FIND("o",C5)),"o",IF(AND(ISNUMBER(FIND("i",C5)),ISNUMBER(FIND("u",C5))),IF(FIND("i",C5)&lt;FIND("u",C5),"i","u"),IF(ISNUMBER(FIND("i",C5)),"i",IF(ISNUMBER(FIND("u",C5)),"u",IF(LEFT(C5,1)="m","m",IF(ISNUMBER(FIND("n",C5)),"n","")))))))))))</f>
        <v/>
      </c>
      <c r="R5" s="5">
        <f>IFERROR( IF(Q5="", "", SEARCH(Q5, $N5)), "")</f>
        <v/>
      </c>
      <c r="S5" s="3">
        <f>IFERROR( _xlfn.CONCAT(LEFT(N5,R5-1), "》", MID(N5,R5,1), "${1}", RIGHT(N5, LEN(N5)-R5)), "" )</f>
        <v/>
      </c>
      <c r="T5" s="25" t="n"/>
      <c r="U5" s="26">
        <f>IF(AND(N5&lt;&gt;"", M5&lt;&gt;""), "    - xform/》" &amp; P5 &amp;  "/"  &amp; S5 &amp;  "/", "")</f>
        <v/>
      </c>
      <c r="W5" s="7" t="inlineStr">
        <is>
          <t>i</t>
        </is>
      </c>
      <c r="X5" s="27">
        <f>_xlfn.CONCAT($W5, IF(X$3="", "", _xlfn.UNICHAR( HEX2DEC( RIGHT(X$3,4)))))</f>
        <v/>
      </c>
      <c r="Y5" s="27">
        <f>_xlfn.CONCAT($W5, IF(Y$3="", "", _xlfn.UNICHAR( HEX2DEC( RIGHT(Y$3,4)))))</f>
        <v/>
      </c>
      <c r="Z5" s="27">
        <f>_xlfn.CONCAT($W5, IF(Z$3="", "", _xlfn.UNICHAR( HEX2DEC( RIGHT(Z$3,4)))))</f>
        <v/>
      </c>
      <c r="AA5" s="27">
        <f>_xlfn.CONCAT($W5, IF(AA$3="", "", _xlfn.UNICHAR( HEX2DEC( RIGHT(AA$3,4)))))</f>
        <v/>
      </c>
      <c r="AB5" s="27">
        <f>_xlfn.CONCAT($W5, IF(AB$3="", "", _xlfn.UNICHAR( HEX2DEC( RIGHT(AB$3,4)))))</f>
        <v/>
      </c>
      <c r="AC5" s="27">
        <f>_xlfn.CONCAT($W5, IF(AC$3="", "", _xlfn.UNICHAR( HEX2DEC( RIGHT(AC$3,4)))))</f>
        <v/>
      </c>
      <c r="AD5" s="27">
        <f>_xlfn.CONCAT($W5, IF(AD$3="", "", _xlfn.UNICHAR( HEX2DEC( RIGHT(AD$3,4)))))</f>
        <v/>
      </c>
      <c r="AE5" s="27">
        <f>_xlfn.CONCAT($W5, IF(AE$3="", "", _xlfn.UNICHAR( HEX2DEC( RIGHT(AE$3,4)))))</f>
        <v/>
      </c>
      <c r="AF5" s="27">
        <f>_xlfn.CONCAT($W5, IF(AF$3="", "", _xlfn.UNICHAR( HEX2DEC( RIGHT(AF$3,4)))))</f>
        <v/>
      </c>
      <c r="AG5" s="27">
        <f>_xlfn.CONCAT($W5, IF(AG$3="", "", _xlfn.UNICHAR( HEX2DEC( RIGHT(AG$3,4)))))</f>
        <v/>
      </c>
      <c r="AI5" s="28">
        <f>_xlfn.CONCAT("    - xform/》", $W5, X$2, "/", X5, "/")</f>
        <v/>
      </c>
      <c r="AJ5" s="28">
        <f>_xlfn.CONCAT("    - xform/》", $W5, Y$2, "/", Y5, "/")</f>
        <v/>
      </c>
      <c r="AK5" s="28">
        <f>_xlfn.CONCAT("    - xform/》", $W5, Z$2, "/", Z5, "/")</f>
        <v/>
      </c>
      <c r="AL5" s="28">
        <f>_xlfn.CONCAT("    - xform/》", $W5, AA$2, "/", AA5, "/")</f>
        <v/>
      </c>
      <c r="AM5" s="28">
        <f>_xlfn.CONCAT("    - xform/》", $W5, AB$2, "/", AB5, "/")</f>
        <v/>
      </c>
      <c r="AN5" s="28">
        <f>_xlfn.CONCAT("    - xform/》", $W5, AC$2, "/", AC5, "/")</f>
        <v/>
      </c>
      <c r="AO5" s="28">
        <f>_xlfn.CONCAT("    - xform/》", $W5, AD$2, "/", AD5, "/")</f>
        <v/>
      </c>
      <c r="AP5" s="28">
        <f>_xlfn.CONCAT("    - xform/》", $W5, AE$2, "/", AE5, "/")</f>
        <v/>
      </c>
      <c r="AQ5" s="28">
        <f>_xlfn.CONCAT("    - xform/》", $W5, AF$2, "/", AF5, "/")</f>
        <v/>
      </c>
      <c r="AR5" s="28">
        <f>_xlfn.CONCAT("    - xform/》", $W5, AG$2, "/", AG5, "/")</f>
        <v/>
      </c>
      <c r="AS5" s="27" t="n"/>
      <c r="AT5" s="27" t="n"/>
      <c r="AU5" s="7" t="n"/>
    </row>
    <row r="6" ht="27.75" customHeight="1" s="69" thickBot="1">
      <c r="A6" s="19" t="n">
        <v>40</v>
      </c>
      <c r="B6" s="20" t="inlineStr">
        <is>
          <t>ɪãu</t>
        </is>
      </c>
      <c r="C6" s="21" t="inlineStr">
        <is>
          <t>iaunn</t>
        </is>
      </c>
      <c r="D6" s="19" t="inlineStr">
        <is>
          <t>iaunn</t>
        </is>
      </c>
      <c r="E6" s="19" t="inlineStr">
        <is>
          <t>iaunn</t>
        </is>
      </c>
      <c r="F6" s="19" t="inlineStr">
        <is>
          <t>niao</t>
        </is>
      </c>
      <c r="G6" s="22" t="inlineStr">
        <is>
          <t>iauⁿ</t>
        </is>
      </c>
      <c r="H6" s="23" t="inlineStr">
        <is>
          <t>嘄舒</t>
        </is>
      </c>
      <c r="I6" s="19" t="inlineStr">
        <is>
          <t>ㄧㆯ</t>
        </is>
      </c>
      <c r="J6" s="29" t="inlineStr">
        <is>
          <t>韻-鼻</t>
        </is>
      </c>
      <c r="K6" s="23">
        <f>LEN(E6)</f>
        <v/>
      </c>
      <c r="L6" s="24" t="n"/>
      <c r="M6" s="11">
        <f>E6</f>
        <v/>
      </c>
      <c r="N6" s="11">
        <f>F6</f>
        <v/>
      </c>
      <c r="P6" s="3">
        <f>_xlfn.CONCAT(N6, "(\d)")</f>
        <v/>
      </c>
      <c r="Q6" s="5">
        <f>IF(ISNUMBER(FIND("a",C6)),"a",IF(ISNUMBER(FIND("oo",C6)),"o",IF(AND(ISNUMBER(FIND("e",C6)),ISNUMBER(FIND("o",C6))),IF(FIND("e",C6)&lt;FIND("o",C6),"e","o"),IF(ISNUMBER(FIND("e",C6)),"e",IF(ISNUMBER(FIND("o",C6)),"o",IF(AND(ISNUMBER(FIND("i",C6)),ISNUMBER(FIND("u",C6))),IF(FIND("i",C6)&lt;FIND("u",C6),"i","u"),IF(ISNUMBER(FIND("i",C6)),"i",IF(ISNUMBER(FIND("u",C6)),"u",IF(LEFT(C6,1)="m","m",IF(ISNUMBER(FIND("n",C6)),"n","")))))))))))</f>
        <v/>
      </c>
      <c r="R6" s="5">
        <f>IFERROR( IF(Q6="", "", SEARCH(Q6, $N6)), "")</f>
        <v/>
      </c>
      <c r="S6" s="3">
        <f>IFERROR( _xlfn.CONCAT(LEFT(N6,R6-1), "》", MID(N6,R6,1), "${1}", RIGHT(N6, LEN(N6)-R6)), "" )</f>
        <v/>
      </c>
      <c r="T6" s="25" t="n"/>
      <c r="U6" s="26">
        <f>IF(AND(N6&lt;&gt;"", M6&lt;&gt;""), "    - xform/》" &amp; P6 &amp; "/" &amp; S6 &amp; "/", "")</f>
        <v/>
      </c>
      <c r="W6" s="7" t="inlineStr">
        <is>
          <t>u</t>
        </is>
      </c>
      <c r="X6" s="27">
        <f>_xlfn.CONCAT($W6, IF(X$3="", "", _xlfn.UNICHAR( HEX2DEC( RIGHT(X$3,4)))))</f>
        <v/>
      </c>
      <c r="Y6" s="27">
        <f>_xlfn.CONCAT($W6, IF(Y$3="", "", _xlfn.UNICHAR( HEX2DEC( RIGHT(Y$3,4)))))</f>
        <v/>
      </c>
      <c r="Z6" s="27">
        <f>_xlfn.CONCAT($W6, IF(Z$3="", "", _xlfn.UNICHAR( HEX2DEC( RIGHT(Z$3,4)))))</f>
        <v/>
      </c>
      <c r="AA6" s="27">
        <f>_xlfn.CONCAT($W6, IF(AA$3="", "", _xlfn.UNICHAR( HEX2DEC( RIGHT(AA$3,4)))))</f>
        <v/>
      </c>
      <c r="AB6" s="27">
        <f>_xlfn.CONCAT($W6, IF(AB$3="", "", _xlfn.UNICHAR( HEX2DEC( RIGHT(AB$3,4)))))</f>
        <v/>
      </c>
      <c r="AC6" s="27">
        <f>_xlfn.CONCAT($W6, IF(AC$3="", "", _xlfn.UNICHAR( HEX2DEC( RIGHT(AC$3,4)))))</f>
        <v/>
      </c>
      <c r="AD6" s="27">
        <f>_xlfn.CONCAT($W6, IF(AD$3="", "", _xlfn.UNICHAR( HEX2DEC( RIGHT(AD$3,4)))))</f>
        <v/>
      </c>
      <c r="AE6" s="27">
        <f>_xlfn.CONCAT($W6, IF(AE$3="", "", _xlfn.UNICHAR( HEX2DEC( RIGHT(AE$3,4)))))</f>
        <v/>
      </c>
      <c r="AF6" s="27">
        <f>_xlfn.CONCAT($W6, IF(AF$3="", "", _xlfn.UNICHAR( HEX2DEC( RIGHT(AF$3,4)))))</f>
        <v/>
      </c>
      <c r="AG6" s="27">
        <f>_xlfn.CONCAT($W6, IF(AG$3="", "", _xlfn.UNICHAR( HEX2DEC( RIGHT(AG$3,4)))))</f>
        <v/>
      </c>
      <c r="AI6" s="28">
        <f>_xlfn.CONCAT("    - xform/》", $W6, X$2, "/", X6, "/")</f>
        <v/>
      </c>
      <c r="AJ6" s="28">
        <f>_xlfn.CONCAT("    - xform/》", $W6, Y$2, "/", Y6, "/")</f>
        <v/>
      </c>
      <c r="AK6" s="28">
        <f>_xlfn.CONCAT("    - xform/》", $W6, Z$2, "/", Z6, "/")</f>
        <v/>
      </c>
      <c r="AL6" s="28">
        <f>_xlfn.CONCAT("    - xform/》", $W6, AA$2, "/", AA6, "/")</f>
        <v/>
      </c>
      <c r="AM6" s="28">
        <f>_xlfn.CONCAT("    - xform/》", $W6, AB$2, "/", AB6, "/")</f>
        <v/>
      </c>
      <c r="AN6" s="28">
        <f>_xlfn.CONCAT("    - xform/》", $W6, AC$2, "/", AC6, "/")</f>
        <v/>
      </c>
      <c r="AO6" s="28">
        <f>_xlfn.CONCAT("    - xform/》", $W6, AD$2, "/", AD6, "/")</f>
        <v/>
      </c>
      <c r="AP6" s="28">
        <f>_xlfn.CONCAT("    - xform/》", $W6, AE$2, "/", AE6, "/")</f>
        <v/>
      </c>
      <c r="AQ6" s="28">
        <f>_xlfn.CONCAT("    - xform/》", $W6, AF$2, "/", AF6, "/")</f>
        <v/>
      </c>
      <c r="AR6" s="28">
        <f>_xlfn.CONCAT("    - xform/》", $W6, AG$2, "/", AG6, "/")</f>
        <v/>
      </c>
      <c r="AS6" s="27" t="n"/>
      <c r="AT6" s="27" t="n"/>
      <c r="AU6" s="7" t="n"/>
    </row>
    <row r="7" ht="27.75" customHeight="1" s="69" thickBot="1">
      <c r="A7" s="19" t="n">
        <v>43</v>
      </c>
      <c r="B7" s="20" t="inlineStr">
        <is>
          <t>ɪɔ̃</t>
        </is>
      </c>
      <c r="C7" s="21" t="inlineStr">
        <is>
          <t>ionn</t>
        </is>
      </c>
      <c r="D7" s="19" t="inlineStr">
        <is>
          <t>ionn</t>
        </is>
      </c>
      <c r="E7" s="19" t="inlineStr">
        <is>
          <t>ioonn</t>
        </is>
      </c>
      <c r="F7" s="19" t="inlineStr">
        <is>
          <t>nioo</t>
        </is>
      </c>
      <c r="G7" s="22" t="inlineStr">
        <is>
          <t>ioⁿ</t>
        </is>
      </c>
      <c r="H7" s="23" t="inlineStr">
        <is>
          <t>薑舒</t>
        </is>
      </c>
      <c r="I7" s="19" t="inlineStr">
        <is>
          <t>ㄧㆧ</t>
        </is>
      </c>
      <c r="J7" s="29" t="inlineStr">
        <is>
          <t>韻-鼻</t>
        </is>
      </c>
      <c r="K7" s="23">
        <f>LEN(E7)</f>
        <v/>
      </c>
      <c r="L7" s="24" t="n"/>
      <c r="M7" s="11">
        <f>E7</f>
        <v/>
      </c>
      <c r="N7" s="11">
        <f>F7</f>
        <v/>
      </c>
      <c r="P7" s="3">
        <f>_xlfn.CONCAT(N7, "(\d)")</f>
        <v/>
      </c>
      <c r="Q7" s="5">
        <f>IF(ISNUMBER(FIND("a",C7)),"a",IF(ISNUMBER(FIND("oo",C7)),"o",IF(AND(ISNUMBER(FIND("e",C7)),ISNUMBER(FIND("o",C7))),IF(FIND("e",C7)&lt;FIND("o",C7),"e","o"),IF(ISNUMBER(FIND("e",C7)),"e",IF(ISNUMBER(FIND("o",C7)),"o",IF(AND(ISNUMBER(FIND("i",C7)),ISNUMBER(FIND("u",C7))),IF(FIND("i",C7)&lt;FIND("u",C7),"i","u"),IF(ISNUMBER(FIND("i",C7)),"i",IF(ISNUMBER(FIND("u",C7)),"u",IF(LEFT(C7,1)="m","m",IF(ISNUMBER(FIND("n",C7)),"n","")))))))))))</f>
        <v/>
      </c>
      <c r="R7" s="5">
        <f>IFERROR( IF(Q7="", "", SEARCH(Q7, $N7)), "")</f>
        <v/>
      </c>
      <c r="S7" s="3">
        <f>IFERROR( _xlfn.CONCAT(LEFT(N7,R7-1), "》", MID(N7,R7,1), "${1}", RIGHT(N7, LEN(N7)-R7)), "" )</f>
        <v/>
      </c>
      <c r="T7" s="25" t="n"/>
      <c r="U7" s="26">
        <f>IF(AND(N7&lt;&gt;"", M7&lt;&gt;""), "    - xform/》" &amp; P7 &amp; "/" &amp; S7 &amp; "/", "")</f>
        <v/>
      </c>
      <c r="W7" s="7" t="inlineStr">
        <is>
          <t>e</t>
        </is>
      </c>
      <c r="X7" s="27">
        <f>_xlfn.CONCAT($W7, IF(X$3="", "", _xlfn.UNICHAR( HEX2DEC( RIGHT(X$3,4)))))</f>
        <v/>
      </c>
      <c r="Y7" s="27">
        <f>_xlfn.CONCAT($W7, IF(Y$3="", "", _xlfn.UNICHAR( HEX2DEC( RIGHT(Y$3,4)))))</f>
        <v/>
      </c>
      <c r="Z7" s="27">
        <f>_xlfn.CONCAT($W7, IF(Z$3="", "", _xlfn.UNICHAR( HEX2DEC( RIGHT(Z$3,4)))))</f>
        <v/>
      </c>
      <c r="AA7" s="27">
        <f>_xlfn.CONCAT($W7, IF(AA$3="", "", _xlfn.UNICHAR( HEX2DEC( RIGHT(AA$3,4)))))</f>
        <v/>
      </c>
      <c r="AB7" s="27">
        <f>_xlfn.CONCAT($W7, IF(AB$3="", "", _xlfn.UNICHAR( HEX2DEC( RIGHT(AB$3,4)))))</f>
        <v/>
      </c>
      <c r="AC7" s="27">
        <f>_xlfn.CONCAT($W7, IF(AC$3="", "", _xlfn.UNICHAR( HEX2DEC( RIGHT(AC$3,4)))))</f>
        <v/>
      </c>
      <c r="AD7" s="27">
        <f>_xlfn.CONCAT($W7, IF(AD$3="", "", _xlfn.UNICHAR( HEX2DEC( RIGHT(AD$3,4)))))</f>
        <v/>
      </c>
      <c r="AE7" s="27">
        <f>_xlfn.CONCAT($W7, IF(AE$3="", "", _xlfn.UNICHAR( HEX2DEC( RIGHT(AE$3,4)))))</f>
        <v/>
      </c>
      <c r="AF7" s="27">
        <f>_xlfn.CONCAT($W7, IF(AF$3="", "", _xlfn.UNICHAR( HEX2DEC( RIGHT(AF$3,4)))))</f>
        <v/>
      </c>
      <c r="AG7" s="27">
        <f>_xlfn.CONCAT($W7, IF(AG$3="", "", _xlfn.UNICHAR( HEX2DEC( RIGHT(AG$3,4)))))</f>
        <v/>
      </c>
      <c r="AI7" s="28">
        <f>_xlfn.CONCAT("    - xform/》", $W7, X$2, "/", X7, "/")</f>
        <v/>
      </c>
      <c r="AJ7" s="28">
        <f>_xlfn.CONCAT("    - xform/》", $W7, Y$2, "/", Y7, "/")</f>
        <v/>
      </c>
      <c r="AK7" s="28">
        <f>_xlfn.CONCAT("    - xform/》", $W7, Z$2, "/", Z7, "/")</f>
        <v/>
      </c>
      <c r="AL7" s="28">
        <f>_xlfn.CONCAT("    - xform/》", $W7, AA$2, "/", AA7, "/")</f>
        <v/>
      </c>
      <c r="AM7" s="28">
        <f>_xlfn.CONCAT("    - xform/》", $W7, AB$2, "/", AB7, "/")</f>
        <v/>
      </c>
      <c r="AN7" s="28">
        <f>_xlfn.CONCAT("    - xform/》", $W7, AC$2, "/", AC7, "/")</f>
        <v/>
      </c>
      <c r="AO7" s="28">
        <f>_xlfn.CONCAT("    - xform/》", $W7, AD$2, "/", AD7, "/")</f>
        <v/>
      </c>
      <c r="AP7" s="28">
        <f>_xlfn.CONCAT("    - xform/》", $W7, AE$2, "/", AE7, "/")</f>
        <v/>
      </c>
      <c r="AQ7" s="28">
        <f>_xlfn.CONCAT("    - xform/》", $W7, AF$2, "/", AF7, "/")</f>
        <v/>
      </c>
      <c r="AR7" s="28">
        <f>_xlfn.CONCAT("    - xform/》", $W7, AG$2, "/", AG7, "/")</f>
        <v/>
      </c>
      <c r="AS7" s="27" t="n"/>
      <c r="AT7" s="27" t="n"/>
      <c r="AU7" s="7" t="n"/>
    </row>
    <row r="8" ht="30.75" customHeight="1" s="69" thickBot="1">
      <c r="A8" s="19" t="n">
        <v>49</v>
      </c>
      <c r="B8" s="20" t="inlineStr">
        <is>
          <t>iũʔ</t>
        </is>
      </c>
      <c r="C8" s="21" t="inlineStr">
        <is>
          <t>iunnh</t>
        </is>
      </c>
      <c r="D8" s="31" t="inlineStr">
        <is>
          <t>iunnh</t>
        </is>
      </c>
      <c r="E8" s="31" t="inlineStr">
        <is>
          <t>iunnh</t>
        </is>
      </c>
      <c r="F8" s="31" t="inlineStr">
        <is>
          <t>niuh</t>
        </is>
      </c>
      <c r="G8" s="31" t="inlineStr">
        <is>
          <t>iuhⁿ</t>
        </is>
      </c>
      <c r="H8" s="32" t="inlineStr">
        <is>
          <t>牛促</t>
        </is>
      </c>
      <c r="I8" s="33" t="inlineStr">
        <is>
          <t>ㄧㆫㆷ</t>
        </is>
      </c>
      <c r="J8" s="29" t="inlineStr">
        <is>
          <t>韻-鼻</t>
        </is>
      </c>
      <c r="K8" s="23">
        <f>LEN(E8)</f>
        <v/>
      </c>
      <c r="L8" s="24" t="n"/>
      <c r="M8" s="11">
        <f>E8</f>
        <v/>
      </c>
      <c r="N8" s="11">
        <f>F8</f>
        <v/>
      </c>
      <c r="P8" s="3">
        <f>_xlfn.CONCAT(N8, "(\d)")</f>
        <v/>
      </c>
      <c r="Q8" s="5">
        <f>IF(ISNUMBER(FIND("a",C8)),"a",IF(ISNUMBER(FIND("oo",C8)),"o",IF(AND(ISNUMBER(FIND("e",C8)),ISNUMBER(FIND("o",C8))),IF(FIND("e",C8)&lt;FIND("o",C8),"e","o"),IF(ISNUMBER(FIND("e",C8)),"e",IF(ISNUMBER(FIND("o",C8)),"o",IF(AND(ISNUMBER(FIND("i",C8)),ISNUMBER(FIND("u",C8))),IF(FIND("i",C8)&lt;FIND("u",C8),"i","u"),IF(ISNUMBER(FIND("i",C8)),"i",IF(ISNUMBER(FIND("u",C8)),"u",IF(LEFT(C8,1)="m","m",IF(ISNUMBER(FIND("n",C8)),"n","")))))))))))</f>
        <v/>
      </c>
      <c r="R8" s="5">
        <f>IFERROR( IF(Q8="", "", SEARCH(Q8, $N8)), "")</f>
        <v/>
      </c>
      <c r="S8" s="3">
        <f>IFERROR( _xlfn.CONCAT(LEFT(N8,R8-1), "》", MID(N8,R8,1), "${1}", RIGHT(N8, LEN(N8)-R8)), "" )</f>
        <v/>
      </c>
      <c r="T8" s="25" t="n"/>
      <c r="U8" s="26">
        <f>IF(AND(N8&lt;&gt;"", M8&lt;&gt;""), "    - xform/》" &amp; P8 &amp; "/" &amp; S8 &amp; "/", "")</f>
        <v/>
      </c>
      <c r="W8" s="7" t="inlineStr">
        <is>
          <t>o</t>
        </is>
      </c>
      <c r="X8" s="27">
        <f>_xlfn.CONCAT($W8, IF(X$3="", "", _xlfn.UNICHAR( HEX2DEC( RIGHT(X$3,4)))))</f>
        <v/>
      </c>
      <c r="Y8" s="27">
        <f>_xlfn.CONCAT($W8, IF(Y$3="", "", _xlfn.UNICHAR( HEX2DEC( RIGHT(Y$3,4)))))</f>
        <v/>
      </c>
      <c r="Z8" s="27">
        <f>_xlfn.CONCAT($W8, IF(Z$3="", "", _xlfn.UNICHAR( HEX2DEC( RIGHT(Z$3,4)))))</f>
        <v/>
      </c>
      <c r="AA8" s="27">
        <f>_xlfn.CONCAT($W8, IF(AA$3="", "", _xlfn.UNICHAR( HEX2DEC( RIGHT(AA$3,4)))))</f>
        <v/>
      </c>
      <c r="AB8" s="27">
        <f>_xlfn.CONCAT($W8, IF(AB$3="", "", _xlfn.UNICHAR( HEX2DEC( RIGHT(AB$3,4)))))</f>
        <v/>
      </c>
      <c r="AC8" s="27">
        <f>_xlfn.CONCAT($W8, IF(AC$3="", "", _xlfn.UNICHAR( HEX2DEC( RIGHT(AC$3,4)))))</f>
        <v/>
      </c>
      <c r="AD8" s="27">
        <f>_xlfn.CONCAT($W8, IF(AD$3="", "", _xlfn.UNICHAR( HEX2DEC( RIGHT(AD$3,4)))))</f>
        <v/>
      </c>
      <c r="AE8" s="27">
        <f>_xlfn.CONCAT($W8, IF(AE$3="", "", _xlfn.UNICHAR( HEX2DEC( RIGHT(AE$3,4)))))</f>
        <v/>
      </c>
      <c r="AF8" s="27">
        <f>_xlfn.CONCAT($W8, IF(AF$3="", "", _xlfn.UNICHAR( HEX2DEC( RIGHT(AF$3,4)))))</f>
        <v/>
      </c>
      <c r="AG8" s="27">
        <f>_xlfn.CONCAT($W8, IF(AG$3="", "", _xlfn.UNICHAR( HEX2DEC( RIGHT(AG$3,4)))))</f>
        <v/>
      </c>
      <c r="AI8" s="28">
        <f>_xlfn.CONCAT("    - xform/》", $W8, X$2, "/", X8, "/")</f>
        <v/>
      </c>
      <c r="AJ8" s="28">
        <f>_xlfn.CONCAT("    - xform/》", $W8, Y$2, "/", Y8, "/")</f>
        <v/>
      </c>
      <c r="AK8" s="28">
        <f>_xlfn.CONCAT("    - xform/》", $W8, Z$2, "/", Z8, "/")</f>
        <v/>
      </c>
      <c r="AL8" s="28">
        <f>_xlfn.CONCAT("    - xform/》", $W8, AA$2, "/", AA8, "/")</f>
        <v/>
      </c>
      <c r="AM8" s="28">
        <f>_xlfn.CONCAT("    - xform/》", $W8, AB$2, "/", AB8, "/")</f>
        <v/>
      </c>
      <c r="AN8" s="28">
        <f>_xlfn.CONCAT("    - xform/》", $W8, AC$2, "/", AC8, "/")</f>
        <v/>
      </c>
      <c r="AO8" s="28">
        <f>_xlfn.CONCAT("    - xform/》", $W8, AD$2, "/", AD8, "/")</f>
        <v/>
      </c>
      <c r="AP8" s="28">
        <f>_xlfn.CONCAT("    - xform/》", $W8, AE$2, "/", AE8, "/")</f>
        <v/>
      </c>
      <c r="AQ8" s="28">
        <f>_xlfn.CONCAT("    - xform/》", $W8, AF$2, "/", AF8, "/")</f>
        <v/>
      </c>
      <c r="AR8" s="28">
        <f>_xlfn.CONCAT("    - xform/》", $W8, AG$2, "/", AG8, "/")</f>
        <v/>
      </c>
      <c r="AS8" s="27" t="n"/>
      <c r="AT8" s="27" t="n"/>
      <c r="AU8" s="7" t="n"/>
    </row>
    <row r="9" ht="27.75" customHeight="1" s="69" thickBot="1">
      <c r="A9" s="19" t="n">
        <v>71</v>
      </c>
      <c r="B9" s="20" t="inlineStr">
        <is>
          <t>uãi</t>
        </is>
      </c>
      <c r="C9" s="21" t="inlineStr">
        <is>
          <t>uainn</t>
        </is>
      </c>
      <c r="D9" s="19" t="inlineStr">
        <is>
          <t>uainn</t>
        </is>
      </c>
      <c r="E9" s="19" t="inlineStr">
        <is>
          <t>uainn</t>
        </is>
      </c>
      <c r="F9" s="19" t="inlineStr">
        <is>
          <t>nuai</t>
        </is>
      </c>
      <c r="G9" s="22" t="inlineStr">
        <is>
          <t>oaiⁿ</t>
        </is>
      </c>
      <c r="H9" s="23" t="inlineStr">
        <is>
          <t>閂舒</t>
        </is>
      </c>
      <c r="I9" s="19" t="inlineStr">
        <is>
          <t>ㄨㆮ</t>
        </is>
      </c>
      <c r="J9" s="29" t="inlineStr">
        <is>
          <t>韻-鼻</t>
        </is>
      </c>
      <c r="K9" s="23">
        <f>LEN(E9)</f>
        <v/>
      </c>
      <c r="L9" s="24" t="n"/>
      <c r="M9" s="11">
        <f>E9</f>
        <v/>
      </c>
      <c r="N9" s="11">
        <f>F9</f>
        <v/>
      </c>
      <c r="P9" s="3">
        <f>_xlfn.CONCAT(N9, "(\d)")</f>
        <v/>
      </c>
      <c r="Q9" s="5">
        <f>IF(ISNUMBER(FIND("a",C9)),"a",IF(ISNUMBER(FIND("oo",C9)),"o",IF(AND(ISNUMBER(FIND("e",C9)),ISNUMBER(FIND("o",C9))),IF(FIND("e",C9)&lt;FIND("o",C9),"e","o"),IF(ISNUMBER(FIND("e",C9)),"e",IF(ISNUMBER(FIND("o",C9)),"o",IF(AND(ISNUMBER(FIND("i",C9)),ISNUMBER(FIND("u",C9))),IF(FIND("i",C9)&lt;FIND("u",C9),"i","u"),IF(ISNUMBER(FIND("i",C9)),"i",IF(ISNUMBER(FIND("u",C9)),"u",IF(LEFT(C9,1)="m","m",IF(ISNUMBER(FIND("n",C9)),"n","")))))))))))</f>
        <v/>
      </c>
      <c r="R9" s="5">
        <f>IFERROR( IF(Q9="", "", SEARCH(Q9, $N9)), "")</f>
        <v/>
      </c>
      <c r="S9" s="3">
        <f>IFERROR( _xlfn.CONCAT(LEFT(N9,R9-1), "》", MID(N9,R9,1), "${1}", RIGHT(N9, LEN(N9)-R9)), "" )</f>
        <v/>
      </c>
      <c r="T9" s="25" t="n"/>
      <c r="U9" s="26">
        <f>IF(AND(N9&lt;&gt;"", M9&lt;&gt;""), "    - xform/》" &amp; P9 &amp; "/" &amp; S9 &amp; "/", "")</f>
        <v/>
      </c>
      <c r="W9" s="7" t="inlineStr">
        <is>
          <t>m</t>
        </is>
      </c>
      <c r="X9" s="27">
        <f>_xlfn.CONCAT($W9, IF(X$3="", "", _xlfn.UNICHAR( HEX2DEC( RIGHT(X$3,4)))))</f>
        <v/>
      </c>
      <c r="Y9" s="27">
        <f>_xlfn.CONCAT($W9, IF(Y$3="", "", _xlfn.UNICHAR( HEX2DEC( RIGHT(Y$3,4)))))</f>
        <v/>
      </c>
      <c r="Z9" s="27">
        <f>_xlfn.CONCAT($W9, IF(Z$3="", "", _xlfn.UNICHAR( HEX2DEC( RIGHT(Z$3,4)))))</f>
        <v/>
      </c>
      <c r="AA9" s="27">
        <f>_xlfn.CONCAT($W9, IF(AA$3="", "", _xlfn.UNICHAR( HEX2DEC( RIGHT(AA$3,4)))))</f>
        <v/>
      </c>
      <c r="AB9" s="27">
        <f>_xlfn.CONCAT($W9, IF(AB$3="", "", _xlfn.UNICHAR( HEX2DEC( RIGHT(AB$3,4)))))</f>
        <v/>
      </c>
      <c r="AC9" s="27">
        <f>_xlfn.CONCAT($W9, IF(AC$3="", "", _xlfn.UNICHAR( HEX2DEC( RIGHT(AC$3,4)))))</f>
        <v/>
      </c>
      <c r="AD9" s="27">
        <f>_xlfn.CONCAT($W9, IF(AD$3="", "", _xlfn.UNICHAR( HEX2DEC( RIGHT(AD$3,4)))))</f>
        <v/>
      </c>
      <c r="AE9" s="27">
        <f>_xlfn.CONCAT($W9, IF(AE$3="", "", _xlfn.UNICHAR( HEX2DEC( RIGHT(AE$3,4)))))</f>
        <v/>
      </c>
      <c r="AF9" s="27">
        <f>_xlfn.CONCAT($W9, IF(AF$3="", "", _xlfn.UNICHAR( HEX2DEC( RIGHT(AF$3,4)))))</f>
        <v/>
      </c>
      <c r="AG9" s="27">
        <f>_xlfn.CONCAT($W9, IF(AG$3="", "", _xlfn.UNICHAR( HEX2DEC( RIGHT(AG$3,4)))))</f>
        <v/>
      </c>
      <c r="AI9" s="28">
        <f>_xlfn.CONCAT("    - xform/》", $W9, X$2, "/", X9, "/")</f>
        <v/>
      </c>
      <c r="AJ9" s="28">
        <f>_xlfn.CONCAT("    - xform/》", $W9, Y$2, "/", Y9, "/")</f>
        <v/>
      </c>
      <c r="AK9" s="28">
        <f>_xlfn.CONCAT("    - xform/》", $W9, Z$2, "/", Z9, "/")</f>
        <v/>
      </c>
      <c r="AL9" s="28">
        <f>_xlfn.CONCAT("    - xform/》", $W9, AA$2, "/", AA9, "/")</f>
        <v/>
      </c>
      <c r="AM9" s="28">
        <f>_xlfn.CONCAT("    - xform/》", $W9, AB$2, "/", AB9, "/")</f>
        <v/>
      </c>
      <c r="AN9" s="28">
        <f>_xlfn.CONCAT("    - xform/》", $W9, AC$2, "/", AC9, "/")</f>
        <v/>
      </c>
      <c r="AO9" s="28">
        <f>_xlfn.CONCAT("    - xform/》", $W9, AD$2, "/", AD9, "/")</f>
        <v/>
      </c>
      <c r="AP9" s="28">
        <f>_xlfn.CONCAT("    - xform/》", $W9, AE$2, "/", AE9, "/")</f>
        <v/>
      </c>
      <c r="AQ9" s="28">
        <f>_xlfn.CONCAT("    - xform/》", $W9, AF$2, "/", AF9, "/")</f>
        <v/>
      </c>
      <c r="AR9" s="28">
        <f>_xlfn.CONCAT("    - xform/》", $W9, AG$2, "/", AG9, "/")</f>
        <v/>
      </c>
      <c r="AS9" s="27" t="n"/>
      <c r="AT9" s="27" t="n"/>
      <c r="AU9" s="7" t="n"/>
    </row>
    <row r="10" ht="27.75" customHeight="1" s="69" thickBot="1">
      <c r="A10" s="19" t="n">
        <v>4</v>
      </c>
      <c r="B10" s="20" t="inlineStr">
        <is>
          <t>ãʔ</t>
        </is>
      </c>
      <c r="C10" s="21" t="inlineStr">
        <is>
          <t>annh</t>
        </is>
      </c>
      <c r="D10" s="19" t="inlineStr">
        <is>
          <t>ahnn</t>
        </is>
      </c>
      <c r="E10" s="19" t="inlineStr">
        <is>
          <t>annh</t>
        </is>
      </c>
      <c r="F10" s="31" t="inlineStr">
        <is>
          <t>nah</t>
        </is>
      </c>
      <c r="G10" s="22" t="inlineStr">
        <is>
          <t>ahⁿ</t>
        </is>
      </c>
      <c r="H10" s="23" t="inlineStr">
        <is>
          <t>監促</t>
        </is>
      </c>
      <c r="I10" s="19" t="inlineStr">
        <is>
          <t>ㆩㆷ</t>
        </is>
      </c>
      <c r="J10" s="29" t="inlineStr">
        <is>
          <t>韻-鼻</t>
        </is>
      </c>
      <c r="K10" s="23">
        <f>LEN(E10)</f>
        <v/>
      </c>
      <c r="L10" s="24" t="n"/>
      <c r="M10" s="11">
        <f>E10</f>
        <v/>
      </c>
      <c r="N10" s="11">
        <f>F10</f>
        <v/>
      </c>
      <c r="P10" s="3">
        <f>_xlfn.CONCAT(N10, "(\d)")</f>
        <v/>
      </c>
      <c r="Q10" s="5">
        <f>IF(ISNUMBER(FIND("a",C10)),"a",IF(ISNUMBER(FIND("oo",C10)),"o",IF(AND(ISNUMBER(FIND("e",C10)),ISNUMBER(FIND("o",C10))),IF(FIND("e",C10)&lt;FIND("o",C10),"e","o"),IF(ISNUMBER(FIND("e",C10)),"e",IF(ISNUMBER(FIND("o",C10)),"o",IF(AND(ISNUMBER(FIND("i",C10)),ISNUMBER(FIND("u",C10))),IF(FIND("i",C10)&lt;FIND("u",C10),"i","u"),IF(ISNUMBER(FIND("i",C10)),"i",IF(ISNUMBER(FIND("u",C10)),"u",IF(LEFT(C10,1)="m","m",IF(ISNUMBER(FIND("n",C10)),"n","")))))))))))</f>
        <v/>
      </c>
      <c r="R10" s="5">
        <f>IFERROR( IF(Q10="", "", SEARCH(Q10, $N10)), "")</f>
        <v/>
      </c>
      <c r="S10" s="3">
        <f>IFERROR( _xlfn.CONCAT(LEFT(N10,R10-1), "》", MID(N10,R10,1), "${1}", RIGHT(N10, LEN(N10)-R10)), "" )</f>
        <v/>
      </c>
      <c r="T10" s="25" t="n"/>
      <c r="U10" s="26">
        <f>IF(AND(N10&lt;&gt;"", M10&lt;&gt;""), "    - xform/》" &amp; P10 &amp; "/" &amp; S10 &amp; "/", "")</f>
        <v/>
      </c>
      <c r="W10" s="7" t="inlineStr">
        <is>
          <t>n</t>
        </is>
      </c>
      <c r="X10" s="27">
        <f>_xlfn.CONCAT($W10, IF(X$3="", "", _xlfn.UNICHAR( HEX2DEC( RIGHT(X$3,4)))))</f>
        <v/>
      </c>
      <c r="Y10" s="27">
        <f>_xlfn.CONCAT($W10, IF(Y$3="", "", _xlfn.UNICHAR( HEX2DEC( RIGHT(Y$3,4)))))</f>
        <v/>
      </c>
      <c r="Z10" s="27">
        <f>_xlfn.CONCAT($W10, IF(Z$3="", "", _xlfn.UNICHAR( HEX2DEC( RIGHT(Z$3,4)))))</f>
        <v/>
      </c>
      <c r="AA10" s="27">
        <f>_xlfn.CONCAT($W10, IF(AA$3="", "", _xlfn.UNICHAR( HEX2DEC( RIGHT(AA$3,4)))))</f>
        <v/>
      </c>
      <c r="AB10" s="27">
        <f>_xlfn.CONCAT($W10, IF(AB$3="", "", _xlfn.UNICHAR( HEX2DEC( RIGHT(AB$3,4)))))</f>
        <v/>
      </c>
      <c r="AC10" s="27">
        <f>_xlfn.CONCAT($W10, IF(AC$3="", "", _xlfn.UNICHAR( HEX2DEC( RIGHT(AC$3,4)))))</f>
        <v/>
      </c>
      <c r="AD10" s="27">
        <f>_xlfn.CONCAT($W10, IF(AD$3="", "", _xlfn.UNICHAR( HEX2DEC( RIGHT(AD$3,4)))))</f>
        <v/>
      </c>
      <c r="AE10" s="27">
        <f>_xlfn.CONCAT($W10, IF(AE$3="", "", _xlfn.UNICHAR( HEX2DEC( RIGHT(AE$3,4)))))</f>
        <v/>
      </c>
      <c r="AF10" s="27">
        <f>_xlfn.CONCAT($W10, IF(AF$3="", "", _xlfn.UNICHAR( HEX2DEC( RIGHT(AF$3,4)))))</f>
        <v/>
      </c>
      <c r="AG10" s="27">
        <f>_xlfn.CONCAT($W10, IF(AG$3="", "", _xlfn.UNICHAR( HEX2DEC( RIGHT(AG$3,4)))))</f>
        <v/>
      </c>
      <c r="AI10" s="28">
        <f>_xlfn.CONCAT("    - xform/》", $W10, X$2, "/", X10, "/")</f>
        <v/>
      </c>
      <c r="AJ10" s="28">
        <f>_xlfn.CONCAT("    - xform/》", $W10, Y$2, "/", Y10, "/")</f>
        <v/>
      </c>
      <c r="AK10" s="28">
        <f>_xlfn.CONCAT("    - xform/》", $W10, Z$2, "/", Z10, "/")</f>
        <v/>
      </c>
      <c r="AL10" s="28">
        <f>_xlfn.CONCAT("    - xform/》", $W10, AA$2, "/", AA10, "/")</f>
        <v/>
      </c>
      <c r="AM10" s="28">
        <f>_xlfn.CONCAT("    - xform/》", $W10, AB$2, "/", AB10, "/")</f>
        <v/>
      </c>
      <c r="AN10" s="28">
        <f>_xlfn.CONCAT("    - xform/》", $W10, AC$2, "/", AC10, "/")</f>
        <v/>
      </c>
      <c r="AO10" s="28">
        <f>_xlfn.CONCAT("    - xform/》", $W10, AD$2, "/", AD10, "/")</f>
        <v/>
      </c>
      <c r="AP10" s="28">
        <f>_xlfn.CONCAT("    - xform/》", $W10, AE$2, "/", AE10, "/")</f>
        <v/>
      </c>
      <c r="AQ10" s="28">
        <f>_xlfn.CONCAT("    - xform/》", $W10, AF$2, "/", AF10, "/")</f>
        <v/>
      </c>
      <c r="AR10" s="28">
        <f>_xlfn.CONCAT("    - xform/》", $W10, AG$2, "/", AG10, "/")</f>
        <v/>
      </c>
      <c r="AS10" s="27" t="n"/>
      <c r="AT10" s="27" t="n"/>
      <c r="AU10" s="7" t="n"/>
    </row>
    <row r="11" ht="27.75" customHeight="1" s="69" thickBot="1">
      <c r="A11" s="19" t="n">
        <v>12</v>
      </c>
      <c r="B11" s="20" t="inlineStr">
        <is>
          <t>ãɪ</t>
        </is>
      </c>
      <c r="C11" s="21" t="inlineStr">
        <is>
          <t>ainn</t>
        </is>
      </c>
      <c r="D11" s="19" t="inlineStr">
        <is>
          <t>ainn</t>
        </is>
      </c>
      <c r="E11" s="19" t="inlineStr">
        <is>
          <t>ainn</t>
        </is>
      </c>
      <c r="F11" s="19" t="inlineStr">
        <is>
          <t>nai</t>
        </is>
      </c>
      <c r="G11" s="22" t="inlineStr">
        <is>
          <t>aiⁿ</t>
        </is>
      </c>
      <c r="H11" s="23" t="inlineStr">
        <is>
          <t>閒舒</t>
        </is>
      </c>
      <c r="I11" s="19" t="inlineStr">
        <is>
          <t>ㆮ</t>
        </is>
      </c>
      <c r="J11" s="29" t="inlineStr">
        <is>
          <t>韻-鼻</t>
        </is>
      </c>
      <c r="K11" s="23">
        <f>LEN(E11)</f>
        <v/>
      </c>
      <c r="L11" s="24" t="n"/>
      <c r="M11" s="11">
        <f>E11</f>
        <v/>
      </c>
      <c r="N11" s="11">
        <f>F11</f>
        <v/>
      </c>
      <c r="P11" s="3">
        <f>_xlfn.CONCAT(N11, "(\d)")</f>
        <v/>
      </c>
      <c r="Q11" s="5">
        <f>IF(ISNUMBER(FIND("a",C11)),"a",IF(ISNUMBER(FIND("oo",C11)),"o",IF(AND(ISNUMBER(FIND("e",C11)),ISNUMBER(FIND("o",C11))),IF(FIND("e",C11)&lt;FIND("o",C11),"e","o"),IF(ISNUMBER(FIND("e",C11)),"e",IF(ISNUMBER(FIND("o",C11)),"o",IF(AND(ISNUMBER(FIND("i",C11)),ISNUMBER(FIND("u",C11))),IF(FIND("i",C11)&lt;FIND("u",C11),"i","u"),IF(ISNUMBER(FIND("i",C11)),"i",IF(ISNUMBER(FIND("u",C11)),"u",IF(LEFT(C11,1)="m","m",IF(ISNUMBER(FIND("n",C11)),"n","")))))))))))</f>
        <v/>
      </c>
      <c r="R11" s="5">
        <f>IFERROR( IF(Q11="", "", SEARCH(Q11, $N11)), "")</f>
        <v/>
      </c>
      <c r="S11" s="3">
        <f>IFERROR( _xlfn.CONCAT(LEFT(N11,R11-1), "》", MID(N11,R11,1), "${1}", RIGHT(N11, LEN(N11)-R11)), "" )</f>
        <v/>
      </c>
      <c r="T11" s="25" t="n"/>
      <c r="U11" s="26">
        <f>IF(AND(N11&lt;&gt;"", M11&lt;&gt;""), "    - xform/》" &amp; P11 &amp; "/" &amp; S11 &amp; "/", "")</f>
        <v/>
      </c>
    </row>
    <row r="12" ht="30.75" customHeight="1" s="69" thickBot="1">
      <c r="A12" s="19" t="n">
        <v>19</v>
      </c>
      <c r="B12" s="20" t="inlineStr">
        <is>
          <t>ẽʔ</t>
        </is>
      </c>
      <c r="C12" s="21" t="inlineStr">
        <is>
          <t>ennh</t>
        </is>
      </c>
      <c r="D12" s="31" t="inlineStr">
        <is>
          <t>ennh</t>
        </is>
      </c>
      <c r="E12" s="31" t="inlineStr">
        <is>
          <t>ennh</t>
        </is>
      </c>
      <c r="F12" s="31" t="inlineStr">
        <is>
          <t>neh</t>
        </is>
      </c>
      <c r="G12" s="31" t="inlineStr">
        <is>
          <t>ehⁿ</t>
        </is>
      </c>
      <c r="H12" s="32" t="inlineStr">
        <is>
          <t>更促</t>
        </is>
      </c>
      <c r="I12" s="34" t="inlineStr">
        <is>
          <t>ㆥㆷ</t>
        </is>
      </c>
      <c r="J12" s="29" t="inlineStr">
        <is>
          <t>韻-鼻</t>
        </is>
      </c>
      <c r="K12" s="23">
        <f>LEN(E12)</f>
        <v/>
      </c>
      <c r="L12" s="24" t="n"/>
      <c r="M12" s="11">
        <f>E12</f>
        <v/>
      </c>
      <c r="N12" s="11">
        <f>F12</f>
        <v/>
      </c>
      <c r="P12" s="3">
        <f>_xlfn.CONCAT(N12, "(\d)")</f>
        <v/>
      </c>
      <c r="Q12" s="5">
        <f>IF(ISNUMBER(FIND("a",C12)),"a",IF(ISNUMBER(FIND("oo",C12)),"o",IF(AND(ISNUMBER(FIND("e",C12)),ISNUMBER(FIND("o",C12))),IF(FIND("e",C12)&lt;FIND("o",C12),"e","o"),IF(ISNUMBER(FIND("e",C12)),"e",IF(ISNUMBER(FIND("o",C12)),"o",IF(AND(ISNUMBER(FIND("i",C12)),ISNUMBER(FIND("u",C12))),IF(FIND("i",C12)&lt;FIND("u",C12),"i","u"),IF(ISNUMBER(FIND("i",C12)),"i",IF(ISNUMBER(FIND("u",C12)),"u",IF(LEFT(C12,1)="m","m",IF(ISNUMBER(FIND("n",C12)),"n","")))))))))))</f>
        <v/>
      </c>
      <c r="R12" s="5">
        <f>IFERROR( IF(Q12="", "", SEARCH(Q12, $N12)), "")</f>
        <v/>
      </c>
      <c r="S12" s="3">
        <f>IFERROR( _xlfn.CONCAT(LEFT(N12,R12-1), "》", MID(N12,R12,1), "${1}", RIGHT(N12, LEN(N12)-R12)), "" )</f>
        <v/>
      </c>
      <c r="T12" s="25" t="n"/>
      <c r="U12" s="26">
        <f>IF(AND(N12&lt;&gt;"", M12&lt;&gt;""), "    - xform/》" &amp; P12 &amp; "/" &amp; S12 &amp; "/", "")</f>
        <v/>
      </c>
    </row>
    <row r="13" ht="27.75" customHeight="1" s="69" thickBot="1">
      <c r="A13" s="19" t="n">
        <v>30</v>
      </c>
      <c r="B13" s="20" t="inlineStr">
        <is>
          <t>iã</t>
        </is>
      </c>
      <c r="C13" s="21" t="inlineStr">
        <is>
          <t>iann</t>
        </is>
      </c>
      <c r="D13" s="19" t="inlineStr">
        <is>
          <t>iann</t>
        </is>
      </c>
      <c r="E13" s="19" t="inlineStr">
        <is>
          <t>iann</t>
        </is>
      </c>
      <c r="F13" s="19" t="inlineStr">
        <is>
          <t>nia</t>
        </is>
      </c>
      <c r="G13" s="22" t="inlineStr">
        <is>
          <t>iaⁿ</t>
        </is>
      </c>
      <c r="H13" s="23" t="inlineStr">
        <is>
          <t>驚舒</t>
        </is>
      </c>
      <c r="I13" s="19" t="inlineStr">
        <is>
          <t>ㄧㆩ</t>
        </is>
      </c>
      <c r="J13" s="29" t="inlineStr">
        <is>
          <t>韻-鼻</t>
        </is>
      </c>
      <c r="K13" s="23">
        <f>LEN(E13)</f>
        <v/>
      </c>
      <c r="L13" s="24" t="n"/>
      <c r="M13" s="11">
        <f>E13</f>
        <v/>
      </c>
      <c r="N13" s="11">
        <f>F13</f>
        <v/>
      </c>
      <c r="P13" s="3">
        <f>_xlfn.CONCAT(N13, "(\d)")</f>
        <v/>
      </c>
      <c r="Q13" s="5">
        <f>IF(ISNUMBER(FIND("a",C13)),"a",IF(ISNUMBER(FIND("oo",C13)),"o",IF(AND(ISNUMBER(FIND("e",C13)),ISNUMBER(FIND("o",C13))),IF(FIND("e",C13)&lt;FIND("o",C13),"e","o"),IF(ISNUMBER(FIND("e",C13)),"e",IF(ISNUMBER(FIND("o",C13)),"o",IF(AND(ISNUMBER(FIND("i",C13)),ISNUMBER(FIND("u",C13))),IF(FIND("i",C13)&lt;FIND("u",C13),"i","u"),IF(ISNUMBER(FIND("i",C13)),"i",IF(ISNUMBER(FIND("u",C13)),"u",IF(LEFT(C13,1)="m","m",IF(ISNUMBER(FIND("n",C13)),"n","")))))))))))</f>
        <v/>
      </c>
      <c r="R13" s="5">
        <f>IFERROR( IF(Q13="", "", SEARCH(Q13, $N13)), "")</f>
        <v/>
      </c>
      <c r="S13" s="3">
        <f>IFERROR( _xlfn.CONCAT(LEFT(N13,R13-1), "》", MID(N13,R13,1), "${1}", RIGHT(N13, LEN(N13)-R13)), "" )</f>
        <v/>
      </c>
      <c r="T13" s="25" t="n"/>
      <c r="U13" s="26">
        <f>IF(AND(N13&lt;&gt;"", M13&lt;&gt;""), "    - xform/》" &amp; P13 &amp; "/" &amp; S13 &amp; "/", "")</f>
        <v/>
      </c>
    </row>
    <row r="14" ht="27.75" customHeight="1" s="69" thickBot="1">
      <c r="A14" s="19" t="n">
        <v>48</v>
      </c>
      <c r="B14" s="20" t="inlineStr">
        <is>
          <t>iũ</t>
        </is>
      </c>
      <c r="C14" s="21" t="inlineStr">
        <is>
          <t>iunn</t>
        </is>
      </c>
      <c r="D14" s="19" t="inlineStr">
        <is>
          <t>iunn</t>
        </is>
      </c>
      <c r="E14" s="19" t="inlineStr">
        <is>
          <t>iunn</t>
        </is>
      </c>
      <c r="F14" s="19" t="inlineStr">
        <is>
          <t>niu</t>
        </is>
      </c>
      <c r="G14" s="22" t="inlineStr">
        <is>
          <t>iuⁿ</t>
        </is>
      </c>
      <c r="H14" s="23" t="inlineStr">
        <is>
          <t>牛舒</t>
        </is>
      </c>
      <c r="I14" s="19" t="inlineStr">
        <is>
          <t>ㄧㆫ</t>
        </is>
      </c>
      <c r="J14" s="29" t="inlineStr">
        <is>
          <t>韻-鼻</t>
        </is>
      </c>
      <c r="K14" s="23">
        <f>LEN(E14)</f>
        <v/>
      </c>
      <c r="L14" s="24" t="n"/>
      <c r="M14" s="11">
        <f>E14</f>
        <v/>
      </c>
      <c r="N14" s="11">
        <f>F14</f>
        <v/>
      </c>
      <c r="P14" s="3">
        <f>_xlfn.CONCAT(N14, "(\d)")</f>
        <v/>
      </c>
      <c r="Q14" s="5">
        <f>IF(ISNUMBER(FIND("a",C14)),"a",IF(ISNUMBER(FIND("oo",C14)),"o",IF(AND(ISNUMBER(FIND("e",C14)),ISNUMBER(FIND("o",C14))),IF(FIND("e",C14)&lt;FIND("o",C14),"e","o"),IF(ISNUMBER(FIND("e",C14)),"e",IF(ISNUMBER(FIND("o",C14)),"o",IF(AND(ISNUMBER(FIND("i",C14)),ISNUMBER(FIND("u",C14))),IF(FIND("i",C14)&lt;FIND("u",C14),"i","u"),IF(ISNUMBER(FIND("i",C14)),"i",IF(ISNUMBER(FIND("u",C14)),"u",IF(LEFT(C14,1)="m","m",IF(ISNUMBER(FIND("n",C14)),"n","")))))))))))</f>
        <v/>
      </c>
      <c r="R14" s="5">
        <f>IFERROR( IF(Q14="", "", SEARCH(Q14, $N14)), "")</f>
        <v/>
      </c>
      <c r="S14" s="3">
        <f>IFERROR( _xlfn.CONCAT(LEFT(N14,R14-1), "》", MID(N14,R14,1), "${1}", RIGHT(N14, LEN(N14)-R14)), "" )</f>
        <v/>
      </c>
      <c r="T14" s="25" t="n"/>
      <c r="U14" s="26">
        <f>IF(AND(N14&lt;&gt;"", M14&lt;&gt;""), "    - xform/》" &amp; P14 &amp; "/" &amp; S14 &amp; "/", "")</f>
        <v/>
      </c>
    </row>
    <row r="15" ht="27.75" customHeight="1" s="69" thickBot="1">
      <c r="A15" s="19" t="n">
        <v>55</v>
      </c>
      <c r="B15" s="20" t="inlineStr">
        <is>
          <t>ɔ̃ʔ</t>
        </is>
      </c>
      <c r="C15" s="21" t="inlineStr">
        <is>
          <t>onnh</t>
        </is>
      </c>
      <c r="D15" s="19" t="inlineStr">
        <is>
          <t>ohnn</t>
        </is>
      </c>
      <c r="E15" s="19" t="inlineStr">
        <is>
          <t>onnh</t>
        </is>
      </c>
      <c r="F15" s="19" t="inlineStr">
        <is>
          <t>niuh</t>
        </is>
      </c>
      <c r="G15" s="22" t="inlineStr">
        <is>
          <t>ohⁿ</t>
        </is>
      </c>
      <c r="H15" s="23" t="inlineStr">
        <is>
          <t>扛促</t>
        </is>
      </c>
      <c r="I15" s="19" t="inlineStr">
        <is>
          <t>ㆧㆷ</t>
        </is>
      </c>
      <c r="J15" s="29" t="inlineStr">
        <is>
          <t>韻-鼻</t>
        </is>
      </c>
      <c r="K15" s="23">
        <f>LEN(E15)</f>
        <v/>
      </c>
      <c r="L15" s="24" t="n"/>
      <c r="M15" s="11">
        <f>E15</f>
        <v/>
      </c>
      <c r="N15" s="11">
        <f>F15</f>
        <v/>
      </c>
      <c r="P15" s="3">
        <f>_xlfn.CONCAT(N15, "(\d)")</f>
        <v/>
      </c>
      <c r="Q15" s="5">
        <f>IF(ISNUMBER(FIND("a",C15)),"a",IF(ISNUMBER(FIND("oo",C15)),"o",IF(AND(ISNUMBER(FIND("e",C15)),ISNUMBER(FIND("o",C15))),IF(FIND("e",C15)&lt;FIND("o",C15),"e","o"),IF(ISNUMBER(FIND("e",C15)),"e",IF(ISNUMBER(FIND("o",C15)),"o",IF(AND(ISNUMBER(FIND("i",C15)),ISNUMBER(FIND("u",C15))),IF(FIND("i",C15)&lt;FIND("u",C15),"i","u"),IF(ISNUMBER(FIND("i",C15)),"i",IF(ISNUMBER(FIND("u",C15)),"u",IF(LEFT(C15,1)="m","m",IF(ISNUMBER(FIND("n",C15)),"n","")))))))))))</f>
        <v/>
      </c>
      <c r="R15" s="5">
        <f>IFERROR( IF(Q15="", "", SEARCH(Q15, $N15)), "")</f>
        <v/>
      </c>
      <c r="S15" s="3">
        <f>IFERROR( _xlfn.CONCAT(LEFT(N15,R15-1), "》", MID(N15,R15,1), "${1}", RIGHT(N15, LEN(N15)-R15)), "" )</f>
        <v/>
      </c>
      <c r="T15" s="25" t="n"/>
      <c r="U15" s="26">
        <f>IF(AND(N15&lt;&gt;"", M15&lt;&gt;""), "    - xform/》" &amp; P15 &amp; "/" &amp; S15 &amp; "/", "")</f>
        <v/>
      </c>
    </row>
    <row r="16" ht="27.75" customHeight="1" s="69" thickBot="1">
      <c r="A16" s="19" t="n">
        <v>2</v>
      </c>
      <c r="B16" s="20" t="inlineStr">
        <is>
          <t>ã</t>
        </is>
      </c>
      <c r="C16" s="21" t="inlineStr">
        <is>
          <t>ann</t>
        </is>
      </c>
      <c r="D16" s="19" t="inlineStr">
        <is>
          <t>ann</t>
        </is>
      </c>
      <c r="E16" s="19" t="inlineStr">
        <is>
          <t>ann</t>
        </is>
      </c>
      <c r="F16" s="19" t="inlineStr">
        <is>
          <t>na</t>
        </is>
      </c>
      <c r="G16" s="22" t="inlineStr">
        <is>
          <t>aⁿ</t>
        </is>
      </c>
      <c r="H16" s="23" t="inlineStr">
        <is>
          <t>監舒</t>
        </is>
      </c>
      <c r="I16" s="19" t="inlineStr">
        <is>
          <t>ㆩ</t>
        </is>
      </c>
      <c r="J16" s="29" t="inlineStr">
        <is>
          <t>韻-鼻</t>
        </is>
      </c>
      <c r="K16" s="23">
        <f>LEN(E16)</f>
        <v/>
      </c>
      <c r="L16" s="24" t="n"/>
      <c r="M16" s="11">
        <f>E16</f>
        <v/>
      </c>
      <c r="N16" s="11">
        <f>F16</f>
        <v/>
      </c>
      <c r="P16" s="3">
        <f>_xlfn.CONCAT(N16, "(\d)")</f>
        <v/>
      </c>
      <c r="Q16" s="5">
        <f>IF(ISNUMBER(FIND("a",C16)),"a",IF(ISNUMBER(FIND("oo",C16)),"o",IF(AND(ISNUMBER(FIND("e",C16)),ISNUMBER(FIND("o",C16))),IF(FIND("e",C16)&lt;FIND("o",C16),"e","o"),IF(ISNUMBER(FIND("e",C16)),"e",IF(ISNUMBER(FIND("o",C16)),"o",IF(AND(ISNUMBER(FIND("i",C16)),ISNUMBER(FIND("u",C16))),IF(FIND("i",C16)&lt;FIND("u",C16),"i","u"),IF(ISNUMBER(FIND("i",C16)),"i",IF(ISNUMBER(FIND("u",C16)),"u",IF(LEFT(C16,1)="m","m",IF(ISNUMBER(FIND("n",C16)),"n","")))))))))))</f>
        <v/>
      </c>
      <c r="R16" s="5">
        <f>IFERROR( IF(Q16="", "", SEARCH(Q16, $N16)), "")</f>
        <v/>
      </c>
      <c r="S16" s="3">
        <f>IFERROR( _xlfn.CONCAT(LEFT(N16,R16-1), "》", MID(N16,R16,1), "${1}", RIGHT(N16, LEN(N16)-R16)), "" )</f>
        <v/>
      </c>
      <c r="T16" s="25" t="n"/>
      <c r="U16" s="26">
        <f>IF(AND(N16&lt;&gt;"", M16&lt;&gt;""), "    - xform/》" &amp; P16 &amp; "/" &amp; S16 &amp; "/", "")</f>
        <v/>
      </c>
    </row>
    <row r="17" ht="27.75" customHeight="1" s="69" thickBot="1">
      <c r="A17" s="19" t="n">
        <v>17</v>
      </c>
      <c r="B17" s="20" t="inlineStr">
        <is>
          <t>ẽ</t>
        </is>
      </c>
      <c r="C17" s="21" t="inlineStr">
        <is>
          <t>enn</t>
        </is>
      </c>
      <c r="D17" s="19" t="inlineStr">
        <is>
          <t>enn</t>
        </is>
      </c>
      <c r="E17" s="19" t="inlineStr">
        <is>
          <t>enn</t>
        </is>
      </c>
      <c r="F17" s="19" t="inlineStr">
        <is>
          <t>ne</t>
        </is>
      </c>
      <c r="G17" s="22" t="inlineStr">
        <is>
          <t>eⁿ</t>
        </is>
      </c>
      <c r="H17" s="23" t="inlineStr">
        <is>
          <t>更舒</t>
        </is>
      </c>
      <c r="I17" s="19" t="inlineStr">
        <is>
          <t>ㆥ</t>
        </is>
      </c>
      <c r="J17" s="29" t="inlineStr">
        <is>
          <t>韻-鼻</t>
        </is>
      </c>
      <c r="K17" s="23">
        <f>LEN(E17)</f>
        <v/>
      </c>
      <c r="L17" s="24" t="n"/>
      <c r="M17" s="11">
        <f>E17</f>
        <v/>
      </c>
      <c r="N17" s="11">
        <f>F17</f>
        <v/>
      </c>
      <c r="P17" s="3">
        <f>_xlfn.CONCAT(N17, "(\d)")</f>
        <v/>
      </c>
      <c r="Q17" s="5">
        <f>IF(ISNUMBER(FIND("a",C17)),"a",IF(ISNUMBER(FIND("oo",C17)),"o",IF(AND(ISNUMBER(FIND("e",C17)),ISNUMBER(FIND("o",C17))),IF(FIND("e",C17)&lt;FIND("o",C17),"e","o"),IF(ISNUMBER(FIND("e",C17)),"e",IF(ISNUMBER(FIND("o",C17)),"o",IF(AND(ISNUMBER(FIND("i",C17)),ISNUMBER(FIND("u",C17))),IF(FIND("i",C17)&lt;FIND("u",C17),"i","u"),IF(ISNUMBER(FIND("i",C17)),"i",IF(ISNUMBER(FIND("u",C17)),"u",IF(LEFT(C17,1)="m","m",IF(ISNUMBER(FIND("n",C17)),"n","")))))))))))</f>
        <v/>
      </c>
      <c r="R17" s="5">
        <f>IFERROR( IF(Q17="", "", SEARCH(Q17, $N17)), "")</f>
        <v/>
      </c>
      <c r="S17" s="3">
        <f>IFERROR( _xlfn.CONCAT(LEFT(N17,R17-1), "》", MID(N17,R17,1), "${1}", RIGHT(N17, LEN(N17)-R17)), "" )</f>
        <v/>
      </c>
      <c r="T17" s="25" t="n"/>
      <c r="U17" s="26">
        <f>IF(AND(N17&lt;&gt;"", M17&lt;&gt;""), "    - xform/》" &amp; P17 &amp; "/" &amp; S17 &amp; "/", "")</f>
        <v/>
      </c>
    </row>
    <row r="18" ht="27.75" customHeight="1" s="69" thickBot="1">
      <c r="A18" s="19" t="n">
        <v>21</v>
      </c>
      <c r="B18" s="20" t="inlineStr">
        <is>
          <t>ĩ</t>
        </is>
      </c>
      <c r="C18" s="21" t="inlineStr">
        <is>
          <t>inn</t>
        </is>
      </c>
      <c r="D18" s="19" t="inlineStr">
        <is>
          <t>inn</t>
        </is>
      </c>
      <c r="E18" s="19" t="inlineStr">
        <is>
          <t>inn</t>
        </is>
      </c>
      <c r="F18" s="19" t="inlineStr">
        <is>
          <t>ni</t>
        </is>
      </c>
      <c r="G18" s="22" t="inlineStr">
        <is>
          <t>iⁿ</t>
        </is>
      </c>
      <c r="H18" s="23" t="inlineStr">
        <is>
          <t>梔舒</t>
        </is>
      </c>
      <c r="I18" s="19" t="inlineStr">
        <is>
          <t>ㆪ</t>
        </is>
      </c>
      <c r="J18" s="29" t="inlineStr">
        <is>
          <t>韻-鼻</t>
        </is>
      </c>
      <c r="K18" s="23">
        <f>LEN(E18)</f>
        <v/>
      </c>
      <c r="L18" s="24" t="n"/>
      <c r="M18" s="11">
        <f>E18</f>
        <v/>
      </c>
      <c r="N18" s="11">
        <f>F18</f>
        <v/>
      </c>
      <c r="P18" s="3">
        <f>_xlfn.CONCAT(N18, "(\d)")</f>
        <v/>
      </c>
      <c r="Q18" s="5">
        <f>IF(ISNUMBER(FIND("a",C18)),"a",IF(ISNUMBER(FIND("oo",C18)),"o",IF(AND(ISNUMBER(FIND("e",C18)),ISNUMBER(FIND("o",C18))),IF(FIND("e",C18)&lt;FIND("o",C18),"e","o"),IF(ISNUMBER(FIND("e",C18)),"e",IF(ISNUMBER(FIND("o",C18)),"o",IF(AND(ISNUMBER(FIND("i",C18)),ISNUMBER(FIND("u",C18))),IF(FIND("i",C18)&lt;FIND("u",C18),"i","u"),IF(ISNUMBER(FIND("i",C18)),"i",IF(ISNUMBER(FIND("u",C18)),"u",IF(LEFT(C18,1)="m","m",IF(ISNUMBER(FIND("n",C18)),"n","")))))))))))</f>
        <v/>
      </c>
      <c r="R18" s="5">
        <f>IFERROR( IF(Q18="", "", SEARCH(Q18, $N18)), "")</f>
        <v/>
      </c>
      <c r="S18" s="3">
        <f>IFERROR( _xlfn.CONCAT(LEFT(N18,R18-1), "》", MID(N18,R18,1), "${1}", RIGHT(N18, LEN(N18)-R18)), "" )</f>
        <v/>
      </c>
      <c r="T18" s="25" t="n"/>
      <c r="U18" s="26">
        <f>IF(AND(N18&lt;&gt;"", M18&lt;&gt;""), "    - xform/》" &amp; P18 &amp; "/" &amp; S18 &amp; "/", "")</f>
        <v/>
      </c>
    </row>
    <row r="19" ht="27.75" customHeight="1" s="69" thickBot="1">
      <c r="A19" s="19" t="n">
        <v>78</v>
      </c>
      <c r="B19" s="20" t="inlineStr">
        <is>
          <t>uiʔ</t>
        </is>
      </c>
      <c r="C19" s="21" t="inlineStr">
        <is>
          <t>uih</t>
        </is>
      </c>
      <c r="D19" s="31" t="inlineStr">
        <is>
          <t>uih</t>
        </is>
      </c>
      <c r="E19" s="31" t="inlineStr">
        <is>
          <t>uih</t>
        </is>
      </c>
      <c r="F19" s="31" t="inlineStr">
        <is>
          <t>uih</t>
        </is>
      </c>
      <c r="G19" s="31" t="inlineStr">
        <is>
          <t>uih</t>
        </is>
      </c>
      <c r="H19" s="35" t="inlineStr">
        <is>
          <t>褌促</t>
        </is>
      </c>
      <c r="I19" s="33" t="inlineStr">
        <is>
          <t>ㄨㄧㆷ</t>
        </is>
      </c>
      <c r="J19" s="29" t="inlineStr">
        <is>
          <t>韻-鼻</t>
        </is>
      </c>
      <c r="K19" s="23">
        <f>LEN(E19)</f>
        <v/>
      </c>
      <c r="L19" s="24" t="n"/>
      <c r="M19" s="11">
        <f>E19</f>
        <v/>
      </c>
      <c r="N19" s="11">
        <f>F19</f>
        <v/>
      </c>
      <c r="P19" s="3">
        <f>_xlfn.CONCAT(N19, "(\d)")</f>
        <v/>
      </c>
      <c r="Q19" s="5">
        <f>IF(ISNUMBER(FIND("a",C19)),"a",IF(ISNUMBER(FIND("oo",C19)),"o",IF(AND(ISNUMBER(FIND("e",C19)),ISNUMBER(FIND("o",C19))),IF(FIND("e",C19)&lt;FIND("o",C19),"e","o"),IF(ISNUMBER(FIND("e",C19)),"e",IF(ISNUMBER(FIND("o",C19)),"o",IF(AND(ISNUMBER(FIND("i",C19)),ISNUMBER(FIND("u",C19))),IF(FIND("i",C19)&lt;FIND("u",C19),"i","u"),IF(ISNUMBER(FIND("i",C19)),"i",IF(ISNUMBER(FIND("u",C19)),"u",IF(LEFT(C19,1)="m","m",IF(ISNUMBER(FIND("n",C19)),"n","")))))))))))</f>
        <v/>
      </c>
      <c r="R19" s="5">
        <f>IFERROR( IF(Q19="", "", SEARCH(Q19, $N19)), "")</f>
        <v/>
      </c>
      <c r="S19" s="3">
        <f>IFERROR( _xlfn.CONCAT(LEFT(N19,R19-1), "》", MID(N19,R19,1), "${1}", RIGHT(N19, LEN(N19)-R19)), "" )</f>
        <v/>
      </c>
      <c r="T19" s="25" t="n"/>
      <c r="U19" s="26">
        <f>IF(AND(N19&lt;&gt;"", M19&lt;&gt;""), "    - xform/》" &amp; P19 &amp; "/" &amp; S19 &amp; "/", "")</f>
        <v/>
      </c>
    </row>
    <row r="20" ht="27.75" customHeight="1" s="69" thickBot="1">
      <c r="A20" s="19" t="n">
        <v>35</v>
      </c>
      <c r="B20" s="20" t="inlineStr">
        <is>
          <t>ɪaŋ</t>
        </is>
      </c>
      <c r="C20" s="21" t="inlineStr">
        <is>
          <t>iang</t>
        </is>
      </c>
      <c r="D20" s="19" t="inlineStr">
        <is>
          <t>iang</t>
        </is>
      </c>
      <c r="E20" s="19" t="inlineStr">
        <is>
          <t>iang</t>
        </is>
      </c>
      <c r="F20" s="19" t="inlineStr">
        <is>
          <t>iang</t>
        </is>
      </c>
      <c r="G20" s="22" t="inlineStr">
        <is>
          <t>iang</t>
        </is>
      </c>
      <c r="H20" s="23" t="inlineStr">
        <is>
          <t>姜舒</t>
        </is>
      </c>
      <c r="I20" s="19" t="inlineStr">
        <is>
          <t>ㄧㄤ</t>
        </is>
      </c>
      <c r="J20" s="19" t="n"/>
      <c r="K20" s="23">
        <f>LEN(E20)</f>
        <v/>
      </c>
      <c r="L20" s="24" t="n"/>
      <c r="M20" s="11">
        <f>E20</f>
        <v/>
      </c>
      <c r="N20" s="11">
        <f>F20</f>
        <v/>
      </c>
      <c r="P20" s="3">
        <f>_xlfn.CONCAT(N20, "(\d)")</f>
        <v/>
      </c>
      <c r="Q20" s="5">
        <f>IF(ISNUMBER(FIND("a",C20)),"a",IF(ISNUMBER(FIND("oo",C20)),"o",IF(AND(ISNUMBER(FIND("e",C20)),ISNUMBER(FIND("o",C20))),IF(FIND("e",C20)&lt;FIND("o",C20),"e","o"),IF(ISNUMBER(FIND("e",C20)),"e",IF(ISNUMBER(FIND("o",C20)),"o",IF(AND(ISNUMBER(FIND("i",C20)),ISNUMBER(FIND("u",C20))),IF(FIND("i",C20)&lt;FIND("u",C20),"i","u"),IF(ISNUMBER(FIND("i",C20)),"i",IF(ISNUMBER(FIND("u",C20)),"u",IF(LEFT(C20,1)="m","m",IF(ISNUMBER(FIND("n",C20)),"n","")))))))))))</f>
        <v/>
      </c>
      <c r="R20" s="5">
        <f>IFERROR( IF(Q20="", "", SEARCH(Q20, $N20)), "")</f>
        <v/>
      </c>
      <c r="S20" s="3">
        <f>IFERROR( _xlfn.CONCAT(LEFT(N20,R20-1), "》", MID(N20,R20,1), "${1}", RIGHT(N20, LEN(N20)-R20)), "" )</f>
        <v/>
      </c>
      <c r="T20" s="25" t="n"/>
      <c r="U20" s="26">
        <f>IF(AND(N20&lt;&gt;"", M20&lt;&gt;""), "    - xform/》" &amp; P20 &amp; "/" &amp; S20 &amp; "/", "")</f>
        <v/>
      </c>
    </row>
    <row r="21" ht="27.75" customHeight="1" s="69" thickBot="1">
      <c r="A21" s="19" t="n">
        <v>41</v>
      </c>
      <c r="B21" s="20" t="inlineStr">
        <is>
          <t>ɪauʔ</t>
        </is>
      </c>
      <c r="C21" s="21" t="inlineStr">
        <is>
          <t>iauh</t>
        </is>
      </c>
      <c r="D21" s="19" t="inlineStr">
        <is>
          <t>iauh</t>
        </is>
      </c>
      <c r="E21" s="19" t="inlineStr">
        <is>
          <t>iauh</t>
        </is>
      </c>
      <c r="F21" s="19" t="inlineStr">
        <is>
          <t>iaoh</t>
        </is>
      </c>
      <c r="G21" s="22" t="inlineStr">
        <is>
          <t>iauh</t>
        </is>
      </c>
      <c r="H21" s="23" t="inlineStr">
        <is>
          <t>嬌促</t>
        </is>
      </c>
      <c r="I21" s="19" t="inlineStr">
        <is>
          <t>ㄧㄠㆷ</t>
        </is>
      </c>
      <c r="J21" s="19" t="n"/>
      <c r="K21" s="23">
        <f>LEN(E21)</f>
        <v/>
      </c>
      <c r="L21" s="24" t="n"/>
      <c r="M21" s="11">
        <f>E21</f>
        <v/>
      </c>
      <c r="N21" s="11">
        <f>F21</f>
        <v/>
      </c>
      <c r="P21" s="3">
        <f>_xlfn.CONCAT(N21, "(\d)")</f>
        <v/>
      </c>
      <c r="Q21" s="5">
        <f>IF(ISNUMBER(FIND("a",C21)),"a",IF(ISNUMBER(FIND("oo",C21)),"o",IF(AND(ISNUMBER(FIND("e",C21)),ISNUMBER(FIND("o",C21))),IF(FIND("e",C21)&lt;FIND("o",C21),"e","o"),IF(ISNUMBER(FIND("e",C21)),"e",IF(ISNUMBER(FIND("o",C21)),"o",IF(AND(ISNUMBER(FIND("i",C21)),ISNUMBER(FIND("u",C21))),IF(FIND("i",C21)&lt;FIND("u",C21),"i","u"),IF(ISNUMBER(FIND("i",C21)),"i",IF(ISNUMBER(FIND("u",C21)),"u",IF(LEFT(C21,1)="m","m",IF(ISNUMBER(FIND("n",C21)),"n","")))))))))))</f>
        <v/>
      </c>
      <c r="R21" s="5">
        <f>IFERROR( IF(Q21="", "", SEARCH(Q21, $N21)), "")</f>
        <v/>
      </c>
      <c r="S21" s="3">
        <f>IFERROR( _xlfn.CONCAT(LEFT(N21,R21-1), "》", MID(N21,R21,1), "${1}", RIGHT(N21, LEN(N21)-R21)), "" )</f>
        <v/>
      </c>
      <c r="T21" s="25" t="n"/>
      <c r="U21" s="26">
        <f>IF(AND(N21&lt;&gt;"", M21&lt;&gt;""), "    - xform/》" &amp; P21 &amp; "/" &amp; S21 &amp; "/", "")</f>
        <v/>
      </c>
    </row>
    <row r="22" ht="27.75" customHeight="1" s="69" thickBot="1">
      <c r="A22" s="19" t="n">
        <v>44</v>
      </c>
      <c r="B22" s="20" t="inlineStr">
        <is>
          <t>ɪəʔ/ɪoʔ</t>
        </is>
      </c>
      <c r="C22" s="21" t="inlineStr">
        <is>
          <t>ioh</t>
        </is>
      </c>
      <c r="D22" s="19" t="inlineStr">
        <is>
          <t>ioh</t>
        </is>
      </c>
      <c r="E22" s="19" t="inlineStr">
        <is>
          <t>iorh</t>
        </is>
      </c>
      <c r="F22" s="19" t="inlineStr">
        <is>
          <t>ioh</t>
        </is>
      </c>
      <c r="G22" s="22" t="inlineStr">
        <is>
          <t>ioh</t>
        </is>
      </c>
      <c r="H22" s="23" t="inlineStr">
        <is>
          <t>茄促</t>
        </is>
      </c>
      <c r="I22" s="19" t="inlineStr">
        <is>
          <t>ㄧㄜㆷ</t>
        </is>
      </c>
      <c r="J22" s="19" t="n"/>
      <c r="K22" s="23">
        <f>LEN(E22)</f>
        <v/>
      </c>
      <c r="L22" s="24" t="n"/>
      <c r="M22" s="11">
        <f>E22</f>
        <v/>
      </c>
      <c r="N22" s="11">
        <f>F22</f>
        <v/>
      </c>
      <c r="P22" s="3">
        <f>_xlfn.CONCAT(N22, "(\d)")</f>
        <v/>
      </c>
      <c r="Q22" s="5">
        <f>IF(ISNUMBER(FIND("a",C22)),"a",IF(ISNUMBER(FIND("oo",C22)),"o",IF(AND(ISNUMBER(FIND("e",C22)),ISNUMBER(FIND("o",C22))),IF(FIND("e",C22)&lt;FIND("o",C22),"e","o"),IF(ISNUMBER(FIND("e",C22)),"e",IF(ISNUMBER(FIND("o",C22)),"o",IF(AND(ISNUMBER(FIND("i",C22)),ISNUMBER(FIND("u",C22))),IF(FIND("i",C22)&lt;FIND("u",C22),"i","u"),IF(ISNUMBER(FIND("i",C22)),"i",IF(ISNUMBER(FIND("u",C22)),"u",IF(LEFT(C22,1)="m","m",IF(ISNUMBER(FIND("n",C22)),"n","")))))))))))</f>
        <v/>
      </c>
      <c r="R22" s="5">
        <f>IFERROR( IF(Q22="", "", SEARCH(Q22, $N22)), "")</f>
        <v/>
      </c>
      <c r="S22" s="3">
        <f>IFERROR( _xlfn.CONCAT(LEFT(N22,R22-1), "》", MID(N22,R22,1), "${1}", RIGHT(N22, LEN(N22)-R22)), "" )</f>
        <v/>
      </c>
      <c r="T22" s="25" t="n"/>
      <c r="U22" s="26">
        <f>IF(AND(N22&lt;&gt;"", M22&lt;&gt;""), "    - xform/》" &amp; P22 &amp; "/" &amp; S22 &amp; "/", "")</f>
        <v/>
      </c>
    </row>
    <row r="23" ht="27.75" customHeight="1" s="69" thickBot="1">
      <c r="A23" s="19" t="n">
        <v>45</v>
      </c>
      <c r="B23" s="20" t="inlineStr">
        <is>
          <t>ɪɔŋ</t>
        </is>
      </c>
      <c r="C23" s="21" t="inlineStr">
        <is>
          <t>iong</t>
        </is>
      </c>
      <c r="D23" s="19" t="inlineStr">
        <is>
          <t>iong</t>
        </is>
      </c>
      <c r="E23" s="19" t="inlineStr">
        <is>
          <t>iong</t>
        </is>
      </c>
      <c r="F23" s="19" t="inlineStr">
        <is>
          <t>iong</t>
        </is>
      </c>
      <c r="G23" s="22" t="inlineStr">
        <is>
          <t>iong</t>
        </is>
      </c>
      <c r="H23" s="23" t="inlineStr">
        <is>
          <t>恭舒</t>
        </is>
      </c>
      <c r="I23" s="19" t="inlineStr">
        <is>
          <t>ㄧㆲ</t>
        </is>
      </c>
      <c r="J23" s="19" t="n"/>
      <c r="K23" s="23">
        <f>LEN(E23)</f>
        <v/>
      </c>
      <c r="L23" s="24" t="n"/>
      <c r="M23" s="11">
        <f>E23</f>
        <v/>
      </c>
      <c r="N23" s="11">
        <f>F23</f>
        <v/>
      </c>
      <c r="P23" s="3">
        <f>_xlfn.CONCAT(N23, "(\d)")</f>
        <v/>
      </c>
      <c r="Q23" s="5">
        <f>IF(ISNUMBER(FIND("a",C23)),"a",IF(ISNUMBER(FIND("oo",C23)),"o",IF(AND(ISNUMBER(FIND("e",C23)),ISNUMBER(FIND("o",C23))),IF(FIND("e",C23)&lt;FIND("o",C23),"e","o"),IF(ISNUMBER(FIND("e",C23)),"e",IF(ISNUMBER(FIND("o",C23)),"o",IF(AND(ISNUMBER(FIND("i",C23)),ISNUMBER(FIND("u",C23))),IF(FIND("i",C23)&lt;FIND("u",C23),"i","u"),IF(ISNUMBER(FIND("i",C23)),"i",IF(ISNUMBER(FIND("u",C23)),"u",IF(LEFT(C23,1)="m","m",IF(ISNUMBER(FIND("n",C23)),"n","")))))))))))</f>
        <v/>
      </c>
      <c r="R23" s="5">
        <f>IFERROR( IF(Q23="", "", SEARCH(Q23, $N23)), "")</f>
        <v/>
      </c>
      <c r="S23" s="3">
        <f>IFERROR( _xlfn.CONCAT(LEFT(N23,R23-1), "》", MID(N23,R23,1), "${1}", RIGHT(N23, LEN(N23)-R23)), "" )</f>
        <v/>
      </c>
      <c r="T23" s="25" t="n"/>
      <c r="U23" s="26">
        <f>IF(AND(N23&lt;&gt;"", M23&lt;&gt;""), "    - xform/》" &amp; P23 &amp; "/" &amp; S23 &amp; "/", "")</f>
        <v/>
      </c>
    </row>
    <row r="24" ht="27.75" customHeight="1" s="69" thickBot="1">
      <c r="A24" s="19" t="n">
        <v>46</v>
      </c>
      <c r="B24" s="20" t="inlineStr">
        <is>
          <t>ɪɔk̚</t>
        </is>
      </c>
      <c r="C24" s="21" t="inlineStr">
        <is>
          <t>iok</t>
        </is>
      </c>
      <c r="D24" s="19" t="inlineStr">
        <is>
          <t>iok</t>
        </is>
      </c>
      <c r="E24" s="19" t="inlineStr">
        <is>
          <t>iook</t>
        </is>
      </c>
      <c r="F24" s="19" t="inlineStr">
        <is>
          <t>iok</t>
        </is>
      </c>
      <c r="G24" s="22" t="inlineStr">
        <is>
          <t>iok</t>
        </is>
      </c>
      <c r="H24" s="23" t="inlineStr">
        <is>
          <t>恭促</t>
        </is>
      </c>
      <c r="I24" s="19" t="inlineStr">
        <is>
          <t>ㄧㆦㆻ</t>
        </is>
      </c>
      <c r="J24" s="19" t="n"/>
      <c r="K24" s="23">
        <f>LEN(E24)</f>
        <v/>
      </c>
      <c r="L24" s="24" t="n"/>
      <c r="M24" s="11">
        <f>E24</f>
        <v/>
      </c>
      <c r="N24" s="11">
        <f>F24</f>
        <v/>
      </c>
      <c r="P24" s="3">
        <f>_xlfn.CONCAT(N24, "(\d)")</f>
        <v/>
      </c>
      <c r="Q24" s="5">
        <f>IF(ISNUMBER(FIND("a",C24)),"a",IF(ISNUMBER(FIND("oo",C24)),"o",IF(AND(ISNUMBER(FIND("e",C24)),ISNUMBER(FIND("o",C24))),IF(FIND("e",C24)&lt;FIND("o",C24),"e","o"),IF(ISNUMBER(FIND("e",C24)),"e",IF(ISNUMBER(FIND("o",C24)),"o",IF(AND(ISNUMBER(FIND("i",C24)),ISNUMBER(FIND("u",C24))),IF(FIND("i",C24)&lt;FIND("u",C24),"i","u"),IF(ISNUMBER(FIND("i",C24)),"i",IF(ISNUMBER(FIND("u",C24)),"u",IF(LEFT(C24,1)="m","m",IF(ISNUMBER(FIND("n",C24)),"n","")))))))))))</f>
        <v/>
      </c>
      <c r="R24" s="5">
        <f>IFERROR( IF(Q24="", "", SEARCH(Q24, $N24)), "")</f>
        <v/>
      </c>
      <c r="S24" s="3">
        <f>IFERROR( _xlfn.CONCAT(LEFT(N24,R24-1), "》", MID(N24,R24,1), "${1}", RIGHT(N24, LEN(N24)-R24)), "" )</f>
        <v/>
      </c>
      <c r="T24" s="25" t="n"/>
      <c r="U24" s="26">
        <f>IF(AND(N24&lt;&gt;"", M24&lt;&gt;""), "    - xform/》" &amp; P24 &amp; "/" &amp; S24 &amp; "/", "")</f>
        <v/>
      </c>
    </row>
    <row r="25" ht="27.75" customHeight="1" s="69" thickBot="1">
      <c r="A25" s="19" t="n">
        <v>52</v>
      </c>
      <c r="B25" s="20" t="inlineStr">
        <is>
          <t>ɔ̃</t>
        </is>
      </c>
      <c r="C25" s="21" t="inlineStr">
        <is>
          <t>onn</t>
        </is>
      </c>
      <c r="D25" s="19" t="inlineStr">
        <is>
          <t>onn</t>
        </is>
      </c>
      <c r="E25" s="19" t="inlineStr">
        <is>
          <t>oonn</t>
        </is>
      </c>
      <c r="F25" s="19" t="inlineStr">
        <is>
          <t>noo</t>
        </is>
      </c>
      <c r="G25" s="22" t="inlineStr">
        <is>
          <t>oⁿ</t>
        </is>
      </c>
      <c r="H25" s="23" t="inlineStr">
        <is>
          <t>姑舒</t>
        </is>
      </c>
      <c r="I25" s="19" t="inlineStr">
        <is>
          <t>ㆧ</t>
        </is>
      </c>
      <c r="J25" s="19" t="n"/>
      <c r="K25" s="23">
        <f>LEN(E25)</f>
        <v/>
      </c>
      <c r="L25" s="24" t="n"/>
      <c r="M25" s="11">
        <f>E25</f>
        <v/>
      </c>
      <c r="N25" s="11">
        <f>F25</f>
        <v/>
      </c>
      <c r="P25" s="3">
        <f>_xlfn.CONCAT(N25, "(\d)")</f>
        <v/>
      </c>
      <c r="Q25" s="5">
        <f>IF(ISNUMBER(FIND("a",C25)),"a",IF(ISNUMBER(FIND("oo",C25)),"o",IF(AND(ISNUMBER(FIND("e",C25)),ISNUMBER(FIND("o",C25))),IF(FIND("e",C25)&lt;FIND("o",C25),"e","o"),IF(ISNUMBER(FIND("e",C25)),"e",IF(ISNUMBER(FIND("o",C25)),"o",IF(AND(ISNUMBER(FIND("i",C25)),ISNUMBER(FIND("u",C25))),IF(FIND("i",C25)&lt;FIND("u",C25),"i","u"),IF(ISNUMBER(FIND("i",C25)),"i",IF(ISNUMBER(FIND("u",C25)),"u",IF(LEFT(C25,1)="m","m",IF(ISNUMBER(FIND("n",C25)),"n","")))))))))))</f>
        <v/>
      </c>
      <c r="R25" s="5">
        <f>IFERROR( IF(Q25="", "", SEARCH(Q25, $N25)), "")</f>
        <v/>
      </c>
      <c r="S25" s="3">
        <f>IFERROR( _xlfn.CONCAT(LEFT(N25,R25-1), "》", MID(N25,R25,1), "${1}", RIGHT(N25, LEN(N25)-R25)), "" )</f>
        <v/>
      </c>
      <c r="T25" s="25" t="n"/>
      <c r="U25" s="26">
        <f>IF(AND(N25&lt;&gt;"", M25&lt;&gt;""), "    - xform/》" &amp; P25 &amp; "/" &amp; S25 &amp; "/", "")</f>
        <v/>
      </c>
    </row>
    <row r="26" ht="27.75" customHeight="1" s="69" thickBot="1">
      <c r="A26" s="19" t="n">
        <v>65</v>
      </c>
      <c r="B26" s="20" t="inlineStr">
        <is>
          <t>uã</t>
        </is>
      </c>
      <c r="C26" s="21" t="inlineStr">
        <is>
          <t>uann</t>
        </is>
      </c>
      <c r="D26" s="19" t="inlineStr">
        <is>
          <t>uann</t>
        </is>
      </c>
      <c r="E26" s="19" t="inlineStr">
        <is>
          <t>uann</t>
        </is>
      </c>
      <c r="F26" s="19" t="inlineStr">
        <is>
          <t>nua</t>
        </is>
      </c>
      <c r="G26" s="22" t="inlineStr">
        <is>
          <t>oaⁿ</t>
        </is>
      </c>
      <c r="H26" s="23" t="inlineStr">
        <is>
          <t>官舒</t>
        </is>
      </c>
      <c r="I26" s="19" t="inlineStr">
        <is>
          <t>ㄨㆩ</t>
        </is>
      </c>
      <c r="J26" s="19" t="n"/>
      <c r="K26" s="23">
        <f>LEN(E26)</f>
        <v/>
      </c>
      <c r="L26" s="24" t="n"/>
      <c r="M26" s="11">
        <f>E26</f>
        <v/>
      </c>
      <c r="N26" s="11">
        <f>F26</f>
        <v/>
      </c>
      <c r="P26" s="3">
        <f>_xlfn.CONCAT(N26, "(\d)")</f>
        <v/>
      </c>
      <c r="Q26" s="5">
        <f>IF(ISNUMBER(FIND("a",C26)),"a",IF(ISNUMBER(FIND("oo",C26)),"o",IF(AND(ISNUMBER(FIND("e",C26)),ISNUMBER(FIND("o",C26))),IF(FIND("e",C26)&lt;FIND("o",C26),"e","o"),IF(ISNUMBER(FIND("e",C26)),"e",IF(ISNUMBER(FIND("o",C26)),"o",IF(AND(ISNUMBER(FIND("i",C26)),ISNUMBER(FIND("u",C26))),IF(FIND("i",C26)&lt;FIND("u",C26),"i","u"),IF(ISNUMBER(FIND("i",C26)),"i",IF(ISNUMBER(FIND("u",C26)),"u",IF(LEFT(C26,1)="m","m",IF(ISNUMBER(FIND("n",C26)),"n","")))))))))))</f>
        <v/>
      </c>
      <c r="R26" s="5">
        <f>IFERROR( IF(Q26="", "", SEARCH(Q26, $N26)), "")</f>
        <v/>
      </c>
      <c r="S26" s="3">
        <f>IFERROR( _xlfn.CONCAT(LEFT(N26,R26-1), "》", MID(N26,R26,1), "${1}", RIGHT(N26, LEN(N26)-R26)), "" )</f>
        <v/>
      </c>
      <c r="T26" s="25" t="n"/>
      <c r="U26" s="26">
        <f>IF(AND(N26&lt;&gt;"", M26&lt;&gt;""), "    - xform/》" &amp; P26 &amp; "/" &amp; S26 &amp; "/", "")</f>
        <v/>
      </c>
    </row>
    <row r="27" ht="27.75" customHeight="1" s="69" thickBot="1">
      <c r="A27" s="19" t="n">
        <v>68</v>
      </c>
      <c r="B27" s="20" t="inlineStr">
        <is>
          <t>uaŋ</t>
        </is>
      </c>
      <c r="C27" s="21" t="inlineStr">
        <is>
          <t>uang</t>
        </is>
      </c>
      <c r="D27" s="19" t="inlineStr">
        <is>
          <t>uang</t>
        </is>
      </c>
      <c r="E27" s="19" t="inlineStr">
        <is>
          <t>uang</t>
        </is>
      </c>
      <c r="F27" s="19" t="inlineStr">
        <is>
          <t>uang</t>
        </is>
      </c>
      <c r="G27" s="22" t="inlineStr">
        <is>
          <t>oang</t>
        </is>
      </c>
      <c r="H27" s="23" t="inlineStr">
        <is>
          <t>光舒</t>
        </is>
      </c>
      <c r="I27" s="19" t="inlineStr">
        <is>
          <t>ㄨㄤ</t>
        </is>
      </c>
      <c r="J27" s="19" t="n"/>
      <c r="K27" s="23">
        <f>LEN(E27)</f>
        <v/>
      </c>
      <c r="L27" s="24" t="n"/>
      <c r="M27" s="11">
        <f>E27</f>
        <v/>
      </c>
      <c r="N27" s="11">
        <f>F27</f>
        <v/>
      </c>
      <c r="P27" s="3">
        <f>_xlfn.CONCAT(N27, "(\d)")</f>
        <v/>
      </c>
      <c r="Q27" s="5">
        <f>IF(ISNUMBER(FIND("a",C27)),"a",IF(ISNUMBER(FIND("oo",C27)),"o",IF(AND(ISNUMBER(FIND("e",C27)),ISNUMBER(FIND("o",C27))),IF(FIND("e",C27)&lt;FIND("o",C27),"e","o"),IF(ISNUMBER(FIND("e",C27)),"e",IF(ISNUMBER(FIND("o",C27)),"o",IF(AND(ISNUMBER(FIND("i",C27)),ISNUMBER(FIND("u",C27))),IF(FIND("i",C27)&lt;FIND("u",C27),"i","u"),IF(ISNUMBER(FIND("i",C27)),"i",IF(ISNUMBER(FIND("u",C27)),"u",IF(LEFT(C27,1)="m","m",IF(ISNUMBER(FIND("n",C27)),"n","")))))))))))</f>
        <v/>
      </c>
      <c r="R27" s="5">
        <f>IFERROR( IF(Q27="", "", SEARCH(Q27, $N27)), "")</f>
        <v/>
      </c>
      <c r="S27" s="3">
        <f>IFERROR( _xlfn.CONCAT(LEFT(N27,R27-1), "》", MID(N27,R27,1), "${1}", RIGHT(N27, LEN(N27)-R27)), "" )</f>
        <v/>
      </c>
      <c r="T27" s="25" t="n"/>
      <c r="U27" s="26">
        <f>IF(AND(N27&lt;&gt;"", M27&lt;&gt;""), "    - xform/》" &amp; P27 &amp; "/" &amp; S27 &amp; "/", "")</f>
        <v/>
      </c>
    </row>
    <row r="28" ht="27.75" customHeight="1" s="69" thickBot="1">
      <c r="A28" s="19" t="n">
        <v>72</v>
      </c>
      <c r="B28" s="20" t="inlineStr">
        <is>
          <t>uaiʔ</t>
        </is>
      </c>
      <c r="C28" s="21" t="inlineStr">
        <is>
          <t>uaih</t>
        </is>
      </c>
      <c r="D28" s="19" t="inlineStr">
        <is>
          <t>uaih</t>
        </is>
      </c>
      <c r="E28" s="19" t="inlineStr">
        <is>
          <t>uaih</t>
        </is>
      </c>
      <c r="F28" s="19" t="inlineStr">
        <is>
          <t>uaih</t>
        </is>
      </c>
      <c r="G28" s="22" t="inlineStr">
        <is>
          <t>oaih</t>
        </is>
      </c>
      <c r="H28" s="23" t="inlineStr">
        <is>
          <t>乖促</t>
        </is>
      </c>
      <c r="I28" s="19" t="inlineStr">
        <is>
          <t>ㄨㄞㆷ</t>
        </is>
      </c>
      <c r="J28" s="19" t="n"/>
      <c r="K28" s="23">
        <f>LEN(E28)</f>
        <v/>
      </c>
      <c r="L28" s="24" t="n"/>
      <c r="M28" s="11">
        <f>E28</f>
        <v/>
      </c>
      <c r="N28" s="11">
        <f>F28</f>
        <v/>
      </c>
      <c r="P28" s="3">
        <f>_xlfn.CONCAT(N28, "(\d)")</f>
        <v/>
      </c>
      <c r="Q28" s="5">
        <f>IF(ISNUMBER(FIND("a",C28)),"a",IF(ISNUMBER(FIND("oo",C28)),"o",IF(AND(ISNUMBER(FIND("e",C28)),ISNUMBER(FIND("o",C28))),IF(FIND("e",C28)&lt;FIND("o",C28),"e","o"),IF(ISNUMBER(FIND("e",C28)),"e",IF(ISNUMBER(FIND("o",C28)),"o",IF(AND(ISNUMBER(FIND("i",C28)),ISNUMBER(FIND("u",C28))),IF(FIND("i",C28)&lt;FIND("u",C28),"i","u"),IF(ISNUMBER(FIND("i",C28)),"i",IF(ISNUMBER(FIND("u",C28)),"u",IF(LEFT(C28,1)="m","m",IF(ISNUMBER(FIND("n",C28)),"n","")))))))))))</f>
        <v/>
      </c>
      <c r="R28" s="5">
        <f>IFERROR( IF(Q28="", "", SEARCH(Q28, $N28)), "")</f>
        <v/>
      </c>
      <c r="S28" s="3">
        <f>IFERROR( _xlfn.CONCAT(LEFT(N28,R28-1), "》", MID(N28,R28,1), "${1}", RIGHT(N28, LEN(N28)-R28)), "" )</f>
        <v/>
      </c>
      <c r="T28" s="25" t="n"/>
      <c r="U28" s="26">
        <f>IF(AND(N28&lt;&gt;"", M28&lt;&gt;""), "    - xform/》" &amp; P28 &amp; "/" &amp; S28 &amp; "/", "")</f>
        <v/>
      </c>
    </row>
    <row r="29" ht="27.75" customHeight="1" s="69" thickBot="1">
      <c r="A29" s="19" t="n">
        <v>77</v>
      </c>
      <c r="B29" s="20" t="inlineStr">
        <is>
          <t>uĩ</t>
        </is>
      </c>
      <c r="C29" s="21" t="inlineStr">
        <is>
          <t>uinn</t>
        </is>
      </c>
      <c r="D29" s="19" t="inlineStr">
        <is>
          <t>uinn</t>
        </is>
      </c>
      <c r="E29" s="19" t="inlineStr">
        <is>
          <t>uinn</t>
        </is>
      </c>
      <c r="F29" s="19" t="inlineStr">
        <is>
          <t>nui</t>
        </is>
      </c>
      <c r="G29" s="22" t="inlineStr">
        <is>
          <t>uiⁿ</t>
        </is>
      </c>
      <c r="H29" s="23" t="inlineStr">
        <is>
          <t>褌舒</t>
        </is>
      </c>
      <c r="I29" s="19" t="inlineStr">
        <is>
          <t>ㄨㆪ</t>
        </is>
      </c>
      <c r="J29" s="19" t="n"/>
      <c r="K29" s="23">
        <f>LEN(E29)</f>
        <v/>
      </c>
      <c r="L29" s="24" t="n"/>
      <c r="M29" s="11">
        <f>E29</f>
        <v/>
      </c>
      <c r="N29" s="11">
        <f>F29</f>
        <v/>
      </c>
      <c r="P29" s="3">
        <f>_xlfn.CONCAT(N29, "(\d)")</f>
        <v/>
      </c>
      <c r="Q29" s="5">
        <f>IF(ISNUMBER(FIND("a",C29)),"a",IF(ISNUMBER(FIND("oo",C29)),"o",IF(AND(ISNUMBER(FIND("e",C29)),ISNUMBER(FIND("o",C29))),IF(FIND("e",C29)&lt;FIND("o",C29),"e","o"),IF(ISNUMBER(FIND("e",C29)),"e",IF(ISNUMBER(FIND("o",C29)),"o",IF(AND(ISNUMBER(FIND("i",C29)),ISNUMBER(FIND("u",C29))),IF(FIND("i",C29)&lt;FIND("u",C29),"i","u"),IF(ISNUMBER(FIND("i",C29)),"i",IF(ISNUMBER(FIND("u",C29)),"u",IF(LEFT(C29,1)="m","m",IF(ISNUMBER(FIND("n",C29)),"n","")))))))))))</f>
        <v/>
      </c>
      <c r="R29" s="5">
        <f>IFERROR( IF(Q29="", "", SEARCH(Q29, $N29)), "")</f>
        <v/>
      </c>
      <c r="S29" s="3">
        <f>IFERROR( _xlfn.CONCAT(LEFT(N29,R29-1), "》", MID(N29,R29,1), "${1}", RIGHT(N29, LEN(N29)-R29)), "" )</f>
        <v/>
      </c>
      <c r="T29" s="25" t="n"/>
      <c r="U29" s="26">
        <f>IF(AND(N29&lt;&gt;"", M29&lt;&gt;""), "    - xform/》" &amp; P29 &amp; "/" &amp; S29 &amp; "/", "")</f>
        <v/>
      </c>
    </row>
    <row r="30" ht="27.75" customHeight="1" s="69" thickBot="1">
      <c r="A30" s="19" t="n">
        <v>7</v>
      </c>
      <c r="B30" s="20" t="inlineStr">
        <is>
          <t>aŋ</t>
        </is>
      </c>
      <c r="C30" s="21" t="inlineStr">
        <is>
          <t>ang</t>
        </is>
      </c>
      <c r="D30" s="19" t="inlineStr">
        <is>
          <t>ang</t>
        </is>
      </c>
      <c r="E30" s="19" t="inlineStr">
        <is>
          <t>ang</t>
        </is>
      </c>
      <c r="F30" s="19" t="inlineStr">
        <is>
          <t>ang</t>
        </is>
      </c>
      <c r="G30" s="22" t="inlineStr">
        <is>
          <t>ang</t>
        </is>
      </c>
      <c r="H30" s="23" t="inlineStr">
        <is>
          <t>江舒</t>
        </is>
      </c>
      <c r="I30" s="19" t="inlineStr">
        <is>
          <t>ㄤ</t>
        </is>
      </c>
      <c r="J30" s="19" t="n"/>
      <c r="K30" s="23">
        <f>LEN(E30)</f>
        <v/>
      </c>
      <c r="L30" s="24" t="n"/>
      <c r="M30" s="11">
        <f>E30</f>
        <v/>
      </c>
      <c r="N30" s="11">
        <f>F30</f>
        <v/>
      </c>
      <c r="P30" s="3">
        <f>_xlfn.CONCAT(N30, "(\d)")</f>
        <v/>
      </c>
      <c r="Q30" s="5">
        <f>IF(ISNUMBER(FIND("a",C30)),"a",IF(ISNUMBER(FIND("oo",C30)),"o",IF(AND(ISNUMBER(FIND("e",C30)),ISNUMBER(FIND("o",C30))),IF(FIND("e",C30)&lt;FIND("o",C30),"e","o"),IF(ISNUMBER(FIND("e",C30)),"e",IF(ISNUMBER(FIND("o",C30)),"o",IF(AND(ISNUMBER(FIND("i",C30)),ISNUMBER(FIND("u",C30))),IF(FIND("i",C30)&lt;FIND("u",C30),"i","u"),IF(ISNUMBER(FIND("i",C30)),"i",IF(ISNUMBER(FIND("u",C30)),"u",IF(LEFT(C30,1)="m","m",IF(ISNUMBER(FIND("n",C30)),"n","")))))))))))</f>
        <v/>
      </c>
      <c r="R30" s="5">
        <f>IFERROR( IF(Q30="", "", SEARCH(Q30, $N30)), "")</f>
        <v/>
      </c>
      <c r="S30" s="3">
        <f>IFERROR( _xlfn.CONCAT(LEFT(N30,R30-1), "》", MID(N30,R30,1), "${1}", RIGHT(N30, LEN(N30)-R30)), "" )</f>
        <v/>
      </c>
      <c r="T30" s="25" t="n"/>
      <c r="U30" s="26">
        <f>IF(AND(N30&lt;&gt;"", M30&lt;&gt;""), "    - xform/》" &amp; P30 &amp; "/" &amp; S30 &amp; "/", "")</f>
        <v/>
      </c>
    </row>
    <row r="31" ht="30.75" customHeight="1" s="69" thickBot="1">
      <c r="A31" s="19" t="n">
        <v>13</v>
      </c>
      <c r="B31" s="20" t="inlineStr">
        <is>
          <t>aɪʔ</t>
        </is>
      </c>
      <c r="C31" s="21" t="inlineStr">
        <is>
          <t>aih</t>
        </is>
      </c>
      <c r="D31" s="31" t="inlineStr">
        <is>
          <t>aih</t>
        </is>
      </c>
      <c r="E31" s="31" t="inlineStr">
        <is>
          <t>aih</t>
        </is>
      </c>
      <c r="F31" s="31" t="inlineStr">
        <is>
          <t>aih</t>
        </is>
      </c>
      <c r="G31" s="31" t="inlineStr">
        <is>
          <t>aih</t>
        </is>
      </c>
      <c r="H31" s="32" t="inlineStr">
        <is>
          <t>皆促</t>
        </is>
      </c>
      <c r="I31" s="33" t="inlineStr">
        <is>
          <t>ㄞㆷ</t>
        </is>
      </c>
      <c r="J31" s="19" t="n"/>
      <c r="K31" s="23">
        <f>LEN(E31)</f>
        <v/>
      </c>
      <c r="L31" s="24" t="n"/>
      <c r="M31" s="11">
        <f>E31</f>
        <v/>
      </c>
      <c r="N31" s="11">
        <f>F31</f>
        <v/>
      </c>
      <c r="P31" s="3">
        <f>_xlfn.CONCAT(N31, "(\d)")</f>
        <v/>
      </c>
      <c r="Q31" s="5">
        <f>IF(ISNUMBER(FIND("a",C31)),"a",IF(ISNUMBER(FIND("oo",C31)),"o",IF(AND(ISNUMBER(FIND("e",C31)),ISNUMBER(FIND("o",C31))),IF(FIND("e",C31)&lt;FIND("o",C31),"e","o"),IF(ISNUMBER(FIND("e",C31)),"e",IF(ISNUMBER(FIND("o",C31)),"o",IF(AND(ISNUMBER(FIND("i",C31)),ISNUMBER(FIND("u",C31))),IF(FIND("i",C31)&lt;FIND("u",C31),"i","u"),IF(ISNUMBER(FIND("i",C31)),"i",IF(ISNUMBER(FIND("u",C31)),"u",IF(LEFT(C31,1)="m","m",IF(ISNUMBER(FIND("n",C31)),"n","")))))))))))</f>
        <v/>
      </c>
      <c r="R31" s="5">
        <f>IFERROR( IF(Q31="", "", SEARCH(Q31, $N31)), "")</f>
        <v/>
      </c>
      <c r="S31" s="3">
        <f>IFERROR( _xlfn.CONCAT(LEFT(N31,R31-1), "》", MID(N31,R31,1), "${1}", RIGHT(N31, LEN(N31)-R31)), "" )</f>
        <v/>
      </c>
      <c r="T31" s="25" t="n"/>
      <c r="U31" s="26">
        <f>IF(AND(N31&lt;&gt;"", M31&lt;&gt;""), "    - xform/》" &amp; P31 &amp; "/" &amp; S31 &amp; "/", "")</f>
        <v/>
      </c>
    </row>
    <row r="32" ht="27.75" customHeight="1" s="69" thickBot="1">
      <c r="A32" s="19" t="n">
        <v>15</v>
      </c>
      <c r="B32" s="20" t="inlineStr">
        <is>
          <t>auʔ</t>
        </is>
      </c>
      <c r="C32" s="21" t="inlineStr">
        <is>
          <t>auh</t>
        </is>
      </c>
      <c r="D32" s="19" t="inlineStr">
        <is>
          <t>auh</t>
        </is>
      </c>
      <c r="E32" s="19" t="inlineStr">
        <is>
          <t>auh</t>
        </is>
      </c>
      <c r="F32" s="19" t="inlineStr">
        <is>
          <t>aoh</t>
        </is>
      </c>
      <c r="G32" s="22" t="inlineStr">
        <is>
          <t>auh</t>
        </is>
      </c>
      <c r="H32" s="23" t="inlineStr">
        <is>
          <t>交促</t>
        </is>
      </c>
      <c r="I32" s="19" t="inlineStr">
        <is>
          <t>ㄠㆷ</t>
        </is>
      </c>
      <c r="J32" s="19" t="n"/>
      <c r="K32" s="23">
        <f>LEN(E32)</f>
        <v/>
      </c>
      <c r="L32" s="24" t="n"/>
      <c r="M32" s="11">
        <f>E32</f>
        <v/>
      </c>
      <c r="N32" s="11">
        <f>F32</f>
        <v/>
      </c>
      <c r="P32" s="3">
        <f>_xlfn.CONCAT(N32, "(\d)")</f>
        <v/>
      </c>
      <c r="Q32" s="5">
        <f>IF(ISNUMBER(FIND("a",C32)),"a",IF(ISNUMBER(FIND("oo",C32)),"o",IF(AND(ISNUMBER(FIND("e",C32)),ISNUMBER(FIND("o",C32))),IF(FIND("e",C32)&lt;FIND("o",C32),"e","o"),IF(ISNUMBER(FIND("e",C32)),"e",IF(ISNUMBER(FIND("o",C32)),"o",IF(AND(ISNUMBER(FIND("i",C32)),ISNUMBER(FIND("u",C32))),IF(FIND("i",C32)&lt;FIND("u",C32),"i","u"),IF(ISNUMBER(FIND("i",C32)),"i",IF(ISNUMBER(FIND("u",C32)),"u",IF(LEFT(C32,1)="m","m",IF(ISNUMBER(FIND("n",C32)),"n","")))))))))))</f>
        <v/>
      </c>
      <c r="R32" s="5">
        <f>IFERROR( IF(Q32="", "", SEARCH(Q32, $N32)), "")</f>
        <v/>
      </c>
      <c r="S32" s="3">
        <f>IFERROR( _xlfn.CONCAT(LEFT(N32,R32-1), "》", MID(N32,R32,1), "${1}", RIGHT(N32, LEN(N32)-R32)), "" )</f>
        <v/>
      </c>
      <c r="T32" s="25" t="n"/>
      <c r="U32" s="26">
        <f>IF(AND(N32&lt;&gt;"", M32&lt;&gt;""), "    - xform/》" &amp; P32 &amp; "/" &amp; S32 &amp; "/", "")</f>
        <v/>
      </c>
    </row>
    <row r="33" ht="27.75" customHeight="1" s="69" thickBot="1">
      <c r="A33" s="19" t="n">
        <v>25</v>
      </c>
      <c r="B33" s="20" t="inlineStr">
        <is>
          <t>iŋ</t>
        </is>
      </c>
      <c r="C33" s="21" t="inlineStr">
        <is>
          <t>ing</t>
        </is>
      </c>
      <c r="D33" s="19" t="inlineStr">
        <is>
          <t>ing</t>
        </is>
      </c>
      <c r="E33" s="19" t="inlineStr">
        <is>
          <t>ing</t>
        </is>
      </c>
      <c r="F33" s="19" t="inlineStr">
        <is>
          <t>ing</t>
        </is>
      </c>
      <c r="G33" s="22" t="inlineStr">
        <is>
          <t>eng</t>
        </is>
      </c>
      <c r="H33" s="23" t="inlineStr">
        <is>
          <t>經舒</t>
        </is>
      </c>
      <c r="I33" s="19" t="inlineStr">
        <is>
          <t>ㄧㄥ</t>
        </is>
      </c>
      <c r="J33" s="19" t="n"/>
      <c r="K33" s="23">
        <f>LEN(E33)</f>
        <v/>
      </c>
      <c r="L33" s="24" t="n"/>
      <c r="M33" s="11">
        <f>E33</f>
        <v/>
      </c>
      <c r="N33" s="11">
        <f>F33</f>
        <v/>
      </c>
      <c r="P33" s="3">
        <f>_xlfn.CONCAT(N33, "(\d)")</f>
        <v/>
      </c>
      <c r="Q33" s="5">
        <f>IF(ISNUMBER(FIND("a",C33)),"a",IF(ISNUMBER(FIND("oo",C33)),"o",IF(AND(ISNUMBER(FIND("e",C33)),ISNUMBER(FIND("o",C33))),IF(FIND("e",C33)&lt;FIND("o",C33),"e","o"),IF(ISNUMBER(FIND("e",C33)),"e",IF(ISNUMBER(FIND("o",C33)),"o",IF(AND(ISNUMBER(FIND("i",C33)),ISNUMBER(FIND("u",C33))),IF(FIND("i",C33)&lt;FIND("u",C33),"i","u"),IF(ISNUMBER(FIND("i",C33)),"i",IF(ISNUMBER(FIND("u",C33)),"u",IF(LEFT(C33,1)="m","m",IF(ISNUMBER(FIND("n",C33)),"n","")))))))))))</f>
        <v/>
      </c>
      <c r="R33" s="5">
        <f>IFERROR( IF(Q33="", "", SEARCH(Q33, $N33)), "")</f>
        <v/>
      </c>
      <c r="S33" s="3">
        <f>IFERROR( _xlfn.CONCAT(LEFT(N33,R33-1), "》", MID(N33,R33,1), "${1}", RIGHT(N33, LEN(N33)-R33)), "" )</f>
        <v/>
      </c>
      <c r="T33" s="25" t="n"/>
      <c r="U33" s="26">
        <f>IF(AND(N33&lt;&gt;"", M33&lt;&gt;""), "    - xform/》" &amp; P33 &amp; "/" &amp; S33 &amp; "/", "")</f>
        <v/>
      </c>
    </row>
    <row r="34" ht="27.75" customHeight="1" s="69" thickBot="1">
      <c r="A34" s="19" t="n">
        <v>31</v>
      </c>
      <c r="B34" s="20" t="inlineStr">
        <is>
          <t>ɪaʔ</t>
        </is>
      </c>
      <c r="C34" s="21" t="inlineStr">
        <is>
          <t>iah</t>
        </is>
      </c>
      <c r="D34" s="19" t="inlineStr">
        <is>
          <t>iah</t>
        </is>
      </c>
      <c r="E34" s="19" t="inlineStr">
        <is>
          <t>iah</t>
        </is>
      </c>
      <c r="F34" s="19" t="inlineStr">
        <is>
          <t>iah</t>
        </is>
      </c>
      <c r="G34" s="22" t="inlineStr">
        <is>
          <t>iah</t>
        </is>
      </c>
      <c r="H34" s="23" t="inlineStr">
        <is>
          <t>迦促</t>
        </is>
      </c>
      <c r="I34" s="19" t="inlineStr">
        <is>
          <t>ㄧㄚㆷ</t>
        </is>
      </c>
      <c r="J34" s="19" t="n"/>
      <c r="K34" s="23">
        <f>LEN(E34)</f>
        <v/>
      </c>
      <c r="L34" s="24" t="n"/>
      <c r="M34" s="11">
        <f>E34</f>
        <v/>
      </c>
      <c r="N34" s="11">
        <f>F34</f>
        <v/>
      </c>
      <c r="P34" s="3">
        <f>_xlfn.CONCAT(N34, "(\d)")</f>
        <v/>
      </c>
      <c r="Q34" s="5">
        <f>IF(ISNUMBER(FIND("a",C34)),"a",IF(ISNUMBER(FIND("oo",C34)),"o",IF(AND(ISNUMBER(FIND("e",C34)),ISNUMBER(FIND("o",C34))),IF(FIND("e",C34)&lt;FIND("o",C34),"e","o"),IF(ISNUMBER(FIND("e",C34)),"e",IF(ISNUMBER(FIND("o",C34)),"o",IF(AND(ISNUMBER(FIND("i",C34)),ISNUMBER(FIND("u",C34))),IF(FIND("i",C34)&lt;FIND("u",C34),"i","u"),IF(ISNUMBER(FIND("i",C34)),"i",IF(ISNUMBER(FIND("u",C34)),"u",IF(LEFT(C34,1)="m","m",IF(ISNUMBER(FIND("n",C34)),"n","")))))))))))</f>
        <v/>
      </c>
      <c r="R34" s="5">
        <f>IFERROR( IF(Q34="", "", SEARCH(Q34, $N34)), "")</f>
        <v/>
      </c>
      <c r="S34" s="3">
        <f>IFERROR( _xlfn.CONCAT(LEFT(N34,R34-1), "》", MID(N34,R34,1), "${1}", RIGHT(N34, LEN(N34)-R34)), "" )</f>
        <v/>
      </c>
      <c r="T34" s="25" t="n"/>
      <c r="U34" s="26">
        <f>IF(AND(N34&lt;&gt;"", M34&lt;&gt;""), "    - xform/》" &amp; P34 &amp; "/" &amp; S34 &amp; "/", "")</f>
        <v/>
      </c>
    </row>
    <row r="35" ht="27.75" customHeight="1" s="69" thickBot="1">
      <c r="A35" s="19" t="n">
        <v>33</v>
      </c>
      <c r="B35" s="20" t="inlineStr">
        <is>
          <t>ɪam</t>
        </is>
      </c>
      <c r="C35" s="21" t="inlineStr">
        <is>
          <t>iam</t>
        </is>
      </c>
      <c r="D35" s="19" t="inlineStr">
        <is>
          <t>iam</t>
        </is>
      </c>
      <c r="E35" s="19" t="inlineStr">
        <is>
          <t>iam</t>
        </is>
      </c>
      <c r="F35" s="19" t="inlineStr">
        <is>
          <t>iam</t>
        </is>
      </c>
      <c r="G35" s="22" t="inlineStr">
        <is>
          <t>iam</t>
        </is>
      </c>
      <c r="H35" s="23" t="inlineStr">
        <is>
          <t>兼舒</t>
        </is>
      </c>
      <c r="I35" s="19" t="inlineStr">
        <is>
          <t>ㄧㆰ</t>
        </is>
      </c>
      <c r="J35" s="19" t="n"/>
      <c r="K35" s="23">
        <f>LEN(E35)</f>
        <v/>
      </c>
      <c r="L35" s="24" t="n"/>
      <c r="M35" s="11">
        <f>E35</f>
        <v/>
      </c>
      <c r="N35" s="11">
        <f>F35</f>
        <v/>
      </c>
      <c r="P35" s="3">
        <f>_xlfn.CONCAT(N35, "(\d)")</f>
        <v/>
      </c>
      <c r="Q35" s="5">
        <f>IF(ISNUMBER(FIND("a",C35)),"a",IF(ISNUMBER(FIND("oo",C35)),"o",IF(AND(ISNUMBER(FIND("e",C35)),ISNUMBER(FIND("o",C35))),IF(FIND("e",C35)&lt;FIND("o",C35),"e","o"),IF(ISNUMBER(FIND("e",C35)),"e",IF(ISNUMBER(FIND("o",C35)),"o",IF(AND(ISNUMBER(FIND("i",C35)),ISNUMBER(FIND("u",C35))),IF(FIND("i",C35)&lt;FIND("u",C35),"i","u"),IF(ISNUMBER(FIND("i",C35)),"i",IF(ISNUMBER(FIND("u",C35)),"u",IF(LEFT(C35,1)="m","m",IF(ISNUMBER(FIND("n",C35)),"n","")))))))))))</f>
        <v/>
      </c>
      <c r="R35" s="5">
        <f>IFERROR( IF(Q35="", "", SEARCH(Q35, $N35)), "")</f>
        <v/>
      </c>
      <c r="S35" s="3">
        <f>IFERROR( _xlfn.CONCAT(LEFT(N35,R35-1), "》", MID(N35,R35,1), "${1}", RIGHT(N35, LEN(N35)-R35)), "" )</f>
        <v/>
      </c>
      <c r="T35" s="25" t="n"/>
      <c r="U35" s="26">
        <f>IF(AND(N35&lt;&gt;"", M35&lt;&gt;""), "    - xform/》" &amp; P35 &amp; "/" &amp; S35 &amp; "/", "")</f>
        <v/>
      </c>
    </row>
    <row r="36" ht="27.75" customHeight="1" s="69" thickBot="1">
      <c r="A36" s="19" t="n">
        <v>34</v>
      </c>
      <c r="B36" s="20" t="inlineStr">
        <is>
          <t>ɪan/en</t>
        </is>
      </c>
      <c r="C36" s="21" t="inlineStr">
        <is>
          <t>ian</t>
        </is>
      </c>
      <c r="D36" s="19" t="inlineStr">
        <is>
          <t>ian</t>
        </is>
      </c>
      <c r="E36" s="19" t="inlineStr">
        <is>
          <t>ian</t>
        </is>
      </c>
      <c r="F36" s="19" t="inlineStr">
        <is>
          <t>ian</t>
        </is>
      </c>
      <c r="G36" s="22" t="inlineStr">
        <is>
          <t>ian</t>
        </is>
      </c>
      <c r="H36" s="23" t="inlineStr">
        <is>
          <t>堅舒</t>
        </is>
      </c>
      <c r="I36" s="19" t="inlineStr">
        <is>
          <t>ㄧㄢ</t>
        </is>
      </c>
      <c r="J36" s="19" t="n"/>
      <c r="K36" s="23">
        <f>LEN(E36)</f>
        <v/>
      </c>
      <c r="L36" s="24" t="n"/>
      <c r="M36" s="11">
        <f>E36</f>
        <v/>
      </c>
      <c r="N36" s="11">
        <f>F36</f>
        <v/>
      </c>
      <c r="P36" s="3">
        <f>_xlfn.CONCAT(N36, "(\d)")</f>
        <v/>
      </c>
      <c r="Q36" s="5">
        <f>IF(ISNUMBER(FIND("a",C36)),"a",IF(ISNUMBER(FIND("oo",C36)),"o",IF(AND(ISNUMBER(FIND("e",C36)),ISNUMBER(FIND("o",C36))),IF(FIND("e",C36)&lt;FIND("o",C36),"e","o"),IF(ISNUMBER(FIND("e",C36)),"e",IF(ISNUMBER(FIND("o",C36)),"o",IF(AND(ISNUMBER(FIND("i",C36)),ISNUMBER(FIND("u",C36))),IF(FIND("i",C36)&lt;FIND("u",C36),"i","u"),IF(ISNUMBER(FIND("i",C36)),"i",IF(ISNUMBER(FIND("u",C36)),"u",IF(LEFT(C36,1)="m","m",IF(ISNUMBER(FIND("n",C36)),"n","")))))))))))</f>
        <v/>
      </c>
      <c r="R36" s="5">
        <f>IFERROR( IF(Q36="", "", SEARCH(Q36, $N36)), "")</f>
        <v/>
      </c>
      <c r="S36" s="3">
        <f>IFERROR( _xlfn.CONCAT(LEFT(N36,R36-1), "》", MID(N36,R36,1), "${1}", RIGHT(N36, LEN(N36)-R36)), "" )</f>
        <v/>
      </c>
      <c r="T36" s="25" t="n"/>
      <c r="U36" s="26">
        <f>IF(AND(N36&lt;&gt;"", M36&lt;&gt;""), "    - xform/》" &amp; P36 &amp; "/" &amp; S36 &amp; "/", "")</f>
        <v/>
      </c>
    </row>
    <row r="37" ht="27.75" customHeight="1" s="69" thickBot="1">
      <c r="A37" s="19" t="n">
        <v>36</v>
      </c>
      <c r="B37" s="20" t="inlineStr">
        <is>
          <t>ɪap̚</t>
        </is>
      </c>
      <c r="C37" s="21" t="inlineStr">
        <is>
          <t>iap</t>
        </is>
      </c>
      <c r="D37" s="19" t="inlineStr">
        <is>
          <t>iap</t>
        </is>
      </c>
      <c r="E37" s="19" t="inlineStr">
        <is>
          <t>iap</t>
        </is>
      </c>
      <c r="F37" s="19" t="inlineStr">
        <is>
          <t>iap</t>
        </is>
      </c>
      <c r="G37" s="22" t="inlineStr">
        <is>
          <t>iap</t>
        </is>
      </c>
      <c r="H37" s="23" t="inlineStr">
        <is>
          <t>兼促</t>
        </is>
      </c>
      <c r="I37" s="19" t="inlineStr">
        <is>
          <t>ㄧㄚㆴ</t>
        </is>
      </c>
      <c r="J37" s="19" t="n"/>
      <c r="K37" s="23">
        <f>LEN(E37)</f>
        <v/>
      </c>
      <c r="L37" s="24" t="n"/>
      <c r="M37" s="11">
        <f>E37</f>
        <v/>
      </c>
      <c r="N37" s="11">
        <f>F37</f>
        <v/>
      </c>
      <c r="P37" s="3">
        <f>_xlfn.CONCAT(N37, "(\d)")</f>
        <v/>
      </c>
      <c r="Q37" s="5">
        <f>IF(ISNUMBER(FIND("a",C37)),"a",IF(ISNUMBER(FIND("oo",C37)),"o",IF(AND(ISNUMBER(FIND("e",C37)),ISNUMBER(FIND("o",C37))),IF(FIND("e",C37)&lt;FIND("o",C37),"e","o"),IF(ISNUMBER(FIND("e",C37)),"e",IF(ISNUMBER(FIND("o",C37)),"o",IF(AND(ISNUMBER(FIND("i",C37)),ISNUMBER(FIND("u",C37))),IF(FIND("i",C37)&lt;FIND("u",C37),"i","u"),IF(ISNUMBER(FIND("i",C37)),"i",IF(ISNUMBER(FIND("u",C37)),"u",IF(LEFT(C37,1)="m","m",IF(ISNUMBER(FIND("n",C37)),"n","")))))))))))</f>
        <v/>
      </c>
      <c r="R37" s="5">
        <f>IFERROR( IF(Q37="", "", SEARCH(Q37, $N37)), "")</f>
        <v/>
      </c>
      <c r="S37" s="3">
        <f>IFERROR( _xlfn.CONCAT(LEFT(N37,R37-1), "》", MID(N37,R37,1), "${1}", RIGHT(N37, LEN(N37)-R37)), "" )</f>
        <v/>
      </c>
      <c r="T37" s="25" t="n"/>
      <c r="U37" s="26">
        <f>IF(AND(N37&lt;&gt;"", M37&lt;&gt;""), "    - xform/》" &amp; P37 &amp; "/" &amp; S37 &amp; "/", "")</f>
        <v/>
      </c>
    </row>
    <row r="38" ht="27.75" customHeight="1" s="69" thickBot="1">
      <c r="A38" s="19" t="n">
        <v>37</v>
      </c>
      <c r="B38" s="20" t="inlineStr">
        <is>
          <t>ɪat̚/ɪet̚</t>
        </is>
      </c>
      <c r="C38" s="21" t="inlineStr">
        <is>
          <t>iat</t>
        </is>
      </c>
      <c r="D38" s="19" t="inlineStr">
        <is>
          <t>iat</t>
        </is>
      </c>
      <c r="E38" s="19" t="inlineStr">
        <is>
          <t>iat</t>
        </is>
      </c>
      <c r="F38" s="19" t="inlineStr">
        <is>
          <t>iat</t>
        </is>
      </c>
      <c r="G38" s="22" t="inlineStr">
        <is>
          <t>iat</t>
        </is>
      </c>
      <c r="H38" s="23" t="inlineStr">
        <is>
          <t>堅促</t>
        </is>
      </c>
      <c r="I38" s="19" t="inlineStr">
        <is>
          <t>ㄧㄚㆵ</t>
        </is>
      </c>
      <c r="J38" s="19" t="n"/>
      <c r="K38" s="23">
        <f>LEN(E38)</f>
        <v/>
      </c>
      <c r="L38" s="24" t="n"/>
      <c r="M38" s="11">
        <f>E38</f>
        <v/>
      </c>
      <c r="N38" s="11">
        <f>F38</f>
        <v/>
      </c>
      <c r="P38" s="3">
        <f>_xlfn.CONCAT(N38, "(\d)")</f>
        <v/>
      </c>
      <c r="Q38" s="5">
        <f>IF(ISNUMBER(FIND("a",C38)),"a",IF(ISNUMBER(FIND("oo",C38)),"o",IF(AND(ISNUMBER(FIND("e",C38)),ISNUMBER(FIND("o",C38))),IF(FIND("e",C38)&lt;FIND("o",C38),"e","o"),IF(ISNUMBER(FIND("e",C38)),"e",IF(ISNUMBER(FIND("o",C38)),"o",IF(AND(ISNUMBER(FIND("i",C38)),ISNUMBER(FIND("u",C38))),IF(FIND("i",C38)&lt;FIND("u",C38),"i","u"),IF(ISNUMBER(FIND("i",C38)),"i",IF(ISNUMBER(FIND("u",C38)),"u",IF(LEFT(C38,1)="m","m",IF(ISNUMBER(FIND("n",C38)),"n","")))))))))))</f>
        <v/>
      </c>
      <c r="R38" s="5">
        <f>IFERROR( IF(Q38="", "", SEARCH(Q38, $N38)), "")</f>
        <v/>
      </c>
      <c r="S38" s="3">
        <f>IFERROR( _xlfn.CONCAT(LEFT(N38,R38-1), "》", MID(N38,R38,1), "${1}", RIGHT(N38, LEN(N38)-R38)), "" )</f>
        <v/>
      </c>
      <c r="T38" s="25" t="n"/>
      <c r="U38" s="26">
        <f>IF(AND(N38&lt;&gt;"", M38&lt;&gt;""), "    - xform/》" &amp; P38 &amp; "/" &amp; S38 &amp; "/", "")</f>
        <v/>
      </c>
    </row>
    <row r="39" ht="27.75" customHeight="1" s="69" thickBot="1">
      <c r="A39" s="19" t="n">
        <v>38</v>
      </c>
      <c r="B39" s="20" t="inlineStr">
        <is>
          <t>ɪak̚</t>
        </is>
      </c>
      <c r="C39" s="21" t="inlineStr">
        <is>
          <t>iak</t>
        </is>
      </c>
      <c r="D39" s="19" t="inlineStr">
        <is>
          <t>iak</t>
        </is>
      </c>
      <c r="E39" s="19" t="inlineStr">
        <is>
          <t>iak</t>
        </is>
      </c>
      <c r="F39" s="19" t="inlineStr">
        <is>
          <t>iak</t>
        </is>
      </c>
      <c r="G39" s="22" t="inlineStr">
        <is>
          <t>iak</t>
        </is>
      </c>
      <c r="H39" s="23" t="inlineStr">
        <is>
          <t>姜促</t>
        </is>
      </c>
      <c r="I39" s="19" t="inlineStr">
        <is>
          <t>ㄧㄚㆻ</t>
        </is>
      </c>
      <c r="J39" s="19" t="n"/>
      <c r="K39" s="23">
        <f>LEN(E39)</f>
        <v/>
      </c>
      <c r="L39" s="24" t="n"/>
      <c r="M39" s="11">
        <f>E39</f>
        <v/>
      </c>
      <c r="N39" s="11">
        <f>F39</f>
        <v/>
      </c>
      <c r="P39" s="3">
        <f>_xlfn.CONCAT(N39, "(\d)")</f>
        <v/>
      </c>
      <c r="Q39" s="5">
        <f>IF(ISNUMBER(FIND("a",C39)),"a",IF(ISNUMBER(FIND("oo",C39)),"o",IF(AND(ISNUMBER(FIND("e",C39)),ISNUMBER(FIND("o",C39))),IF(FIND("e",C39)&lt;FIND("o",C39),"e","o"),IF(ISNUMBER(FIND("e",C39)),"e",IF(ISNUMBER(FIND("o",C39)),"o",IF(AND(ISNUMBER(FIND("i",C39)),ISNUMBER(FIND("u",C39))),IF(FIND("i",C39)&lt;FIND("u",C39),"i","u"),IF(ISNUMBER(FIND("i",C39)),"i",IF(ISNUMBER(FIND("u",C39)),"u",IF(LEFT(C39,1)="m","m",IF(ISNUMBER(FIND("n",C39)),"n","")))))))))))</f>
        <v/>
      </c>
      <c r="R39" s="5">
        <f>IFERROR( IF(Q39="", "", SEARCH(Q39, $N39)), "")</f>
        <v/>
      </c>
      <c r="S39" s="3">
        <f>IFERROR( _xlfn.CONCAT(LEFT(N39,R39-1), "》", MID(N39,R39,1), "${1}", RIGHT(N39, LEN(N39)-R39)), "" )</f>
        <v/>
      </c>
      <c r="T39" s="25" t="n"/>
      <c r="U39" s="26">
        <f>IF(AND(N39&lt;&gt;"", M39&lt;&gt;""), "    - xform/》" &amp; P39 &amp; "/" &amp; S39 &amp; "/", "")</f>
        <v/>
      </c>
    </row>
    <row r="40" ht="27.75" customHeight="1" s="69" thickBot="1">
      <c r="A40" s="19" t="n">
        <v>39</v>
      </c>
      <c r="B40" s="20" t="inlineStr">
        <is>
          <t>ɪau</t>
        </is>
      </c>
      <c r="C40" s="21" t="inlineStr">
        <is>
          <t>iau</t>
        </is>
      </c>
      <c r="D40" s="19" t="inlineStr">
        <is>
          <t>iau</t>
        </is>
      </c>
      <c r="E40" s="19" t="inlineStr">
        <is>
          <t>iau</t>
        </is>
      </c>
      <c r="F40" s="19" t="inlineStr">
        <is>
          <t>iao</t>
        </is>
      </c>
      <c r="G40" s="22" t="inlineStr">
        <is>
          <t>iau</t>
        </is>
      </c>
      <c r="H40" s="23" t="inlineStr">
        <is>
          <t>嬌舒</t>
        </is>
      </c>
      <c r="I40" s="19" t="inlineStr">
        <is>
          <t>ㄧㄠ</t>
        </is>
      </c>
      <c r="J40" s="19" t="n"/>
      <c r="K40" s="23">
        <f>LEN(E40)</f>
        <v/>
      </c>
      <c r="L40" s="24" t="n"/>
      <c r="M40" s="11">
        <f>E40</f>
        <v/>
      </c>
      <c r="N40" s="11">
        <f>F40</f>
        <v/>
      </c>
      <c r="P40" s="3">
        <f>_xlfn.CONCAT(N40, "(\d)")</f>
        <v/>
      </c>
      <c r="Q40" s="5">
        <f>IF(ISNUMBER(FIND("a",C40)),"a",IF(ISNUMBER(FIND("oo",C40)),"o",IF(AND(ISNUMBER(FIND("e",C40)),ISNUMBER(FIND("o",C40))),IF(FIND("e",C40)&lt;FIND("o",C40),"e","o"),IF(ISNUMBER(FIND("e",C40)),"e",IF(ISNUMBER(FIND("o",C40)),"o",IF(AND(ISNUMBER(FIND("i",C40)),ISNUMBER(FIND("u",C40))),IF(FIND("i",C40)&lt;FIND("u",C40),"i","u"),IF(ISNUMBER(FIND("i",C40)),"i",IF(ISNUMBER(FIND("u",C40)),"u",IF(LEFT(C40,1)="m","m",IF(ISNUMBER(FIND("n",C40)),"n","")))))))))))</f>
        <v/>
      </c>
      <c r="R40" s="5">
        <f>IFERROR( IF(Q40="", "", SEARCH(Q40, $N40)), "")</f>
        <v/>
      </c>
      <c r="S40" s="3">
        <f>IFERROR( _xlfn.CONCAT(LEFT(N40,R40-1), "》", MID(N40,R40,1), "${1}", RIGHT(N40, LEN(N40)-R40)), "" )</f>
        <v/>
      </c>
      <c r="T40" s="25" t="n"/>
      <c r="U40" s="26">
        <f>IF(AND(N40&lt;&gt;"", M40&lt;&gt;""), "    - xform/》" &amp; P40 &amp; "/" &amp; S40 &amp; "/", "")</f>
        <v/>
      </c>
    </row>
    <row r="41" ht="27.75" customHeight="1" s="69" thickBot="1">
      <c r="A41" s="19" t="n">
        <v>42</v>
      </c>
      <c r="B41" s="20" t="inlineStr">
        <is>
          <t>ɪə/ɪo</t>
        </is>
      </c>
      <c r="C41" s="21" t="inlineStr">
        <is>
          <t>io</t>
        </is>
      </c>
      <c r="D41" s="19" t="inlineStr">
        <is>
          <t>io</t>
        </is>
      </c>
      <c r="E41" s="19" t="inlineStr">
        <is>
          <t>ior</t>
        </is>
      </c>
      <c r="F41" s="19" t="inlineStr">
        <is>
          <t>io</t>
        </is>
      </c>
      <c r="G41" s="22" t="inlineStr">
        <is>
          <t>io</t>
        </is>
      </c>
      <c r="H41" s="23" t="inlineStr">
        <is>
          <t>茄舒</t>
        </is>
      </c>
      <c r="I41" s="19" t="inlineStr">
        <is>
          <t>ㄧㄜ</t>
        </is>
      </c>
      <c r="J41" s="19" t="n"/>
      <c r="K41" s="23">
        <f>LEN(E41)</f>
        <v/>
      </c>
      <c r="L41" s="24" t="n"/>
      <c r="M41" s="11">
        <f>E41</f>
        <v/>
      </c>
      <c r="N41" s="11">
        <f>F41</f>
        <v/>
      </c>
      <c r="P41" s="3">
        <f>_xlfn.CONCAT(N41, "(\d)")</f>
        <v/>
      </c>
      <c r="Q41" s="5">
        <f>IF(ISNUMBER(FIND("a",C41)),"a",IF(ISNUMBER(FIND("oo",C41)),"o",IF(AND(ISNUMBER(FIND("e",C41)),ISNUMBER(FIND("o",C41))),IF(FIND("e",C41)&lt;FIND("o",C41),"e","o"),IF(ISNUMBER(FIND("e",C41)),"e",IF(ISNUMBER(FIND("o",C41)),"o",IF(AND(ISNUMBER(FIND("i",C41)),ISNUMBER(FIND("u",C41))),IF(FIND("i",C41)&lt;FIND("u",C41),"i","u"),IF(ISNUMBER(FIND("i",C41)),"i",IF(ISNUMBER(FIND("u",C41)),"u",IF(LEFT(C41,1)="m","m",IF(ISNUMBER(FIND("n",C41)),"n","")))))))))))</f>
        <v/>
      </c>
      <c r="R41" s="5">
        <f>IFERROR( IF(Q41="", "", SEARCH(Q41, $N41)), "")</f>
        <v/>
      </c>
      <c r="S41" s="3">
        <f>IFERROR( _xlfn.CONCAT(LEFT(N41,R41-1), "》", MID(N41,R41,1), "${1}", RIGHT(N41, LEN(N41)-R41)), "" )</f>
        <v/>
      </c>
      <c r="T41" s="25" t="n"/>
      <c r="U41" s="26">
        <f>IF(AND(N41&lt;&gt;"", M41&lt;&gt;""), "    - xform/》" &amp; P41 &amp; "/" &amp; S41 &amp; "/", "")</f>
        <v/>
      </c>
    </row>
    <row r="42" ht="27.75" customHeight="1" s="69" thickBot="1">
      <c r="A42" s="19" t="n">
        <v>53</v>
      </c>
      <c r="B42" s="20" t="inlineStr">
        <is>
          <t>əʔ/oʔ</t>
        </is>
      </c>
      <c r="C42" s="21" t="inlineStr">
        <is>
          <t>oh</t>
        </is>
      </c>
      <c r="D42" s="19" t="inlineStr">
        <is>
          <t>oh</t>
        </is>
      </c>
      <c r="E42" s="19" t="inlineStr">
        <is>
          <t>orh</t>
        </is>
      </c>
      <c r="F42" s="19" t="inlineStr">
        <is>
          <t>oh</t>
        </is>
      </c>
      <c r="G42" s="22" t="inlineStr">
        <is>
          <t>oh</t>
        </is>
      </c>
      <c r="H42" s="23" t="inlineStr">
        <is>
          <t>高促</t>
        </is>
      </c>
      <c r="I42" s="19" t="inlineStr">
        <is>
          <t>ㄜㆷ</t>
        </is>
      </c>
      <c r="J42" s="19" t="n"/>
      <c r="K42" s="23">
        <f>LEN(E42)</f>
        <v/>
      </c>
      <c r="L42" s="24" t="n"/>
      <c r="M42" s="11">
        <f>E42</f>
        <v/>
      </c>
      <c r="N42" s="11">
        <f>F42</f>
        <v/>
      </c>
      <c r="P42" s="3">
        <f>_xlfn.CONCAT(N42, "(\d)")</f>
        <v/>
      </c>
      <c r="Q42" s="5">
        <f>IF(ISNUMBER(FIND("a",C42)),"a",IF(ISNUMBER(FIND("oo",C42)),"o",IF(AND(ISNUMBER(FIND("e",C42)),ISNUMBER(FIND("o",C42))),IF(FIND("e",C42)&lt;FIND("o",C42),"e","o"),IF(ISNUMBER(FIND("e",C42)),"e",IF(ISNUMBER(FIND("o",C42)),"o",IF(AND(ISNUMBER(FIND("i",C42)),ISNUMBER(FIND("u",C42))),IF(FIND("i",C42)&lt;FIND("u",C42),"i","u"),IF(ISNUMBER(FIND("i",C42)),"i",IF(ISNUMBER(FIND("u",C42)),"u",IF(LEFT(C42,1)="m","m",IF(ISNUMBER(FIND("n",C42)),"n","")))))))))))</f>
        <v/>
      </c>
      <c r="R42" s="5">
        <f>IFERROR( IF(Q42="", "", SEARCH(Q42, $N42)), "")</f>
        <v/>
      </c>
      <c r="S42" s="3">
        <f>IFERROR( _xlfn.CONCAT(LEFT(N42,R42-1), "》", MID(N42,R42,1), "${1}", RIGHT(N42, LEN(N42)-R42)), "" )</f>
        <v/>
      </c>
      <c r="T42" s="25" t="n"/>
      <c r="U42" s="26">
        <f>IF(AND(N42&lt;&gt;"", M42&lt;&gt;""), "    - xform/》" &amp; P42 &amp; "/" &amp; S42 &amp; "/", "")</f>
        <v/>
      </c>
    </row>
    <row r="43" ht="30.75" customHeight="1" s="69" thickBot="1">
      <c r="A43" s="19" t="n">
        <v>54</v>
      </c>
      <c r="B43" s="20" t="inlineStr">
        <is>
          <t>ɔʔ</t>
        </is>
      </c>
      <c r="C43" s="21" t="inlineStr">
        <is>
          <t>ooh</t>
        </is>
      </c>
      <c r="D43" s="31" t="inlineStr">
        <is>
          <t>ooh</t>
        </is>
      </c>
      <c r="E43" s="31" t="inlineStr">
        <is>
          <t>ooh</t>
        </is>
      </c>
      <c r="F43" s="31" t="inlineStr">
        <is>
          <t>ooh</t>
        </is>
      </c>
      <c r="G43" s="31" t="inlineStr">
        <is>
          <t>o͘h</t>
        </is>
      </c>
      <c r="H43" s="32" t="inlineStr">
        <is>
          <t>沽促</t>
        </is>
      </c>
      <c r="I43" s="34" t="inlineStr">
        <is>
          <t>ㆦㆷ</t>
        </is>
      </c>
      <c r="J43" s="19" t="n"/>
      <c r="K43" s="23">
        <f>LEN(E43)</f>
        <v/>
      </c>
      <c r="L43" s="24" t="n"/>
      <c r="M43" s="11">
        <f>E43</f>
        <v/>
      </c>
      <c r="N43" s="11">
        <f>F43</f>
        <v/>
      </c>
      <c r="P43" s="3">
        <f>_xlfn.CONCAT(N43, "(\d)")</f>
        <v/>
      </c>
      <c r="Q43" s="5">
        <f>IF(ISNUMBER(FIND("a",C43)),"a",IF(ISNUMBER(FIND("oo",C43)),"o",IF(AND(ISNUMBER(FIND("e",C43)),ISNUMBER(FIND("o",C43))),IF(FIND("e",C43)&lt;FIND("o",C43),"e","o"),IF(ISNUMBER(FIND("e",C43)),"e",IF(ISNUMBER(FIND("o",C43)),"o",IF(AND(ISNUMBER(FIND("i",C43)),ISNUMBER(FIND("u",C43))),IF(FIND("i",C43)&lt;FIND("u",C43),"i","u"),IF(ISNUMBER(FIND("i",C43)),"i",IF(ISNUMBER(FIND("u",C43)),"u",IF(LEFT(C43,1)="m","m",IF(ISNUMBER(FIND("n",C43)),"n","")))))))))))</f>
        <v/>
      </c>
      <c r="R43" s="5">
        <f>IFERROR( IF(Q43="", "", SEARCH(Q43, $N43)), "")</f>
        <v/>
      </c>
      <c r="S43" s="3">
        <f>IFERROR( _xlfn.CONCAT(LEFT(N43,R43-1), "》", MID(N43,R43,1), "${1}", RIGHT(N43, LEN(N43)-R43)), "" )</f>
        <v/>
      </c>
      <c r="T43" s="25" t="n"/>
      <c r="U43" s="26">
        <f>IF(AND(N43&lt;&gt;"", M43&lt;&gt;""), "    - xform/》" &amp; P43 &amp; "/" &amp; S43 &amp; "/", "")</f>
        <v/>
      </c>
    </row>
    <row r="44" ht="27.75" customHeight="1" s="69" thickBot="1">
      <c r="A44" s="19" t="n">
        <v>56</v>
      </c>
      <c r="B44" s="20" t="inlineStr">
        <is>
          <t>ɔm</t>
        </is>
      </c>
      <c r="C44" s="21" t="inlineStr">
        <is>
          <t>om</t>
        </is>
      </c>
      <c r="D44" s="19" t="inlineStr">
        <is>
          <t>om</t>
        </is>
      </c>
      <c r="E44" s="19" t="inlineStr">
        <is>
          <t>oom</t>
        </is>
      </c>
      <c r="F44" s="19" t="inlineStr">
        <is>
          <t>om</t>
        </is>
      </c>
      <c r="G44" s="22" t="inlineStr">
        <is>
          <t>om</t>
        </is>
      </c>
      <c r="H44" s="23" t="inlineStr">
        <is>
          <t>箴舒</t>
        </is>
      </c>
      <c r="I44" s="19" t="inlineStr">
        <is>
          <t>ㆱ</t>
        </is>
      </c>
      <c r="J44" s="19" t="n"/>
      <c r="K44" s="23">
        <f>LEN(E44)</f>
        <v/>
      </c>
      <c r="L44" s="24" t="n"/>
      <c r="M44" s="11">
        <f>E44</f>
        <v/>
      </c>
      <c r="N44" s="11">
        <f>F44</f>
        <v/>
      </c>
      <c r="P44" s="3">
        <f>_xlfn.CONCAT(N44, "(\d)")</f>
        <v/>
      </c>
      <c r="Q44" s="5">
        <f>IF(ISNUMBER(FIND("a",C44)),"a",IF(ISNUMBER(FIND("oo",C44)),"o",IF(AND(ISNUMBER(FIND("e",C44)),ISNUMBER(FIND("o",C44))),IF(FIND("e",C44)&lt;FIND("o",C44),"e","o"),IF(ISNUMBER(FIND("e",C44)),"e",IF(ISNUMBER(FIND("o",C44)),"o",IF(AND(ISNUMBER(FIND("i",C44)),ISNUMBER(FIND("u",C44))),IF(FIND("i",C44)&lt;FIND("u",C44),"i","u"),IF(ISNUMBER(FIND("i",C44)),"i",IF(ISNUMBER(FIND("u",C44)),"u",IF(LEFT(C44,1)="m","m",IF(ISNUMBER(FIND("n",C44)),"n","")))))))))))</f>
        <v/>
      </c>
      <c r="R44" s="5">
        <f>IFERROR( IF(Q44="", "", SEARCH(Q44, $N44)), "")</f>
        <v/>
      </c>
      <c r="S44" s="3">
        <f>IFERROR( _xlfn.CONCAT(LEFT(N44,R44-1), "》", MID(N44,R44,1), "${1}", RIGHT(N44, LEN(N44)-R44)), "" )</f>
        <v/>
      </c>
      <c r="T44" s="25" t="n"/>
      <c r="U44" s="26">
        <f>IF(AND(N44&lt;&gt;"", M44&lt;&gt;""), "    - xform/》" &amp; P44 &amp; "/" &amp; S44 &amp; "/", "")</f>
        <v/>
      </c>
    </row>
    <row r="45" ht="27.75" customHeight="1" s="69" thickBot="1">
      <c r="A45" s="19" t="n">
        <v>57</v>
      </c>
      <c r="B45" s="20" t="inlineStr">
        <is>
          <t>ɔŋ</t>
        </is>
      </c>
      <c r="C45" s="21" t="inlineStr">
        <is>
          <t>ong</t>
        </is>
      </c>
      <c r="D45" s="19" t="inlineStr">
        <is>
          <t>ong</t>
        </is>
      </c>
      <c r="E45" s="19" t="inlineStr">
        <is>
          <t>ong</t>
        </is>
      </c>
      <c r="F45" s="19" t="inlineStr">
        <is>
          <t>ong</t>
        </is>
      </c>
      <c r="G45" s="22" t="inlineStr">
        <is>
          <t>ong</t>
        </is>
      </c>
      <c r="H45" s="23" t="inlineStr">
        <is>
          <t>公舒</t>
        </is>
      </c>
      <c r="I45" s="19" t="inlineStr">
        <is>
          <t>ㆲ</t>
        </is>
      </c>
      <c r="J45" s="19" t="n"/>
      <c r="K45" s="23">
        <f>LEN(E45)</f>
        <v/>
      </c>
      <c r="L45" s="24" t="n"/>
      <c r="M45" s="11">
        <f>E45</f>
        <v/>
      </c>
      <c r="N45" s="11">
        <f>F45</f>
        <v/>
      </c>
      <c r="P45" s="3">
        <f>_xlfn.CONCAT(N45, "(\d)")</f>
        <v/>
      </c>
      <c r="Q45" s="5">
        <f>IF(ISNUMBER(FIND("a",C45)),"a",IF(ISNUMBER(FIND("oo",C45)),"o",IF(AND(ISNUMBER(FIND("e",C45)),ISNUMBER(FIND("o",C45))),IF(FIND("e",C45)&lt;FIND("o",C45),"e","o"),IF(ISNUMBER(FIND("e",C45)),"e",IF(ISNUMBER(FIND("o",C45)),"o",IF(AND(ISNUMBER(FIND("i",C45)),ISNUMBER(FIND("u",C45))),IF(FIND("i",C45)&lt;FIND("u",C45),"i","u"),IF(ISNUMBER(FIND("i",C45)),"i",IF(ISNUMBER(FIND("u",C45)),"u",IF(LEFT(C45,1)="m","m",IF(ISNUMBER(FIND("n",C45)),"n","")))))))))))</f>
        <v/>
      </c>
      <c r="R45" s="5">
        <f>IFERROR( IF(Q45="", "", SEARCH(Q45, $N45)), "")</f>
        <v/>
      </c>
      <c r="S45" s="3">
        <f>IFERROR( _xlfn.CONCAT(LEFT(N45,R45-1), "》", MID(N45,R45,1), "${1}", RIGHT(N45, LEN(N45)-R45)), "" )</f>
        <v/>
      </c>
      <c r="T45" s="25" t="n"/>
      <c r="U45" s="26">
        <f>IF(AND(N45&lt;&gt;"", M45&lt;&gt;""), "    - xform/》" &amp; P45 &amp; "/" &amp; S45 &amp; "/", "")</f>
        <v/>
      </c>
    </row>
    <row r="46" ht="27.75" customHeight="1" s="69" thickBot="1">
      <c r="A46" s="19" t="n">
        <v>58</v>
      </c>
      <c r="B46" s="20" t="inlineStr">
        <is>
          <t>ɔp̚</t>
        </is>
      </c>
      <c r="C46" s="21" t="inlineStr">
        <is>
          <t>op</t>
        </is>
      </c>
      <c r="D46" s="19" t="inlineStr">
        <is>
          <t>op</t>
        </is>
      </c>
      <c r="E46" s="19" t="inlineStr">
        <is>
          <t>oop</t>
        </is>
      </c>
      <c r="F46" s="19" t="inlineStr">
        <is>
          <t>op</t>
        </is>
      </c>
      <c r="G46" s="22" t="inlineStr">
        <is>
          <t>op</t>
        </is>
      </c>
      <c r="H46" s="23" t="inlineStr">
        <is>
          <t>箴促</t>
        </is>
      </c>
      <c r="I46" s="19" t="inlineStr">
        <is>
          <t>ㆦㆴ</t>
        </is>
      </c>
      <c r="J46" s="19" t="n"/>
      <c r="K46" s="23">
        <f>LEN(E46)</f>
        <v/>
      </c>
      <c r="L46" s="24" t="n"/>
      <c r="M46" s="11">
        <f>E46</f>
        <v/>
      </c>
      <c r="N46" s="11">
        <f>F46</f>
        <v/>
      </c>
      <c r="P46" s="3">
        <f>_xlfn.CONCAT(N46, "(\d)")</f>
        <v/>
      </c>
      <c r="Q46" s="5">
        <f>IF(ISNUMBER(FIND("a",C46)),"a",IF(ISNUMBER(FIND("oo",C46)),"o",IF(AND(ISNUMBER(FIND("e",C46)),ISNUMBER(FIND("o",C46))),IF(FIND("e",C46)&lt;FIND("o",C46),"e","o"),IF(ISNUMBER(FIND("e",C46)),"e",IF(ISNUMBER(FIND("o",C46)),"o",IF(AND(ISNUMBER(FIND("i",C46)),ISNUMBER(FIND("u",C46))),IF(FIND("i",C46)&lt;FIND("u",C46),"i","u"),IF(ISNUMBER(FIND("i",C46)),"i",IF(ISNUMBER(FIND("u",C46)),"u",IF(LEFT(C46,1)="m","m",IF(ISNUMBER(FIND("n",C46)),"n","")))))))))))</f>
        <v/>
      </c>
      <c r="R46" s="5">
        <f>IFERROR( IF(Q46="", "", SEARCH(Q46, $N46)), "")</f>
        <v/>
      </c>
      <c r="S46" s="3">
        <f>IFERROR( _xlfn.CONCAT(LEFT(N46,R46-1), "》", MID(N46,R46,1), "${1}", RIGHT(N46, LEN(N46)-R46)), "" )</f>
        <v/>
      </c>
      <c r="T46" s="25" t="n"/>
      <c r="U46" s="26">
        <f>IF(AND(N46&lt;&gt;"", M46&lt;&gt;""), "    - xform/》" &amp; P46 &amp; "/" &amp; S46 &amp; "/", "")</f>
        <v/>
      </c>
    </row>
    <row r="47" ht="27.75" customHeight="1" s="69" thickBot="1">
      <c r="A47" s="19" t="n">
        <v>66</v>
      </c>
      <c r="B47" s="20" t="inlineStr">
        <is>
          <t>uaʔ</t>
        </is>
      </c>
      <c r="C47" s="21" t="inlineStr">
        <is>
          <t>uah</t>
        </is>
      </c>
      <c r="D47" s="19" t="inlineStr">
        <is>
          <t>uah</t>
        </is>
      </c>
      <c r="E47" s="19" t="inlineStr">
        <is>
          <t>uah</t>
        </is>
      </c>
      <c r="F47" s="19" t="inlineStr">
        <is>
          <t>uah</t>
        </is>
      </c>
      <c r="G47" s="22" t="inlineStr">
        <is>
          <t>oah</t>
        </is>
      </c>
      <c r="H47" s="23" t="inlineStr">
        <is>
          <t>瓜促</t>
        </is>
      </c>
      <c r="I47" s="19" t="inlineStr">
        <is>
          <t>ㄨㄚㆷ</t>
        </is>
      </c>
      <c r="J47" s="19" t="n"/>
      <c r="K47" s="23">
        <f>LEN(E47)</f>
        <v/>
      </c>
      <c r="L47" s="24" t="n"/>
      <c r="M47" s="11">
        <f>E47</f>
        <v/>
      </c>
      <c r="N47" s="11">
        <f>F47</f>
        <v/>
      </c>
      <c r="P47" s="3">
        <f>_xlfn.CONCAT(N47, "(\d)")</f>
        <v/>
      </c>
      <c r="Q47" s="49">
        <f>IF(ISNUMBER(FIND("a",C47)),"a",IF(ISNUMBER(FIND("oo",C47)),"o",IF(AND(ISNUMBER(FIND("e",C47)),ISNUMBER(FIND("o",C47))),IF(FIND("e",C47)&lt;FIND("o",C47),"e","o"),IF(ISNUMBER(FIND("e",C47)),"e",IF(ISNUMBER(FIND("o",C47)),"o",IF(AND(ISNUMBER(FIND("i",C47)),ISNUMBER(FIND("u",C47))),IF(FIND("i",C47)&lt;FIND("u",C47),"i","u"),IF(ISNUMBER(FIND("i",C47)),"i",IF(ISNUMBER(FIND("u",C47)),"u",IF(LEFT(C47,1)="m","m",IF(ISNUMBER(FIND("n",C47)),"n","")))))))))))</f>
        <v/>
      </c>
      <c r="R47" s="5">
        <f>IFERROR( IF(Q47="", "", SEARCH(Q47, $N47)), "")</f>
        <v/>
      </c>
      <c r="S47" s="3">
        <f>IFERROR( _xlfn.CONCAT(LEFT(N47,R47-1), "》", MID(N47,R47,1), "${1}", RIGHT(N47, LEN(N47)-R47)), "" )</f>
        <v/>
      </c>
      <c r="T47" s="25" t="n"/>
      <c r="U47" s="26">
        <f>IF(AND(N47&lt;&gt;"", M47&lt;&gt;""), "    - xform/》" &amp; P47 &amp; "/" &amp; S47 &amp; "/", "")</f>
        <v/>
      </c>
    </row>
    <row r="48" ht="27.75" customHeight="1" s="69" thickBot="1">
      <c r="A48" s="19" t="n">
        <v>67</v>
      </c>
      <c r="B48" s="20" t="inlineStr">
        <is>
          <t>uan</t>
        </is>
      </c>
      <c r="C48" s="21" t="inlineStr">
        <is>
          <t>uan</t>
        </is>
      </c>
      <c r="D48" s="19" t="inlineStr">
        <is>
          <t>uan</t>
        </is>
      </c>
      <c r="E48" s="19" t="inlineStr">
        <is>
          <t>uan</t>
        </is>
      </c>
      <c r="F48" s="19" t="inlineStr">
        <is>
          <t>uan</t>
        </is>
      </c>
      <c r="G48" s="22" t="inlineStr">
        <is>
          <t>oan</t>
        </is>
      </c>
      <c r="H48" s="23" t="inlineStr">
        <is>
          <t>觀舒</t>
        </is>
      </c>
      <c r="I48" s="19" t="inlineStr">
        <is>
          <t>ㄨㄢ</t>
        </is>
      </c>
      <c r="J48" s="19" t="n"/>
      <c r="K48" s="23">
        <f>LEN(E48)</f>
        <v/>
      </c>
      <c r="L48" s="24" t="n"/>
      <c r="M48" s="11">
        <f>E48</f>
        <v/>
      </c>
      <c r="N48" s="11">
        <f>F48</f>
        <v/>
      </c>
      <c r="P48" s="3">
        <f>_xlfn.CONCAT(N48, "(\d)")</f>
        <v/>
      </c>
      <c r="Q48" s="5">
        <f>IF(ISNUMBER(FIND("a",C48)),"a",IF(ISNUMBER(FIND("oo",C48)),"o",IF(AND(ISNUMBER(FIND("e",C48)),ISNUMBER(FIND("o",C48))),IF(FIND("e",C48)&lt;FIND("o",C48),"e","o"),IF(ISNUMBER(FIND("e",C48)),"e",IF(ISNUMBER(FIND("o",C48)),"o",IF(AND(ISNUMBER(FIND("i",C48)),ISNUMBER(FIND("u",C48))),IF(FIND("i",C48)&lt;FIND("u",C48),"i","u"),IF(ISNUMBER(FIND("i",C48)),"i",IF(ISNUMBER(FIND("u",C48)),"u",IF(LEFT(C48,1)="m","m",IF(ISNUMBER(FIND("n",C48)),"n","")))))))))))</f>
        <v/>
      </c>
      <c r="R48" s="5">
        <f>IFERROR( IF(Q48="", "", SEARCH(Q48, $N48)), "")</f>
        <v/>
      </c>
      <c r="S48" s="3">
        <f>IFERROR( _xlfn.CONCAT(LEFT(N48,R48-1), "》", MID(N48,R48,1), "${1}", RIGHT(N48, LEN(N48)-R48)), "" )</f>
        <v/>
      </c>
      <c r="T48" s="25" t="n"/>
      <c r="U48" s="26">
        <f>IF(AND(N48&lt;&gt;"", M48&lt;&gt;""), "    - xform/》" &amp; P48 &amp; "/" &amp; S48 &amp; "/", "")</f>
        <v/>
      </c>
    </row>
    <row r="49" ht="27.75" customHeight="1" s="69" thickBot="1">
      <c r="A49" s="19" t="n">
        <v>69</v>
      </c>
      <c r="B49" s="20" t="inlineStr">
        <is>
          <t>uat̚</t>
        </is>
      </c>
      <c r="C49" s="21" t="inlineStr">
        <is>
          <t>uat</t>
        </is>
      </c>
      <c r="D49" s="19" t="inlineStr">
        <is>
          <t>uat</t>
        </is>
      </c>
      <c r="E49" s="19" t="inlineStr">
        <is>
          <t>uat</t>
        </is>
      </c>
      <c r="F49" s="19" t="inlineStr">
        <is>
          <t>uat</t>
        </is>
      </c>
      <c r="G49" s="22" t="inlineStr">
        <is>
          <t>oat</t>
        </is>
      </c>
      <c r="H49" s="23" t="inlineStr">
        <is>
          <t>觀促</t>
        </is>
      </c>
      <c r="I49" s="19" t="inlineStr">
        <is>
          <t>ㄨㄚㆵ</t>
        </is>
      </c>
      <c r="J49" s="19" t="n"/>
      <c r="K49" s="23">
        <f>LEN(E49)</f>
        <v/>
      </c>
      <c r="L49" s="24" t="n"/>
      <c r="M49" s="11">
        <f>E49</f>
        <v/>
      </c>
      <c r="N49" s="11">
        <f>F49</f>
        <v/>
      </c>
      <c r="P49" s="3">
        <f>_xlfn.CONCAT(N49, "(\d)")</f>
        <v/>
      </c>
      <c r="Q49" s="5">
        <f>IF(ISNUMBER(FIND("a",C49)),"a",IF(ISNUMBER(FIND("oo",C49)),"o",IF(AND(ISNUMBER(FIND("e",C49)),ISNUMBER(FIND("o",C49))),IF(FIND("e",C49)&lt;FIND("o",C49),"e","o"),IF(ISNUMBER(FIND("e",C49)),"e",IF(ISNUMBER(FIND("o",C49)),"o",IF(AND(ISNUMBER(FIND("i",C49)),ISNUMBER(FIND("u",C49))),IF(FIND("i",C49)&lt;FIND("u",C49),"i","u"),IF(ISNUMBER(FIND("i",C49)),"i",IF(ISNUMBER(FIND("u",C49)),"u",IF(LEFT(C49,1)="m","m",IF(ISNUMBER(FIND("n",C49)),"n","")))))))))))</f>
        <v/>
      </c>
      <c r="R49" s="5">
        <f>IFERROR( IF(Q49="", "", SEARCH(Q49, $N49)), "")</f>
        <v/>
      </c>
      <c r="S49" s="3">
        <f>IFERROR( _xlfn.CONCAT(LEFT(N49,R49-1), "》", MID(N49,R49,1), "${1}", RIGHT(N49, LEN(N49)-R49)), "" )</f>
        <v/>
      </c>
      <c r="T49" s="25" t="n"/>
      <c r="U49" s="26">
        <f>IF(AND(N49&lt;&gt;"", M49&lt;&gt;""), "    - xform/》" &amp; P49 &amp; "/" &amp; S49 &amp; "/", "")</f>
        <v/>
      </c>
    </row>
    <row r="50" ht="27.75" customHeight="1" s="69" thickBot="1">
      <c r="A50" s="19" t="n">
        <v>70</v>
      </c>
      <c r="B50" s="20" t="inlineStr">
        <is>
          <t>uai</t>
        </is>
      </c>
      <c r="C50" s="21" t="inlineStr">
        <is>
          <t>uai</t>
        </is>
      </c>
      <c r="D50" s="19" t="inlineStr">
        <is>
          <t>uai</t>
        </is>
      </c>
      <c r="E50" s="19" t="inlineStr">
        <is>
          <t>uai</t>
        </is>
      </c>
      <c r="F50" s="19" t="inlineStr">
        <is>
          <t>uai</t>
        </is>
      </c>
      <c r="G50" s="22" t="inlineStr">
        <is>
          <t>oai</t>
        </is>
      </c>
      <c r="H50" s="23" t="inlineStr">
        <is>
          <t>乖舒</t>
        </is>
      </c>
      <c r="I50" s="19" t="inlineStr">
        <is>
          <t>ㄨㄞ</t>
        </is>
      </c>
      <c r="J50" s="19" t="n"/>
      <c r="K50" s="23">
        <f>LEN(E50)</f>
        <v/>
      </c>
      <c r="L50" s="24" t="n"/>
      <c r="M50" s="11">
        <f>E50</f>
        <v/>
      </c>
      <c r="N50" s="11">
        <f>F50</f>
        <v/>
      </c>
      <c r="P50" s="3">
        <f>_xlfn.CONCAT(N50, "(\d)")</f>
        <v/>
      </c>
      <c r="Q50" s="5">
        <f>IF(ISNUMBER(FIND("a",C50)),"a",IF(ISNUMBER(FIND("oo",C50)),"o",IF(AND(ISNUMBER(FIND("e",C50)),ISNUMBER(FIND("o",C50))),IF(FIND("e",C50)&lt;FIND("o",C50),"e","o"),IF(ISNUMBER(FIND("e",C50)),"e",IF(ISNUMBER(FIND("o",C50)),"o",IF(AND(ISNUMBER(FIND("i",C50)),ISNUMBER(FIND("u",C50))),IF(FIND("i",C50)&lt;FIND("u",C50),"i","u"),IF(ISNUMBER(FIND("i",C50)),"i",IF(ISNUMBER(FIND("u",C50)),"u",IF(LEFT(C50,1)="m","m",IF(ISNUMBER(FIND("n",C50)),"n","")))))))))))</f>
        <v/>
      </c>
      <c r="R50" s="5">
        <f>IFERROR( IF(Q50="", "", SEARCH(Q50, $N50)), "")</f>
        <v/>
      </c>
      <c r="S50" s="3">
        <f>IFERROR( _xlfn.CONCAT(LEFT(N50,R50-1), "》", MID(N50,R50,1), "${1}", RIGHT(N50, LEN(N50)-R50)), "" )</f>
        <v/>
      </c>
      <c r="T50" s="25" t="n"/>
      <c r="U50" s="26">
        <f>IF(AND(N50&lt;&gt;"", M50&lt;&gt;""), "    - xform/》" &amp; P50 &amp; "/" &amp; S50 &amp; "/", "")</f>
        <v/>
      </c>
    </row>
    <row r="51" ht="27.75" customHeight="1" s="69" thickBot="1">
      <c r="A51" s="19" t="n">
        <v>75</v>
      </c>
      <c r="B51" s="20" t="inlineStr">
        <is>
          <t>ueʔ</t>
        </is>
      </c>
      <c r="C51" s="21" t="inlineStr">
        <is>
          <t>ueh</t>
        </is>
      </c>
      <c r="D51" s="19" t="inlineStr">
        <is>
          <t>ueh</t>
        </is>
      </c>
      <c r="E51" s="19" t="inlineStr">
        <is>
          <t>ueh</t>
        </is>
      </c>
      <c r="F51" s="19" t="inlineStr">
        <is>
          <t>ueh</t>
        </is>
      </c>
      <c r="G51" s="22" t="inlineStr">
        <is>
          <t>oeh</t>
        </is>
      </c>
      <c r="H51" s="23" t="inlineStr">
        <is>
          <t>檜促</t>
        </is>
      </c>
      <c r="I51" s="19" t="inlineStr">
        <is>
          <t>ㄨㆤㆷ</t>
        </is>
      </c>
      <c r="J51" s="19" t="n"/>
      <c r="K51" s="23">
        <f>LEN(E51)</f>
        <v/>
      </c>
      <c r="L51" s="24" t="n"/>
      <c r="M51" s="11">
        <f>E51</f>
        <v/>
      </c>
      <c r="N51" s="11">
        <f>F51</f>
        <v/>
      </c>
      <c r="P51" s="3">
        <f>_xlfn.CONCAT(N51, "(\d)")</f>
        <v/>
      </c>
      <c r="Q51" s="5">
        <f>IF(ISNUMBER(FIND("a",C51)),"a",IF(ISNUMBER(FIND("oo",C51)),"o",IF(AND(ISNUMBER(FIND("e",C51)),ISNUMBER(FIND("o",C51))),IF(FIND("e",C51)&lt;FIND("o",C51),"e","o"),IF(ISNUMBER(FIND("e",C51)),"e",IF(ISNUMBER(FIND("o",C51)),"o",IF(AND(ISNUMBER(FIND("i",C51)),ISNUMBER(FIND("u",C51))),IF(FIND("i",C51)&lt;FIND("u",C51),"i","u"),IF(ISNUMBER(FIND("i",C51)),"i",IF(ISNUMBER(FIND("u",C51)),"u",IF(LEFT(C51,1)="m","m",IF(ISNUMBER(FIND("n",C51)),"n","")))))))))))</f>
        <v/>
      </c>
      <c r="R51" s="5">
        <f>IFERROR( IF(Q51="", "", SEARCH(Q51, $N51)), "")</f>
        <v/>
      </c>
      <c r="S51" s="3">
        <f>IFERROR( _xlfn.CONCAT(LEFT(N51,R51-1), "》", MID(N51,R51,1), "${1}", RIGHT(N51, LEN(N51)-R51)), "" )</f>
        <v/>
      </c>
      <c r="T51" s="25" t="n"/>
      <c r="U51" s="26">
        <f>IF(AND(N51&lt;&gt;"", M51&lt;&gt;""), "    - xform/》" &amp; P51 &amp; "/" &amp; S51 &amp; "/", "")</f>
        <v/>
      </c>
    </row>
    <row r="52" ht="27.75" customHeight="1" s="69" thickBot="1">
      <c r="A52" s="19" t="n">
        <v>82</v>
      </c>
      <c r="B52" s="20" t="inlineStr">
        <is>
          <t>ŋ̍ʔ</t>
        </is>
      </c>
      <c r="C52" s="21" t="inlineStr">
        <is>
          <t>ngh</t>
        </is>
      </c>
      <c r="D52" s="31" t="inlineStr">
        <is>
          <t>ngh</t>
        </is>
      </c>
      <c r="E52" s="31" t="inlineStr">
        <is>
          <t>ngh</t>
        </is>
      </c>
      <c r="F52" s="31" t="inlineStr">
        <is>
          <t>ngh</t>
        </is>
      </c>
      <c r="G52" s="31" t="inlineStr">
        <is>
          <t>ngh</t>
        </is>
      </c>
      <c r="H52" s="35" t="inlineStr">
        <is>
          <t>鋼促</t>
        </is>
      </c>
      <c r="I52" s="34" t="inlineStr">
        <is>
          <t>ㆭㆷ</t>
        </is>
      </c>
      <c r="J52" s="19" t="n"/>
      <c r="K52" s="23">
        <f>LEN(E52)</f>
        <v/>
      </c>
      <c r="L52" s="24" t="n"/>
      <c r="M52" s="11">
        <f>E52</f>
        <v/>
      </c>
      <c r="N52" s="11">
        <f>F52</f>
        <v/>
      </c>
      <c r="P52" s="3">
        <f>_xlfn.CONCAT(N52, "(\d)")</f>
        <v/>
      </c>
      <c r="Q52" s="5">
        <f>IF(ISNUMBER(FIND("a",C52)),"a",IF(ISNUMBER(FIND("oo",C52)),"o",IF(AND(ISNUMBER(FIND("e",C52)),ISNUMBER(FIND("o",C52))),IF(FIND("e",C52)&lt;FIND("o",C52),"e","o"),IF(ISNUMBER(FIND("e",C52)),"e",IF(ISNUMBER(FIND("o",C52)),"o",IF(AND(ISNUMBER(FIND("i",C52)),ISNUMBER(FIND("u",C52))),IF(FIND("i",C52)&lt;FIND("u",C52),"i","u"),IF(ISNUMBER(FIND("i",C52)),"i",IF(ISNUMBER(FIND("u",C52)),"u",IF(LEFT(C52,1)="m","m",IF(ISNUMBER(FIND("n",C52)),"n","")))))))))))</f>
        <v/>
      </c>
      <c r="R52" s="5">
        <f>IFERROR( IF(Q52="", "", SEARCH(Q52, $N52)), "")</f>
        <v/>
      </c>
      <c r="S52" s="3">
        <f>IFERROR( _xlfn.CONCAT(LEFT(N52,R52-1), "》", MID(N52,R52,1), "${1}", RIGHT(N52, LEN(N52)-R52)), "" )</f>
        <v/>
      </c>
      <c r="T52" s="25" t="n"/>
      <c r="U52" s="26">
        <f>IF(AND(N52&lt;&gt;"", M52&lt;&gt;""), "    - xform/》" &amp; P52 &amp; "/" &amp; S52 &amp; "/", "")</f>
        <v/>
      </c>
    </row>
    <row r="53" ht="27.75" customHeight="1" s="69" thickBot="1">
      <c r="A53" s="19" t="n">
        <v>3</v>
      </c>
      <c r="B53" s="20" t="inlineStr">
        <is>
          <t>aʔ</t>
        </is>
      </c>
      <c r="C53" s="21" t="inlineStr">
        <is>
          <t>ah</t>
        </is>
      </c>
      <c r="D53" s="19" t="inlineStr">
        <is>
          <t>ah</t>
        </is>
      </c>
      <c r="E53" s="19" t="inlineStr">
        <is>
          <t>ah</t>
        </is>
      </c>
      <c r="F53" s="19" t="inlineStr">
        <is>
          <t>ah</t>
        </is>
      </c>
      <c r="G53" s="22" t="inlineStr">
        <is>
          <t>ah</t>
        </is>
      </c>
      <c r="H53" s="23" t="inlineStr">
        <is>
          <t>膠促</t>
        </is>
      </c>
      <c r="I53" s="19" t="inlineStr">
        <is>
          <t>ㄚㆷ</t>
        </is>
      </c>
      <c r="J53" s="19" t="n"/>
      <c r="K53" s="23">
        <f>LEN(E53)</f>
        <v/>
      </c>
      <c r="L53" s="24" t="n"/>
      <c r="M53" s="11">
        <f>E53</f>
        <v/>
      </c>
      <c r="N53" s="11">
        <f>F53</f>
        <v/>
      </c>
      <c r="P53" s="3">
        <f>_xlfn.CONCAT(N53, "(\d)")</f>
        <v/>
      </c>
      <c r="Q53" s="5">
        <f>IF(ISNUMBER(FIND("a",C53)),"a",IF(ISNUMBER(FIND("oo",C53)),"o",IF(AND(ISNUMBER(FIND("e",C53)),ISNUMBER(FIND("o",C53))),IF(FIND("e",C53)&lt;FIND("o",C53),"e","o"),IF(ISNUMBER(FIND("e",C53)),"e",IF(ISNUMBER(FIND("o",C53)),"o",IF(AND(ISNUMBER(FIND("i",C53)),ISNUMBER(FIND("u",C53))),IF(FIND("i",C53)&lt;FIND("u",C53),"i","u"),IF(ISNUMBER(FIND("i",C53)),"i",IF(ISNUMBER(FIND("u",C53)),"u",IF(LEFT(C53,1)="m","m",IF(ISNUMBER(FIND("n",C53)),"n","")))))))))))</f>
        <v/>
      </c>
      <c r="R53" s="5">
        <f>IFERROR( IF(Q53="", "", SEARCH(Q53, $N53)), "")</f>
        <v/>
      </c>
      <c r="S53" s="3">
        <f>IFERROR( _xlfn.CONCAT(LEFT(N53,R53-1), "》", MID(N53,R53,1), "${1}", RIGHT(N53, LEN(N53)-R53)), "" )</f>
        <v/>
      </c>
      <c r="T53" s="25" t="n"/>
      <c r="U53" s="26">
        <f>IF(AND(N53&lt;&gt;"", M53&lt;&gt;""), "    - xform/》" &amp; P53 &amp; "/" &amp; S53 &amp; "/", "")</f>
        <v/>
      </c>
    </row>
    <row r="54" ht="27.75" customHeight="1" s="69" thickBot="1">
      <c r="A54" s="19" t="n">
        <v>5</v>
      </c>
      <c r="B54" s="20" t="inlineStr">
        <is>
          <t>am</t>
        </is>
      </c>
      <c r="C54" s="21" t="inlineStr">
        <is>
          <t>am</t>
        </is>
      </c>
      <c r="D54" s="19" t="inlineStr">
        <is>
          <t>am</t>
        </is>
      </c>
      <c r="E54" s="19" t="inlineStr">
        <is>
          <t>am</t>
        </is>
      </c>
      <c r="F54" s="19" t="inlineStr">
        <is>
          <t>am</t>
        </is>
      </c>
      <c r="G54" s="22" t="inlineStr">
        <is>
          <t>am</t>
        </is>
      </c>
      <c r="H54" s="23" t="inlineStr">
        <is>
          <t>甘舒</t>
        </is>
      </c>
      <c r="I54" s="19" t="inlineStr">
        <is>
          <t>ㆰ</t>
        </is>
      </c>
      <c r="J54" s="19" t="n"/>
      <c r="K54" s="23">
        <f>LEN(E54)</f>
        <v/>
      </c>
      <c r="L54" s="24" t="n"/>
      <c r="M54" s="11">
        <f>E54</f>
        <v/>
      </c>
      <c r="N54" s="11">
        <f>F54</f>
        <v/>
      </c>
      <c r="P54" s="3">
        <f>_xlfn.CONCAT(N54, "(\d)")</f>
        <v/>
      </c>
      <c r="Q54" s="5">
        <f>IF(ISNUMBER(FIND("a",C54)),"a",IF(ISNUMBER(FIND("oo",C54)),"o",IF(AND(ISNUMBER(FIND("e",C54)),ISNUMBER(FIND("o",C54))),IF(FIND("e",C54)&lt;FIND("o",C54),"e","o"),IF(ISNUMBER(FIND("e",C54)),"e",IF(ISNUMBER(FIND("o",C54)),"o",IF(AND(ISNUMBER(FIND("i",C54)),ISNUMBER(FIND("u",C54))),IF(FIND("i",C54)&lt;FIND("u",C54),"i","u"),IF(ISNUMBER(FIND("i",C54)),"i",IF(ISNUMBER(FIND("u",C54)),"u",IF(LEFT(C54,1)="m","m",IF(ISNUMBER(FIND("n",C54)),"n","")))))))))))</f>
        <v/>
      </c>
      <c r="R54" s="5">
        <f>IFERROR( IF(Q54="", "", SEARCH(Q54, $N54)), "")</f>
        <v/>
      </c>
      <c r="S54" s="3">
        <f>IFERROR( _xlfn.CONCAT(LEFT(N54,R54-1), "》", MID(N54,R54,1), "${1}", RIGHT(N54, LEN(N54)-R54)), "" )</f>
        <v/>
      </c>
      <c r="T54" s="25" t="n"/>
      <c r="U54" s="26">
        <f>IF(AND(N54&lt;&gt;"", M54&lt;&gt;""), "    - xform/》" &amp; P54 &amp; "/" &amp; S54 &amp; "/", "")</f>
        <v/>
      </c>
    </row>
    <row r="55" ht="27.75" customHeight="1" s="69" thickBot="1">
      <c r="A55" s="19" t="n">
        <v>6</v>
      </c>
      <c r="B55" s="20" t="inlineStr">
        <is>
          <t>an</t>
        </is>
      </c>
      <c r="C55" s="21" t="inlineStr">
        <is>
          <t>an</t>
        </is>
      </c>
      <c r="D55" s="19" t="inlineStr">
        <is>
          <t>an</t>
        </is>
      </c>
      <c r="E55" s="19" t="inlineStr">
        <is>
          <t>an</t>
        </is>
      </c>
      <c r="F55" s="19" t="inlineStr">
        <is>
          <t>an</t>
        </is>
      </c>
      <c r="G55" s="22" t="inlineStr">
        <is>
          <t>an</t>
        </is>
      </c>
      <c r="H55" s="23" t="inlineStr">
        <is>
          <t>干舒</t>
        </is>
      </c>
      <c r="I55" s="19" t="inlineStr">
        <is>
          <t>ㄢ</t>
        </is>
      </c>
      <c r="J55" s="19" t="n"/>
      <c r="K55" s="23">
        <f>LEN(E55)</f>
        <v/>
      </c>
      <c r="L55" s="24" t="n"/>
      <c r="M55" s="11">
        <f>E55</f>
        <v/>
      </c>
      <c r="N55" s="11">
        <f>F55</f>
        <v/>
      </c>
      <c r="P55" s="3">
        <f>_xlfn.CONCAT(N55, "(\d)")</f>
        <v/>
      </c>
      <c r="Q55" s="5">
        <f>IF(ISNUMBER(FIND("a",C55)),"a",IF(ISNUMBER(FIND("oo",C55)),"o",IF(AND(ISNUMBER(FIND("e",C55)),ISNUMBER(FIND("o",C55))),IF(FIND("e",C55)&lt;FIND("o",C55),"e","o"),IF(ISNUMBER(FIND("e",C55)),"e",IF(ISNUMBER(FIND("o",C55)),"o",IF(AND(ISNUMBER(FIND("i",C55)),ISNUMBER(FIND("u",C55))),IF(FIND("i",C55)&lt;FIND("u",C55),"i","u"),IF(ISNUMBER(FIND("i",C55)),"i",IF(ISNUMBER(FIND("u",C55)),"u",IF(LEFT(C55,1)="m","m",IF(ISNUMBER(FIND("n",C55)),"n","")))))))))))</f>
        <v/>
      </c>
      <c r="R55" s="5">
        <f>IFERROR( IF(Q55="", "", SEARCH(Q55, $N55)), "")</f>
        <v/>
      </c>
      <c r="S55" s="3">
        <f>IFERROR( _xlfn.CONCAT(LEFT(N55,R55-1), "》", MID(N55,R55,1), "${1}", RIGHT(N55, LEN(N55)-R55)), "" )</f>
        <v/>
      </c>
      <c r="T55" s="25" t="n"/>
      <c r="U55" s="26">
        <f>IF(AND(N55&lt;&gt;"", M55&lt;&gt;""), "    - xform/》" &amp; P55 &amp; "/" &amp; S55 &amp; "/", "")</f>
        <v/>
      </c>
    </row>
    <row r="56" ht="27.75" customHeight="1" s="69" thickBot="1">
      <c r="A56" s="19" t="n">
        <v>8</v>
      </c>
      <c r="B56" s="20" t="inlineStr">
        <is>
          <t>ap̚</t>
        </is>
      </c>
      <c r="C56" s="21" t="inlineStr">
        <is>
          <t>ap</t>
        </is>
      </c>
      <c r="D56" s="19" t="inlineStr">
        <is>
          <t>ap</t>
        </is>
      </c>
      <c r="E56" s="19" t="inlineStr">
        <is>
          <t>ap</t>
        </is>
      </c>
      <c r="F56" s="19" t="inlineStr">
        <is>
          <t>ap</t>
        </is>
      </c>
      <c r="G56" s="22" t="inlineStr">
        <is>
          <t>ap</t>
        </is>
      </c>
      <c r="H56" s="23" t="inlineStr">
        <is>
          <t>甘促</t>
        </is>
      </c>
      <c r="I56" s="19" t="inlineStr">
        <is>
          <t>ㄚㆴ</t>
        </is>
      </c>
      <c r="J56" s="19" t="n"/>
      <c r="K56" s="23">
        <f>LEN(E56)</f>
        <v/>
      </c>
      <c r="L56" s="24" t="n"/>
      <c r="M56" s="11">
        <f>E56</f>
        <v/>
      </c>
      <c r="N56" s="11">
        <f>F56</f>
        <v/>
      </c>
      <c r="P56" s="3">
        <f>_xlfn.CONCAT(N56, "(\d)")</f>
        <v/>
      </c>
      <c r="Q56" s="5">
        <f>IF(ISNUMBER(FIND("a",C56)),"a",IF(ISNUMBER(FIND("oo",C56)),"o",IF(AND(ISNUMBER(FIND("e",C56)),ISNUMBER(FIND("o",C56))),IF(FIND("e",C56)&lt;FIND("o",C56),"e","o"),IF(ISNUMBER(FIND("e",C56)),"e",IF(ISNUMBER(FIND("o",C56)),"o",IF(AND(ISNUMBER(FIND("i",C56)),ISNUMBER(FIND("u",C56))),IF(FIND("i",C56)&lt;FIND("u",C56),"i","u"),IF(ISNUMBER(FIND("i",C56)),"i",IF(ISNUMBER(FIND("u",C56)),"u",IF(LEFT(C56,1)="m","m",IF(ISNUMBER(FIND("n",C56)),"n","")))))))))))</f>
        <v/>
      </c>
      <c r="R56" s="5">
        <f>IFERROR( IF(Q56="", "", SEARCH(Q56, $N56)), "")</f>
        <v/>
      </c>
      <c r="S56" s="3">
        <f>IFERROR( _xlfn.CONCAT(LEFT(N56,R56-1), "》", MID(N56,R56,1), "${1}", RIGHT(N56, LEN(N56)-R56)), "" )</f>
        <v/>
      </c>
      <c r="T56" s="25" t="n"/>
      <c r="U56" s="26">
        <f>IF(AND(N56&lt;&gt;"", M56&lt;&gt;""), "    - xform/》" &amp; P56 &amp; "/" &amp; S56 &amp; "/", "")</f>
        <v/>
      </c>
    </row>
    <row r="57" ht="27.75" customHeight="1" s="69" thickBot="1">
      <c r="A57" s="19" t="n">
        <v>9</v>
      </c>
      <c r="B57" s="20" t="inlineStr">
        <is>
          <t>at̚</t>
        </is>
      </c>
      <c r="C57" s="21" t="inlineStr">
        <is>
          <t>at</t>
        </is>
      </c>
      <c r="D57" s="19" t="inlineStr">
        <is>
          <t>at</t>
        </is>
      </c>
      <c r="E57" s="19" t="inlineStr">
        <is>
          <t>at</t>
        </is>
      </c>
      <c r="F57" s="19" t="inlineStr">
        <is>
          <t>at</t>
        </is>
      </c>
      <c r="G57" s="22" t="inlineStr">
        <is>
          <t>at</t>
        </is>
      </c>
      <c r="H57" s="23" t="inlineStr">
        <is>
          <t>干促</t>
        </is>
      </c>
      <c r="I57" s="19" t="inlineStr">
        <is>
          <t>ㄚㆵ</t>
        </is>
      </c>
      <c r="J57" s="19" t="n"/>
      <c r="K57" s="23">
        <f>LEN(E57)</f>
        <v/>
      </c>
      <c r="L57" s="24" t="n"/>
      <c r="M57" s="11">
        <f>E57</f>
        <v/>
      </c>
      <c r="N57" s="11">
        <f>F57</f>
        <v/>
      </c>
      <c r="P57" s="3">
        <f>_xlfn.CONCAT(N57, "(\d)")</f>
        <v/>
      </c>
      <c r="Q57" s="5">
        <f>IF(ISNUMBER(FIND("a",C57)),"a",IF(ISNUMBER(FIND("oo",C57)),"o",IF(AND(ISNUMBER(FIND("e",C57)),ISNUMBER(FIND("o",C57))),IF(FIND("e",C57)&lt;FIND("o",C57),"e","o"),IF(ISNUMBER(FIND("e",C57)),"e",IF(ISNUMBER(FIND("o",C57)),"o",IF(AND(ISNUMBER(FIND("i",C57)),ISNUMBER(FIND("u",C57))),IF(FIND("i",C57)&lt;FIND("u",C57),"i","u"),IF(ISNUMBER(FIND("i",C57)),"i",IF(ISNUMBER(FIND("u",C57)),"u",IF(LEFT(C57,1)="m","m",IF(ISNUMBER(FIND("n",C57)),"n","")))))))))))</f>
        <v/>
      </c>
      <c r="R57" s="5">
        <f>IFERROR( IF(Q57="", "", SEARCH(Q57, $N57)), "")</f>
        <v/>
      </c>
      <c r="S57" s="3">
        <f>IFERROR( _xlfn.CONCAT(LEFT(N57,R57-1), "》", MID(N57,R57,1), "${1}", RIGHT(N57, LEN(N57)-R57)), "" )</f>
        <v/>
      </c>
      <c r="T57" s="25" t="n"/>
      <c r="U57" s="26">
        <f>IF(AND(N57&lt;&gt;"", M57&lt;&gt;""), "    - xform/》" &amp; P57 &amp; "/" &amp; S57 &amp; "/", "")</f>
        <v/>
      </c>
    </row>
    <row r="58" ht="27.75" customHeight="1" s="69" thickBot="1">
      <c r="A58" s="19" t="n">
        <v>10</v>
      </c>
      <c r="B58" s="20" t="inlineStr">
        <is>
          <t>ak̚</t>
        </is>
      </c>
      <c r="C58" s="21" t="inlineStr">
        <is>
          <t>ak</t>
        </is>
      </c>
      <c r="D58" s="19" t="inlineStr">
        <is>
          <t>ak</t>
        </is>
      </c>
      <c r="E58" s="19" t="inlineStr">
        <is>
          <t>ak</t>
        </is>
      </c>
      <c r="F58" s="19" t="inlineStr">
        <is>
          <t>ak</t>
        </is>
      </c>
      <c r="G58" s="22" t="inlineStr">
        <is>
          <t>ak</t>
        </is>
      </c>
      <c r="H58" s="23" t="inlineStr">
        <is>
          <t>江促</t>
        </is>
      </c>
      <c r="I58" s="19" t="inlineStr">
        <is>
          <t>ㄚㆻ</t>
        </is>
      </c>
      <c r="J58" s="19" t="n"/>
      <c r="K58" s="23">
        <f>LEN(E58)</f>
        <v/>
      </c>
      <c r="L58" s="24" t="n"/>
      <c r="M58" s="11">
        <f>E58</f>
        <v/>
      </c>
      <c r="N58" s="11">
        <f>F58</f>
        <v/>
      </c>
      <c r="P58" s="3">
        <f>_xlfn.CONCAT(N58, "(\d)")</f>
        <v/>
      </c>
      <c r="Q58" s="5">
        <f>IF(ISNUMBER(FIND("a",C58)),"a",IF(ISNUMBER(FIND("oo",C58)),"o",IF(AND(ISNUMBER(FIND("e",C58)),ISNUMBER(FIND("o",C58))),IF(FIND("e",C58)&lt;FIND("o",C58),"e","o"),IF(ISNUMBER(FIND("e",C58)),"e",IF(ISNUMBER(FIND("o",C58)),"o",IF(AND(ISNUMBER(FIND("i",C58)),ISNUMBER(FIND("u",C58))),IF(FIND("i",C58)&lt;FIND("u",C58),"i","u"),IF(ISNUMBER(FIND("i",C58)),"i",IF(ISNUMBER(FIND("u",C58)),"u",IF(LEFT(C58,1)="m","m",IF(ISNUMBER(FIND("n",C58)),"n","")))))))))))</f>
        <v/>
      </c>
      <c r="R58" s="5">
        <f>IFERROR( IF(Q58="", "", SEARCH(Q58, $N58)), "")</f>
        <v/>
      </c>
      <c r="S58" s="3">
        <f>IFERROR( _xlfn.CONCAT(LEFT(N58,R58-1), "》", MID(N58,R58,1), "${1}", RIGHT(N58, LEN(N58)-R58)), "" )</f>
        <v/>
      </c>
      <c r="T58" s="25" t="n"/>
      <c r="U58" s="26">
        <f>IF(AND(N58&lt;&gt;"", M58&lt;&gt;""), "    - xform/》" &amp; P58 &amp; "/" &amp; S58 &amp; "/", "")</f>
        <v/>
      </c>
    </row>
    <row r="59" ht="27.75" customHeight="1" s="69" thickBot="1">
      <c r="A59" s="19" t="n">
        <v>11</v>
      </c>
      <c r="B59" s="20" t="inlineStr">
        <is>
          <t>aɪ</t>
        </is>
      </c>
      <c r="C59" s="21" t="inlineStr">
        <is>
          <t>ai</t>
        </is>
      </c>
      <c r="D59" s="19" t="inlineStr">
        <is>
          <t>ai</t>
        </is>
      </c>
      <c r="E59" s="19" t="inlineStr">
        <is>
          <t>ai</t>
        </is>
      </c>
      <c r="F59" s="19" t="inlineStr">
        <is>
          <t>ai</t>
        </is>
      </c>
      <c r="G59" s="22" t="inlineStr">
        <is>
          <t>ai</t>
        </is>
      </c>
      <c r="H59" s="23" t="inlineStr">
        <is>
          <t>皆舒</t>
        </is>
      </c>
      <c r="I59" s="19" t="inlineStr">
        <is>
          <t>ㄞ</t>
        </is>
      </c>
      <c r="J59" s="19" t="n"/>
      <c r="K59" s="23">
        <f>LEN(E59)</f>
        <v/>
      </c>
      <c r="L59" s="24" t="n"/>
      <c r="M59" s="11">
        <f>E59</f>
        <v/>
      </c>
      <c r="N59" s="11">
        <f>F59</f>
        <v/>
      </c>
      <c r="P59" s="3">
        <f>_xlfn.CONCAT(N59, "(\d)")</f>
        <v/>
      </c>
      <c r="Q59" s="5">
        <f>IF(ISNUMBER(FIND("a",C59)),"a",IF(ISNUMBER(FIND("oo",C59)),"o",IF(AND(ISNUMBER(FIND("e",C59)),ISNUMBER(FIND("o",C59))),IF(FIND("e",C59)&lt;FIND("o",C59),"e","o"),IF(ISNUMBER(FIND("e",C59)),"e",IF(ISNUMBER(FIND("o",C59)),"o",IF(AND(ISNUMBER(FIND("i",C59)),ISNUMBER(FIND("u",C59))),IF(FIND("i",C59)&lt;FIND("u",C59),"i","u"),IF(ISNUMBER(FIND("i",C59)),"i",IF(ISNUMBER(FIND("u",C59)),"u",IF(LEFT(C59,1)="m","m",IF(ISNUMBER(FIND("n",C59)),"n","")))))))))))</f>
        <v/>
      </c>
      <c r="R59" s="5">
        <f>IFERROR( IF(Q59="", "", SEARCH(Q59, $N59)), "")</f>
        <v/>
      </c>
      <c r="S59" s="3">
        <f>IFERROR( _xlfn.CONCAT(LEFT(N59,R59-1), "》", MID(N59,R59,1), "${1}", RIGHT(N59, LEN(N59)-R59)), "" )</f>
        <v/>
      </c>
      <c r="T59" s="25" t="n"/>
      <c r="U59" s="26">
        <f>IF(AND(N59&lt;&gt;"", M59&lt;&gt;""), "    - xform/》" &amp; P59 &amp; "/" &amp; S59 &amp; "/", "")</f>
        <v/>
      </c>
    </row>
    <row r="60" ht="27.75" customHeight="1" s="69" thickBot="1">
      <c r="A60" s="19" t="n">
        <v>14</v>
      </c>
      <c r="B60" s="20" t="inlineStr">
        <is>
          <t>au</t>
        </is>
      </c>
      <c r="C60" s="21" t="inlineStr">
        <is>
          <t>au</t>
        </is>
      </c>
      <c r="D60" s="19" t="inlineStr">
        <is>
          <t>au</t>
        </is>
      </c>
      <c r="E60" s="19" t="inlineStr">
        <is>
          <t>au</t>
        </is>
      </c>
      <c r="F60" s="19" t="inlineStr">
        <is>
          <t>ao</t>
        </is>
      </c>
      <c r="G60" s="22" t="inlineStr">
        <is>
          <t>au</t>
        </is>
      </c>
      <c r="H60" s="23" t="inlineStr">
        <is>
          <t>交舒</t>
        </is>
      </c>
      <c r="I60" s="19" t="inlineStr">
        <is>
          <t>ㄠ</t>
        </is>
      </c>
      <c r="J60" s="19" t="n"/>
      <c r="K60" s="23">
        <f>LEN(E60)</f>
        <v/>
      </c>
      <c r="L60" s="24" t="n"/>
      <c r="M60" s="11">
        <f>E60</f>
        <v/>
      </c>
      <c r="N60" s="11">
        <f>F60</f>
        <v/>
      </c>
      <c r="P60" s="3">
        <f>_xlfn.CONCAT(N60, "(\d)")</f>
        <v/>
      </c>
      <c r="Q60" s="5">
        <f>IF(ISNUMBER(FIND("a",C60)),"a",IF(ISNUMBER(FIND("oo",C60)),"o",IF(AND(ISNUMBER(FIND("e",C60)),ISNUMBER(FIND("o",C60))),IF(FIND("e",C60)&lt;FIND("o",C60),"e","o"),IF(ISNUMBER(FIND("e",C60)),"e",IF(ISNUMBER(FIND("o",C60)),"o",IF(AND(ISNUMBER(FIND("i",C60)),ISNUMBER(FIND("u",C60))),IF(FIND("i",C60)&lt;FIND("u",C60),"i","u"),IF(ISNUMBER(FIND("i",C60)),"i",IF(ISNUMBER(FIND("u",C60)),"u",IF(LEFT(C60,1)="m","m",IF(ISNUMBER(FIND("n",C60)),"n","")))))))))))</f>
        <v/>
      </c>
      <c r="R60" s="5">
        <f>IFERROR( IF(Q60="", "", SEARCH(Q60, $N60)), "")</f>
        <v/>
      </c>
      <c r="S60" s="3">
        <f>IFERROR( _xlfn.CONCAT(LEFT(N60,R60-1), "》", MID(N60,R60,1), "${1}", RIGHT(N60, LEN(N60)-R60)), "" )</f>
        <v/>
      </c>
      <c r="T60" s="25" t="n"/>
      <c r="U60" s="26">
        <f>IF(AND(N60&lt;&gt;"", M60&lt;&gt;""), "    - xform/》" &amp; P60 &amp; "/" &amp; S60 &amp; "/", "")</f>
        <v/>
      </c>
    </row>
    <row r="61" ht="27.75" customHeight="1" s="69" thickBot="1">
      <c r="A61" s="19" t="n">
        <v>18</v>
      </c>
      <c r="B61" s="20" t="inlineStr">
        <is>
          <t>eʔ</t>
        </is>
      </c>
      <c r="C61" s="21" t="inlineStr">
        <is>
          <t>eh</t>
        </is>
      </c>
      <c r="D61" s="19" t="inlineStr">
        <is>
          <t>eh</t>
        </is>
      </c>
      <c r="E61" s="19" t="inlineStr">
        <is>
          <t>eh</t>
        </is>
      </c>
      <c r="F61" s="19" t="inlineStr">
        <is>
          <t>eh</t>
        </is>
      </c>
      <c r="G61" s="22" t="inlineStr">
        <is>
          <t>eh</t>
        </is>
      </c>
      <c r="H61" s="23" t="inlineStr">
        <is>
          <t>伽促</t>
        </is>
      </c>
      <c r="I61" s="19" t="inlineStr">
        <is>
          <t>ㆤㆷ</t>
        </is>
      </c>
      <c r="J61" s="19" t="n"/>
      <c r="K61" s="23">
        <f>LEN(E61)</f>
        <v/>
      </c>
      <c r="L61" s="24" t="n"/>
      <c r="M61" s="11">
        <f>E61</f>
        <v/>
      </c>
      <c r="N61" s="11">
        <f>F61</f>
        <v/>
      </c>
      <c r="P61" s="3">
        <f>_xlfn.CONCAT(N61, "(\d)")</f>
        <v/>
      </c>
      <c r="Q61" s="5">
        <f>IF(ISNUMBER(FIND("a",C61)),"a",IF(ISNUMBER(FIND("oo",C61)),"o",IF(AND(ISNUMBER(FIND("e",C61)),ISNUMBER(FIND("o",C61))),IF(FIND("e",C61)&lt;FIND("o",C61),"e","o"),IF(ISNUMBER(FIND("e",C61)),"e",IF(ISNUMBER(FIND("o",C61)),"o",IF(AND(ISNUMBER(FIND("i",C61)),ISNUMBER(FIND("u",C61))),IF(FIND("i",C61)&lt;FIND("u",C61),"i","u"),IF(ISNUMBER(FIND("i",C61)),"i",IF(ISNUMBER(FIND("u",C61)),"u",IF(LEFT(C61,1)="m","m",IF(ISNUMBER(FIND("n",C61)),"n","")))))))))))</f>
        <v/>
      </c>
      <c r="R61" s="5">
        <f>IFERROR( IF(Q61="", "", SEARCH(Q61, $N61)), "")</f>
        <v/>
      </c>
      <c r="S61" s="3">
        <f>IFERROR( _xlfn.CONCAT(LEFT(N61,R61-1), "》", MID(N61,R61,1), "${1}", RIGHT(N61, LEN(N61)-R61)), "" )</f>
        <v/>
      </c>
      <c r="T61" s="25" t="n"/>
      <c r="U61" s="26">
        <f>IF(AND(N61&lt;&gt;"", M61&lt;&gt;""), "    - xform/》" &amp; P61 &amp; "/" &amp; S61 &amp; "/", "")</f>
        <v/>
      </c>
    </row>
    <row r="62" ht="27.75" customHeight="1" s="69" thickBot="1">
      <c r="A62" s="19" t="n">
        <v>22</v>
      </c>
      <c r="B62" s="20" t="inlineStr">
        <is>
          <t>iʔ</t>
        </is>
      </c>
      <c r="C62" s="21" t="inlineStr">
        <is>
          <t>ih</t>
        </is>
      </c>
      <c r="D62" s="19" t="inlineStr">
        <is>
          <t>ih</t>
        </is>
      </c>
      <c r="E62" s="19" t="inlineStr">
        <is>
          <t>ih</t>
        </is>
      </c>
      <c r="F62" s="19" t="inlineStr">
        <is>
          <t>ih</t>
        </is>
      </c>
      <c r="G62" s="22" t="inlineStr">
        <is>
          <t>ih</t>
        </is>
      </c>
      <c r="H62" s="23" t="inlineStr">
        <is>
          <t>居促</t>
        </is>
      </c>
      <c r="I62" s="19" t="inlineStr">
        <is>
          <t>ㄧㆷ</t>
        </is>
      </c>
      <c r="J62" s="19" t="n"/>
      <c r="K62" s="23">
        <f>LEN(E62)</f>
        <v/>
      </c>
      <c r="L62" s="24" t="n"/>
      <c r="M62" s="11">
        <f>E62</f>
        <v/>
      </c>
      <c r="N62" s="11">
        <f>F62</f>
        <v/>
      </c>
      <c r="P62" s="3">
        <f>_xlfn.CONCAT(N62, "(\d)")</f>
        <v/>
      </c>
      <c r="Q62" s="5">
        <f>IF(ISNUMBER(FIND("a",C62)),"a",IF(ISNUMBER(FIND("oo",C62)),"o",IF(AND(ISNUMBER(FIND("e",C62)),ISNUMBER(FIND("o",C62))),IF(FIND("e",C62)&lt;FIND("o",C62),"e","o"),IF(ISNUMBER(FIND("e",C62)),"e",IF(ISNUMBER(FIND("o",C62)),"o",IF(AND(ISNUMBER(FIND("i",C62)),ISNUMBER(FIND("u",C62))),IF(FIND("i",C62)&lt;FIND("u",C62),"i","u"),IF(ISNUMBER(FIND("i",C62)),"i",IF(ISNUMBER(FIND("u",C62)),"u",IF(LEFT(C62,1)="m","m",IF(ISNUMBER(FIND("n",C62)),"n","")))))))))))</f>
        <v/>
      </c>
      <c r="R62" s="5">
        <f>IFERROR( IF(Q62="", "", SEARCH(Q62, $N62)), "")</f>
        <v/>
      </c>
      <c r="S62" s="3">
        <f>IFERROR( _xlfn.CONCAT(LEFT(N62,R62-1), "》", MID(N62,R62,1), "${1}", RIGHT(N62, LEN(N62)-R62)), "" )</f>
        <v/>
      </c>
      <c r="T62" s="25" t="n"/>
      <c r="U62" s="26">
        <f>IF(AND(N62&lt;&gt;"", M62&lt;&gt;""), "    - xform/》" &amp; P62 &amp; "/" &amp; S62 &amp; "/", "")</f>
        <v/>
      </c>
    </row>
    <row r="63" ht="27.75" customHeight="1" s="69" thickBot="1">
      <c r="A63" s="19" t="n">
        <v>23</v>
      </c>
      <c r="B63" s="20" t="inlineStr">
        <is>
          <t>im</t>
        </is>
      </c>
      <c r="C63" s="21" t="inlineStr">
        <is>
          <t>im</t>
        </is>
      </c>
      <c r="D63" s="19" t="inlineStr">
        <is>
          <t>im</t>
        </is>
      </c>
      <c r="E63" s="19" t="inlineStr">
        <is>
          <t>im</t>
        </is>
      </c>
      <c r="F63" s="19" t="inlineStr">
        <is>
          <t>im</t>
        </is>
      </c>
      <c r="G63" s="22" t="inlineStr">
        <is>
          <t>im</t>
        </is>
      </c>
      <c r="H63" s="23" t="inlineStr">
        <is>
          <t>金舒</t>
        </is>
      </c>
      <c r="I63" s="19" t="inlineStr">
        <is>
          <t>ㄧㆬ</t>
        </is>
      </c>
      <c r="J63" s="19" t="n"/>
      <c r="K63" s="23">
        <f>LEN(E63)</f>
        <v/>
      </c>
      <c r="L63" s="24" t="n"/>
      <c r="M63" s="11">
        <f>E63</f>
        <v/>
      </c>
      <c r="N63" s="11">
        <f>F63</f>
        <v/>
      </c>
      <c r="P63" s="3">
        <f>_xlfn.CONCAT(N63, "(\d)")</f>
        <v/>
      </c>
      <c r="Q63" s="5">
        <f>IF(ISNUMBER(FIND("a",C63)),"a",IF(ISNUMBER(FIND("oo",C63)),"o",IF(AND(ISNUMBER(FIND("e",C63)),ISNUMBER(FIND("o",C63))),IF(FIND("e",C63)&lt;FIND("o",C63),"e","o"),IF(ISNUMBER(FIND("e",C63)),"e",IF(ISNUMBER(FIND("o",C63)),"o",IF(AND(ISNUMBER(FIND("i",C63)),ISNUMBER(FIND("u",C63))),IF(FIND("i",C63)&lt;FIND("u",C63),"i","u"),IF(ISNUMBER(FIND("i",C63)),"i",IF(ISNUMBER(FIND("u",C63)),"u",IF(LEFT(C63,1)="m","m",IF(ISNUMBER(FIND("n",C63)),"n","")))))))))))</f>
        <v/>
      </c>
      <c r="R63" s="5">
        <f>IFERROR( IF(Q63="", "", SEARCH(Q63, $N63)), "")</f>
        <v/>
      </c>
      <c r="S63" s="3">
        <f>IFERROR( _xlfn.CONCAT(LEFT(N63,R63-1), "》", MID(N63,R63,1), "${1}", RIGHT(N63, LEN(N63)-R63)), "" )</f>
        <v/>
      </c>
      <c r="T63" s="25" t="n"/>
      <c r="U63" s="26">
        <f>IF(AND(N63&lt;&gt;"", M63&lt;&gt;""), "    - xform/》" &amp; P63 &amp; "/" &amp; S63 &amp; "/", "")</f>
        <v/>
      </c>
    </row>
    <row r="64" ht="27.75" customHeight="1" s="69" thickBot="1">
      <c r="A64" s="19" t="n">
        <v>24</v>
      </c>
      <c r="B64" s="20" t="inlineStr">
        <is>
          <t>in</t>
        </is>
      </c>
      <c r="C64" s="21" t="inlineStr">
        <is>
          <t>in</t>
        </is>
      </c>
      <c r="D64" s="19" t="inlineStr">
        <is>
          <t>in</t>
        </is>
      </c>
      <c r="E64" s="19" t="inlineStr">
        <is>
          <t>in</t>
        </is>
      </c>
      <c r="F64" s="19" t="inlineStr">
        <is>
          <t>in</t>
        </is>
      </c>
      <c r="G64" s="22" t="inlineStr">
        <is>
          <t>in</t>
        </is>
      </c>
      <c r="H64" s="23" t="inlineStr">
        <is>
          <t>巾舒</t>
        </is>
      </c>
      <c r="I64" s="19" t="inlineStr">
        <is>
          <t>ㄧㄣ</t>
        </is>
      </c>
      <c r="J64" s="19" t="n"/>
      <c r="K64" s="23">
        <f>LEN(E64)</f>
        <v/>
      </c>
      <c r="L64" s="24" t="n"/>
      <c r="M64" s="11">
        <f>E64</f>
        <v/>
      </c>
      <c r="N64" s="11">
        <f>F64</f>
        <v/>
      </c>
      <c r="P64" s="3">
        <f>_xlfn.CONCAT(N64, "(\d)")</f>
        <v/>
      </c>
      <c r="Q64" s="5">
        <f>IF(ISNUMBER(FIND("a",C64)),"a",IF(ISNUMBER(FIND("oo",C64)),"o",IF(AND(ISNUMBER(FIND("e",C64)),ISNUMBER(FIND("o",C64))),IF(FIND("e",C64)&lt;FIND("o",C64),"e","o"),IF(ISNUMBER(FIND("e",C64)),"e",IF(ISNUMBER(FIND("o",C64)),"o",IF(AND(ISNUMBER(FIND("i",C64)),ISNUMBER(FIND("u",C64))),IF(FIND("i",C64)&lt;FIND("u",C64),"i","u"),IF(ISNUMBER(FIND("i",C64)),"i",IF(ISNUMBER(FIND("u",C64)),"u",IF(LEFT(C64,1)="m","m",IF(ISNUMBER(FIND("n",C64)),"n","")))))))))))</f>
        <v/>
      </c>
      <c r="R64" s="5">
        <f>IFERROR( IF(Q64="", "", SEARCH(Q64, $N64)), "")</f>
        <v/>
      </c>
      <c r="S64" s="3">
        <f>IFERROR( _xlfn.CONCAT(LEFT(N64,R64-1), "》", MID(N64,R64,1), "${1}", RIGHT(N64, LEN(N64)-R64)), "" )</f>
        <v/>
      </c>
      <c r="T64" s="25" t="n"/>
      <c r="U64" s="26">
        <f>IF(AND(N64&lt;&gt;"", M64&lt;&gt;""), "    - xform/》" &amp; P64 &amp; "/" &amp; S64 &amp; "/", "")</f>
        <v/>
      </c>
    </row>
    <row r="65" ht="27.75" customHeight="1" s="69" thickBot="1">
      <c r="A65" s="19" t="n">
        <v>26</v>
      </c>
      <c r="B65" s="20" t="inlineStr">
        <is>
          <t>ip̚</t>
        </is>
      </c>
      <c r="C65" s="21" t="inlineStr">
        <is>
          <t>ip</t>
        </is>
      </c>
      <c r="D65" s="19" t="inlineStr">
        <is>
          <t>ip</t>
        </is>
      </c>
      <c r="E65" s="19" t="inlineStr">
        <is>
          <t>ip</t>
        </is>
      </c>
      <c r="F65" s="19" t="inlineStr">
        <is>
          <t>ip</t>
        </is>
      </c>
      <c r="G65" s="22" t="inlineStr">
        <is>
          <t>ip</t>
        </is>
      </c>
      <c r="H65" s="23" t="inlineStr">
        <is>
          <t>金促</t>
        </is>
      </c>
      <c r="I65" s="19" t="inlineStr">
        <is>
          <t>一ㆴ</t>
        </is>
      </c>
      <c r="J65" s="19" t="n"/>
      <c r="K65" s="23">
        <f>LEN(E65)</f>
        <v/>
      </c>
      <c r="L65" s="24" t="n"/>
      <c r="M65" s="11">
        <f>E65</f>
        <v/>
      </c>
      <c r="N65" s="11">
        <f>F65</f>
        <v/>
      </c>
      <c r="P65" s="3">
        <f>_xlfn.CONCAT(N65, "(\d)")</f>
        <v/>
      </c>
      <c r="Q65" s="5">
        <f>IF(ISNUMBER(FIND("a",C65)),"a",IF(ISNUMBER(FIND("oo",C65)),"o",IF(AND(ISNUMBER(FIND("e",C65)),ISNUMBER(FIND("o",C65))),IF(FIND("e",C65)&lt;FIND("o",C65),"e","o"),IF(ISNUMBER(FIND("e",C65)),"e",IF(ISNUMBER(FIND("o",C65)),"o",IF(AND(ISNUMBER(FIND("i",C65)),ISNUMBER(FIND("u",C65))),IF(FIND("i",C65)&lt;FIND("u",C65),"i","u"),IF(ISNUMBER(FIND("i",C65)),"i",IF(ISNUMBER(FIND("u",C65)),"u",IF(LEFT(C65,1)="m","m",IF(ISNUMBER(FIND("n",C65)),"n","")))))))))))</f>
        <v/>
      </c>
      <c r="R65" s="5">
        <f>IFERROR( IF(Q65="", "", SEARCH(Q65, $N65)), "")</f>
        <v/>
      </c>
      <c r="S65" s="3">
        <f>IFERROR( _xlfn.CONCAT(LEFT(N65,R65-1), "》", MID(N65,R65,1), "${1}", RIGHT(N65, LEN(N65)-R65)), "" )</f>
        <v/>
      </c>
      <c r="T65" s="25" t="n"/>
      <c r="U65" s="26">
        <f>IF(AND(N65&lt;&gt;"", M65&lt;&gt;""), "    - xform/》" &amp; P65 &amp; "/" &amp; S65 &amp; "/", "")</f>
        <v/>
      </c>
    </row>
    <row r="66" ht="27.75" customHeight="1" s="69" thickBot="1">
      <c r="A66" s="19" t="n">
        <v>27</v>
      </c>
      <c r="B66" s="20" t="inlineStr">
        <is>
          <t>it̚</t>
        </is>
      </c>
      <c r="C66" s="21" t="inlineStr">
        <is>
          <t>it</t>
        </is>
      </c>
      <c r="D66" s="19" t="inlineStr">
        <is>
          <t>it</t>
        </is>
      </c>
      <c r="E66" s="19" t="inlineStr">
        <is>
          <t>it</t>
        </is>
      </c>
      <c r="F66" s="19" t="inlineStr">
        <is>
          <t>it</t>
        </is>
      </c>
      <c r="G66" s="22" t="inlineStr">
        <is>
          <t>it</t>
        </is>
      </c>
      <c r="H66" s="23" t="inlineStr">
        <is>
          <t>巾促</t>
        </is>
      </c>
      <c r="I66" s="19" t="inlineStr">
        <is>
          <t>ㄧㆵ</t>
        </is>
      </c>
      <c r="J66" s="19" t="n"/>
      <c r="K66" s="23">
        <f>LEN(E66)</f>
        <v/>
      </c>
      <c r="L66" s="24" t="n"/>
      <c r="M66" s="11">
        <f>E66</f>
        <v/>
      </c>
      <c r="N66" s="11">
        <f>F66</f>
        <v/>
      </c>
      <c r="P66" s="3">
        <f>_xlfn.CONCAT(N66, "(\d)")</f>
        <v/>
      </c>
      <c r="Q66" s="5">
        <f>IF(ISNUMBER(FIND("a",C66)),"a",IF(ISNUMBER(FIND("oo",C66)),"o",IF(AND(ISNUMBER(FIND("e",C66)),ISNUMBER(FIND("o",C66))),IF(FIND("e",C66)&lt;FIND("o",C66),"e","o"),IF(ISNUMBER(FIND("e",C66)),"e",IF(ISNUMBER(FIND("o",C66)),"o",IF(AND(ISNUMBER(FIND("i",C66)),ISNUMBER(FIND("u",C66))),IF(FIND("i",C66)&lt;FIND("u",C66),"i","u"),IF(ISNUMBER(FIND("i",C66)),"i",IF(ISNUMBER(FIND("u",C66)),"u",IF(LEFT(C66,1)="m","m",IF(ISNUMBER(FIND("n",C66)),"n","")))))))))))</f>
        <v/>
      </c>
      <c r="R66" s="5">
        <f>IFERROR( IF(Q66="", "", SEARCH(Q66, $N66)), "")</f>
        <v/>
      </c>
      <c r="S66" s="3">
        <f>IFERROR( _xlfn.CONCAT(LEFT(N66,R66-1), "》", MID(N66,R66,1), "${1}", RIGHT(N66, LEN(N66)-R66)), "" )</f>
        <v/>
      </c>
      <c r="T66" s="25" t="n"/>
      <c r="U66" s="26">
        <f>IF(AND(N66&lt;&gt;"", M66&lt;&gt;""), "    - xform/》" &amp; P66 &amp; "/" &amp; S66 &amp; "/", "")</f>
        <v/>
      </c>
    </row>
    <row r="67" ht="27.75" customHeight="1" s="69" thickBot="1">
      <c r="A67" s="19" t="n">
        <v>28</v>
      </c>
      <c r="B67" s="20" t="inlineStr">
        <is>
          <t>ik̚/ɪək̚</t>
        </is>
      </c>
      <c r="C67" s="21" t="inlineStr">
        <is>
          <t>ik</t>
        </is>
      </c>
      <c r="D67" s="19" t="inlineStr">
        <is>
          <t>ik</t>
        </is>
      </c>
      <c r="E67" s="19" t="inlineStr">
        <is>
          <t>ik</t>
        </is>
      </c>
      <c r="F67" s="19" t="inlineStr">
        <is>
          <t>ik</t>
        </is>
      </c>
      <c r="G67" s="22" t="inlineStr">
        <is>
          <t>ek</t>
        </is>
      </c>
      <c r="H67" s="23" t="inlineStr">
        <is>
          <t>經促</t>
        </is>
      </c>
      <c r="I67" s="19" t="inlineStr">
        <is>
          <t>ㄧㆻ</t>
        </is>
      </c>
      <c r="J67" s="19" t="n"/>
      <c r="K67" s="23">
        <f>LEN(E67)</f>
        <v/>
      </c>
      <c r="L67" s="24" t="n"/>
      <c r="M67" s="11">
        <f>E67</f>
        <v/>
      </c>
      <c r="N67" s="11">
        <f>F67</f>
        <v/>
      </c>
      <c r="P67" s="3">
        <f>_xlfn.CONCAT(N67, "(\d)")</f>
        <v/>
      </c>
      <c r="Q67" s="5">
        <f>IF(ISNUMBER(FIND("a",C67)),"a",IF(ISNUMBER(FIND("oo",C67)),"o",IF(AND(ISNUMBER(FIND("e",C67)),ISNUMBER(FIND("o",C67))),IF(FIND("e",C67)&lt;FIND("o",C67),"e","o"),IF(ISNUMBER(FIND("e",C67)),"e",IF(ISNUMBER(FIND("o",C67)),"o",IF(AND(ISNUMBER(FIND("i",C67)),ISNUMBER(FIND("u",C67))),IF(FIND("i",C67)&lt;FIND("u",C67),"i","u"),IF(ISNUMBER(FIND("i",C67)),"i",IF(ISNUMBER(FIND("u",C67)),"u",IF(LEFT(C67,1)="m","m",IF(ISNUMBER(FIND("n",C67)),"n","")))))))))))</f>
        <v/>
      </c>
      <c r="R67" s="5">
        <f>IFERROR( IF(Q67="", "", SEARCH(Q67, $N67)), "")</f>
        <v/>
      </c>
      <c r="S67" s="3">
        <f>IFERROR( _xlfn.CONCAT(LEFT(N67,R67-1), "》", MID(N67,R67,1), "${1}", RIGHT(N67, LEN(N67)-R67)), "" )</f>
        <v/>
      </c>
      <c r="T67" s="25" t="n"/>
      <c r="U67" s="26">
        <f>IF(AND(N67&lt;&gt;"", M67&lt;&gt;""), "    - xform/》" &amp; P67 &amp; "/" &amp; S67 &amp; "/", "")</f>
        <v/>
      </c>
    </row>
    <row r="68" ht="27.75" customHeight="1" s="69" thickBot="1">
      <c r="A68" s="19" t="n">
        <v>29</v>
      </c>
      <c r="B68" s="20" t="inlineStr">
        <is>
          <t>ɪa</t>
        </is>
      </c>
      <c r="C68" s="21" t="inlineStr">
        <is>
          <t>ia</t>
        </is>
      </c>
      <c r="D68" s="19" t="inlineStr">
        <is>
          <t>ia</t>
        </is>
      </c>
      <c r="E68" s="19" t="inlineStr">
        <is>
          <t>ia</t>
        </is>
      </c>
      <c r="F68" s="19" t="inlineStr">
        <is>
          <t>ia</t>
        </is>
      </c>
      <c r="G68" s="22" t="inlineStr">
        <is>
          <t>ia</t>
        </is>
      </c>
      <c r="H68" s="23" t="inlineStr">
        <is>
          <t>迦舒</t>
        </is>
      </c>
      <c r="I68" s="19" t="inlineStr">
        <is>
          <t>ㄧㄚ</t>
        </is>
      </c>
      <c r="J68" s="19" t="n"/>
      <c r="K68" s="23">
        <f>LEN(E68)</f>
        <v/>
      </c>
      <c r="L68" s="24" t="n"/>
      <c r="M68" s="11">
        <f>E68</f>
        <v/>
      </c>
      <c r="N68" s="11">
        <f>F68</f>
        <v/>
      </c>
      <c r="P68" s="3">
        <f>_xlfn.CONCAT(N68, "(\d)")</f>
        <v/>
      </c>
      <c r="Q68" s="5">
        <f>IF(ISNUMBER(FIND("a",C68)),"a",IF(ISNUMBER(FIND("oo",C68)),"o",IF(AND(ISNUMBER(FIND("e",C68)),ISNUMBER(FIND("o",C68))),IF(FIND("e",C68)&lt;FIND("o",C68),"e","o"),IF(ISNUMBER(FIND("e",C68)),"e",IF(ISNUMBER(FIND("o",C68)),"o",IF(AND(ISNUMBER(FIND("i",C68)),ISNUMBER(FIND("u",C68))),IF(FIND("i",C68)&lt;FIND("u",C68),"i","u"),IF(ISNUMBER(FIND("i",C68)),"i",IF(ISNUMBER(FIND("u",C68)),"u",IF(LEFT(C68,1)="m","m",IF(ISNUMBER(FIND("n",C68)),"n","")))))))))))</f>
        <v/>
      </c>
      <c r="R68" s="5">
        <f>IFERROR( IF(Q68="", "", SEARCH(Q68, $N68)), "")</f>
        <v/>
      </c>
      <c r="S68" s="3">
        <f>IFERROR( _xlfn.CONCAT(LEFT(N68,R68-1), "》", MID(N68,R68,1), "${1}", RIGHT(N68, LEN(N68)-R68)), "" )</f>
        <v/>
      </c>
      <c r="T68" s="25" t="n"/>
      <c r="U68" s="26">
        <f>IF(AND(N68&lt;&gt;"", M68&lt;&gt;""), "    - xform/》" &amp; P68 &amp; "/" &amp; S68 &amp; "/", "")</f>
        <v/>
      </c>
    </row>
    <row r="69" ht="27.75" customHeight="1" s="69" thickBot="1">
      <c r="A69" s="19" t="n">
        <v>47</v>
      </c>
      <c r="B69" s="20" t="inlineStr">
        <is>
          <t>iu</t>
        </is>
      </c>
      <c r="C69" s="21" t="inlineStr">
        <is>
          <t>iu</t>
        </is>
      </c>
      <c r="D69" s="19" t="inlineStr">
        <is>
          <t>iu</t>
        </is>
      </c>
      <c r="E69" s="19" t="inlineStr">
        <is>
          <t>iu</t>
        </is>
      </c>
      <c r="F69" s="19" t="inlineStr">
        <is>
          <t>iu</t>
        </is>
      </c>
      <c r="G69" s="22" t="inlineStr">
        <is>
          <t>iu</t>
        </is>
      </c>
      <c r="H69" s="23" t="inlineStr">
        <is>
          <t>丩舒</t>
        </is>
      </c>
      <c r="I69" s="19" t="inlineStr">
        <is>
          <t>ㄧㄨ</t>
        </is>
      </c>
      <c r="J69" s="19" t="n"/>
      <c r="K69" s="23">
        <f>LEN(E69)</f>
        <v/>
      </c>
      <c r="L69" s="24" t="n"/>
      <c r="M69" s="11">
        <f>E69</f>
        <v/>
      </c>
      <c r="N69" s="11">
        <f>F69</f>
        <v/>
      </c>
      <c r="P69" s="3">
        <f>_xlfn.CONCAT(N69, "(\d)")</f>
        <v/>
      </c>
      <c r="Q69" s="5">
        <f>IF(ISNUMBER(FIND("a",C69)),"a",IF(ISNUMBER(FIND("oo",C69)),"o",IF(AND(ISNUMBER(FIND("e",C69)),ISNUMBER(FIND("o",C69))),IF(FIND("e",C69)&lt;FIND("o",C69),"e","o"),IF(ISNUMBER(FIND("e",C69)),"e",IF(ISNUMBER(FIND("o",C69)),"o",IF(AND(ISNUMBER(FIND("i",C69)),ISNUMBER(FIND("u",C69))),IF(FIND("i",C69)&lt;FIND("u",C69),"i","u"),IF(ISNUMBER(FIND("i",C69)),"i",IF(ISNUMBER(FIND("u",C69)),"u",IF(LEFT(C69,1)="m","m",IF(ISNUMBER(FIND("n",C69)),"n","")))))))))))</f>
        <v/>
      </c>
      <c r="R69" s="5">
        <f>IFERROR( IF(Q69="", "", SEARCH(Q69, $N69)), "")</f>
        <v/>
      </c>
      <c r="S69" s="3">
        <f>IFERROR( _xlfn.CONCAT(LEFT(N69,R69-1), "》", MID(N69,R69,1), "${1}", RIGHT(N69, LEN(N69)-R69)), "" )</f>
        <v/>
      </c>
      <c r="T69" s="25" t="n"/>
      <c r="U69" s="26">
        <f>IF(AND(N69&lt;&gt;"", M69&lt;&gt;""), "    - xform/》" &amp; P69 &amp;  "/"  &amp; S69 &amp;  "/", "")</f>
        <v/>
      </c>
    </row>
    <row r="70" ht="27.75" customHeight="1" s="69" thickBot="1">
      <c r="A70" s="19" t="n">
        <v>50</v>
      </c>
      <c r="B70" s="20" t="inlineStr">
        <is>
          <t>ə/o</t>
        </is>
      </c>
      <c r="C70" s="21" t="inlineStr">
        <is>
          <t>o</t>
        </is>
      </c>
      <c r="D70" s="19" t="inlineStr">
        <is>
          <t>o</t>
        </is>
      </c>
      <c r="E70" s="19" t="inlineStr">
        <is>
          <t>or</t>
        </is>
      </c>
      <c r="F70" s="19" t="inlineStr">
        <is>
          <t>o</t>
        </is>
      </c>
      <c r="G70" s="22" t="inlineStr">
        <is>
          <t>o</t>
        </is>
      </c>
      <c r="H70" s="23" t="inlineStr">
        <is>
          <t>高舒</t>
        </is>
      </c>
      <c r="I70" s="19" t="inlineStr">
        <is>
          <t>ㄜ</t>
        </is>
      </c>
      <c r="J70" s="19" t="n"/>
      <c r="K70" s="23">
        <f>LEN(E70)</f>
        <v/>
      </c>
      <c r="L70" s="24" t="n"/>
      <c r="M70" s="11">
        <f>E70</f>
        <v/>
      </c>
      <c r="N70" s="11">
        <f>F70</f>
        <v/>
      </c>
      <c r="P70" s="3">
        <f>_xlfn.CONCAT(N70, "(\d)")</f>
        <v/>
      </c>
      <c r="Q70" s="5">
        <f>IF(ISNUMBER(FIND("a",C70)),"a",IF(ISNUMBER(FIND("oo",C70)),"o",IF(AND(ISNUMBER(FIND("e",C70)),ISNUMBER(FIND("o",C70))),IF(FIND("e",C70)&lt;FIND("o",C70),"e","o"),IF(ISNUMBER(FIND("e",C70)),"e",IF(ISNUMBER(FIND("o",C70)),"o",IF(AND(ISNUMBER(FIND("i",C70)),ISNUMBER(FIND("u",C70))),IF(FIND("i",C70)&lt;FIND("u",C70),"i","u"),IF(ISNUMBER(FIND("i",C70)),"i",IF(ISNUMBER(FIND("u",C70)),"u",IF(LEFT(C70,1)="m","m",IF(ISNUMBER(FIND("n",C70)),"n","")))))))))))</f>
        <v/>
      </c>
      <c r="R70" s="5">
        <f>IFERROR( IF(Q70="", "", SEARCH(Q70, $N70)), "")</f>
        <v/>
      </c>
      <c r="S70" s="3">
        <f>IFERROR( _xlfn.CONCAT(LEFT(N70,R70-1), "》", MID(N70,R70,1), "${1}", RIGHT(N70, LEN(N70)-R70)), "" )</f>
        <v/>
      </c>
      <c r="T70" s="25" t="n"/>
      <c r="U70" s="26">
        <f>IF(AND(N70&lt;&gt;"", M70&lt;&gt;""), "    - xform/》" &amp; P70 &amp; "/" &amp; S70 &amp; "/", "")</f>
        <v/>
      </c>
    </row>
    <row r="71" ht="27.75" customHeight="1" s="69" thickBot="1">
      <c r="A71" s="19" t="n">
        <v>51</v>
      </c>
      <c r="B71" s="20" t="inlineStr">
        <is>
          <t>ɔ</t>
        </is>
      </c>
      <c r="C71" s="21" t="inlineStr">
        <is>
          <t>oo</t>
        </is>
      </c>
      <c r="D71" s="19" t="inlineStr">
        <is>
          <t>oo</t>
        </is>
      </c>
      <c r="E71" s="19" t="inlineStr">
        <is>
          <t>oo</t>
        </is>
      </c>
      <c r="F71" s="19" t="inlineStr">
        <is>
          <t>oo</t>
        </is>
      </c>
      <c r="G71" s="22" t="inlineStr">
        <is>
          <t>o͘</t>
        </is>
      </c>
      <c r="H71" s="23" t="inlineStr">
        <is>
          <t>沽舒</t>
        </is>
      </c>
      <c r="I71" s="19" t="inlineStr">
        <is>
          <t>ㆦ</t>
        </is>
      </c>
      <c r="J71" s="19" t="n"/>
      <c r="K71" s="23">
        <f>LEN(E71)</f>
        <v/>
      </c>
      <c r="L71" s="24" t="n"/>
      <c r="M71" s="11">
        <f>E71</f>
        <v/>
      </c>
      <c r="N71" s="11">
        <f>F71</f>
        <v/>
      </c>
      <c r="P71" s="3">
        <f>_xlfn.CONCAT(N71, "(\d)")</f>
        <v/>
      </c>
      <c r="Q71" s="5">
        <f>IF(ISNUMBER(FIND("a",C71)),"a",IF(ISNUMBER(FIND("oo",C71)),"o",IF(AND(ISNUMBER(FIND("e",C71)),ISNUMBER(FIND("o",C71))),IF(FIND("e",C71)&lt;FIND("o",C71),"e","o"),IF(ISNUMBER(FIND("e",C71)),"e",IF(ISNUMBER(FIND("o",C71)),"o",IF(AND(ISNUMBER(FIND("i",C71)),ISNUMBER(FIND("u",C71))),IF(FIND("i",C71)&lt;FIND("u",C71),"i","u"),IF(ISNUMBER(FIND("i",C71)),"i",IF(ISNUMBER(FIND("u",C71)),"u",IF(LEFT(C71,1)="m","m",IF(ISNUMBER(FIND("n",C71)),"n","")))))))))))</f>
        <v/>
      </c>
      <c r="R71" s="5">
        <f>IFERROR( IF(Q71="", "", SEARCH(Q71, $N71)), "")</f>
        <v/>
      </c>
      <c r="S71" s="3">
        <f>IFERROR( _xlfn.CONCAT(LEFT(N71,R71-1), "》", MID(N71,R71,1), "${1}", RIGHT(N71, LEN(N71)-R71)), "" )</f>
        <v/>
      </c>
      <c r="T71" s="25" t="n"/>
      <c r="U71" s="26">
        <f>IF(AND(N71&lt;&gt;"", M71&lt;&gt;""), "    - xform/》" &amp; P71 &amp; "/" &amp; S71 &amp; "/", "")</f>
        <v/>
      </c>
    </row>
    <row r="72" ht="27.75" customHeight="1" s="69" thickBot="1">
      <c r="A72" s="19" t="n">
        <v>59</v>
      </c>
      <c r="B72" s="20" t="inlineStr">
        <is>
          <t>ɔk̚</t>
        </is>
      </c>
      <c r="C72" s="21" t="inlineStr">
        <is>
          <t>ok</t>
        </is>
      </c>
      <c r="D72" s="19" t="inlineStr">
        <is>
          <t>ok</t>
        </is>
      </c>
      <c r="E72" s="19" t="inlineStr">
        <is>
          <t>ok</t>
        </is>
      </c>
      <c r="F72" s="19" t="inlineStr">
        <is>
          <t>ok</t>
        </is>
      </c>
      <c r="G72" s="22" t="inlineStr">
        <is>
          <t>ok</t>
        </is>
      </c>
      <c r="H72" s="23" t="inlineStr">
        <is>
          <t>公促</t>
        </is>
      </c>
      <c r="I72" s="19" t="inlineStr">
        <is>
          <t>ㆦㆻ</t>
        </is>
      </c>
      <c r="J72" s="19" t="n"/>
      <c r="K72" s="23">
        <f>LEN(E72)</f>
        <v/>
      </c>
      <c r="L72" s="24" t="n"/>
      <c r="M72" s="11">
        <f>E72</f>
        <v/>
      </c>
      <c r="N72" s="11">
        <f>F72</f>
        <v/>
      </c>
      <c r="P72" s="3">
        <f>_xlfn.CONCAT(N72, "(\d)")</f>
        <v/>
      </c>
      <c r="Q72" s="5">
        <f>IF(ISNUMBER(FIND("a",C72)),"a",IF(ISNUMBER(FIND("oo",C72)),"o",IF(AND(ISNUMBER(FIND("e",C72)),ISNUMBER(FIND("o",C72))),IF(FIND("e",C72)&lt;FIND("o",C72),"e","o"),IF(ISNUMBER(FIND("e",C72)),"e",IF(ISNUMBER(FIND("o",C72)),"o",IF(AND(ISNUMBER(FIND("i",C72)),ISNUMBER(FIND("u",C72))),IF(FIND("i",C72)&lt;FIND("u",C72),"i","u"),IF(ISNUMBER(FIND("i",C72)),"i",IF(ISNUMBER(FIND("u",C72)),"u",IF(LEFT(C72,1)="m","m",IF(ISNUMBER(FIND("n",C72)),"n","")))))))))))</f>
        <v/>
      </c>
      <c r="R72" s="5">
        <f>IFERROR( IF(Q72="", "", SEARCH(Q72, $N72)), "")</f>
        <v/>
      </c>
      <c r="S72" s="3">
        <f>IFERROR( _xlfn.CONCAT(LEFT(N72,R72-1), "》", MID(N72,R72,1), "${1}", RIGHT(N72, LEN(N72)-R72)), "" )</f>
        <v/>
      </c>
      <c r="T72" s="25" t="n"/>
      <c r="U72" s="26">
        <f>IF(AND(N72&lt;&gt;"", M72&lt;&gt;""), "    - xform/》" &amp; P72 &amp; "/" &amp; S72 &amp; "/", "")</f>
        <v/>
      </c>
    </row>
    <row r="73" ht="27.75" customHeight="1" s="69" thickBot="1">
      <c r="A73" s="19" t="n">
        <v>61</v>
      </c>
      <c r="B73" s="20" t="inlineStr">
        <is>
          <t>uʔ</t>
        </is>
      </c>
      <c r="C73" s="21" t="inlineStr">
        <is>
          <t>uh</t>
        </is>
      </c>
      <c r="D73" s="19" t="inlineStr">
        <is>
          <t>uh</t>
        </is>
      </c>
      <c r="E73" s="19" t="inlineStr">
        <is>
          <t>uh</t>
        </is>
      </c>
      <c r="F73" s="19" t="inlineStr">
        <is>
          <t>uh</t>
        </is>
      </c>
      <c r="G73" s="22" t="inlineStr">
        <is>
          <t>uh</t>
        </is>
      </c>
      <c r="H73" s="23" t="inlineStr">
        <is>
          <t>艍促</t>
        </is>
      </c>
      <c r="I73" s="19" t="inlineStr">
        <is>
          <t>ㄨㆷ</t>
        </is>
      </c>
      <c r="J73" s="19" t="n"/>
      <c r="K73" s="23">
        <f>LEN(E73)</f>
        <v/>
      </c>
      <c r="L73" s="24" t="n"/>
      <c r="M73" s="11">
        <f>E73</f>
        <v/>
      </c>
      <c r="N73" s="11">
        <f>F73</f>
        <v/>
      </c>
      <c r="P73" s="3">
        <f>_xlfn.CONCAT(N73, "(\d)")</f>
        <v/>
      </c>
      <c r="Q73" s="5">
        <f>IF(ISNUMBER(FIND("a",C73)),"a",IF(ISNUMBER(FIND("oo",C73)),"o",IF(AND(ISNUMBER(FIND("e",C73)),ISNUMBER(FIND("o",C73))),IF(FIND("e",C73)&lt;FIND("o",C73),"e","o"),IF(ISNUMBER(FIND("e",C73)),"e",IF(ISNUMBER(FIND("o",C73)),"o",IF(AND(ISNUMBER(FIND("i",C73)),ISNUMBER(FIND("u",C73))),IF(FIND("i",C73)&lt;FIND("u",C73),"i","u"),IF(ISNUMBER(FIND("i",C73)),"i",IF(ISNUMBER(FIND("u",C73)),"u",IF(LEFT(C73,1)="m","m",IF(ISNUMBER(FIND("n",C73)),"n","")))))))))))</f>
        <v/>
      </c>
      <c r="R73" s="5">
        <f>IFERROR( IF(Q73="", "", SEARCH(Q73, $N73)), "")</f>
        <v/>
      </c>
      <c r="S73" s="3">
        <f>IFERROR( _xlfn.CONCAT(LEFT(N73,R73-1), "》", MID(N73,R73,1), "${1}", RIGHT(N73, LEN(N73)-R73)), "" )</f>
        <v/>
      </c>
      <c r="T73" s="25" t="n"/>
      <c r="U73" s="26">
        <f>IF(AND(N73&lt;&gt;"", M73&lt;&gt;""), "    - xform/》" &amp; P73 &amp; "/" &amp; S73 &amp; "/", "")</f>
        <v/>
      </c>
    </row>
    <row r="74" ht="27.75" customHeight="1" s="69" thickBot="1">
      <c r="A74" s="19" t="n">
        <v>62</v>
      </c>
      <c r="B74" s="20" t="inlineStr">
        <is>
          <t>un</t>
        </is>
      </c>
      <c r="C74" s="21" t="inlineStr">
        <is>
          <t>un</t>
        </is>
      </c>
      <c r="D74" s="19" t="inlineStr">
        <is>
          <t>un</t>
        </is>
      </c>
      <c r="E74" s="19" t="inlineStr">
        <is>
          <t>un</t>
        </is>
      </c>
      <c r="F74" s="19" t="inlineStr">
        <is>
          <t>un</t>
        </is>
      </c>
      <c r="G74" s="22" t="inlineStr">
        <is>
          <t>un</t>
        </is>
      </c>
      <c r="H74" s="23" t="inlineStr">
        <is>
          <t>君舒</t>
        </is>
      </c>
      <c r="I74" s="19" t="inlineStr">
        <is>
          <t>ㄨㄣ</t>
        </is>
      </c>
      <c r="J74" s="19" t="n"/>
      <c r="K74" s="23">
        <f>LEN(E74)</f>
        <v/>
      </c>
      <c r="L74" s="24" t="n"/>
      <c r="M74" s="11">
        <f>E74</f>
        <v/>
      </c>
      <c r="N74" s="11">
        <f>F74</f>
        <v/>
      </c>
      <c r="P74" s="3">
        <f>_xlfn.CONCAT(N74, "(\d)")</f>
        <v/>
      </c>
      <c r="Q74" s="5">
        <f>IF(ISNUMBER(FIND("a",C74)),"a",IF(ISNUMBER(FIND("oo",C74)),"o",IF(AND(ISNUMBER(FIND("e",C74)),ISNUMBER(FIND("o",C74))),IF(FIND("e",C74)&lt;FIND("o",C74),"e","o"),IF(ISNUMBER(FIND("e",C74)),"e",IF(ISNUMBER(FIND("o",C74)),"o",IF(AND(ISNUMBER(FIND("i",C74)),ISNUMBER(FIND("u",C74))),IF(FIND("i",C74)&lt;FIND("u",C74),"i","u"),IF(ISNUMBER(FIND("i",C74)),"i",IF(ISNUMBER(FIND("u",C74)),"u",IF(LEFT(C74,1)="m","m",IF(ISNUMBER(FIND("n",C74)),"n","")))))))))))</f>
        <v/>
      </c>
      <c r="R74" s="5">
        <f>IFERROR( IF(Q74="", "", SEARCH(Q74, $N74)), "")</f>
        <v/>
      </c>
      <c r="S74" s="3">
        <f>IFERROR( _xlfn.CONCAT(LEFT(N74,R74-1), "》", MID(N74,R74,1), "${1}", RIGHT(N74, LEN(N74)-R74)), "" )</f>
        <v/>
      </c>
      <c r="T74" s="25" t="n"/>
      <c r="U74" s="26">
        <f>IF(AND(N74&lt;&gt;"", M74&lt;&gt;""), "    - xform/》" &amp; P74 &amp; "/" &amp; S74 &amp; "/", "")</f>
        <v/>
      </c>
    </row>
    <row r="75" ht="27.75" customHeight="1" s="69" thickBot="1">
      <c r="A75" s="19" t="n">
        <v>63</v>
      </c>
      <c r="B75" s="20" t="inlineStr">
        <is>
          <t>ut̚</t>
        </is>
      </c>
      <c r="C75" s="21" t="inlineStr">
        <is>
          <t>ut</t>
        </is>
      </c>
      <c r="D75" s="19" t="inlineStr">
        <is>
          <t>ut</t>
        </is>
      </c>
      <c r="E75" s="19" t="inlineStr">
        <is>
          <t>ut</t>
        </is>
      </c>
      <c r="F75" s="19" t="inlineStr">
        <is>
          <t>ut</t>
        </is>
      </c>
      <c r="G75" s="22" t="inlineStr">
        <is>
          <t>ut</t>
        </is>
      </c>
      <c r="H75" s="23" t="inlineStr">
        <is>
          <t>君促</t>
        </is>
      </c>
      <c r="I75" s="19" t="inlineStr">
        <is>
          <t>ㄨㆵ</t>
        </is>
      </c>
      <c r="J75" s="19" t="n"/>
      <c r="K75" s="23">
        <f>LEN(E75)</f>
        <v/>
      </c>
      <c r="L75" s="24" t="n"/>
      <c r="M75" s="11">
        <f>E75</f>
        <v/>
      </c>
      <c r="N75" s="11">
        <f>F75</f>
        <v/>
      </c>
      <c r="P75" s="3">
        <f>_xlfn.CONCAT(N75, "(\d)")</f>
        <v/>
      </c>
      <c r="Q75" s="5">
        <f>IF(ISNUMBER(FIND("a",C75)),"a",IF(ISNUMBER(FIND("oo",C75)),"o",IF(AND(ISNUMBER(FIND("e",C75)),ISNUMBER(FIND("o",C75))),IF(FIND("e",C75)&lt;FIND("o",C75),"e","o"),IF(ISNUMBER(FIND("e",C75)),"e",IF(ISNUMBER(FIND("o",C75)),"o",IF(AND(ISNUMBER(FIND("i",C75)),ISNUMBER(FIND("u",C75))),IF(FIND("i",C75)&lt;FIND("u",C75),"i","u"),IF(ISNUMBER(FIND("i",C75)),"i",IF(ISNUMBER(FIND("u",C75)),"u",IF(LEFT(C75,1)="m","m",IF(ISNUMBER(FIND("n",C75)),"n","")))))))))))</f>
        <v/>
      </c>
      <c r="R75" s="5">
        <f>IFERROR( IF(Q75="", "", SEARCH(Q75, $N75)), "")</f>
        <v/>
      </c>
      <c r="S75" s="3">
        <f>IFERROR( _xlfn.CONCAT(LEFT(N75,R75-1), "》", MID(N75,R75,1), "${1}", RIGHT(N75, LEN(N75)-R75)), "" )</f>
        <v/>
      </c>
      <c r="T75" s="25" t="n"/>
      <c r="U75" s="26">
        <f>IF(AND(N75&lt;&gt;"", M75&lt;&gt;""), "    - xform/》" &amp; P75 &amp; "/" &amp; S75 &amp; "/", "")</f>
        <v/>
      </c>
    </row>
    <row r="76" ht="27.75" customHeight="1" s="69" thickBot="1">
      <c r="A76" s="19" t="n">
        <v>64</v>
      </c>
      <c r="B76" s="20" t="inlineStr">
        <is>
          <t>ua</t>
        </is>
      </c>
      <c r="C76" s="21" t="inlineStr">
        <is>
          <t>ua</t>
        </is>
      </c>
      <c r="D76" s="19" t="inlineStr">
        <is>
          <t>ua</t>
        </is>
      </c>
      <c r="E76" s="19" t="inlineStr">
        <is>
          <t>ua</t>
        </is>
      </c>
      <c r="F76" s="19" t="inlineStr">
        <is>
          <t>ua</t>
        </is>
      </c>
      <c r="G76" s="22" t="inlineStr">
        <is>
          <t>oa</t>
        </is>
      </c>
      <c r="H76" s="23" t="inlineStr">
        <is>
          <t>瓜舒</t>
        </is>
      </c>
      <c r="I76" s="19" t="inlineStr">
        <is>
          <t>ㄨㄚ</t>
        </is>
      </c>
      <c r="J76" s="19" t="n"/>
      <c r="K76" s="23">
        <f>LEN(E76)</f>
        <v/>
      </c>
      <c r="L76" s="24" t="n"/>
      <c r="M76" s="11">
        <f>E76</f>
        <v/>
      </c>
      <c r="N76" s="11">
        <f>F76</f>
        <v/>
      </c>
      <c r="P76" s="3">
        <f>_xlfn.CONCAT(N76, "(\d)")</f>
        <v/>
      </c>
      <c r="Q76" s="5">
        <f>IF(ISNUMBER(FIND("a",C76)),"a",IF(ISNUMBER(FIND("oo",C76)),"o",IF(AND(ISNUMBER(FIND("e",C76)),ISNUMBER(FIND("o",C76))),IF(FIND("e",C76)&lt;FIND("o",C76),"e","o"),IF(ISNUMBER(FIND("e",C76)),"e",IF(ISNUMBER(FIND("o",C76)),"o",IF(AND(ISNUMBER(FIND("i",C76)),ISNUMBER(FIND("u",C76))),IF(FIND("i",C76)&lt;FIND("u",C76),"i","u"),IF(ISNUMBER(FIND("i",C76)),"i",IF(ISNUMBER(FIND("u",C76)),"u",IF(LEFT(C76,1)="m","m",IF(ISNUMBER(FIND("n",C76)),"n","")))))))))))</f>
        <v/>
      </c>
      <c r="R76" s="5">
        <f>IFERROR( IF(Q76="", "", SEARCH(Q76, $N76)), "")</f>
        <v/>
      </c>
      <c r="S76" s="3">
        <f>IFERROR( _xlfn.CONCAT(LEFT(N76,R76-1), "》", MID(N76,R76,1), "${1}", RIGHT(N76, LEN(N76)-R76)), "" )</f>
        <v/>
      </c>
      <c r="T76" s="25" t="n"/>
      <c r="U76" s="26">
        <f>IF(AND(N76&lt;&gt;"", M76&lt;&gt;""), "    - xform/》" &amp; P76 &amp; "/" &amp; S76 &amp; "/", "")</f>
        <v/>
      </c>
    </row>
    <row r="77" ht="27.75" customHeight="1" s="69" thickBot="1">
      <c r="A77" s="19" t="n">
        <v>74</v>
      </c>
      <c r="B77" s="20" t="inlineStr">
        <is>
          <t>ue</t>
        </is>
      </c>
      <c r="C77" s="21" t="inlineStr">
        <is>
          <t>ue</t>
        </is>
      </c>
      <c r="D77" s="19" t="inlineStr">
        <is>
          <t>ue</t>
        </is>
      </c>
      <c r="E77" s="19" t="inlineStr">
        <is>
          <t>ue</t>
        </is>
      </c>
      <c r="F77" s="19" t="inlineStr">
        <is>
          <t>ue</t>
        </is>
      </c>
      <c r="G77" s="22" t="inlineStr">
        <is>
          <t>oe</t>
        </is>
      </c>
      <c r="H77" s="23" t="inlineStr">
        <is>
          <t>檜舒</t>
        </is>
      </c>
      <c r="I77" s="19" t="inlineStr">
        <is>
          <t>ㄨㆤ</t>
        </is>
      </c>
      <c r="J77" s="19" t="n"/>
      <c r="K77" s="23">
        <f>LEN(E77)</f>
        <v/>
      </c>
      <c r="L77" s="24" t="n"/>
      <c r="M77" s="11">
        <f>E77</f>
        <v/>
      </c>
      <c r="N77" s="11">
        <f>F77</f>
        <v/>
      </c>
      <c r="P77" s="3">
        <f>_xlfn.CONCAT(N77, "(\d)")</f>
        <v/>
      </c>
      <c r="Q77" s="5">
        <f>IF(ISNUMBER(FIND("a",C77)),"a",IF(ISNUMBER(FIND("oo",C77)),"o",IF(AND(ISNUMBER(FIND("e",C77)),ISNUMBER(FIND("o",C77))),IF(FIND("e",C77)&lt;FIND("o",C77),"e","o"),IF(ISNUMBER(FIND("e",C77)),"e",IF(ISNUMBER(FIND("o",C77)),"o",IF(AND(ISNUMBER(FIND("i",C77)),ISNUMBER(FIND("u",C77))),IF(FIND("i",C77)&lt;FIND("u",C77),"i","u"),IF(ISNUMBER(FIND("i",C77)),"i",IF(ISNUMBER(FIND("u",C77)),"u",IF(LEFT(C77,1)="m","m",IF(ISNUMBER(FIND("n",C77)),"n","")))))))))))</f>
        <v/>
      </c>
      <c r="R77" s="5">
        <f>IFERROR( IF(Q77="", "", SEARCH(Q77, $N77)), "")</f>
        <v/>
      </c>
      <c r="S77" s="3">
        <f>IFERROR( _xlfn.CONCAT(LEFT(N77,R77-1), "》", MID(N77,R77,1), "${1}", RIGHT(N77, LEN(N77)-R77)), "" )</f>
        <v/>
      </c>
      <c r="T77" s="25" t="n"/>
      <c r="U77" s="26">
        <f>IF(AND(N77&lt;&gt;"", M77&lt;&gt;""), "    - xform/》" &amp; P77 &amp; "/" &amp; S77 &amp; "/", "")</f>
        <v/>
      </c>
    </row>
    <row r="78" ht="27.75" customHeight="1" s="69" thickBot="1">
      <c r="A78" s="19" t="n">
        <v>76</v>
      </c>
      <c r="B78" s="20" t="inlineStr">
        <is>
          <t>ui</t>
        </is>
      </c>
      <c r="C78" s="21" t="inlineStr">
        <is>
          <t>ui</t>
        </is>
      </c>
      <c r="D78" s="19" t="inlineStr">
        <is>
          <t>ui</t>
        </is>
      </c>
      <c r="E78" s="19" t="inlineStr">
        <is>
          <t>ui</t>
        </is>
      </c>
      <c r="F78" s="19" t="inlineStr">
        <is>
          <t>ui</t>
        </is>
      </c>
      <c r="G78" s="22" t="inlineStr">
        <is>
          <t>ui</t>
        </is>
      </c>
      <c r="H78" s="23" t="inlineStr">
        <is>
          <t>規舒</t>
        </is>
      </c>
      <c r="I78" s="19" t="inlineStr">
        <is>
          <t>ㄨㄧ</t>
        </is>
      </c>
      <c r="J78" s="19" t="n"/>
      <c r="K78" s="23">
        <f>LEN(E78)</f>
        <v/>
      </c>
      <c r="L78" s="24" t="n"/>
      <c r="M78" s="11">
        <f>E78</f>
        <v/>
      </c>
      <c r="N78" s="11">
        <f>F78</f>
        <v/>
      </c>
      <c r="P78" s="3">
        <f>_xlfn.CONCAT(N78, "(\d)")</f>
        <v/>
      </c>
      <c r="Q78" s="5">
        <f>IF(ISNUMBER(FIND("a",C78)),"a",IF(ISNUMBER(FIND("oo",C78)),"o",IF(AND(ISNUMBER(FIND("e",C78)),ISNUMBER(FIND("o",C78))),IF(FIND("e",C78)&lt;FIND("o",C78),"e","o"),IF(ISNUMBER(FIND("e",C78)),"e",IF(ISNUMBER(FIND("o",C78)),"o",IF(AND(ISNUMBER(FIND("i",C78)),ISNUMBER(FIND("u",C78))),IF(FIND("i",C78)&lt;FIND("u",C78),"i","u"),IF(ISNUMBER(FIND("i",C78)),"i",IF(ISNUMBER(FIND("u",C78)),"u",IF(LEFT(C78,1)="m","m",IF(ISNUMBER(FIND("n",C78)),"n","")))))))))))</f>
        <v/>
      </c>
      <c r="R78" s="5">
        <f>IFERROR( IF(Q78="", "", SEARCH(Q78, $N78)), "")</f>
        <v/>
      </c>
      <c r="S78" s="3">
        <f>IFERROR( _xlfn.CONCAT(LEFT(N78,R78-1), "》", MID(N78,R78,1), "${1}", RIGHT(N78, LEN(N78)-R78)), "" )</f>
        <v/>
      </c>
      <c r="T78" s="25" t="n"/>
      <c r="U78" s="26">
        <f>IF(AND(N78&lt;&gt;"", M78&lt;&gt;""), "    - xform/》" &amp; P78 &amp; "/" &amp; S78 &amp; "/", "")</f>
        <v/>
      </c>
    </row>
    <row r="79" ht="27.75" customHeight="1" s="69" thickBot="1">
      <c r="A79" s="19" t="n">
        <v>80</v>
      </c>
      <c r="B79" s="20" t="inlineStr">
        <is>
          <t>m̩ʔ</t>
        </is>
      </c>
      <c r="C79" s="21" t="inlineStr">
        <is>
          <t>mh</t>
        </is>
      </c>
      <c r="D79" s="31" t="inlineStr">
        <is>
          <t>mh</t>
        </is>
      </c>
      <c r="E79" s="31" t="inlineStr">
        <is>
          <t>mh</t>
        </is>
      </c>
      <c r="F79" s="31" t="inlineStr">
        <is>
          <t>mh</t>
        </is>
      </c>
      <c r="G79" s="31" t="inlineStr">
        <is>
          <t>mh</t>
        </is>
      </c>
      <c r="H79" s="35" t="inlineStr">
        <is>
          <t>姆促</t>
        </is>
      </c>
      <c r="I79" s="34" t="inlineStr">
        <is>
          <t>ㆬㆷ</t>
        </is>
      </c>
      <c r="J79" s="19" t="n"/>
      <c r="K79" s="23">
        <f>LEN(E79)</f>
        <v/>
      </c>
      <c r="L79" s="24" t="n"/>
      <c r="M79" s="11">
        <f>E79</f>
        <v/>
      </c>
      <c r="N79" s="11">
        <f>F79</f>
        <v/>
      </c>
      <c r="P79" s="3">
        <f>_xlfn.CONCAT(N79, "(\d)")</f>
        <v/>
      </c>
      <c r="Q79" s="5">
        <f>IF(ISNUMBER(FIND("a",C79)),"a",IF(ISNUMBER(FIND("oo",C79)),"o",IF(AND(ISNUMBER(FIND("e",C79)),ISNUMBER(FIND("o",C79))),IF(FIND("e",C79)&lt;FIND("o",C79),"e","o"),IF(ISNUMBER(FIND("e",C79)),"e",IF(ISNUMBER(FIND("o",C79)),"o",IF(AND(ISNUMBER(FIND("i",C79)),ISNUMBER(FIND("u",C79))),IF(FIND("i",C79)&lt;FIND("u",C79),"i","u"),IF(ISNUMBER(FIND("i",C79)),"i",IF(ISNUMBER(FIND("u",C79)),"u",IF(LEFT(C79,1)="m","m",IF(ISNUMBER(FIND("n",C79)),"n","")))))))))))</f>
        <v/>
      </c>
      <c r="R79" s="5">
        <f>IFERROR( IF(Q79="", "", SEARCH(Q79, $N79)), "")</f>
        <v/>
      </c>
      <c r="S79" s="3">
        <f>IFERROR( _xlfn.CONCAT(LEFT(N79,R79-1), "》", MID(N79,R79,1), "${1}", RIGHT(N79, LEN(N79)-R79)), "" )</f>
        <v/>
      </c>
      <c r="T79" s="25" t="n"/>
      <c r="U79" s="26">
        <f>IF(AND(N79&lt;&gt;"", M79&lt;&gt;""), "    - xform/》" &amp; P79 &amp; "/" &amp; S79 &amp; "/", "")</f>
        <v/>
      </c>
    </row>
    <row r="80" ht="27.75" customHeight="1" s="69" thickBot="1">
      <c r="A80" s="19" t="n">
        <v>81</v>
      </c>
      <c r="B80" s="20" t="inlineStr">
        <is>
          <t>ŋ̍</t>
        </is>
      </c>
      <c r="C80" s="21" t="inlineStr">
        <is>
          <t>ng</t>
        </is>
      </c>
      <c r="D80" s="19" t="inlineStr">
        <is>
          <t>ng</t>
        </is>
      </c>
      <c r="E80" s="19" t="inlineStr">
        <is>
          <t>ng</t>
        </is>
      </c>
      <c r="F80" s="19" t="inlineStr">
        <is>
          <t>ng</t>
        </is>
      </c>
      <c r="G80" s="22" t="inlineStr">
        <is>
          <t>ng</t>
        </is>
      </c>
      <c r="H80" s="23" t="inlineStr">
        <is>
          <t>鋼舒</t>
        </is>
      </c>
      <c r="I80" s="19" t="inlineStr">
        <is>
          <t>ㆭ</t>
        </is>
      </c>
      <c r="J80" s="19" t="n"/>
      <c r="K80" s="23">
        <f>LEN(E80)</f>
        <v/>
      </c>
      <c r="L80" s="24" t="n"/>
      <c r="M80" s="11">
        <f>E80</f>
        <v/>
      </c>
      <c r="N80" s="11">
        <f>F80</f>
        <v/>
      </c>
      <c r="P80" s="3">
        <f>_xlfn.CONCAT(N80, "(\d)")</f>
        <v/>
      </c>
      <c r="Q80" s="5">
        <f>IF(ISNUMBER(FIND("a",C80)),"a",IF(ISNUMBER(FIND("oo",C80)),"o",IF(AND(ISNUMBER(FIND("e",C80)),ISNUMBER(FIND("o",C80))),IF(FIND("e",C80)&lt;FIND("o",C80),"e","o"),IF(ISNUMBER(FIND("e",C80)),"e",IF(ISNUMBER(FIND("o",C80)),"o",IF(AND(ISNUMBER(FIND("i",C80)),ISNUMBER(FIND("u",C80))),IF(FIND("i",C80)&lt;FIND("u",C80),"i","u"),IF(ISNUMBER(FIND("i",C80)),"i",IF(ISNUMBER(FIND("u",C80)),"u",IF(LEFT(C80,1)="m","m",IF(ISNUMBER(FIND("n",C80)),"n","")))))))))))</f>
        <v/>
      </c>
      <c r="R80" s="5">
        <f>IFERROR( IF(Q80="", "", SEARCH(Q80, $N80)), "")</f>
        <v/>
      </c>
      <c r="S80" s="3">
        <f>IFERROR( _xlfn.CONCAT(LEFT(N80,R80-1), "》", MID(N80,R80,1), "${1}", RIGHT(N80, LEN(N80)-R80)), "" )</f>
        <v/>
      </c>
      <c r="T80" s="25" t="n"/>
      <c r="U80" s="26">
        <f>IF(AND(N80&lt;&gt;"", M80&lt;&gt;""), "    - xform/》" &amp; P80 &amp; "/" &amp; S80 &amp; "/", "")</f>
        <v/>
      </c>
    </row>
    <row r="81" ht="27.75" customHeight="1" s="69" thickBot="1">
      <c r="A81" s="19" t="n">
        <v>1</v>
      </c>
      <c r="B81" s="20" t="inlineStr">
        <is>
          <t>a</t>
        </is>
      </c>
      <c r="C81" s="21" t="inlineStr">
        <is>
          <t>a</t>
        </is>
      </c>
      <c r="D81" s="19" t="inlineStr">
        <is>
          <t>a</t>
        </is>
      </c>
      <c r="E81" s="19" t="inlineStr">
        <is>
          <t>a</t>
        </is>
      </c>
      <c r="F81" s="19" t="inlineStr">
        <is>
          <t>a</t>
        </is>
      </c>
      <c r="G81" s="22" t="inlineStr">
        <is>
          <t>a</t>
        </is>
      </c>
      <c r="H81" s="23" t="inlineStr">
        <is>
          <t>膠舒</t>
        </is>
      </c>
      <c r="I81" s="19" t="inlineStr">
        <is>
          <t>ㄚ</t>
        </is>
      </c>
      <c r="J81" s="19" t="n"/>
      <c r="K81" s="23">
        <f>LEN(E81)</f>
        <v/>
      </c>
      <c r="L81" s="24" t="n"/>
      <c r="M81" s="11">
        <f>E81</f>
        <v/>
      </c>
      <c r="N81" s="11">
        <f>F81</f>
        <v/>
      </c>
      <c r="P81" s="3">
        <f>_xlfn.CONCAT(N81, "(\d)")</f>
        <v/>
      </c>
      <c r="Q81" s="5">
        <f>IF(ISNUMBER(FIND("a",C81)),"a",IF(ISNUMBER(FIND("oo",C81)),"o",IF(AND(ISNUMBER(FIND("e",C81)),ISNUMBER(FIND("o",C81))),IF(FIND("e",C81)&lt;FIND("o",C81),"e","o"),IF(ISNUMBER(FIND("e",C81)),"e",IF(ISNUMBER(FIND("o",C81)),"o",IF(AND(ISNUMBER(FIND("i",C81)),ISNUMBER(FIND("u",C81))),IF(FIND("i",C81)&lt;FIND("u",C81),"i","u"),IF(ISNUMBER(FIND("i",C81)),"i",IF(ISNUMBER(FIND("u",C81)),"u",IF(LEFT(C81,1)="m","m",IF(ISNUMBER(FIND("n",C81)),"n","")))))))))))</f>
        <v/>
      </c>
      <c r="R81" s="5">
        <f>IFERROR( IF(Q81="", "", SEARCH(Q81, $N81)), "")</f>
        <v/>
      </c>
      <c r="S81" s="3">
        <f>IFERROR( _xlfn.CONCAT(LEFT(N81,R81-1), "》", MID(N81,R81,1), "${1}", RIGHT(N81, LEN(N81)-R81)), "" )</f>
        <v/>
      </c>
      <c r="T81" s="25" t="n"/>
      <c r="U81" s="26">
        <f>IF(AND(N81&lt;&gt;"", M81&lt;&gt;""), "    - xform/》" &amp; P81 &amp; "/" &amp; S81 &amp; "/", "")</f>
        <v/>
      </c>
    </row>
    <row r="82" ht="27.75" customHeight="1" s="69" thickBot="1">
      <c r="A82" s="19" t="n">
        <v>16</v>
      </c>
      <c r="B82" s="20" t="inlineStr">
        <is>
          <t>e</t>
        </is>
      </c>
      <c r="C82" s="21" t="inlineStr">
        <is>
          <t>e</t>
        </is>
      </c>
      <c r="D82" s="19" t="inlineStr">
        <is>
          <t>ei</t>
        </is>
      </c>
      <c r="E82" s="19" t="inlineStr">
        <is>
          <t>e</t>
        </is>
      </c>
      <c r="F82" s="19" t="inlineStr">
        <is>
          <t>e</t>
        </is>
      </c>
      <c r="G82" s="22" t="inlineStr">
        <is>
          <t>e</t>
        </is>
      </c>
      <c r="H82" s="23" t="inlineStr">
        <is>
          <t>稽舒</t>
        </is>
      </c>
      <c r="I82" s="19" t="inlineStr">
        <is>
          <t>ㆤ</t>
        </is>
      </c>
      <c r="J82" s="19" t="n"/>
      <c r="K82" s="23">
        <f>LEN(E82)</f>
        <v/>
      </c>
      <c r="L82" s="24" t="n"/>
      <c r="M82" s="11">
        <f>E82</f>
        <v/>
      </c>
      <c r="N82" s="11">
        <f>F82</f>
        <v/>
      </c>
      <c r="P82" s="3">
        <f>_xlfn.CONCAT(N82, "(\d)")</f>
        <v/>
      </c>
      <c r="Q82" s="5">
        <f>IF(ISNUMBER(FIND("a",C82)),"a",IF(ISNUMBER(FIND("oo",C82)),"o",IF(AND(ISNUMBER(FIND("e",C82)),ISNUMBER(FIND("o",C82))),IF(FIND("e",C82)&lt;FIND("o",C82),"e","o"),IF(ISNUMBER(FIND("e",C82)),"e",IF(ISNUMBER(FIND("o",C82)),"o",IF(AND(ISNUMBER(FIND("i",C82)),ISNUMBER(FIND("u",C82))),IF(FIND("i",C82)&lt;FIND("u",C82),"i","u"),IF(ISNUMBER(FIND("i",C82)),"i",IF(ISNUMBER(FIND("u",C82)),"u",IF(LEFT(C82,1)="m","m",IF(ISNUMBER(FIND("n",C82)),"n","")))))))))))</f>
        <v/>
      </c>
      <c r="R82" s="5">
        <f>IFERROR( IF(Q82="", "", SEARCH(Q82, $N82)), "")</f>
        <v/>
      </c>
      <c r="S82" s="3">
        <f>IFERROR( _xlfn.CONCAT(LEFT(N82,R82-1), "》", MID(N82,R82,1), "${1}", RIGHT(N82, LEN(N82)-R82)), "" )</f>
        <v/>
      </c>
      <c r="T82" s="25" t="n"/>
      <c r="U82" s="26">
        <f>IF(AND(N82&lt;&gt;"", M82&lt;&gt;""), "    - xform/》" &amp; P82 &amp; "/" &amp; S82 &amp; "/", "")</f>
        <v/>
      </c>
    </row>
    <row r="83" ht="27.75" customHeight="1" s="69" thickBot="1">
      <c r="A83" s="19" t="n">
        <v>20</v>
      </c>
      <c r="B83" s="20" t="inlineStr">
        <is>
          <t>i</t>
        </is>
      </c>
      <c r="C83" s="21" t="inlineStr">
        <is>
          <t>i</t>
        </is>
      </c>
      <c r="D83" s="19" t="inlineStr">
        <is>
          <t>i</t>
        </is>
      </c>
      <c r="E83" s="19" t="inlineStr">
        <is>
          <t>i</t>
        </is>
      </c>
      <c r="F83" s="19" t="inlineStr">
        <is>
          <t>i</t>
        </is>
      </c>
      <c r="G83" s="22" t="inlineStr">
        <is>
          <t>i</t>
        </is>
      </c>
      <c r="H83" s="23" t="inlineStr">
        <is>
          <t>居舒</t>
        </is>
      </c>
      <c r="I83" s="19" t="inlineStr">
        <is>
          <t>ㄧ</t>
        </is>
      </c>
      <c r="J83" s="19" t="n"/>
      <c r="K83" s="23">
        <f>LEN(E83)</f>
        <v/>
      </c>
      <c r="L83" s="24" t="n"/>
      <c r="M83" s="11">
        <f>E83</f>
        <v/>
      </c>
      <c r="N83" s="11">
        <f>F83</f>
        <v/>
      </c>
      <c r="P83" s="3">
        <f>_xlfn.CONCAT(N83, "(\d)")</f>
        <v/>
      </c>
      <c r="Q83" s="5">
        <f>IF(ISNUMBER(FIND("a",C83)),"a",IF(ISNUMBER(FIND("oo",C83)),"o",IF(AND(ISNUMBER(FIND("e",C83)),ISNUMBER(FIND("o",C83))),IF(FIND("e",C83)&lt;FIND("o",C83),"e","o"),IF(ISNUMBER(FIND("e",C83)),"e",IF(ISNUMBER(FIND("o",C83)),"o",IF(AND(ISNUMBER(FIND("i",C83)),ISNUMBER(FIND("u",C83))),IF(FIND("i",C83)&lt;FIND("u",C83),"i","u"),IF(ISNUMBER(FIND("i",C83)),"i",IF(ISNUMBER(FIND("u",C83)),"u",IF(LEFT(C83,1)="m","m",IF(ISNUMBER(FIND("n",C83)),"n","")))))))))))</f>
        <v/>
      </c>
      <c r="R83" s="5">
        <f>IFERROR( IF(Q83="", "", SEARCH(Q83, $N83)), "")</f>
        <v/>
      </c>
      <c r="S83" s="3">
        <f>IFERROR( _xlfn.CONCAT(LEFT(N83,R83-1), "》", MID(N83,R83,1), "${1}", RIGHT(N83, LEN(N83)-R83)), "" )</f>
        <v/>
      </c>
      <c r="T83" s="25" t="n"/>
      <c r="U83" s="26">
        <f>IF(AND(N83&lt;&gt;"", M83&lt;&gt;""), "    - xform/》" &amp; P83 &amp; "/" &amp; S83 &amp; "/", "")</f>
        <v/>
      </c>
    </row>
    <row r="84" ht="27.75" customHeight="1" s="69" thickBot="1">
      <c r="A84" s="19" t="n">
        <v>60</v>
      </c>
      <c r="B84" s="20" t="inlineStr">
        <is>
          <t>u</t>
        </is>
      </c>
      <c r="C84" s="21" t="inlineStr">
        <is>
          <t>u</t>
        </is>
      </c>
      <c r="D84" s="19" t="inlineStr">
        <is>
          <t>u</t>
        </is>
      </c>
      <c r="E84" s="19" t="inlineStr">
        <is>
          <t>u</t>
        </is>
      </c>
      <c r="F84" s="19" t="inlineStr">
        <is>
          <t>u</t>
        </is>
      </c>
      <c r="G84" s="22" t="inlineStr">
        <is>
          <t>u</t>
        </is>
      </c>
      <c r="H84" s="23" t="inlineStr">
        <is>
          <t>艍舒</t>
        </is>
      </c>
      <c r="I84" s="19" t="inlineStr">
        <is>
          <t>ㄨ</t>
        </is>
      </c>
      <c r="J84" s="19" t="n"/>
      <c r="K84" s="23">
        <f>LEN(E84)</f>
        <v/>
      </c>
      <c r="L84" s="24" t="n"/>
      <c r="M84" s="11">
        <f>E84</f>
        <v/>
      </c>
      <c r="N84" s="11">
        <f>F84</f>
        <v/>
      </c>
      <c r="P84" s="3">
        <f>_xlfn.CONCAT(N84, "(\d)")</f>
        <v/>
      </c>
      <c r="Q84" s="5">
        <f>IF(ISNUMBER(FIND("a",C84)),"a",IF(ISNUMBER(FIND("oo",C84)),"o",IF(AND(ISNUMBER(FIND("e",C84)),ISNUMBER(FIND("o",C84))),IF(FIND("e",C84)&lt;FIND("o",C84),"e","o"),IF(ISNUMBER(FIND("e",C84)),"e",IF(ISNUMBER(FIND("o",C84)),"o",IF(AND(ISNUMBER(FIND("i",C84)),ISNUMBER(FIND("u",C84))),IF(FIND("i",C84)&lt;FIND("u",C84),"i","u"),IF(ISNUMBER(FIND("i",C84)),"i",IF(ISNUMBER(FIND("u",C84)),"u",IF(LEFT(C84,1)="m","m",IF(ISNUMBER(FIND("n",C84)),"n","")))))))))))</f>
        <v/>
      </c>
      <c r="R84" s="5">
        <f>IFERROR( IF(Q84="", "", SEARCH(Q84, $N84)), "")</f>
        <v/>
      </c>
      <c r="S84" s="3">
        <f>IFERROR( _xlfn.CONCAT(LEFT(N84,R84-1), "》", MID(N84,R84,1), "${1}", RIGHT(N84, LEN(N84)-R84)), "" )</f>
        <v/>
      </c>
      <c r="T84" s="25" t="n"/>
      <c r="U84" s="26">
        <f>IF(AND(N84&lt;&gt;"", M84&lt;&gt;""), "    - xform/》" &amp; P84 &amp; "/" &amp; S84 &amp; "/", "")</f>
        <v/>
      </c>
    </row>
    <row r="85" ht="27.75" customHeight="1" s="69" thickBot="1">
      <c r="A85" s="19" t="n">
        <v>79</v>
      </c>
      <c r="B85" s="20" t="inlineStr">
        <is>
          <t>m̩</t>
        </is>
      </c>
      <c r="C85" s="21" t="inlineStr">
        <is>
          <t>m</t>
        </is>
      </c>
      <c r="D85" s="19" t="inlineStr">
        <is>
          <t>m</t>
        </is>
      </c>
      <c r="E85" s="19" t="inlineStr">
        <is>
          <t>m</t>
        </is>
      </c>
      <c r="F85" s="19" t="inlineStr">
        <is>
          <t>m</t>
        </is>
      </c>
      <c r="G85" s="22" t="inlineStr">
        <is>
          <t>m</t>
        </is>
      </c>
      <c r="H85" s="23" t="inlineStr">
        <is>
          <t>姆舒</t>
        </is>
      </c>
      <c r="I85" s="19" t="inlineStr">
        <is>
          <t>ㆬ</t>
        </is>
      </c>
      <c r="J85" s="19" t="n"/>
      <c r="K85" s="23">
        <f>LEN(E85)</f>
        <v/>
      </c>
      <c r="L85" s="24" t="n"/>
      <c r="M85" s="11">
        <f>E85</f>
        <v/>
      </c>
      <c r="N85" s="11">
        <f>F85</f>
        <v/>
      </c>
      <c r="P85" s="3">
        <f>_xlfn.CONCAT(N85, "(\d)")</f>
        <v/>
      </c>
      <c r="Q85" s="5">
        <f>IF(ISNUMBER(FIND("a",C85)),"a",IF(ISNUMBER(FIND("oo",C85)),"o",IF(AND(ISNUMBER(FIND("e",C85)),ISNUMBER(FIND("o",C85))),IF(FIND("e",C85)&lt;FIND("o",C85),"e","o"),IF(ISNUMBER(FIND("e",C85)),"e",IF(ISNUMBER(FIND("o",C85)),"o",IF(AND(ISNUMBER(FIND("i",C85)),ISNUMBER(FIND("u",C85))),IF(FIND("i",C85)&lt;FIND("u",C85),"i","u"),IF(ISNUMBER(FIND("i",C85)),"i",IF(ISNUMBER(FIND("u",C85)),"u",IF(LEFT(C85,1)="m","m",IF(ISNUMBER(FIND("n",C85)),"n","")))))))))))</f>
        <v/>
      </c>
      <c r="R85" s="5">
        <f>IFERROR( IF(Q85="", "", SEARCH(Q85, $N85)), "")</f>
        <v/>
      </c>
      <c r="S85" s="3">
        <f>IFERROR( _xlfn.CONCAT(LEFT(N85,R85-1), "》", MID(N85,R85,1), "${1}", RIGHT(N85, LEN(N85)-R85)), "" )</f>
        <v/>
      </c>
      <c r="T85" s="25" t="n"/>
      <c r="U85" s="26">
        <f>IF(AND(N85&lt;&gt;"", M85&lt;&gt;""), "    - xform/》" &amp; P85 &amp; "/" &amp; S85 &amp; "/", "")</f>
        <v/>
      </c>
    </row>
    <row r="86" ht="27" customHeight="1" s="69" thickBot="1"/>
    <row r="87" ht="48.75" customHeight="1" s="69" thickBot="1">
      <c r="B87" s="11" t="inlineStr">
        <is>
          <t>Unicode 編碼</t>
        </is>
      </c>
      <c r="C87" s="11" t="inlineStr">
        <is>
          <t>實例</t>
        </is>
      </c>
      <c r="D87" s="11" t="inlineStr">
        <is>
          <t>實例</t>
        </is>
      </c>
    </row>
    <row r="88" ht="27.75" customHeight="1" s="69" thickBot="1">
      <c r="B88" s="19" t="inlineStr">
        <is>
          <t>U+0303</t>
        </is>
      </c>
      <c r="C88" s="19">
        <f>HEX2DEC(VALUE(RIGHT(B88,4)))</f>
        <v/>
      </c>
      <c r="D88" s="19">
        <f>_xlfn.CONCAT("a", _xlfn.UNICHAR(HEX2DEC(RIGHT(B88,4))))</f>
        <v/>
      </c>
    </row>
    <row r="89" ht="27.75" customHeight="1" s="69" thickBot="1">
      <c r="B89" s="19" t="inlineStr">
        <is>
          <t>U+0294</t>
        </is>
      </c>
      <c r="C89" s="19">
        <f>HEX2DEC(VALUE(RIGHT(B89,4)))</f>
        <v/>
      </c>
      <c r="D89" s="19">
        <f>_xlfn.CONCAT("a", _xlfn.UNICHAR(HEX2DEC(RIGHT(B89,4))))</f>
        <v/>
      </c>
    </row>
    <row r="90" ht="27" customHeight="1" s="69" thickBot="1"/>
    <row r="91" ht="27" customHeight="1" s="69" thickBot="1">
      <c r="B91" s="11" t="inlineStr">
        <is>
          <t>U+0856</t>
        </is>
      </c>
      <c r="C91" s="11">
        <f>HEX2DEC(VALUE(RIGHT(B91,4)))</f>
        <v/>
      </c>
      <c r="D91" s="11">
        <f>_xlfn.CONCAT("o", _xlfn.UNICHAR( RIGHT(B91,4)))</f>
        <v/>
      </c>
    </row>
    <row r="92" ht="27" customHeight="1" s="69" thickBot="1">
      <c r="B92" s="11" t="inlineStr">
        <is>
          <t>o͘</t>
        </is>
      </c>
      <c r="C92" s="11">
        <f>_xlfn.UNICODE( RIGHT(B92,1) )</f>
        <v/>
      </c>
      <c r="D92" s="11">
        <f>_xlfn.CONCAT("o", _xlfn.UNICHAR(C92))</f>
        <v/>
      </c>
    </row>
    <row r="93" ht="27" customHeight="1" s="69" thickBot="1"/>
    <row r="94" ht="27" customHeight="1" s="69" thickBot="1">
      <c r="B94" s="11" t="inlineStr">
        <is>
          <t>[əŋ]</t>
        </is>
      </c>
      <c r="C94" s="11" t="inlineStr">
        <is>
          <t>ㄥ</t>
        </is>
      </c>
    </row>
    <row r="95" ht="27" customHeight="1" s="69" thickBot="1">
      <c r="B95" s="11" t="inlineStr">
        <is>
          <t>[ŋ̍]</t>
        </is>
      </c>
      <c r="C95" s="11" t="inlineStr">
        <is>
          <t>ㆭ</t>
        </is>
      </c>
    </row>
    <row r="97">
      <c r="A97" s="1">
        <f>"(""" &amp; _xlfn.TEXTJOIN(""",""",TRUE,F4:F85) &amp; """)"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97"/>
  <sheetViews>
    <sheetView showGridLines="0" topLeftCell="G1" workbookViewId="0">
      <pane ySplit="3" topLeftCell="A11" activePane="bottomLeft" state="frozen"/>
      <selection pane="bottomLeft" activeCell="Q24" sqref="Q24"/>
    </sheetView>
  </sheetViews>
  <sheetFormatPr baseColWidth="8" defaultRowHeight="26.25"/>
  <cols>
    <col width="8.375" customWidth="1" style="2" min="1" max="1"/>
    <col width="15.375" customWidth="1" style="2" min="2" max="4"/>
    <col outlineLevel="1" width="15.375" customWidth="1" style="2" min="5" max="8"/>
    <col width="15.375" customWidth="1" style="2" min="9" max="10"/>
    <col width="7.75" customWidth="1" style="2" min="11" max="11"/>
    <col width="5.25" customWidth="1" style="2" min="12" max="12"/>
    <col width="15.125" customWidth="1" style="2" min="13" max="14"/>
    <col width="2.875" customWidth="1" style="2" min="15" max="15"/>
    <col width="15.75" customWidth="1" style="3" min="16" max="16"/>
    <col outlineLevel="1" width="9" customWidth="1" style="5" min="17" max="17"/>
    <col outlineLevel="1" width="9.25" customWidth="1" style="5" min="18" max="18"/>
    <col width="16.75" customWidth="1" style="3" min="19" max="19"/>
    <col width="4.5" customWidth="1" style="2" min="20" max="20"/>
    <col width="51.75" customWidth="1" style="6" min="21" max="21"/>
    <col width="9" customWidth="1" style="2" min="22" max="22"/>
    <col width="7.5" customWidth="1" style="7" min="23" max="34"/>
    <col width="19.375" bestFit="1" customWidth="1" style="8" min="35" max="40"/>
    <col width="19.875" customWidth="1" style="8" min="41" max="43"/>
    <col width="19.875" customWidth="1" style="2" min="44" max="44"/>
    <col width="9" customWidth="1" style="2" min="45" max="45"/>
    <col width="9" customWidth="1" style="2" min="46" max="16384"/>
  </cols>
  <sheetData>
    <row r="1">
      <c r="A1" s="1" t="n"/>
      <c r="C1" s="1" t="n"/>
      <c r="D1" s="1" t="n"/>
      <c r="H1" s="1" t="n"/>
      <c r="I1" s="1" t="n"/>
      <c r="J1" s="1" t="n"/>
      <c r="K1" s="1" t="n"/>
      <c r="Q1" s="4" t="n"/>
    </row>
    <row r="2" ht="27" customHeight="1" s="69" thickBot="1">
      <c r="A2" s="9" t="inlineStr">
        <is>
          <t>響度優先次第： a &gt; oo &gt; (e = o) &gt; (i = u)〈低元音 &gt; 高元音 &gt; 無擦通音 &gt; 擦音 &gt; 塞音〉</t>
        </is>
      </c>
      <c r="C2" s="1" t="n"/>
      <c r="D2" s="1" t="n"/>
      <c r="H2" s="1" t="n"/>
      <c r="I2" s="1" t="n"/>
      <c r="J2" s="1" t="n"/>
      <c r="K2" s="1" t="n"/>
      <c r="U2" s="10" t="n"/>
      <c r="X2" s="7" t="n">
        <v>1</v>
      </c>
      <c r="Y2" s="7" t="n">
        <v>2</v>
      </c>
      <c r="Z2" s="7" t="n">
        <v>3</v>
      </c>
      <c r="AA2" s="7" t="n">
        <v>4</v>
      </c>
      <c r="AB2" s="7" t="n">
        <v>5</v>
      </c>
      <c r="AC2" s="7" t="n">
        <v>6</v>
      </c>
      <c r="AD2" s="7" t="n">
        <v>7</v>
      </c>
      <c r="AE2" s="7" t="n">
        <v>8</v>
      </c>
      <c r="AF2" s="7" t="n">
        <v>9</v>
      </c>
      <c r="AG2" s="7" t="n">
        <v>9</v>
      </c>
    </row>
    <row r="3" ht="54.75" customHeight="1" s="69" thickBot="1">
      <c r="A3" s="11" t="inlineStr">
        <is>
          <t>序號</t>
        </is>
      </c>
      <c r="B3" s="12" t="inlineStr">
        <is>
          <t>國際音標</t>
        </is>
      </c>
      <c r="C3" s="12" t="inlineStr">
        <is>
          <t>台羅拼音</t>
        </is>
      </c>
      <c r="D3" s="11" t="inlineStr">
        <is>
          <t>台語音標</t>
        </is>
      </c>
      <c r="E3" s="65" t="inlineStr">
        <is>
          <t>台語注音二式</t>
        </is>
      </c>
      <c r="F3" s="11" t="inlineStr">
        <is>
          <t>閩拼方案</t>
        </is>
      </c>
      <c r="G3" s="11" t="inlineStr">
        <is>
          <t>白話字</t>
        </is>
      </c>
      <c r="H3" s="11" t="inlineStr">
        <is>
          <t>十五音</t>
        </is>
      </c>
      <c r="I3" s="11" t="inlineStr">
        <is>
          <t>方音符號</t>
        </is>
      </c>
      <c r="J3" s="11" t="inlineStr">
        <is>
          <t>聲韻調類</t>
        </is>
      </c>
      <c r="K3" s="11" t="inlineStr">
        <is>
          <t>字長</t>
        </is>
      </c>
      <c r="L3" s="13" t="n"/>
      <c r="M3" s="11">
        <f>E3</f>
        <v/>
      </c>
      <c r="N3" s="11">
        <f>F3</f>
        <v/>
      </c>
      <c r="P3" s="11">
        <f>_xlfn.CONCAT(N3, "+調號")</f>
        <v/>
      </c>
      <c r="Q3" s="14" t="inlineStr">
        <is>
          <t>標調字母</t>
        </is>
      </c>
      <c r="R3" s="15" t="inlineStr">
        <is>
          <t>search()</t>
        </is>
      </c>
      <c r="S3" s="11">
        <f>N3</f>
        <v/>
      </c>
      <c r="U3" s="14" t="n"/>
      <c r="W3" s="16" t="n"/>
      <c r="Y3" s="17" t="inlineStr">
        <is>
          <t>U+0301</t>
        </is>
      </c>
      <c r="Z3" s="17" t="inlineStr">
        <is>
          <t>U+0300</t>
        </is>
      </c>
      <c r="AA3" s="17" t="n"/>
      <c r="AB3" s="17" t="inlineStr">
        <is>
          <t>U+030C</t>
        </is>
      </c>
      <c r="AC3" s="17" t="inlineStr">
        <is>
          <t>U+0301</t>
        </is>
      </c>
      <c r="AD3" s="17" t="inlineStr">
        <is>
          <t>U+0304</t>
        </is>
      </c>
      <c r="AE3" s="17" t="inlineStr">
        <is>
          <t>U+030D</t>
        </is>
      </c>
      <c r="AF3" s="17" t="inlineStr">
        <is>
          <t>U+030B</t>
        </is>
      </c>
      <c r="AG3" s="17" t="inlineStr">
        <is>
          <t>U+030A</t>
        </is>
      </c>
      <c r="AH3" s="18" t="n"/>
    </row>
    <row r="4" ht="27.75" customHeight="1" s="69" thickBot="1">
      <c r="A4" s="19" t="n">
        <v>73</v>
      </c>
      <c r="B4" s="20" t="inlineStr">
        <is>
          <t>uãiʔ</t>
        </is>
      </c>
      <c r="C4" s="21" t="inlineStr">
        <is>
          <t>uainnh</t>
        </is>
      </c>
      <c r="D4" s="19" t="inlineStr">
        <is>
          <t>uaihnn</t>
        </is>
      </c>
      <c r="E4" s="19" t="inlineStr">
        <is>
          <t>uainnh</t>
        </is>
      </c>
      <c r="F4" s="31" t="inlineStr">
        <is>
          <t>nuaih</t>
        </is>
      </c>
      <c r="G4" s="22" t="inlineStr">
        <is>
          <t>oaihⁿ</t>
        </is>
      </c>
      <c r="H4" s="23" t="inlineStr">
        <is>
          <t>閂促</t>
        </is>
      </c>
      <c r="I4" s="19" t="inlineStr">
        <is>
          <t>ㄨㆮㆷ</t>
        </is>
      </c>
      <c r="J4" s="29" t="inlineStr">
        <is>
          <t>韻-鼻</t>
        </is>
      </c>
      <c r="K4" s="23">
        <f>LEN(E4)</f>
        <v/>
      </c>
      <c r="L4" s="24" t="n"/>
      <c r="M4" s="11">
        <f>E4</f>
        <v/>
      </c>
      <c r="N4" s="11">
        <f>F4</f>
        <v/>
      </c>
      <c r="P4" s="3">
        <f>_xlfn.CONCAT(N4, "(\d)")</f>
        <v/>
      </c>
      <c r="Q4" s="5" t="inlineStr">
        <is>
          <t>a</t>
        </is>
      </c>
      <c r="R4" s="5">
        <f>IFERROR( IF(Q4="", "", SEARCH(Q4, $N4)), "")</f>
        <v/>
      </c>
      <c r="S4" s="3">
        <f>IFERROR( _xlfn.CONCAT(LEFT(N4,R4-1), "》", MID(N4,R4,1), "${1}", RIGHT(N4, LEN(N4)-R4)), "" )</f>
        <v/>
      </c>
      <c r="T4" s="25" t="n"/>
      <c r="U4" s="26">
        <f>IF(AND(N4&lt;&gt;"", M4&lt;&gt;""), "    - xform/》" &amp; P4 &amp;  "/"  &amp; S4 &amp;  "/", "")</f>
        <v/>
      </c>
      <c r="W4" s="7" t="inlineStr">
        <is>
          <t>a</t>
        </is>
      </c>
      <c r="X4" s="27">
        <f>_xlfn.CONCAT($W4, IF(X$3="", "", _xlfn.UNICHAR( HEX2DEC( RIGHT(X$3,4)))))</f>
        <v/>
      </c>
      <c r="Y4" s="27">
        <f>_xlfn.CONCAT($W4, IF(Y$3="", "", _xlfn.UNICHAR( HEX2DEC( RIGHT(Y$3,4)))))</f>
        <v/>
      </c>
      <c r="Z4" s="27">
        <f>_xlfn.CONCAT($W4, IF(Z$3="", "", _xlfn.UNICHAR( HEX2DEC( RIGHT(Z$3,4)))))</f>
        <v/>
      </c>
      <c r="AA4" s="27">
        <f>_xlfn.CONCAT($W4, IF(AA$3="", "", _xlfn.UNICHAR( HEX2DEC( RIGHT(AA$3,4)))))</f>
        <v/>
      </c>
      <c r="AB4" s="27">
        <f>_xlfn.CONCAT($W4, IF(AB$3="", "", _xlfn.UNICHAR( HEX2DEC( RIGHT(AB$3,4)))))</f>
        <v/>
      </c>
      <c r="AC4" s="27">
        <f>_xlfn.CONCAT($W4, IF(AC$3="", "", _xlfn.UNICHAR( HEX2DEC( RIGHT(AC$3,4)))))</f>
        <v/>
      </c>
      <c r="AD4" s="27">
        <f>_xlfn.CONCAT($W4, IF(AD$3="", "", _xlfn.UNICHAR( HEX2DEC( RIGHT(AD$3,4)))))</f>
        <v/>
      </c>
      <c r="AE4" s="27">
        <f>_xlfn.CONCAT($W4, IF(AE$3="", "", _xlfn.UNICHAR( HEX2DEC( RIGHT(AE$3,4)))))</f>
        <v/>
      </c>
      <c r="AF4" s="27">
        <f>_xlfn.CONCAT($W4, IF(AF$3="", "", _xlfn.UNICHAR( HEX2DEC( RIGHT(AF$3,4)))))</f>
        <v/>
      </c>
      <c r="AG4" s="27">
        <f>_xlfn.CONCAT($W4, IF(AG$3="", "", _xlfn.UNICHAR( HEX2DEC( RIGHT(AG$3,4)))))</f>
        <v/>
      </c>
      <c r="AI4" s="28">
        <f>_xlfn.CONCAT("    - xform/》", $W4, X$2, "/", X4, "/")</f>
        <v/>
      </c>
      <c r="AJ4" s="28">
        <f>_xlfn.CONCAT("    - xform/》", $W4, Y$2, "/", Y4, "/")</f>
        <v/>
      </c>
      <c r="AK4" s="28">
        <f>_xlfn.CONCAT("    - xform/》", $W4, Z$2, "/", Z4, "/")</f>
        <v/>
      </c>
      <c r="AL4" s="28">
        <f>_xlfn.CONCAT("    - xform/》", $W4, AA$2, "/", AA4, "/")</f>
        <v/>
      </c>
      <c r="AM4" s="28">
        <f>_xlfn.CONCAT("    - xform/》", $W4, AB$2, "/", AB4, "/")</f>
        <v/>
      </c>
      <c r="AN4" s="28">
        <f>_xlfn.CONCAT("    - xform/》", $W4, AC$2, "/", AC4, "/")</f>
        <v/>
      </c>
      <c r="AO4" s="28">
        <f>_xlfn.CONCAT("    - xform/》", $W4, AD$2, "/", AD4, "/")</f>
        <v/>
      </c>
      <c r="AP4" s="28">
        <f>_xlfn.CONCAT("    - xform/》", $W4, AE$2, "/", AE4, "/")</f>
        <v/>
      </c>
      <c r="AQ4" s="28">
        <f>_xlfn.CONCAT("    - xform/》", $W4, AF$2, "/", AF4, "/")</f>
        <v/>
      </c>
      <c r="AR4" s="28">
        <f>_xlfn.CONCAT("    - xform/》", $W4, AG$2, "/", AG4, "/")</f>
        <v/>
      </c>
      <c r="AS4" s="27" t="n"/>
      <c r="AT4" s="27" t="n"/>
      <c r="AU4" s="7" t="n"/>
    </row>
    <row r="5" ht="30.75" customHeight="1" s="69" thickBot="1">
      <c r="A5" s="19" t="n">
        <v>32</v>
      </c>
      <c r="B5" s="20" t="inlineStr">
        <is>
          <t>iãʔ</t>
        </is>
      </c>
      <c r="C5" s="21" t="inlineStr">
        <is>
          <t>iannh</t>
        </is>
      </c>
      <c r="D5" s="31" t="inlineStr">
        <is>
          <t>iannh</t>
        </is>
      </c>
      <c r="E5" s="31" t="inlineStr">
        <is>
          <t>iannh</t>
        </is>
      </c>
      <c r="F5" s="31" t="inlineStr">
        <is>
          <t>niah</t>
        </is>
      </c>
      <c r="G5" s="31" t="inlineStr">
        <is>
          <t>iahⁿ</t>
        </is>
      </c>
      <c r="H5" s="32" t="inlineStr">
        <is>
          <t>迦促</t>
        </is>
      </c>
      <c r="I5" s="33" t="inlineStr">
        <is>
          <t>ㄧㆩㆷ</t>
        </is>
      </c>
      <c r="J5" s="29" t="inlineStr">
        <is>
          <t>韻-鼻</t>
        </is>
      </c>
      <c r="K5" s="23">
        <f>LEN(E5)</f>
        <v/>
      </c>
      <c r="L5" s="24" t="n"/>
      <c r="M5" s="11">
        <f>E5</f>
        <v/>
      </c>
      <c r="N5" s="11">
        <f>F5</f>
        <v/>
      </c>
      <c r="P5" s="3">
        <f>_xlfn.CONCAT(N5, "(\d)")</f>
        <v/>
      </c>
      <c r="Q5" s="5" t="inlineStr">
        <is>
          <t>a</t>
        </is>
      </c>
      <c r="R5" s="5">
        <f>IFERROR( IF(Q5="", "", SEARCH(Q5, $N5)), "")</f>
        <v/>
      </c>
      <c r="S5" s="3">
        <f>IFERROR( _xlfn.CONCAT(LEFT(N5,R5-1), "》", MID(N5,R5,1), "${1}", RIGHT(N5, LEN(N5)-R5)), "" )</f>
        <v/>
      </c>
      <c r="T5" s="25" t="n"/>
      <c r="U5" s="26">
        <f>IF(AND(N5&lt;&gt;"", M5&lt;&gt;""), "    - xform/》" &amp; P5 &amp;  "/"  &amp; S5 &amp;  "/", "")</f>
        <v/>
      </c>
      <c r="W5" s="7" t="inlineStr">
        <is>
          <t>i</t>
        </is>
      </c>
      <c r="X5" s="27">
        <f>_xlfn.CONCAT($W5, IF(X$3="", "", _xlfn.UNICHAR( HEX2DEC( RIGHT(X$3,4)))))</f>
        <v/>
      </c>
      <c r="Y5" s="27">
        <f>_xlfn.CONCAT($W5, IF(Y$3="", "", _xlfn.UNICHAR( HEX2DEC( RIGHT(Y$3,4)))))</f>
        <v/>
      </c>
      <c r="Z5" s="27">
        <f>_xlfn.CONCAT($W5, IF(Z$3="", "", _xlfn.UNICHAR( HEX2DEC( RIGHT(Z$3,4)))))</f>
        <v/>
      </c>
      <c r="AA5" s="27">
        <f>_xlfn.CONCAT($W5, IF(AA$3="", "", _xlfn.UNICHAR( HEX2DEC( RIGHT(AA$3,4)))))</f>
        <v/>
      </c>
      <c r="AB5" s="27">
        <f>_xlfn.CONCAT($W5, IF(AB$3="", "", _xlfn.UNICHAR( HEX2DEC( RIGHT(AB$3,4)))))</f>
        <v/>
      </c>
      <c r="AC5" s="27">
        <f>_xlfn.CONCAT($W5, IF(AC$3="", "", _xlfn.UNICHAR( HEX2DEC( RIGHT(AC$3,4)))))</f>
        <v/>
      </c>
      <c r="AD5" s="27">
        <f>_xlfn.CONCAT($W5, IF(AD$3="", "", _xlfn.UNICHAR( HEX2DEC( RIGHT(AD$3,4)))))</f>
        <v/>
      </c>
      <c r="AE5" s="27">
        <f>_xlfn.CONCAT($W5, IF(AE$3="", "", _xlfn.UNICHAR( HEX2DEC( RIGHT(AE$3,4)))))</f>
        <v/>
      </c>
      <c r="AF5" s="27">
        <f>_xlfn.CONCAT($W5, IF(AF$3="", "", _xlfn.UNICHAR( HEX2DEC( RIGHT(AF$3,4)))))</f>
        <v/>
      </c>
      <c r="AG5" s="27">
        <f>_xlfn.CONCAT($W5, IF(AG$3="", "", _xlfn.UNICHAR( HEX2DEC( RIGHT(AG$3,4)))))</f>
        <v/>
      </c>
      <c r="AI5" s="28">
        <f>_xlfn.CONCAT("    - xform/》", $W5, X$2, "/", X5, "/")</f>
        <v/>
      </c>
      <c r="AJ5" s="28">
        <f>_xlfn.CONCAT("    - xform/》", $W5, Y$2, "/", Y5, "/")</f>
        <v/>
      </c>
      <c r="AK5" s="28">
        <f>_xlfn.CONCAT("    - xform/》", $W5, Z$2, "/", Z5, "/")</f>
        <v/>
      </c>
      <c r="AL5" s="28">
        <f>_xlfn.CONCAT("    - xform/》", $W5, AA$2, "/", AA5, "/")</f>
        <v/>
      </c>
      <c r="AM5" s="28">
        <f>_xlfn.CONCAT("    - xform/》", $W5, AB$2, "/", AB5, "/")</f>
        <v/>
      </c>
      <c r="AN5" s="28">
        <f>_xlfn.CONCAT("    - xform/》", $W5, AC$2, "/", AC5, "/")</f>
        <v/>
      </c>
      <c r="AO5" s="28">
        <f>_xlfn.CONCAT("    - xform/》", $W5, AD$2, "/", AD5, "/")</f>
        <v/>
      </c>
      <c r="AP5" s="28">
        <f>_xlfn.CONCAT("    - xform/》", $W5, AE$2, "/", AE5, "/")</f>
        <v/>
      </c>
      <c r="AQ5" s="28">
        <f>_xlfn.CONCAT("    - xform/》", $W5, AF$2, "/", AF5, "/")</f>
        <v/>
      </c>
      <c r="AR5" s="28">
        <f>_xlfn.CONCAT("    - xform/》", $W5, AG$2, "/", AG5, "/")</f>
        <v/>
      </c>
      <c r="AS5" s="27" t="n"/>
      <c r="AT5" s="27" t="n"/>
      <c r="AU5" s="7" t="n"/>
    </row>
    <row r="6" ht="27.75" customHeight="1" s="69" thickBot="1">
      <c r="A6" s="19" t="n">
        <v>40</v>
      </c>
      <c r="B6" s="20" t="inlineStr">
        <is>
          <t>ɪãu</t>
        </is>
      </c>
      <c r="C6" s="21" t="inlineStr">
        <is>
          <t>iaunn</t>
        </is>
      </c>
      <c r="D6" s="19" t="inlineStr">
        <is>
          <t>iaunn</t>
        </is>
      </c>
      <c r="E6" s="19" t="inlineStr">
        <is>
          <t>iaunn</t>
        </is>
      </c>
      <c r="F6" s="19" t="inlineStr">
        <is>
          <t>niao</t>
        </is>
      </c>
      <c r="G6" s="22" t="inlineStr">
        <is>
          <t>iauⁿ</t>
        </is>
      </c>
      <c r="H6" s="23" t="inlineStr">
        <is>
          <t>嘄舒</t>
        </is>
      </c>
      <c r="I6" s="19" t="inlineStr">
        <is>
          <t>ㄧㆯ</t>
        </is>
      </c>
      <c r="J6" s="29" t="inlineStr">
        <is>
          <t>韻-鼻</t>
        </is>
      </c>
      <c r="K6" s="23">
        <f>LEN(E6)</f>
        <v/>
      </c>
      <c r="L6" s="24" t="n"/>
      <c r="M6" s="11">
        <f>E6</f>
        <v/>
      </c>
      <c r="N6" s="11">
        <f>F6</f>
        <v/>
      </c>
      <c r="P6" s="3">
        <f>_xlfn.CONCAT(N6, "(\d)")</f>
        <v/>
      </c>
      <c r="Q6" s="5" t="inlineStr">
        <is>
          <t>a</t>
        </is>
      </c>
      <c r="R6" s="5">
        <f>IFERROR( IF(Q6="", "", SEARCH(Q6, $N6)), "")</f>
        <v/>
      </c>
      <c r="S6" s="3">
        <f>IFERROR( _xlfn.CONCAT(LEFT(N6,R6-1), "》", MID(N6,R6,1), "${1}", RIGHT(N6, LEN(N6)-R6)), "" )</f>
        <v/>
      </c>
      <c r="T6" s="25" t="n"/>
      <c r="U6" s="26">
        <f>IF(AND(N6&lt;&gt;"", M6&lt;&gt;""), "    - xform/》" &amp; P6 &amp; "/" &amp; S6 &amp; "/", "")</f>
        <v/>
      </c>
      <c r="W6" s="7" t="inlineStr">
        <is>
          <t>u</t>
        </is>
      </c>
      <c r="X6" s="27">
        <f>_xlfn.CONCAT($W6, IF(X$3="", "", _xlfn.UNICHAR( HEX2DEC( RIGHT(X$3,4)))))</f>
        <v/>
      </c>
      <c r="Y6" s="27">
        <f>_xlfn.CONCAT($W6, IF(Y$3="", "", _xlfn.UNICHAR( HEX2DEC( RIGHT(Y$3,4)))))</f>
        <v/>
      </c>
      <c r="Z6" s="27">
        <f>_xlfn.CONCAT($W6, IF(Z$3="", "", _xlfn.UNICHAR( HEX2DEC( RIGHT(Z$3,4)))))</f>
        <v/>
      </c>
      <c r="AA6" s="27">
        <f>_xlfn.CONCAT($W6, IF(AA$3="", "", _xlfn.UNICHAR( HEX2DEC( RIGHT(AA$3,4)))))</f>
        <v/>
      </c>
      <c r="AB6" s="27">
        <f>_xlfn.CONCAT($W6, IF(AB$3="", "", _xlfn.UNICHAR( HEX2DEC( RIGHT(AB$3,4)))))</f>
        <v/>
      </c>
      <c r="AC6" s="27">
        <f>_xlfn.CONCAT($W6, IF(AC$3="", "", _xlfn.UNICHAR( HEX2DEC( RIGHT(AC$3,4)))))</f>
        <v/>
      </c>
      <c r="AD6" s="27">
        <f>_xlfn.CONCAT($W6, IF(AD$3="", "", _xlfn.UNICHAR( HEX2DEC( RIGHT(AD$3,4)))))</f>
        <v/>
      </c>
      <c r="AE6" s="27">
        <f>_xlfn.CONCAT($W6, IF(AE$3="", "", _xlfn.UNICHAR( HEX2DEC( RIGHT(AE$3,4)))))</f>
        <v/>
      </c>
      <c r="AF6" s="27">
        <f>_xlfn.CONCAT($W6, IF(AF$3="", "", _xlfn.UNICHAR( HEX2DEC( RIGHT(AF$3,4)))))</f>
        <v/>
      </c>
      <c r="AG6" s="27">
        <f>_xlfn.CONCAT($W6, IF(AG$3="", "", _xlfn.UNICHAR( HEX2DEC( RIGHT(AG$3,4)))))</f>
        <v/>
      </c>
      <c r="AI6" s="28">
        <f>_xlfn.CONCAT("    - xform/》", $W6, X$2, "/", X6, "/")</f>
        <v/>
      </c>
      <c r="AJ6" s="28">
        <f>_xlfn.CONCAT("    - xform/》", $W6, Y$2, "/", Y6, "/")</f>
        <v/>
      </c>
      <c r="AK6" s="28">
        <f>_xlfn.CONCAT("    - xform/》", $W6, Z$2, "/", Z6, "/")</f>
        <v/>
      </c>
      <c r="AL6" s="28">
        <f>_xlfn.CONCAT("    - xform/》", $W6, AA$2, "/", AA6, "/")</f>
        <v/>
      </c>
      <c r="AM6" s="28">
        <f>_xlfn.CONCAT("    - xform/》", $W6, AB$2, "/", AB6, "/")</f>
        <v/>
      </c>
      <c r="AN6" s="28">
        <f>_xlfn.CONCAT("    - xform/》", $W6, AC$2, "/", AC6, "/")</f>
        <v/>
      </c>
      <c r="AO6" s="28">
        <f>_xlfn.CONCAT("    - xform/》", $W6, AD$2, "/", AD6, "/")</f>
        <v/>
      </c>
      <c r="AP6" s="28">
        <f>_xlfn.CONCAT("    - xform/》", $W6, AE$2, "/", AE6, "/")</f>
        <v/>
      </c>
      <c r="AQ6" s="28">
        <f>_xlfn.CONCAT("    - xform/》", $W6, AF$2, "/", AF6, "/")</f>
        <v/>
      </c>
      <c r="AR6" s="28">
        <f>_xlfn.CONCAT("    - xform/》", $W6, AG$2, "/", AG6, "/")</f>
        <v/>
      </c>
      <c r="AS6" s="27" t="n"/>
      <c r="AT6" s="27" t="n"/>
      <c r="AU6" s="7" t="n"/>
    </row>
    <row r="7" ht="27.75" customHeight="1" s="69" thickBot="1">
      <c r="A7" s="19" t="n">
        <v>43</v>
      </c>
      <c r="B7" s="20" t="inlineStr">
        <is>
          <t>ɪɔ̃</t>
        </is>
      </c>
      <c r="C7" s="21" t="inlineStr">
        <is>
          <t>ionn</t>
        </is>
      </c>
      <c r="D7" s="19" t="inlineStr">
        <is>
          <t>ionn</t>
        </is>
      </c>
      <c r="E7" s="19" t="inlineStr">
        <is>
          <t>ioonn</t>
        </is>
      </c>
      <c r="F7" s="19" t="inlineStr">
        <is>
          <t>nioo</t>
        </is>
      </c>
      <c r="G7" s="22" t="inlineStr">
        <is>
          <t>ioⁿ</t>
        </is>
      </c>
      <c r="H7" s="23" t="inlineStr">
        <is>
          <t>薑舒</t>
        </is>
      </c>
      <c r="I7" s="19" t="inlineStr">
        <is>
          <t>ㄧㆧ</t>
        </is>
      </c>
      <c r="J7" s="29" t="inlineStr">
        <is>
          <t>韻-鼻</t>
        </is>
      </c>
      <c r="K7" s="23">
        <f>LEN(E7)</f>
        <v/>
      </c>
      <c r="L7" s="24" t="n"/>
      <c r="M7" s="11">
        <f>E7</f>
        <v/>
      </c>
      <c r="N7" s="11">
        <f>F7</f>
        <v/>
      </c>
      <c r="P7" s="3">
        <f>_xlfn.CONCAT(N7, "(\d)")</f>
        <v/>
      </c>
      <c r="Q7" s="5" t="inlineStr">
        <is>
          <t>o</t>
        </is>
      </c>
      <c r="R7" s="5">
        <f>IFERROR( IF(Q7="", "", SEARCH(Q7, $N7)), "")</f>
        <v/>
      </c>
      <c r="S7" s="3">
        <f>IFERROR( _xlfn.CONCAT(LEFT(N7,R7-1), "》", MID(N7,R7,1), "${1}", RIGHT(N7, LEN(N7)-R7)), "" )</f>
        <v/>
      </c>
      <c r="T7" s="25" t="n"/>
      <c r="U7" s="26">
        <f>IF(AND(N7&lt;&gt;"", M7&lt;&gt;""), "    - xform/》" &amp; P7 &amp; "/" &amp; S7 &amp; "/", "")</f>
        <v/>
      </c>
      <c r="W7" s="7" t="inlineStr">
        <is>
          <t>e</t>
        </is>
      </c>
      <c r="X7" s="27">
        <f>_xlfn.CONCAT($W7, IF(X$3="", "", _xlfn.UNICHAR( HEX2DEC( RIGHT(X$3,4)))))</f>
        <v/>
      </c>
      <c r="Y7" s="27">
        <f>_xlfn.CONCAT($W7, IF(Y$3="", "", _xlfn.UNICHAR( HEX2DEC( RIGHT(Y$3,4)))))</f>
        <v/>
      </c>
      <c r="Z7" s="27">
        <f>_xlfn.CONCAT($W7, IF(Z$3="", "", _xlfn.UNICHAR( HEX2DEC( RIGHT(Z$3,4)))))</f>
        <v/>
      </c>
      <c r="AA7" s="27">
        <f>_xlfn.CONCAT($W7, IF(AA$3="", "", _xlfn.UNICHAR( HEX2DEC( RIGHT(AA$3,4)))))</f>
        <v/>
      </c>
      <c r="AB7" s="27">
        <f>_xlfn.CONCAT($W7, IF(AB$3="", "", _xlfn.UNICHAR( HEX2DEC( RIGHT(AB$3,4)))))</f>
        <v/>
      </c>
      <c r="AC7" s="27">
        <f>_xlfn.CONCAT($W7, IF(AC$3="", "", _xlfn.UNICHAR( HEX2DEC( RIGHT(AC$3,4)))))</f>
        <v/>
      </c>
      <c r="AD7" s="27">
        <f>_xlfn.CONCAT($W7, IF(AD$3="", "", _xlfn.UNICHAR( HEX2DEC( RIGHT(AD$3,4)))))</f>
        <v/>
      </c>
      <c r="AE7" s="27">
        <f>_xlfn.CONCAT($W7, IF(AE$3="", "", _xlfn.UNICHAR( HEX2DEC( RIGHT(AE$3,4)))))</f>
        <v/>
      </c>
      <c r="AF7" s="27">
        <f>_xlfn.CONCAT($W7, IF(AF$3="", "", _xlfn.UNICHAR( HEX2DEC( RIGHT(AF$3,4)))))</f>
        <v/>
      </c>
      <c r="AG7" s="27">
        <f>_xlfn.CONCAT($W7, IF(AG$3="", "", _xlfn.UNICHAR( HEX2DEC( RIGHT(AG$3,4)))))</f>
        <v/>
      </c>
      <c r="AI7" s="28">
        <f>_xlfn.CONCAT("    - xform/》", $W7, X$2, "/", X7, "/")</f>
        <v/>
      </c>
      <c r="AJ7" s="28">
        <f>_xlfn.CONCAT("    - xform/》", $W7, Y$2, "/", Y7, "/")</f>
        <v/>
      </c>
      <c r="AK7" s="28">
        <f>_xlfn.CONCAT("    - xform/》", $W7, Z$2, "/", Z7, "/")</f>
        <v/>
      </c>
      <c r="AL7" s="28">
        <f>_xlfn.CONCAT("    - xform/》", $W7, AA$2, "/", AA7, "/")</f>
        <v/>
      </c>
      <c r="AM7" s="28">
        <f>_xlfn.CONCAT("    - xform/》", $W7, AB$2, "/", AB7, "/")</f>
        <v/>
      </c>
      <c r="AN7" s="28">
        <f>_xlfn.CONCAT("    - xform/》", $W7, AC$2, "/", AC7, "/")</f>
        <v/>
      </c>
      <c r="AO7" s="28">
        <f>_xlfn.CONCAT("    - xform/》", $W7, AD$2, "/", AD7, "/")</f>
        <v/>
      </c>
      <c r="AP7" s="28">
        <f>_xlfn.CONCAT("    - xform/》", $W7, AE$2, "/", AE7, "/")</f>
        <v/>
      </c>
      <c r="AQ7" s="28">
        <f>_xlfn.CONCAT("    - xform/》", $W7, AF$2, "/", AF7, "/")</f>
        <v/>
      </c>
      <c r="AR7" s="28">
        <f>_xlfn.CONCAT("    - xform/》", $W7, AG$2, "/", AG7, "/")</f>
        <v/>
      </c>
      <c r="AS7" s="27" t="n"/>
      <c r="AT7" s="27" t="n"/>
      <c r="AU7" s="7" t="n"/>
    </row>
    <row r="8" ht="30.75" customHeight="1" s="69" thickBot="1">
      <c r="A8" s="19" t="n">
        <v>49</v>
      </c>
      <c r="B8" s="20" t="inlineStr">
        <is>
          <t>iũʔ</t>
        </is>
      </c>
      <c r="C8" s="21" t="inlineStr">
        <is>
          <t>iunnh</t>
        </is>
      </c>
      <c r="D8" s="31" t="inlineStr">
        <is>
          <t>iunnh</t>
        </is>
      </c>
      <c r="E8" s="31" t="inlineStr">
        <is>
          <t>iunnh</t>
        </is>
      </c>
      <c r="F8" s="31" t="inlineStr">
        <is>
          <t>niuh</t>
        </is>
      </c>
      <c r="G8" s="31" t="inlineStr">
        <is>
          <t>iuhⁿ</t>
        </is>
      </c>
      <c r="H8" s="32" t="inlineStr">
        <is>
          <t>牛促</t>
        </is>
      </c>
      <c r="I8" s="33" t="inlineStr">
        <is>
          <t>ㄧㆫㆷ</t>
        </is>
      </c>
      <c r="J8" s="29" t="inlineStr">
        <is>
          <t>韻-鼻</t>
        </is>
      </c>
      <c r="K8" s="23">
        <f>LEN(E8)</f>
        <v/>
      </c>
      <c r="L8" s="24" t="n"/>
      <c r="M8" s="11">
        <f>E8</f>
        <v/>
      </c>
      <c r="N8" s="11">
        <f>F8</f>
        <v/>
      </c>
      <c r="P8" s="3">
        <f>_xlfn.CONCAT(N8, "(\d)")</f>
        <v/>
      </c>
      <c r="Q8" s="5" t="inlineStr">
        <is>
          <t>i</t>
        </is>
      </c>
      <c r="R8" s="5">
        <f>IFERROR( IF(Q8="", "", SEARCH(Q8, $N8)), "")</f>
        <v/>
      </c>
      <c r="S8" s="3">
        <f>IFERROR( _xlfn.CONCAT(LEFT(N8,R8-1), "》", MID(N8,R8,1), "${1}", RIGHT(N8, LEN(N8)-R8)), "" )</f>
        <v/>
      </c>
      <c r="T8" s="25" t="n"/>
      <c r="U8" s="26">
        <f>IF(AND(N8&lt;&gt;"", M8&lt;&gt;""), "    - xform/》" &amp; P8 &amp; "/" &amp; S8 &amp; "/", "")</f>
        <v/>
      </c>
      <c r="W8" s="7" t="inlineStr">
        <is>
          <t>o</t>
        </is>
      </c>
      <c r="X8" s="27">
        <f>_xlfn.CONCAT($W8, IF(X$3="", "", _xlfn.UNICHAR( HEX2DEC( RIGHT(X$3,4)))))</f>
        <v/>
      </c>
      <c r="Y8" s="27">
        <f>_xlfn.CONCAT($W8, IF(Y$3="", "", _xlfn.UNICHAR( HEX2DEC( RIGHT(Y$3,4)))))</f>
        <v/>
      </c>
      <c r="Z8" s="27">
        <f>_xlfn.CONCAT($W8, IF(Z$3="", "", _xlfn.UNICHAR( HEX2DEC( RIGHT(Z$3,4)))))</f>
        <v/>
      </c>
      <c r="AA8" s="27">
        <f>_xlfn.CONCAT($W8, IF(AA$3="", "", _xlfn.UNICHAR( HEX2DEC( RIGHT(AA$3,4)))))</f>
        <v/>
      </c>
      <c r="AB8" s="27">
        <f>_xlfn.CONCAT($W8, IF(AB$3="", "", _xlfn.UNICHAR( HEX2DEC( RIGHT(AB$3,4)))))</f>
        <v/>
      </c>
      <c r="AC8" s="27">
        <f>_xlfn.CONCAT($W8, IF(AC$3="", "", _xlfn.UNICHAR( HEX2DEC( RIGHT(AC$3,4)))))</f>
        <v/>
      </c>
      <c r="AD8" s="27">
        <f>_xlfn.CONCAT($W8, IF(AD$3="", "", _xlfn.UNICHAR( HEX2DEC( RIGHT(AD$3,4)))))</f>
        <v/>
      </c>
      <c r="AE8" s="27">
        <f>_xlfn.CONCAT($W8, IF(AE$3="", "", _xlfn.UNICHAR( HEX2DEC( RIGHT(AE$3,4)))))</f>
        <v/>
      </c>
      <c r="AF8" s="27">
        <f>_xlfn.CONCAT($W8, IF(AF$3="", "", _xlfn.UNICHAR( HEX2DEC( RIGHT(AF$3,4)))))</f>
        <v/>
      </c>
      <c r="AG8" s="27">
        <f>_xlfn.CONCAT($W8, IF(AG$3="", "", _xlfn.UNICHAR( HEX2DEC( RIGHT(AG$3,4)))))</f>
        <v/>
      </c>
      <c r="AI8" s="28">
        <f>_xlfn.CONCAT("    - xform/》", $W8, X$2, "/", X8, "/")</f>
        <v/>
      </c>
      <c r="AJ8" s="28">
        <f>_xlfn.CONCAT("    - xform/》", $W8, Y$2, "/", Y8, "/")</f>
        <v/>
      </c>
      <c r="AK8" s="28">
        <f>_xlfn.CONCAT("    - xform/》", $W8, Z$2, "/", Z8, "/")</f>
        <v/>
      </c>
      <c r="AL8" s="28">
        <f>_xlfn.CONCAT("    - xform/》", $W8, AA$2, "/", AA8, "/")</f>
        <v/>
      </c>
      <c r="AM8" s="28">
        <f>_xlfn.CONCAT("    - xform/》", $W8, AB$2, "/", AB8, "/")</f>
        <v/>
      </c>
      <c r="AN8" s="28">
        <f>_xlfn.CONCAT("    - xform/》", $W8, AC$2, "/", AC8, "/")</f>
        <v/>
      </c>
      <c r="AO8" s="28">
        <f>_xlfn.CONCAT("    - xform/》", $W8, AD$2, "/", AD8, "/")</f>
        <v/>
      </c>
      <c r="AP8" s="28">
        <f>_xlfn.CONCAT("    - xform/》", $W8, AE$2, "/", AE8, "/")</f>
        <v/>
      </c>
      <c r="AQ8" s="28">
        <f>_xlfn.CONCAT("    - xform/》", $W8, AF$2, "/", AF8, "/")</f>
        <v/>
      </c>
      <c r="AR8" s="28">
        <f>_xlfn.CONCAT("    - xform/》", $W8, AG$2, "/", AG8, "/")</f>
        <v/>
      </c>
      <c r="AS8" s="27" t="n"/>
      <c r="AT8" s="27" t="n"/>
      <c r="AU8" s="7" t="n"/>
    </row>
    <row r="9" ht="27.75" customHeight="1" s="69" thickBot="1">
      <c r="A9" s="19" t="n">
        <v>71</v>
      </c>
      <c r="B9" s="20" t="inlineStr">
        <is>
          <t>uãi</t>
        </is>
      </c>
      <c r="C9" s="21" t="inlineStr">
        <is>
          <t>uainn</t>
        </is>
      </c>
      <c r="D9" s="19" t="inlineStr">
        <is>
          <t>uainn</t>
        </is>
      </c>
      <c r="E9" s="19" t="inlineStr">
        <is>
          <t>uainn</t>
        </is>
      </c>
      <c r="F9" s="19" t="inlineStr">
        <is>
          <t>nuai</t>
        </is>
      </c>
      <c r="G9" s="22" t="inlineStr">
        <is>
          <t>oaiⁿ</t>
        </is>
      </c>
      <c r="H9" s="23" t="inlineStr">
        <is>
          <t>閂舒</t>
        </is>
      </c>
      <c r="I9" s="19" t="inlineStr">
        <is>
          <t>ㄨㆮ</t>
        </is>
      </c>
      <c r="J9" s="29" t="inlineStr">
        <is>
          <t>韻-鼻</t>
        </is>
      </c>
      <c r="K9" s="23">
        <f>LEN(E9)</f>
        <v/>
      </c>
      <c r="L9" s="24" t="n"/>
      <c r="M9" s="11">
        <f>E9</f>
        <v/>
      </c>
      <c r="N9" s="11">
        <f>F9</f>
        <v/>
      </c>
      <c r="P9" s="3">
        <f>_xlfn.CONCAT(N9, "(\d)")</f>
        <v/>
      </c>
      <c r="Q9" s="5" t="inlineStr">
        <is>
          <t>a</t>
        </is>
      </c>
      <c r="R9" s="5">
        <f>IFERROR( IF(Q9="", "", SEARCH(Q9, $N9)), "")</f>
        <v/>
      </c>
      <c r="S9" s="3">
        <f>IFERROR( _xlfn.CONCAT(LEFT(N9,R9-1), "》", MID(N9,R9,1), "${1}", RIGHT(N9, LEN(N9)-R9)), "" )</f>
        <v/>
      </c>
      <c r="T9" s="25" t="n"/>
      <c r="U9" s="26">
        <f>IF(AND(N9&lt;&gt;"", M9&lt;&gt;""), "    - xform/》" &amp; P9 &amp; "/" &amp; S9 &amp; "/", "")</f>
        <v/>
      </c>
      <c r="W9" s="7" t="inlineStr">
        <is>
          <t>m</t>
        </is>
      </c>
      <c r="X9" s="27">
        <f>_xlfn.CONCAT($W9, IF(X$3="", "", _xlfn.UNICHAR( HEX2DEC( RIGHT(X$3,4)))))</f>
        <v/>
      </c>
      <c r="Y9" s="27">
        <f>_xlfn.CONCAT($W9, IF(Y$3="", "", _xlfn.UNICHAR( HEX2DEC( RIGHT(Y$3,4)))))</f>
        <v/>
      </c>
      <c r="Z9" s="27">
        <f>_xlfn.CONCAT($W9, IF(Z$3="", "", _xlfn.UNICHAR( HEX2DEC( RIGHT(Z$3,4)))))</f>
        <v/>
      </c>
      <c r="AA9" s="27">
        <f>_xlfn.CONCAT($W9, IF(AA$3="", "", _xlfn.UNICHAR( HEX2DEC( RIGHT(AA$3,4)))))</f>
        <v/>
      </c>
      <c r="AB9" s="27">
        <f>_xlfn.CONCAT($W9, IF(AB$3="", "", _xlfn.UNICHAR( HEX2DEC( RIGHT(AB$3,4)))))</f>
        <v/>
      </c>
      <c r="AC9" s="27">
        <f>_xlfn.CONCAT($W9, IF(AC$3="", "", _xlfn.UNICHAR( HEX2DEC( RIGHT(AC$3,4)))))</f>
        <v/>
      </c>
      <c r="AD9" s="27">
        <f>_xlfn.CONCAT($W9, IF(AD$3="", "", _xlfn.UNICHAR( HEX2DEC( RIGHT(AD$3,4)))))</f>
        <v/>
      </c>
      <c r="AE9" s="27">
        <f>_xlfn.CONCAT($W9, IF(AE$3="", "", _xlfn.UNICHAR( HEX2DEC( RIGHT(AE$3,4)))))</f>
        <v/>
      </c>
      <c r="AF9" s="27">
        <f>_xlfn.CONCAT($W9, IF(AF$3="", "", _xlfn.UNICHAR( HEX2DEC( RIGHT(AF$3,4)))))</f>
        <v/>
      </c>
      <c r="AG9" s="27">
        <f>_xlfn.CONCAT($W9, IF(AG$3="", "", _xlfn.UNICHAR( HEX2DEC( RIGHT(AG$3,4)))))</f>
        <v/>
      </c>
      <c r="AI9" s="28">
        <f>_xlfn.CONCAT("    - xform/》", $W9, X$2, "/", X9, "/")</f>
        <v/>
      </c>
      <c r="AJ9" s="28">
        <f>_xlfn.CONCAT("    - xform/》", $W9, Y$2, "/", Y9, "/")</f>
        <v/>
      </c>
      <c r="AK9" s="28">
        <f>_xlfn.CONCAT("    - xform/》", $W9, Z$2, "/", Z9, "/")</f>
        <v/>
      </c>
      <c r="AL9" s="28">
        <f>_xlfn.CONCAT("    - xform/》", $W9, AA$2, "/", AA9, "/")</f>
        <v/>
      </c>
      <c r="AM9" s="28">
        <f>_xlfn.CONCAT("    - xform/》", $W9, AB$2, "/", AB9, "/")</f>
        <v/>
      </c>
      <c r="AN9" s="28">
        <f>_xlfn.CONCAT("    - xform/》", $W9, AC$2, "/", AC9, "/")</f>
        <v/>
      </c>
      <c r="AO9" s="28">
        <f>_xlfn.CONCAT("    - xform/》", $W9, AD$2, "/", AD9, "/")</f>
        <v/>
      </c>
      <c r="AP9" s="28">
        <f>_xlfn.CONCAT("    - xform/》", $W9, AE$2, "/", AE9, "/")</f>
        <v/>
      </c>
      <c r="AQ9" s="28">
        <f>_xlfn.CONCAT("    - xform/》", $W9, AF$2, "/", AF9, "/")</f>
        <v/>
      </c>
      <c r="AR9" s="28">
        <f>_xlfn.CONCAT("    - xform/》", $W9, AG$2, "/", AG9, "/")</f>
        <v/>
      </c>
      <c r="AS9" s="27" t="n"/>
      <c r="AT9" s="27" t="n"/>
      <c r="AU9" s="7" t="n"/>
    </row>
    <row r="10" ht="27.75" customHeight="1" s="69" thickBot="1">
      <c r="A10" s="19" t="n">
        <v>4</v>
      </c>
      <c r="B10" s="20" t="inlineStr">
        <is>
          <t>ãʔ</t>
        </is>
      </c>
      <c r="C10" s="21" t="inlineStr">
        <is>
          <t>annh</t>
        </is>
      </c>
      <c r="D10" s="19" t="inlineStr">
        <is>
          <t>ahnn</t>
        </is>
      </c>
      <c r="E10" s="19" t="inlineStr">
        <is>
          <t>annh</t>
        </is>
      </c>
      <c r="F10" s="31" t="inlineStr">
        <is>
          <t>nah</t>
        </is>
      </c>
      <c r="G10" s="22" t="inlineStr">
        <is>
          <t>ahⁿ</t>
        </is>
      </c>
      <c r="H10" s="23" t="inlineStr">
        <is>
          <t>監促</t>
        </is>
      </c>
      <c r="I10" s="19" t="inlineStr">
        <is>
          <t>ㆩㆷ</t>
        </is>
      </c>
      <c r="J10" s="29" t="inlineStr">
        <is>
          <t>韻-鼻</t>
        </is>
      </c>
      <c r="K10" s="23">
        <f>LEN(E10)</f>
        <v/>
      </c>
      <c r="L10" s="24" t="n"/>
      <c r="M10" s="11">
        <f>E10</f>
        <v/>
      </c>
      <c r="N10" s="11">
        <f>F10</f>
        <v/>
      </c>
      <c r="P10" s="3">
        <f>_xlfn.CONCAT(N10, "(\d)")</f>
        <v/>
      </c>
      <c r="Q10" s="5" t="inlineStr">
        <is>
          <t>a</t>
        </is>
      </c>
      <c r="R10" s="5">
        <f>IFERROR( IF(Q10="", "", SEARCH(Q10, $N10)), "")</f>
        <v/>
      </c>
      <c r="S10" s="3">
        <f>IFERROR( _xlfn.CONCAT(LEFT(N10,R10-1), "》", MID(N10,R10,1), "${1}", RIGHT(N10, LEN(N10)-R10)), "" )</f>
        <v/>
      </c>
      <c r="T10" s="25" t="n"/>
      <c r="U10" s="26">
        <f>IF(AND(N10&lt;&gt;"", M10&lt;&gt;""), "    - xform/》" &amp; P10 &amp; "/" &amp; S10 &amp; "/", "")</f>
        <v/>
      </c>
      <c r="W10" s="7" t="inlineStr">
        <is>
          <t>n</t>
        </is>
      </c>
      <c r="X10" s="27">
        <f>_xlfn.CONCAT($W10, IF(X$3="", "", _xlfn.UNICHAR( HEX2DEC( RIGHT(X$3,4)))))</f>
        <v/>
      </c>
      <c r="Y10" s="27">
        <f>_xlfn.CONCAT($W10, IF(Y$3="", "", _xlfn.UNICHAR( HEX2DEC( RIGHT(Y$3,4)))))</f>
        <v/>
      </c>
      <c r="Z10" s="27">
        <f>_xlfn.CONCAT($W10, IF(Z$3="", "", _xlfn.UNICHAR( HEX2DEC( RIGHT(Z$3,4)))))</f>
        <v/>
      </c>
      <c r="AA10" s="27">
        <f>_xlfn.CONCAT($W10, IF(AA$3="", "", _xlfn.UNICHAR( HEX2DEC( RIGHT(AA$3,4)))))</f>
        <v/>
      </c>
      <c r="AB10" s="27">
        <f>_xlfn.CONCAT($W10, IF(AB$3="", "", _xlfn.UNICHAR( HEX2DEC( RIGHT(AB$3,4)))))</f>
        <v/>
      </c>
      <c r="AC10" s="27">
        <f>_xlfn.CONCAT($W10, IF(AC$3="", "", _xlfn.UNICHAR( HEX2DEC( RIGHT(AC$3,4)))))</f>
        <v/>
      </c>
      <c r="AD10" s="27">
        <f>_xlfn.CONCAT($W10, IF(AD$3="", "", _xlfn.UNICHAR( HEX2DEC( RIGHT(AD$3,4)))))</f>
        <v/>
      </c>
      <c r="AE10" s="27">
        <f>_xlfn.CONCAT($W10, IF(AE$3="", "", _xlfn.UNICHAR( HEX2DEC( RIGHT(AE$3,4)))))</f>
        <v/>
      </c>
      <c r="AF10" s="27">
        <f>_xlfn.CONCAT($W10, IF(AF$3="", "", _xlfn.UNICHAR( HEX2DEC( RIGHT(AF$3,4)))))</f>
        <v/>
      </c>
      <c r="AG10" s="27">
        <f>_xlfn.CONCAT($W10, IF(AG$3="", "", _xlfn.UNICHAR( HEX2DEC( RIGHT(AG$3,4)))))</f>
        <v/>
      </c>
      <c r="AI10" s="28">
        <f>_xlfn.CONCAT("    - xform/》", $W10, X$2, "/", X10, "/")</f>
        <v/>
      </c>
      <c r="AJ10" s="28">
        <f>_xlfn.CONCAT("    - xform/》", $W10, Y$2, "/", Y10, "/")</f>
        <v/>
      </c>
      <c r="AK10" s="28">
        <f>_xlfn.CONCAT("    - xform/》", $W10, Z$2, "/", Z10, "/")</f>
        <v/>
      </c>
      <c r="AL10" s="28">
        <f>_xlfn.CONCAT("    - xform/》", $W10, AA$2, "/", AA10, "/")</f>
        <v/>
      </c>
      <c r="AM10" s="28">
        <f>_xlfn.CONCAT("    - xform/》", $W10, AB$2, "/", AB10, "/")</f>
        <v/>
      </c>
      <c r="AN10" s="28">
        <f>_xlfn.CONCAT("    - xform/》", $W10, AC$2, "/", AC10, "/")</f>
        <v/>
      </c>
      <c r="AO10" s="28">
        <f>_xlfn.CONCAT("    - xform/》", $W10, AD$2, "/", AD10, "/")</f>
        <v/>
      </c>
      <c r="AP10" s="28">
        <f>_xlfn.CONCAT("    - xform/》", $W10, AE$2, "/", AE10, "/")</f>
        <v/>
      </c>
      <c r="AQ10" s="28">
        <f>_xlfn.CONCAT("    - xform/》", $W10, AF$2, "/", AF10, "/")</f>
        <v/>
      </c>
      <c r="AR10" s="28">
        <f>_xlfn.CONCAT("    - xform/》", $W10, AG$2, "/", AG10, "/")</f>
        <v/>
      </c>
      <c r="AS10" s="27" t="n"/>
      <c r="AT10" s="27" t="n"/>
      <c r="AU10" s="7" t="n"/>
    </row>
    <row r="11" ht="27.75" customHeight="1" s="69" thickBot="1">
      <c r="A11" s="19" t="n">
        <v>12</v>
      </c>
      <c r="B11" s="20" t="inlineStr">
        <is>
          <t>ãɪ</t>
        </is>
      </c>
      <c r="C11" s="21" t="inlineStr">
        <is>
          <t>ainn</t>
        </is>
      </c>
      <c r="D11" s="19" t="inlineStr">
        <is>
          <t>ainn</t>
        </is>
      </c>
      <c r="E11" s="19" t="inlineStr">
        <is>
          <t>ainn</t>
        </is>
      </c>
      <c r="F11" s="19" t="inlineStr">
        <is>
          <t>nai</t>
        </is>
      </c>
      <c r="G11" s="22" t="inlineStr">
        <is>
          <t>aiⁿ</t>
        </is>
      </c>
      <c r="H11" s="23" t="inlineStr">
        <is>
          <t>閒舒</t>
        </is>
      </c>
      <c r="I11" s="19" t="inlineStr">
        <is>
          <t>ㆮ</t>
        </is>
      </c>
      <c r="J11" s="29" t="inlineStr">
        <is>
          <t>韻-鼻</t>
        </is>
      </c>
      <c r="K11" s="23">
        <f>LEN(E11)</f>
        <v/>
      </c>
      <c r="L11" s="24" t="n"/>
      <c r="M11" s="11">
        <f>E11</f>
        <v/>
      </c>
      <c r="N11" s="11">
        <f>F11</f>
        <v/>
      </c>
      <c r="P11" s="3">
        <f>_xlfn.CONCAT(N11, "(\d)")</f>
        <v/>
      </c>
      <c r="Q11" s="5" t="inlineStr">
        <is>
          <t>a</t>
        </is>
      </c>
      <c r="R11" s="5">
        <f>IFERROR( IF(Q11="", "", SEARCH(Q11, $N11)), "")</f>
        <v/>
      </c>
      <c r="S11" s="3">
        <f>IFERROR( _xlfn.CONCAT(LEFT(N11,R11-1), "》", MID(N11,R11,1), "${1}", RIGHT(N11, LEN(N11)-R11)), "" )</f>
        <v/>
      </c>
      <c r="T11" s="25" t="n"/>
      <c r="U11" s="26">
        <f>IF(AND(N11&lt;&gt;"", M11&lt;&gt;""), "    - xform/》" &amp; P11 &amp; "/" &amp; S11 &amp; "/", "")</f>
        <v/>
      </c>
    </row>
    <row r="12" ht="30.75" customHeight="1" s="69" thickBot="1">
      <c r="A12" s="19" t="n">
        <v>19</v>
      </c>
      <c r="B12" s="20" t="inlineStr">
        <is>
          <t>ẽʔ</t>
        </is>
      </c>
      <c r="C12" s="21" t="inlineStr">
        <is>
          <t>ennh</t>
        </is>
      </c>
      <c r="D12" s="31" t="inlineStr">
        <is>
          <t>ennh</t>
        </is>
      </c>
      <c r="E12" s="31" t="inlineStr">
        <is>
          <t>ennh</t>
        </is>
      </c>
      <c r="F12" s="31" t="inlineStr">
        <is>
          <t>neh</t>
        </is>
      </c>
      <c r="G12" s="31" t="inlineStr">
        <is>
          <t>ehⁿ</t>
        </is>
      </c>
      <c r="H12" s="32" t="inlineStr">
        <is>
          <t>更促</t>
        </is>
      </c>
      <c r="I12" s="34" t="inlineStr">
        <is>
          <t>ㆥㆷ</t>
        </is>
      </c>
      <c r="J12" s="29" t="inlineStr">
        <is>
          <t>韻-鼻</t>
        </is>
      </c>
      <c r="K12" s="23">
        <f>LEN(E12)</f>
        <v/>
      </c>
      <c r="L12" s="24" t="n"/>
      <c r="M12" s="11">
        <f>E12</f>
        <v/>
      </c>
      <c r="N12" s="11">
        <f>F12</f>
        <v/>
      </c>
      <c r="P12" s="3">
        <f>_xlfn.CONCAT(N12, "(\d)")</f>
        <v/>
      </c>
      <c r="Q12" s="5" t="inlineStr">
        <is>
          <t>e</t>
        </is>
      </c>
      <c r="R12" s="5">
        <f>IFERROR( IF(Q12="", "", SEARCH(Q12, $N12)), "")</f>
        <v/>
      </c>
      <c r="S12" s="3">
        <f>IFERROR( _xlfn.CONCAT(LEFT(N12,R12-1), "》", MID(N12,R12,1), "${1}", RIGHT(N12, LEN(N12)-R12)), "" )</f>
        <v/>
      </c>
      <c r="T12" s="25" t="n"/>
      <c r="U12" s="26">
        <f>IF(AND(N12&lt;&gt;"", M12&lt;&gt;""), "    - xform/》" &amp; P12 &amp; "/" &amp; S12 &amp; "/", "")</f>
        <v/>
      </c>
    </row>
    <row r="13" ht="27.75" customHeight="1" s="69" thickBot="1">
      <c r="A13" s="19" t="n">
        <v>30</v>
      </c>
      <c r="B13" s="20" t="inlineStr">
        <is>
          <t>iã</t>
        </is>
      </c>
      <c r="C13" s="21" t="inlineStr">
        <is>
          <t>iann</t>
        </is>
      </c>
      <c r="D13" s="19" t="inlineStr">
        <is>
          <t>iann</t>
        </is>
      </c>
      <c r="E13" s="19" t="inlineStr">
        <is>
          <t>iann</t>
        </is>
      </c>
      <c r="F13" s="19" t="inlineStr">
        <is>
          <t>nia</t>
        </is>
      </c>
      <c r="G13" s="22" t="inlineStr">
        <is>
          <t>iaⁿ</t>
        </is>
      </c>
      <c r="H13" s="23" t="inlineStr">
        <is>
          <t>驚舒</t>
        </is>
      </c>
      <c r="I13" s="19" t="inlineStr">
        <is>
          <t>ㄧㆩ</t>
        </is>
      </c>
      <c r="J13" s="29" t="inlineStr">
        <is>
          <t>韻-鼻</t>
        </is>
      </c>
      <c r="K13" s="23">
        <f>LEN(E13)</f>
        <v/>
      </c>
      <c r="L13" s="24" t="n"/>
      <c r="M13" s="11">
        <f>E13</f>
        <v/>
      </c>
      <c r="N13" s="11">
        <f>F13</f>
        <v/>
      </c>
      <c r="P13" s="3">
        <f>_xlfn.CONCAT(N13, "(\d)")</f>
        <v/>
      </c>
      <c r="Q13" s="5" t="inlineStr">
        <is>
          <t>a</t>
        </is>
      </c>
      <c r="R13" s="5">
        <f>IFERROR( IF(Q13="", "", SEARCH(Q13, $N13)), "")</f>
        <v/>
      </c>
      <c r="S13" s="3">
        <f>IFERROR( _xlfn.CONCAT(LEFT(N13,R13-1), "》", MID(N13,R13,1), "${1}", RIGHT(N13, LEN(N13)-R13)), "" )</f>
        <v/>
      </c>
      <c r="T13" s="25" t="n"/>
      <c r="U13" s="26">
        <f>IF(AND(N13&lt;&gt;"", M13&lt;&gt;""), "    - xform/》" &amp; P13 &amp; "/" &amp; S13 &amp; "/", "")</f>
        <v/>
      </c>
    </row>
    <row r="14" ht="27.75" customHeight="1" s="69" thickBot="1">
      <c r="A14" s="19" t="n">
        <v>48</v>
      </c>
      <c r="B14" s="20" t="inlineStr">
        <is>
          <t>iũ</t>
        </is>
      </c>
      <c r="C14" s="21" t="inlineStr">
        <is>
          <t>iunn</t>
        </is>
      </c>
      <c r="D14" s="19" t="inlineStr">
        <is>
          <t>iunn</t>
        </is>
      </c>
      <c r="E14" s="19" t="inlineStr">
        <is>
          <t>iunn</t>
        </is>
      </c>
      <c r="F14" s="19" t="inlineStr">
        <is>
          <t>niu</t>
        </is>
      </c>
      <c r="G14" s="22" t="inlineStr">
        <is>
          <t>iuⁿ</t>
        </is>
      </c>
      <c r="H14" s="23" t="inlineStr">
        <is>
          <t>牛舒</t>
        </is>
      </c>
      <c r="I14" s="19" t="inlineStr">
        <is>
          <t>ㄧㆫ</t>
        </is>
      </c>
      <c r="J14" s="29" t="inlineStr">
        <is>
          <t>韻-鼻</t>
        </is>
      </c>
      <c r="K14" s="23">
        <f>LEN(E14)</f>
        <v/>
      </c>
      <c r="L14" s="24" t="n"/>
      <c r="M14" s="11">
        <f>E14</f>
        <v/>
      </c>
      <c r="N14" s="11">
        <f>F14</f>
        <v/>
      </c>
      <c r="P14" s="3">
        <f>_xlfn.CONCAT(N14, "(\d)")</f>
        <v/>
      </c>
      <c r="Q14" s="5" t="inlineStr">
        <is>
          <t>i</t>
        </is>
      </c>
      <c r="R14" s="5">
        <f>IFERROR( IF(Q14="", "", SEARCH(Q14, $N14)), "")</f>
        <v/>
      </c>
      <c r="S14" s="3">
        <f>IFERROR( _xlfn.CONCAT(LEFT(N14,R14-1), "》", MID(N14,R14,1), "${1}", RIGHT(N14, LEN(N14)-R14)), "" )</f>
        <v/>
      </c>
      <c r="T14" s="25" t="n"/>
      <c r="U14" s="26">
        <f>IF(AND(N14&lt;&gt;"", M14&lt;&gt;""), "    - xform/》" &amp; P14 &amp; "/" &amp; S14 &amp; "/", "")</f>
        <v/>
      </c>
    </row>
    <row r="15" ht="27.75" customHeight="1" s="69" thickBot="1">
      <c r="A15" s="19" t="n">
        <v>55</v>
      </c>
      <c r="B15" s="20" t="inlineStr">
        <is>
          <t>ɔ̃ʔ</t>
        </is>
      </c>
      <c r="C15" s="21" t="inlineStr">
        <is>
          <t>onnh</t>
        </is>
      </c>
      <c r="D15" s="19" t="inlineStr">
        <is>
          <t>ohnn</t>
        </is>
      </c>
      <c r="E15" s="19" t="inlineStr">
        <is>
          <t>onnh</t>
        </is>
      </c>
      <c r="F15" s="19" t="inlineStr">
        <is>
          <t>niuh</t>
        </is>
      </c>
      <c r="G15" s="22" t="inlineStr">
        <is>
          <t>ohⁿ</t>
        </is>
      </c>
      <c r="H15" s="23" t="inlineStr">
        <is>
          <t>扛促</t>
        </is>
      </c>
      <c r="I15" s="19" t="inlineStr">
        <is>
          <t>ㆧㆷ</t>
        </is>
      </c>
      <c r="J15" s="29" t="inlineStr">
        <is>
          <t>韻-鼻</t>
        </is>
      </c>
      <c r="K15" s="23">
        <f>LEN(E15)</f>
        <v/>
      </c>
      <c r="L15" s="24" t="n"/>
      <c r="M15" s="11">
        <f>E15</f>
        <v/>
      </c>
      <c r="N15" s="11">
        <f>F15</f>
        <v/>
      </c>
      <c r="P15" s="3">
        <f>_xlfn.CONCAT(N15, "(\d)")</f>
        <v/>
      </c>
      <c r="Q15" s="5" t="inlineStr">
        <is>
          <t>i</t>
        </is>
      </c>
      <c r="R15" s="5">
        <f>IFERROR( IF(Q15="", "", SEARCH(Q15, $N15)), "")</f>
        <v/>
      </c>
      <c r="S15" s="3">
        <f>IFERROR( _xlfn.CONCAT(LEFT(N15,R15-1), "》", MID(N15,R15,1), "${1}", RIGHT(N15, LEN(N15)-R15)), "" )</f>
        <v/>
      </c>
      <c r="T15" s="25" t="n"/>
      <c r="U15" s="26">
        <f>IF(AND(N15&lt;&gt;"", M15&lt;&gt;""), "    - xform/》" &amp; P15 &amp; "/" &amp; S15 &amp; "/", "")</f>
        <v/>
      </c>
    </row>
    <row r="16" ht="27.75" customHeight="1" s="69" thickBot="1">
      <c r="A16" s="19" t="n">
        <v>2</v>
      </c>
      <c r="B16" s="20" t="inlineStr">
        <is>
          <t>ã</t>
        </is>
      </c>
      <c r="C16" s="21" t="inlineStr">
        <is>
          <t>ann</t>
        </is>
      </c>
      <c r="D16" s="19" t="inlineStr">
        <is>
          <t>ann</t>
        </is>
      </c>
      <c r="E16" s="19" t="inlineStr">
        <is>
          <t>ann</t>
        </is>
      </c>
      <c r="F16" s="19" t="inlineStr">
        <is>
          <t>na</t>
        </is>
      </c>
      <c r="G16" s="22" t="inlineStr">
        <is>
          <t>aⁿ</t>
        </is>
      </c>
      <c r="H16" s="23" t="inlineStr">
        <is>
          <t>監舒</t>
        </is>
      </c>
      <c r="I16" s="19" t="inlineStr">
        <is>
          <t>ㆩ</t>
        </is>
      </c>
      <c r="J16" s="29" t="inlineStr">
        <is>
          <t>韻-鼻</t>
        </is>
      </c>
      <c r="K16" s="23">
        <f>LEN(E16)</f>
        <v/>
      </c>
      <c r="L16" s="24" t="n"/>
      <c r="M16" s="11">
        <f>E16</f>
        <v/>
      </c>
      <c r="N16" s="11">
        <f>F16</f>
        <v/>
      </c>
      <c r="P16" s="3">
        <f>_xlfn.CONCAT(N16, "(\d)")</f>
        <v/>
      </c>
      <c r="Q16" s="5" t="inlineStr">
        <is>
          <t>a</t>
        </is>
      </c>
      <c r="R16" s="5">
        <f>IFERROR( IF(Q16="", "", SEARCH(Q16, $N16)), "")</f>
        <v/>
      </c>
      <c r="S16" s="3">
        <f>IFERROR( _xlfn.CONCAT(LEFT(N16,R16-1), "》", MID(N16,R16,1), "${1}", RIGHT(N16, LEN(N16)-R16)), "" )</f>
        <v/>
      </c>
      <c r="T16" s="25" t="n"/>
      <c r="U16" s="26">
        <f>IF(AND(N16&lt;&gt;"", M16&lt;&gt;""), "    - xform/》" &amp; P16 &amp; "/" &amp; S16 &amp; "/", "")</f>
        <v/>
      </c>
    </row>
    <row r="17" ht="27.75" customHeight="1" s="69" thickBot="1">
      <c r="A17" s="19" t="n">
        <v>17</v>
      </c>
      <c r="B17" s="20" t="inlineStr">
        <is>
          <t>ẽ</t>
        </is>
      </c>
      <c r="C17" s="21" t="inlineStr">
        <is>
          <t>enn</t>
        </is>
      </c>
      <c r="D17" s="19" t="inlineStr">
        <is>
          <t>enn</t>
        </is>
      </c>
      <c r="E17" s="19" t="inlineStr">
        <is>
          <t>enn</t>
        </is>
      </c>
      <c r="F17" s="19" t="inlineStr">
        <is>
          <t>ne</t>
        </is>
      </c>
      <c r="G17" s="22" t="inlineStr">
        <is>
          <t>eⁿ</t>
        </is>
      </c>
      <c r="H17" s="23" t="inlineStr">
        <is>
          <t>更舒</t>
        </is>
      </c>
      <c r="I17" s="19" t="inlineStr">
        <is>
          <t>ㆥ</t>
        </is>
      </c>
      <c r="J17" s="29" t="inlineStr">
        <is>
          <t>韻-鼻</t>
        </is>
      </c>
      <c r="K17" s="23">
        <f>LEN(E17)</f>
        <v/>
      </c>
      <c r="L17" s="24" t="n"/>
      <c r="M17" s="11">
        <f>E17</f>
        <v/>
      </c>
      <c r="N17" s="11">
        <f>F17</f>
        <v/>
      </c>
      <c r="P17" s="3">
        <f>_xlfn.CONCAT(N17, "(\d)")</f>
        <v/>
      </c>
      <c r="Q17" s="5" t="inlineStr">
        <is>
          <t>e</t>
        </is>
      </c>
      <c r="R17" s="5">
        <f>IFERROR( IF(Q17="", "", SEARCH(Q17, $N17)), "")</f>
        <v/>
      </c>
      <c r="S17" s="3">
        <f>IFERROR( _xlfn.CONCAT(LEFT(N17,R17-1), "》", MID(N17,R17,1), "${1}", RIGHT(N17, LEN(N17)-R17)), "" )</f>
        <v/>
      </c>
      <c r="T17" s="25" t="n"/>
      <c r="U17" s="26">
        <f>IF(AND(N17&lt;&gt;"", M17&lt;&gt;""), "    - xform/》" &amp; P17 &amp; "/" &amp; S17 &amp; "/", "")</f>
        <v/>
      </c>
    </row>
    <row r="18" ht="27.75" customHeight="1" s="69" thickBot="1">
      <c r="A18" s="19" t="n">
        <v>21</v>
      </c>
      <c r="B18" s="20" t="inlineStr">
        <is>
          <t>ĩ</t>
        </is>
      </c>
      <c r="C18" s="21" t="inlineStr">
        <is>
          <t>inn</t>
        </is>
      </c>
      <c r="D18" s="19" t="inlineStr">
        <is>
          <t>inn</t>
        </is>
      </c>
      <c r="E18" s="19" t="inlineStr">
        <is>
          <t>inn</t>
        </is>
      </c>
      <c r="F18" s="19" t="inlineStr">
        <is>
          <t>ni</t>
        </is>
      </c>
      <c r="G18" s="22" t="inlineStr">
        <is>
          <t>iⁿ</t>
        </is>
      </c>
      <c r="H18" s="23" t="inlineStr">
        <is>
          <t>梔舒</t>
        </is>
      </c>
      <c r="I18" s="19" t="inlineStr">
        <is>
          <t>ㆪ</t>
        </is>
      </c>
      <c r="J18" s="29" t="inlineStr">
        <is>
          <t>韻-鼻</t>
        </is>
      </c>
      <c r="K18" s="23">
        <f>LEN(E18)</f>
        <v/>
      </c>
      <c r="L18" s="24" t="n"/>
      <c r="M18" s="11">
        <f>E18</f>
        <v/>
      </c>
      <c r="N18" s="11">
        <f>F18</f>
        <v/>
      </c>
      <c r="P18" s="3">
        <f>_xlfn.CONCAT(N18, "(\d)")</f>
        <v/>
      </c>
      <c r="Q18" s="5" t="inlineStr">
        <is>
          <t>i</t>
        </is>
      </c>
      <c r="R18" s="5">
        <f>IFERROR( IF(Q18="", "", SEARCH(Q18, $N18)), "")</f>
        <v/>
      </c>
      <c r="S18" s="3">
        <f>IFERROR( _xlfn.CONCAT(LEFT(N18,R18-1), "》", MID(N18,R18,1), "${1}", RIGHT(N18, LEN(N18)-R18)), "" )</f>
        <v/>
      </c>
      <c r="T18" s="25" t="n"/>
      <c r="U18" s="26">
        <f>IF(AND(N18&lt;&gt;"", M18&lt;&gt;""), "    - xform/》" &amp; P18 &amp; "/" &amp; S18 &amp; "/", "")</f>
        <v/>
      </c>
    </row>
    <row r="19" ht="27.75" customHeight="1" s="69" thickBot="1">
      <c r="A19" s="19" t="n">
        <v>78</v>
      </c>
      <c r="B19" s="20" t="inlineStr">
        <is>
          <t>uiʔ</t>
        </is>
      </c>
      <c r="C19" s="21" t="inlineStr">
        <is>
          <t>uih</t>
        </is>
      </c>
      <c r="D19" s="31" t="inlineStr">
        <is>
          <t>uih</t>
        </is>
      </c>
      <c r="E19" s="31" t="inlineStr">
        <is>
          <t>uih</t>
        </is>
      </c>
      <c r="F19" s="31" t="inlineStr">
        <is>
          <t>uih</t>
        </is>
      </c>
      <c r="G19" s="31" t="inlineStr">
        <is>
          <t>uih</t>
        </is>
      </c>
      <c r="H19" s="35" t="inlineStr">
        <is>
          <t>褌促</t>
        </is>
      </c>
      <c r="I19" s="33" t="inlineStr">
        <is>
          <t>ㄨㄧㆷ</t>
        </is>
      </c>
      <c r="J19" s="29" t="inlineStr">
        <is>
          <t>韻-鼻</t>
        </is>
      </c>
      <c r="K19" s="23">
        <f>LEN(E19)</f>
        <v/>
      </c>
      <c r="L19" s="24" t="n"/>
      <c r="M19" s="11">
        <f>E19</f>
        <v/>
      </c>
      <c r="N19" s="11">
        <f>F19</f>
        <v/>
      </c>
      <c r="P19" s="3">
        <f>_xlfn.CONCAT(N19, "(\d)")</f>
        <v/>
      </c>
      <c r="Q19" s="5" t="inlineStr">
        <is>
          <t>i</t>
        </is>
      </c>
      <c r="R19" s="5">
        <f>IFERROR( IF(Q19="", "", SEARCH(Q19, $N19)), "")</f>
        <v/>
      </c>
      <c r="S19" s="3">
        <f>IFERROR( _xlfn.CONCAT(LEFT(N19,R19-1), "》", MID(N19,R19,1), "${1}", RIGHT(N19, LEN(N19)-R19)), "" )</f>
        <v/>
      </c>
      <c r="T19" s="25" t="n"/>
      <c r="U19" s="26">
        <f>IF(AND(N19&lt;&gt;"", M19&lt;&gt;""), "    - xform/》" &amp; P19 &amp; "/" &amp; S19 &amp; "/", "")</f>
        <v/>
      </c>
    </row>
    <row r="20" ht="27.75" customHeight="1" s="69" thickBot="1">
      <c r="A20" s="19" t="n">
        <v>35</v>
      </c>
      <c r="B20" s="20" t="inlineStr">
        <is>
          <t>ɪaŋ</t>
        </is>
      </c>
      <c r="C20" s="21" t="inlineStr">
        <is>
          <t>iang</t>
        </is>
      </c>
      <c r="D20" s="19" t="inlineStr">
        <is>
          <t>iang</t>
        </is>
      </c>
      <c r="E20" s="19" t="inlineStr">
        <is>
          <t>iang</t>
        </is>
      </c>
      <c r="F20" s="19" t="inlineStr">
        <is>
          <t>iang</t>
        </is>
      </c>
      <c r="G20" s="22" t="inlineStr">
        <is>
          <t>iang</t>
        </is>
      </c>
      <c r="H20" s="23" t="inlineStr">
        <is>
          <t>姜舒</t>
        </is>
      </c>
      <c r="I20" s="19" t="inlineStr">
        <is>
          <t>ㄧㄤ</t>
        </is>
      </c>
      <c r="J20" s="19" t="n"/>
      <c r="K20" s="23">
        <f>LEN(E20)</f>
        <v/>
      </c>
      <c r="L20" s="24" t="n"/>
      <c r="M20" s="11">
        <f>E20</f>
        <v/>
      </c>
      <c r="N20" s="11">
        <f>F20</f>
        <v/>
      </c>
      <c r="P20" s="3">
        <f>_xlfn.CONCAT(N20, "(\d)")</f>
        <v/>
      </c>
      <c r="Q20" s="5" t="inlineStr">
        <is>
          <t>a</t>
        </is>
      </c>
      <c r="R20" s="5">
        <f>IFERROR( IF(Q20="", "", SEARCH(Q20, $N20)), "")</f>
        <v/>
      </c>
      <c r="S20" s="3">
        <f>IFERROR( _xlfn.CONCAT(LEFT(N20,R20-1), "》", MID(N20,R20,1), "${1}", RIGHT(N20, LEN(N20)-R20)), "" )</f>
        <v/>
      </c>
      <c r="T20" s="25" t="n"/>
      <c r="U20" s="26">
        <f>IF(AND(N20&lt;&gt;"", M20&lt;&gt;""), "    - xform/》" &amp; P20 &amp; "/" &amp; S20 &amp; "/", "")</f>
        <v/>
      </c>
    </row>
    <row r="21" ht="27.75" customHeight="1" s="69" thickBot="1">
      <c r="A21" s="19" t="n">
        <v>41</v>
      </c>
      <c r="B21" s="20" t="inlineStr">
        <is>
          <t>ɪauʔ</t>
        </is>
      </c>
      <c r="C21" s="21" t="inlineStr">
        <is>
          <t>iauh</t>
        </is>
      </c>
      <c r="D21" s="19" t="inlineStr">
        <is>
          <t>iauh</t>
        </is>
      </c>
      <c r="E21" s="19" t="inlineStr">
        <is>
          <t>iauh</t>
        </is>
      </c>
      <c r="F21" s="19" t="inlineStr">
        <is>
          <t>iaoh</t>
        </is>
      </c>
      <c r="G21" s="22" t="inlineStr">
        <is>
          <t>iauh</t>
        </is>
      </c>
      <c r="H21" s="23" t="inlineStr">
        <is>
          <t>嬌促</t>
        </is>
      </c>
      <c r="I21" s="19" t="inlineStr">
        <is>
          <t>ㄧㄠㆷ</t>
        </is>
      </c>
      <c r="J21" s="19" t="n"/>
      <c r="K21" s="23">
        <f>LEN(E21)</f>
        <v/>
      </c>
      <c r="L21" s="24" t="n"/>
      <c r="M21" s="11">
        <f>E21</f>
        <v/>
      </c>
      <c r="N21" s="11">
        <f>F21</f>
        <v/>
      </c>
      <c r="P21" s="3">
        <f>_xlfn.CONCAT(N21, "(\d)")</f>
        <v/>
      </c>
      <c r="Q21" s="5" t="inlineStr">
        <is>
          <t>a</t>
        </is>
      </c>
      <c r="R21" s="5">
        <f>IFERROR( IF(Q21="", "", SEARCH(Q21, $N21)), "")</f>
        <v/>
      </c>
      <c r="S21" s="3">
        <f>IFERROR( _xlfn.CONCAT(LEFT(N21,R21-1), "》", MID(N21,R21,1), "${1}", RIGHT(N21, LEN(N21)-R21)), "" )</f>
        <v/>
      </c>
      <c r="T21" s="25" t="n"/>
      <c r="U21" s="26">
        <f>IF(AND(N21&lt;&gt;"", M21&lt;&gt;""), "    - xform/》" &amp; P21 &amp; "/" &amp; S21 &amp; "/", "")</f>
        <v/>
      </c>
    </row>
    <row r="22" ht="27.75" customHeight="1" s="69" thickBot="1">
      <c r="A22" s="19" t="n">
        <v>44</v>
      </c>
      <c r="B22" s="20" t="inlineStr">
        <is>
          <t>ɪəʔ/ɪoʔ</t>
        </is>
      </c>
      <c r="C22" s="21" t="inlineStr">
        <is>
          <t>ioh</t>
        </is>
      </c>
      <c r="D22" s="19" t="inlineStr">
        <is>
          <t>ioh</t>
        </is>
      </c>
      <c r="E22" s="19" t="inlineStr">
        <is>
          <t>iorh</t>
        </is>
      </c>
      <c r="F22" s="19" t="inlineStr">
        <is>
          <t>ioh</t>
        </is>
      </c>
      <c r="G22" s="22" t="inlineStr">
        <is>
          <t>ioh</t>
        </is>
      </c>
      <c r="H22" s="23" t="inlineStr">
        <is>
          <t>茄促</t>
        </is>
      </c>
      <c r="I22" s="19" t="inlineStr">
        <is>
          <t>ㄧㄜㆷ</t>
        </is>
      </c>
      <c r="J22" s="19" t="n"/>
      <c r="K22" s="23">
        <f>LEN(E22)</f>
        <v/>
      </c>
      <c r="L22" s="24" t="n"/>
      <c r="M22" s="11">
        <f>E22</f>
        <v/>
      </c>
      <c r="N22" s="11">
        <f>F22</f>
        <v/>
      </c>
      <c r="P22" s="3">
        <f>_xlfn.CONCAT(N22, "(\d)")</f>
        <v/>
      </c>
      <c r="Q22" s="5" t="inlineStr">
        <is>
          <t>o</t>
        </is>
      </c>
      <c r="R22" s="5">
        <f>IFERROR( IF(Q22="", "", SEARCH(Q22, $N22)), "")</f>
        <v/>
      </c>
      <c r="S22" s="3">
        <f>IFERROR( _xlfn.CONCAT(LEFT(N22,R22-1), "》", MID(N22,R22,1), "${1}", RIGHT(N22, LEN(N22)-R22)), "" )</f>
        <v/>
      </c>
      <c r="T22" s="25" t="n"/>
      <c r="U22" s="26">
        <f>IF(AND(N22&lt;&gt;"", M22&lt;&gt;""), "    - xform/》" &amp; P22 &amp; "/" &amp; S22 &amp; "/", "")</f>
        <v/>
      </c>
    </row>
    <row r="23" ht="27.75" customHeight="1" s="69" thickBot="1">
      <c r="A23" s="19" t="n">
        <v>45</v>
      </c>
      <c r="B23" s="20" t="inlineStr">
        <is>
          <t>ɪɔŋ</t>
        </is>
      </c>
      <c r="C23" s="21" t="inlineStr">
        <is>
          <t>iong</t>
        </is>
      </c>
      <c r="D23" s="19" t="inlineStr">
        <is>
          <t>iong</t>
        </is>
      </c>
      <c r="E23" s="19" t="inlineStr">
        <is>
          <t>iong</t>
        </is>
      </c>
      <c r="F23" s="19" t="inlineStr">
        <is>
          <t>iong</t>
        </is>
      </c>
      <c r="G23" s="22" t="inlineStr">
        <is>
          <t>iong</t>
        </is>
      </c>
      <c r="H23" s="23" t="inlineStr">
        <is>
          <t>恭舒</t>
        </is>
      </c>
      <c r="I23" s="19" t="inlineStr">
        <is>
          <t>ㄧㆲ</t>
        </is>
      </c>
      <c r="J23" s="19" t="n"/>
      <c r="K23" s="23">
        <f>LEN(E23)</f>
        <v/>
      </c>
      <c r="L23" s="24" t="n"/>
      <c r="M23" s="11">
        <f>E23</f>
        <v/>
      </c>
      <c r="N23" s="11">
        <f>F23</f>
        <v/>
      </c>
      <c r="P23" s="3">
        <f>_xlfn.CONCAT(N23, "(\d)")</f>
        <v/>
      </c>
      <c r="Q23" s="5" t="inlineStr">
        <is>
          <t>o</t>
        </is>
      </c>
      <c r="R23" s="5">
        <f>IFERROR( IF(Q23="", "", SEARCH(Q23, $N23)), "")</f>
        <v/>
      </c>
      <c r="S23" s="3">
        <f>IFERROR( _xlfn.CONCAT(LEFT(N23,R23-1), "》", MID(N23,R23,1), "${1}", RIGHT(N23, LEN(N23)-R23)), "" )</f>
        <v/>
      </c>
      <c r="T23" s="25" t="n"/>
      <c r="U23" s="26">
        <f>IF(AND(N23&lt;&gt;"", M23&lt;&gt;""), "    - xform/》" &amp; P23 &amp; "/" &amp; S23 &amp; "/", "")</f>
        <v/>
      </c>
    </row>
    <row r="24" ht="27.75" customHeight="1" s="69" thickBot="1">
      <c r="A24" s="19" t="n">
        <v>46</v>
      </c>
      <c r="B24" s="20" t="inlineStr">
        <is>
          <t>ɪɔk̚</t>
        </is>
      </c>
      <c r="C24" s="21" t="inlineStr">
        <is>
          <t>iok</t>
        </is>
      </c>
      <c r="D24" s="19" t="inlineStr">
        <is>
          <t>iok</t>
        </is>
      </c>
      <c r="E24" s="19" t="inlineStr">
        <is>
          <t>iook</t>
        </is>
      </c>
      <c r="F24" s="19" t="inlineStr">
        <is>
          <t>iok</t>
        </is>
      </c>
      <c r="G24" s="22" t="inlineStr">
        <is>
          <t>iok</t>
        </is>
      </c>
      <c r="H24" s="23" t="inlineStr">
        <is>
          <t>恭促</t>
        </is>
      </c>
      <c r="I24" s="19" t="inlineStr">
        <is>
          <t>ㄧㆦㆻ</t>
        </is>
      </c>
      <c r="J24" s="19" t="n"/>
      <c r="K24" s="23">
        <f>LEN(E24)</f>
        <v/>
      </c>
      <c r="L24" s="24" t="n"/>
      <c r="M24" s="11">
        <f>E24</f>
        <v/>
      </c>
      <c r="N24" s="11">
        <f>F24</f>
        <v/>
      </c>
      <c r="P24" s="3">
        <f>_xlfn.CONCAT(N24, "(\d)")</f>
        <v/>
      </c>
      <c r="Q24" s="5" t="inlineStr">
        <is>
          <t>i</t>
        </is>
      </c>
      <c r="R24" s="5">
        <f>IFERROR( IF(Q24="", "", SEARCH(Q24, $N24)), "")</f>
        <v/>
      </c>
      <c r="S24" s="3">
        <f>IFERROR( _xlfn.CONCAT(LEFT(N24,R24-1), "》", MID(N24,R24,1), "${1}", RIGHT(N24, LEN(N24)-R24)), "" )</f>
        <v/>
      </c>
      <c r="T24" s="25" t="n"/>
      <c r="U24" s="26">
        <f>IF(AND(N24&lt;&gt;"", M24&lt;&gt;""), "    - xform/》" &amp; P24 &amp; "/" &amp; S24 &amp; "/", "")</f>
        <v/>
      </c>
    </row>
    <row r="25" ht="27.75" customHeight="1" s="69" thickBot="1">
      <c r="A25" s="19" t="n">
        <v>52</v>
      </c>
      <c r="B25" s="20" t="inlineStr">
        <is>
          <t>ɔ̃</t>
        </is>
      </c>
      <c r="C25" s="21" t="inlineStr">
        <is>
          <t>onn</t>
        </is>
      </c>
      <c r="D25" s="19" t="inlineStr">
        <is>
          <t>onn</t>
        </is>
      </c>
      <c r="E25" s="19" t="inlineStr">
        <is>
          <t>oonn</t>
        </is>
      </c>
      <c r="F25" s="19" t="inlineStr">
        <is>
          <t>noo</t>
        </is>
      </c>
      <c r="G25" s="22" t="inlineStr">
        <is>
          <t>oⁿ</t>
        </is>
      </c>
      <c r="H25" s="23" t="inlineStr">
        <is>
          <t>姑舒</t>
        </is>
      </c>
      <c r="I25" s="19" t="inlineStr">
        <is>
          <t>ㆧ</t>
        </is>
      </c>
      <c r="J25" s="19" t="n"/>
      <c r="K25" s="23">
        <f>LEN(E25)</f>
        <v/>
      </c>
      <c r="L25" s="24" t="n"/>
      <c r="M25" s="11">
        <f>E25</f>
        <v/>
      </c>
      <c r="N25" s="11">
        <f>F25</f>
        <v/>
      </c>
      <c r="P25" s="3">
        <f>_xlfn.CONCAT(N25, "(\d)")</f>
        <v/>
      </c>
      <c r="Q25" s="5" t="inlineStr">
        <is>
          <t>i</t>
        </is>
      </c>
      <c r="R25" s="5">
        <f>IFERROR( IF(Q25="", "", SEARCH(Q25, $N25)), "")</f>
        <v/>
      </c>
      <c r="S25" s="3">
        <f>IFERROR( _xlfn.CONCAT(LEFT(N25,R25-1), "》", MID(N25,R25,1), "${1}", RIGHT(N25, LEN(N25)-R25)), "" )</f>
        <v/>
      </c>
      <c r="T25" s="25" t="n"/>
      <c r="U25" s="26">
        <f>IF(AND(N25&lt;&gt;"", M25&lt;&gt;""), "    - xform/》" &amp; P25 &amp; "/" &amp; S25 &amp; "/", "")</f>
        <v/>
      </c>
    </row>
    <row r="26" ht="27.75" customHeight="1" s="69" thickBot="1">
      <c r="A26" s="19" t="n">
        <v>65</v>
      </c>
      <c r="B26" s="20" t="inlineStr">
        <is>
          <t>uã</t>
        </is>
      </c>
      <c r="C26" s="21" t="inlineStr">
        <is>
          <t>uann</t>
        </is>
      </c>
      <c r="D26" s="19" t="inlineStr">
        <is>
          <t>uann</t>
        </is>
      </c>
      <c r="E26" s="19" t="inlineStr">
        <is>
          <t>uann</t>
        </is>
      </c>
      <c r="F26" s="19" t="inlineStr">
        <is>
          <t>nua</t>
        </is>
      </c>
      <c r="G26" s="22" t="inlineStr">
        <is>
          <t>oaⁿ</t>
        </is>
      </c>
      <c r="H26" s="23" t="inlineStr">
        <is>
          <t>官舒</t>
        </is>
      </c>
      <c r="I26" s="19" t="inlineStr">
        <is>
          <t>ㄨㆩ</t>
        </is>
      </c>
      <c r="J26" s="19" t="n"/>
      <c r="K26" s="23">
        <f>LEN(E26)</f>
        <v/>
      </c>
      <c r="L26" s="24" t="n"/>
      <c r="M26" s="11">
        <f>E26</f>
        <v/>
      </c>
      <c r="N26" s="11">
        <f>F26</f>
        <v/>
      </c>
      <c r="P26" s="3">
        <f>_xlfn.CONCAT(N26, "(\d)")</f>
        <v/>
      </c>
      <c r="Q26" s="5" t="inlineStr">
        <is>
          <t>i</t>
        </is>
      </c>
      <c r="R26" s="5">
        <f>IFERROR( IF(Q26="", "", SEARCH(Q26, $N26)), "")</f>
        <v/>
      </c>
      <c r="S26" s="3">
        <f>IFERROR( _xlfn.CONCAT(LEFT(N26,R26-1), "》", MID(N26,R26,1), "${1}", RIGHT(N26, LEN(N26)-R26)), "" )</f>
        <v/>
      </c>
      <c r="T26" s="25" t="n"/>
      <c r="U26" s="26">
        <f>IF(AND(N26&lt;&gt;"", M26&lt;&gt;""), "    - xform/》" &amp; P26 &amp; "/" &amp; S26 &amp; "/", "")</f>
        <v/>
      </c>
    </row>
    <row r="27" ht="27.75" customHeight="1" s="69" thickBot="1">
      <c r="A27" s="19" t="n">
        <v>68</v>
      </c>
      <c r="B27" s="20" t="inlineStr">
        <is>
          <t>uaŋ</t>
        </is>
      </c>
      <c r="C27" s="21" t="inlineStr">
        <is>
          <t>uang</t>
        </is>
      </c>
      <c r="D27" s="19" t="inlineStr">
        <is>
          <t>uang</t>
        </is>
      </c>
      <c r="E27" s="19" t="inlineStr">
        <is>
          <t>uang</t>
        </is>
      </c>
      <c r="F27" s="19" t="inlineStr">
        <is>
          <t>uang</t>
        </is>
      </c>
      <c r="G27" s="22" t="inlineStr">
        <is>
          <t>oang</t>
        </is>
      </c>
      <c r="H27" s="23" t="inlineStr">
        <is>
          <t>光舒</t>
        </is>
      </c>
      <c r="I27" s="19" t="inlineStr">
        <is>
          <t>ㄨㄤ</t>
        </is>
      </c>
      <c r="J27" s="19" t="n"/>
      <c r="K27" s="23">
        <f>LEN(E27)</f>
        <v/>
      </c>
      <c r="L27" s="24" t="n"/>
      <c r="M27" s="11">
        <f>E27</f>
        <v/>
      </c>
      <c r="N27" s="11">
        <f>F27</f>
        <v/>
      </c>
      <c r="P27" s="3">
        <f>_xlfn.CONCAT(N27, "(\d)")</f>
        <v/>
      </c>
      <c r="Q27" s="5" t="inlineStr">
        <is>
          <t>i</t>
        </is>
      </c>
      <c r="R27" s="5">
        <f>IFERROR( IF(Q27="", "", SEARCH(Q27, $N27)), "")</f>
        <v/>
      </c>
      <c r="S27" s="3">
        <f>IFERROR( _xlfn.CONCAT(LEFT(N27,R27-1), "》", MID(N27,R27,1), "${1}", RIGHT(N27, LEN(N27)-R27)), "" )</f>
        <v/>
      </c>
      <c r="T27" s="25" t="n"/>
      <c r="U27" s="26">
        <f>IF(AND(N27&lt;&gt;"", M27&lt;&gt;""), "    - xform/》" &amp; P27 &amp; "/" &amp; S27 &amp; "/", "")</f>
        <v/>
      </c>
    </row>
    <row r="28" ht="27.75" customHeight="1" s="69" thickBot="1">
      <c r="A28" s="19" t="n">
        <v>72</v>
      </c>
      <c r="B28" s="20" t="inlineStr">
        <is>
          <t>uaiʔ</t>
        </is>
      </c>
      <c r="C28" s="21" t="inlineStr">
        <is>
          <t>uaih</t>
        </is>
      </c>
      <c r="D28" s="19" t="inlineStr">
        <is>
          <t>uaih</t>
        </is>
      </c>
      <c r="E28" s="19" t="inlineStr">
        <is>
          <t>uaih</t>
        </is>
      </c>
      <c r="F28" s="19" t="inlineStr">
        <is>
          <t>uaih</t>
        </is>
      </c>
      <c r="G28" s="22" t="inlineStr">
        <is>
          <t>oaih</t>
        </is>
      </c>
      <c r="H28" s="23" t="inlineStr">
        <is>
          <t>乖促</t>
        </is>
      </c>
      <c r="I28" s="19" t="inlineStr">
        <is>
          <t>ㄨㄞㆷ</t>
        </is>
      </c>
      <c r="J28" s="19" t="n"/>
      <c r="K28" s="23">
        <f>LEN(E28)</f>
        <v/>
      </c>
      <c r="L28" s="24" t="n"/>
      <c r="M28" s="11">
        <f>E28</f>
        <v/>
      </c>
      <c r="N28" s="11">
        <f>F28</f>
        <v/>
      </c>
      <c r="P28" s="3">
        <f>_xlfn.CONCAT(N28, "(\d)")</f>
        <v/>
      </c>
      <c r="Q28" s="5" t="inlineStr">
        <is>
          <t>i</t>
        </is>
      </c>
      <c r="R28" s="5">
        <f>IFERROR( IF(Q28="", "", SEARCH(Q28, $N28)), "")</f>
        <v/>
      </c>
      <c r="S28" s="3">
        <f>IFERROR( _xlfn.CONCAT(LEFT(N28,R28-1), "》", MID(N28,R28,1), "${1}", RIGHT(N28, LEN(N28)-R28)), "" )</f>
        <v/>
      </c>
      <c r="T28" s="25" t="n"/>
      <c r="U28" s="26">
        <f>IF(AND(N28&lt;&gt;"", M28&lt;&gt;""), "    - xform/》" &amp; P28 &amp; "/" &amp; S28 &amp; "/", "")</f>
        <v/>
      </c>
    </row>
    <row r="29" ht="27.75" customHeight="1" s="69" thickBot="1">
      <c r="A29" s="19" t="n">
        <v>77</v>
      </c>
      <c r="B29" s="20" t="inlineStr">
        <is>
          <t>uĩ</t>
        </is>
      </c>
      <c r="C29" s="21" t="inlineStr">
        <is>
          <t>uinn</t>
        </is>
      </c>
      <c r="D29" s="19" t="inlineStr">
        <is>
          <t>uinn</t>
        </is>
      </c>
      <c r="E29" s="19" t="inlineStr">
        <is>
          <t>uinn</t>
        </is>
      </c>
      <c r="F29" s="19" t="inlineStr">
        <is>
          <t>nui</t>
        </is>
      </c>
      <c r="G29" s="22" t="inlineStr">
        <is>
          <t>uiⁿ</t>
        </is>
      </c>
      <c r="H29" s="23" t="inlineStr">
        <is>
          <t>褌舒</t>
        </is>
      </c>
      <c r="I29" s="19" t="inlineStr">
        <is>
          <t>ㄨㆪ</t>
        </is>
      </c>
      <c r="J29" s="19" t="n"/>
      <c r="K29" s="23">
        <f>LEN(E29)</f>
        <v/>
      </c>
      <c r="L29" s="24" t="n"/>
      <c r="M29" s="11">
        <f>E29</f>
        <v/>
      </c>
      <c r="N29" s="11">
        <f>F29</f>
        <v/>
      </c>
      <c r="P29" s="3">
        <f>_xlfn.CONCAT(N29, "(\d)")</f>
        <v/>
      </c>
      <c r="Q29" s="5" t="inlineStr">
        <is>
          <t>i</t>
        </is>
      </c>
      <c r="R29" s="5">
        <f>IFERROR( IF(Q29="", "", SEARCH(Q29, $N29)), "")</f>
        <v/>
      </c>
      <c r="S29" s="3">
        <f>IFERROR( _xlfn.CONCAT(LEFT(N29,R29-1), "》", MID(N29,R29,1), "${1}", RIGHT(N29, LEN(N29)-R29)), "" )</f>
        <v/>
      </c>
      <c r="T29" s="25" t="n"/>
      <c r="U29" s="26">
        <f>IF(AND(N29&lt;&gt;"", M29&lt;&gt;""), "    - xform/》" &amp; P29 &amp; "/" &amp; S29 &amp; "/", "")</f>
        <v/>
      </c>
    </row>
    <row r="30" ht="27.75" customHeight="1" s="69" thickBot="1">
      <c r="A30" s="19" t="n">
        <v>7</v>
      </c>
      <c r="B30" s="20" t="inlineStr">
        <is>
          <t>aŋ</t>
        </is>
      </c>
      <c r="C30" s="21" t="inlineStr">
        <is>
          <t>ang</t>
        </is>
      </c>
      <c r="D30" s="19" t="inlineStr">
        <is>
          <t>ang</t>
        </is>
      </c>
      <c r="E30" s="19" t="inlineStr">
        <is>
          <t>ang</t>
        </is>
      </c>
      <c r="F30" s="19" t="inlineStr">
        <is>
          <t>ang</t>
        </is>
      </c>
      <c r="G30" s="22" t="inlineStr">
        <is>
          <t>ang</t>
        </is>
      </c>
      <c r="H30" s="23" t="inlineStr">
        <is>
          <t>江舒</t>
        </is>
      </c>
      <c r="I30" s="19" t="inlineStr">
        <is>
          <t>ㄤ</t>
        </is>
      </c>
      <c r="J30" s="19" t="n"/>
      <c r="K30" s="23">
        <f>LEN(E30)</f>
        <v/>
      </c>
      <c r="L30" s="24" t="n"/>
      <c r="M30" s="11">
        <f>E30</f>
        <v/>
      </c>
      <c r="N30" s="11">
        <f>F30</f>
        <v/>
      </c>
      <c r="P30" s="3">
        <f>_xlfn.CONCAT(N30, "(\d)")</f>
        <v/>
      </c>
      <c r="Q30" s="5" t="inlineStr">
        <is>
          <t>i</t>
        </is>
      </c>
      <c r="R30" s="5">
        <f>IFERROR( IF(Q30="", "", SEARCH(Q30, $N30)), "")</f>
        <v/>
      </c>
      <c r="S30" s="3">
        <f>IFERROR( _xlfn.CONCAT(LEFT(N30,R30-1), "》", MID(N30,R30,1), "${1}", RIGHT(N30, LEN(N30)-R30)), "" )</f>
        <v/>
      </c>
      <c r="T30" s="25" t="n"/>
      <c r="U30" s="26">
        <f>IF(AND(N30&lt;&gt;"", M30&lt;&gt;""), "    - xform/》" &amp; P30 &amp; "/" &amp; S30 &amp; "/", "")</f>
        <v/>
      </c>
    </row>
    <row r="31" ht="30.75" customHeight="1" s="69" thickBot="1">
      <c r="A31" s="19" t="n">
        <v>13</v>
      </c>
      <c r="B31" s="20" t="inlineStr">
        <is>
          <t>aɪʔ</t>
        </is>
      </c>
      <c r="C31" s="21" t="inlineStr">
        <is>
          <t>aih</t>
        </is>
      </c>
      <c r="D31" s="31" t="inlineStr">
        <is>
          <t>aih</t>
        </is>
      </c>
      <c r="E31" s="31" t="inlineStr">
        <is>
          <t>aih</t>
        </is>
      </c>
      <c r="F31" s="31" t="inlineStr">
        <is>
          <t>aih</t>
        </is>
      </c>
      <c r="G31" s="31" t="inlineStr">
        <is>
          <t>aih</t>
        </is>
      </c>
      <c r="H31" s="32" t="inlineStr">
        <is>
          <t>皆促</t>
        </is>
      </c>
      <c r="I31" s="33" t="inlineStr">
        <is>
          <t>ㄞㆷ</t>
        </is>
      </c>
      <c r="J31" s="19" t="n"/>
      <c r="K31" s="23">
        <f>LEN(E31)</f>
        <v/>
      </c>
      <c r="L31" s="24" t="n"/>
      <c r="M31" s="11">
        <f>E31</f>
        <v/>
      </c>
      <c r="N31" s="11">
        <f>F31</f>
        <v/>
      </c>
      <c r="P31" s="3">
        <f>_xlfn.CONCAT(N31, "(\d)")</f>
        <v/>
      </c>
      <c r="Q31" s="5" t="inlineStr">
        <is>
          <t>i</t>
        </is>
      </c>
      <c r="R31" s="5">
        <f>IFERROR( IF(Q31="", "", SEARCH(Q31, $N31)), "")</f>
        <v/>
      </c>
      <c r="S31" s="3">
        <f>IFERROR( _xlfn.CONCAT(LEFT(N31,R31-1), "》", MID(N31,R31,1), "${1}", RIGHT(N31, LEN(N31)-R31)), "" )</f>
        <v/>
      </c>
      <c r="T31" s="25" t="n"/>
      <c r="U31" s="26">
        <f>IF(AND(N31&lt;&gt;"", M31&lt;&gt;""), "    - xform/》" &amp; P31 &amp; "/" &amp; S31 &amp; "/", "")</f>
        <v/>
      </c>
    </row>
    <row r="32" ht="27.75" customHeight="1" s="69" thickBot="1">
      <c r="A32" s="19" t="n">
        <v>15</v>
      </c>
      <c r="B32" s="20" t="inlineStr">
        <is>
          <t>auʔ</t>
        </is>
      </c>
      <c r="C32" s="21" t="inlineStr">
        <is>
          <t>auh</t>
        </is>
      </c>
      <c r="D32" s="19" t="inlineStr">
        <is>
          <t>auh</t>
        </is>
      </c>
      <c r="E32" s="19" t="inlineStr">
        <is>
          <t>auh</t>
        </is>
      </c>
      <c r="F32" s="19" t="inlineStr">
        <is>
          <t>aoh</t>
        </is>
      </c>
      <c r="G32" s="22" t="inlineStr">
        <is>
          <t>auh</t>
        </is>
      </c>
      <c r="H32" s="23" t="inlineStr">
        <is>
          <t>交促</t>
        </is>
      </c>
      <c r="I32" s="19" t="inlineStr">
        <is>
          <t>ㄠㆷ</t>
        </is>
      </c>
      <c r="J32" s="19" t="n"/>
      <c r="K32" s="23">
        <f>LEN(E32)</f>
        <v/>
      </c>
      <c r="L32" s="24" t="n"/>
      <c r="M32" s="11">
        <f>E32</f>
        <v/>
      </c>
      <c r="N32" s="11">
        <f>F32</f>
        <v/>
      </c>
      <c r="P32" s="3">
        <f>_xlfn.CONCAT(N32, "(\d)")</f>
        <v/>
      </c>
      <c r="Q32" s="5" t="inlineStr">
        <is>
          <t>a</t>
        </is>
      </c>
      <c r="R32" s="5">
        <f>IFERROR( IF(Q32="", "", SEARCH(Q32, $N32)), "")</f>
        <v/>
      </c>
      <c r="S32" s="3">
        <f>IFERROR( _xlfn.CONCAT(LEFT(N32,R32-1), "》", MID(N32,R32,1), "${1}", RIGHT(N32, LEN(N32)-R32)), "" )</f>
        <v/>
      </c>
      <c r="T32" s="25" t="n"/>
      <c r="U32" s="26">
        <f>IF(AND(N32&lt;&gt;"", M32&lt;&gt;""), "    - xform/》" &amp; P32 &amp; "/" &amp; S32 &amp; "/", "")</f>
        <v/>
      </c>
    </row>
    <row r="33" ht="27.75" customHeight="1" s="69" thickBot="1">
      <c r="A33" s="19" t="n">
        <v>25</v>
      </c>
      <c r="B33" s="20" t="inlineStr">
        <is>
          <t>iŋ</t>
        </is>
      </c>
      <c r="C33" s="21" t="inlineStr">
        <is>
          <t>ing</t>
        </is>
      </c>
      <c r="D33" s="19" t="inlineStr">
        <is>
          <t>ing</t>
        </is>
      </c>
      <c r="E33" s="19" t="inlineStr">
        <is>
          <t>ing</t>
        </is>
      </c>
      <c r="F33" s="19" t="inlineStr">
        <is>
          <t>ing</t>
        </is>
      </c>
      <c r="G33" s="22" t="inlineStr">
        <is>
          <t>eng</t>
        </is>
      </c>
      <c r="H33" s="23" t="inlineStr">
        <is>
          <t>經舒</t>
        </is>
      </c>
      <c r="I33" s="19" t="inlineStr">
        <is>
          <t>ㄧㄥ</t>
        </is>
      </c>
      <c r="J33" s="19" t="n"/>
      <c r="K33" s="23">
        <f>LEN(E33)</f>
        <v/>
      </c>
      <c r="L33" s="24" t="n"/>
      <c r="M33" s="11">
        <f>E33</f>
        <v/>
      </c>
      <c r="N33" s="11">
        <f>F33</f>
        <v/>
      </c>
      <c r="P33" s="3">
        <f>_xlfn.CONCAT(N33, "(\d)")</f>
        <v/>
      </c>
      <c r="Q33" s="5" t="inlineStr">
        <is>
          <t>a</t>
        </is>
      </c>
      <c r="R33" s="5">
        <f>IFERROR( IF(Q33="", "", SEARCH(Q33, $N33)), "")</f>
        <v/>
      </c>
      <c r="S33" s="3">
        <f>IFERROR( _xlfn.CONCAT(LEFT(N33,R33-1), "》", MID(N33,R33,1), "${1}", RIGHT(N33, LEN(N33)-R33)), "" )</f>
        <v/>
      </c>
      <c r="T33" s="25" t="n"/>
      <c r="U33" s="26">
        <f>IF(AND(N33&lt;&gt;"", M33&lt;&gt;""), "    - xform/》" &amp; P33 &amp; "/" &amp; S33 &amp; "/", "")</f>
        <v/>
      </c>
    </row>
    <row r="34" ht="27.75" customHeight="1" s="69" thickBot="1">
      <c r="A34" s="19" t="n">
        <v>31</v>
      </c>
      <c r="B34" s="20" t="inlineStr">
        <is>
          <t>ɪaʔ</t>
        </is>
      </c>
      <c r="C34" s="21" t="inlineStr">
        <is>
          <t>iah</t>
        </is>
      </c>
      <c r="D34" s="19" t="inlineStr">
        <is>
          <t>iah</t>
        </is>
      </c>
      <c r="E34" s="19" t="inlineStr">
        <is>
          <t>iah</t>
        </is>
      </c>
      <c r="F34" s="19" t="inlineStr">
        <is>
          <t>iah</t>
        </is>
      </c>
      <c r="G34" s="22" t="inlineStr">
        <is>
          <t>iah</t>
        </is>
      </c>
      <c r="H34" s="23" t="inlineStr">
        <is>
          <t>迦促</t>
        </is>
      </c>
      <c r="I34" s="19" t="inlineStr">
        <is>
          <t>ㄧㄚㆷ</t>
        </is>
      </c>
      <c r="J34" s="19" t="n"/>
      <c r="K34" s="23">
        <f>LEN(E34)</f>
        <v/>
      </c>
      <c r="L34" s="24" t="n"/>
      <c r="M34" s="11">
        <f>E34</f>
        <v/>
      </c>
      <c r="N34" s="11">
        <f>F34</f>
        <v/>
      </c>
      <c r="P34" s="3">
        <f>_xlfn.CONCAT(N34, "(\d)")</f>
        <v/>
      </c>
      <c r="Q34" s="5" t="inlineStr">
        <is>
          <t>a</t>
        </is>
      </c>
      <c r="R34" s="5">
        <f>IFERROR( IF(Q34="", "", SEARCH(Q34, $N34)), "")</f>
        <v/>
      </c>
      <c r="S34" s="3">
        <f>IFERROR( _xlfn.CONCAT(LEFT(N34,R34-1), "》", MID(N34,R34,1), "${1}", RIGHT(N34, LEN(N34)-R34)), "" )</f>
        <v/>
      </c>
      <c r="T34" s="25" t="n"/>
      <c r="U34" s="26">
        <f>IF(AND(N34&lt;&gt;"", M34&lt;&gt;""), "    - xform/》" &amp; P34 &amp; "/" &amp; S34 &amp; "/", "")</f>
        <v/>
      </c>
    </row>
    <row r="35" ht="27.75" customHeight="1" s="69" thickBot="1">
      <c r="A35" s="19" t="n">
        <v>33</v>
      </c>
      <c r="B35" s="20" t="inlineStr">
        <is>
          <t>ɪam</t>
        </is>
      </c>
      <c r="C35" s="21" t="inlineStr">
        <is>
          <t>iam</t>
        </is>
      </c>
      <c r="D35" s="19" t="inlineStr">
        <is>
          <t>iam</t>
        </is>
      </c>
      <c r="E35" s="19" t="inlineStr">
        <is>
          <t>iam</t>
        </is>
      </c>
      <c r="F35" s="19" t="inlineStr">
        <is>
          <t>iam</t>
        </is>
      </c>
      <c r="G35" s="22" t="inlineStr">
        <is>
          <t>iam</t>
        </is>
      </c>
      <c r="H35" s="23" t="inlineStr">
        <is>
          <t>兼舒</t>
        </is>
      </c>
      <c r="I35" s="19" t="inlineStr">
        <is>
          <t>ㄧㆰ</t>
        </is>
      </c>
      <c r="J35" s="19" t="n"/>
      <c r="K35" s="23">
        <f>LEN(E35)</f>
        <v/>
      </c>
      <c r="L35" s="24" t="n"/>
      <c r="M35" s="11">
        <f>E35</f>
        <v/>
      </c>
      <c r="N35" s="11">
        <f>F35</f>
        <v/>
      </c>
      <c r="P35" s="3">
        <f>_xlfn.CONCAT(N35, "(\d)")</f>
        <v/>
      </c>
      <c r="Q35" s="5" t="inlineStr">
        <is>
          <t>a</t>
        </is>
      </c>
      <c r="R35" s="5">
        <f>IFERROR( IF(Q35="", "", SEARCH(Q35, $N35)), "")</f>
        <v/>
      </c>
      <c r="S35" s="3">
        <f>IFERROR( _xlfn.CONCAT(LEFT(N35,R35-1), "》", MID(N35,R35,1), "${1}", RIGHT(N35, LEN(N35)-R35)), "" )</f>
        <v/>
      </c>
      <c r="T35" s="25" t="n"/>
      <c r="U35" s="26">
        <f>IF(AND(N35&lt;&gt;"", M35&lt;&gt;""), "    - xform/》" &amp; P35 &amp; "/" &amp; S35 &amp; "/", "")</f>
        <v/>
      </c>
    </row>
    <row r="36" ht="27.75" customHeight="1" s="69" thickBot="1">
      <c r="A36" s="19" t="n">
        <v>34</v>
      </c>
      <c r="B36" s="20" t="inlineStr">
        <is>
          <t>ɪan/en</t>
        </is>
      </c>
      <c r="C36" s="21" t="inlineStr">
        <is>
          <t>ian</t>
        </is>
      </c>
      <c r="D36" s="19" t="inlineStr">
        <is>
          <t>ian</t>
        </is>
      </c>
      <c r="E36" s="19" t="inlineStr">
        <is>
          <t>ian</t>
        </is>
      </c>
      <c r="F36" s="19" t="inlineStr">
        <is>
          <t>ian</t>
        </is>
      </c>
      <c r="G36" s="22" t="inlineStr">
        <is>
          <t>ian</t>
        </is>
      </c>
      <c r="H36" s="23" t="inlineStr">
        <is>
          <t>堅舒</t>
        </is>
      </c>
      <c r="I36" s="19" t="inlineStr">
        <is>
          <t>ㄧㄢ</t>
        </is>
      </c>
      <c r="J36" s="19" t="n"/>
      <c r="K36" s="23">
        <f>LEN(E36)</f>
        <v/>
      </c>
      <c r="L36" s="24" t="n"/>
      <c r="M36" s="11">
        <f>E36</f>
        <v/>
      </c>
      <c r="N36" s="11">
        <f>F36</f>
        <v/>
      </c>
      <c r="P36" s="3">
        <f>_xlfn.CONCAT(N36, "(\d)")</f>
        <v/>
      </c>
      <c r="Q36" s="5" t="inlineStr">
        <is>
          <t>a</t>
        </is>
      </c>
      <c r="R36" s="5">
        <f>IFERROR( IF(Q36="", "", SEARCH(Q36, $N36)), "")</f>
        <v/>
      </c>
      <c r="S36" s="3">
        <f>IFERROR( _xlfn.CONCAT(LEFT(N36,R36-1), "》", MID(N36,R36,1), "${1}", RIGHT(N36, LEN(N36)-R36)), "" )</f>
        <v/>
      </c>
      <c r="T36" s="25" t="n"/>
      <c r="U36" s="26">
        <f>IF(AND(N36&lt;&gt;"", M36&lt;&gt;""), "    - xform/》" &amp; P36 &amp; "/" &amp; S36 &amp; "/", "")</f>
        <v/>
      </c>
    </row>
    <row r="37" ht="27.75" customHeight="1" s="69" thickBot="1">
      <c r="A37" s="19" t="n">
        <v>36</v>
      </c>
      <c r="B37" s="20" t="inlineStr">
        <is>
          <t>ɪap̚</t>
        </is>
      </c>
      <c r="C37" s="21" t="inlineStr">
        <is>
          <t>iap</t>
        </is>
      </c>
      <c r="D37" s="19" t="inlineStr">
        <is>
          <t>iap</t>
        </is>
      </c>
      <c r="E37" s="19" t="inlineStr">
        <is>
          <t>iap</t>
        </is>
      </c>
      <c r="F37" s="19" t="inlineStr">
        <is>
          <t>iap</t>
        </is>
      </c>
      <c r="G37" s="22" t="inlineStr">
        <is>
          <t>iap</t>
        </is>
      </c>
      <c r="H37" s="23" t="inlineStr">
        <is>
          <t>兼促</t>
        </is>
      </c>
      <c r="I37" s="19" t="inlineStr">
        <is>
          <t>ㄧㄚㆴ</t>
        </is>
      </c>
      <c r="J37" s="19" t="n"/>
      <c r="K37" s="23">
        <f>LEN(E37)</f>
        <v/>
      </c>
      <c r="L37" s="24" t="n"/>
      <c r="M37" s="11">
        <f>E37</f>
        <v/>
      </c>
      <c r="N37" s="11">
        <f>F37</f>
        <v/>
      </c>
      <c r="P37" s="3">
        <f>_xlfn.CONCAT(N37, "(\d)")</f>
        <v/>
      </c>
      <c r="Q37" s="5" t="inlineStr">
        <is>
          <t>a</t>
        </is>
      </c>
      <c r="R37" s="5">
        <f>IFERROR( IF(Q37="", "", SEARCH(Q37, $N37)), "")</f>
        <v/>
      </c>
      <c r="S37" s="3">
        <f>IFERROR( _xlfn.CONCAT(LEFT(N37,R37-1), "》", MID(N37,R37,1), "${1}", RIGHT(N37, LEN(N37)-R37)), "" )</f>
        <v/>
      </c>
      <c r="T37" s="25" t="n"/>
      <c r="U37" s="26">
        <f>IF(AND(N37&lt;&gt;"", M37&lt;&gt;""), "    - xform/》" &amp; P37 &amp; "/" &amp; S37 &amp; "/", "")</f>
        <v/>
      </c>
    </row>
    <row r="38" ht="27.75" customHeight="1" s="69" thickBot="1">
      <c r="A38" s="19" t="n">
        <v>37</v>
      </c>
      <c r="B38" s="20" t="inlineStr">
        <is>
          <t>ɪat̚/ɪet̚</t>
        </is>
      </c>
      <c r="C38" s="21" t="inlineStr">
        <is>
          <t>iat</t>
        </is>
      </c>
      <c r="D38" s="19" t="inlineStr">
        <is>
          <t>iat</t>
        </is>
      </c>
      <c r="E38" s="19" t="inlineStr">
        <is>
          <t>iat</t>
        </is>
      </c>
      <c r="F38" s="19" t="inlineStr">
        <is>
          <t>iat</t>
        </is>
      </c>
      <c r="G38" s="22" t="inlineStr">
        <is>
          <t>iat</t>
        </is>
      </c>
      <c r="H38" s="23" t="inlineStr">
        <is>
          <t>堅促</t>
        </is>
      </c>
      <c r="I38" s="19" t="inlineStr">
        <is>
          <t>ㄧㄚㆵ</t>
        </is>
      </c>
      <c r="J38" s="19" t="n"/>
      <c r="K38" s="23">
        <f>LEN(E38)</f>
        <v/>
      </c>
      <c r="L38" s="24" t="n"/>
      <c r="M38" s="11">
        <f>E38</f>
        <v/>
      </c>
      <c r="N38" s="11">
        <f>F38</f>
        <v/>
      </c>
      <c r="P38" s="3">
        <f>_xlfn.CONCAT(N38, "(\d)")</f>
        <v/>
      </c>
      <c r="Q38" s="5" t="inlineStr">
        <is>
          <t>a</t>
        </is>
      </c>
      <c r="R38" s="5">
        <f>IFERROR( IF(Q38="", "", SEARCH(Q38, $N38)), "")</f>
        <v/>
      </c>
      <c r="S38" s="3">
        <f>IFERROR( _xlfn.CONCAT(LEFT(N38,R38-1), "》", MID(N38,R38,1), "${1}", RIGHT(N38, LEN(N38)-R38)), "" )</f>
        <v/>
      </c>
      <c r="T38" s="25" t="n"/>
      <c r="U38" s="26">
        <f>IF(AND(N38&lt;&gt;"", M38&lt;&gt;""), "    - xform/》" &amp; P38 &amp; "/" &amp; S38 &amp; "/", "")</f>
        <v/>
      </c>
    </row>
    <row r="39" ht="27.75" customHeight="1" s="69" thickBot="1">
      <c r="A39" s="19" t="n">
        <v>38</v>
      </c>
      <c r="B39" s="20" t="inlineStr">
        <is>
          <t>ɪak̚</t>
        </is>
      </c>
      <c r="C39" s="21" t="inlineStr">
        <is>
          <t>iak</t>
        </is>
      </c>
      <c r="D39" s="19" t="inlineStr">
        <is>
          <t>iak</t>
        </is>
      </c>
      <c r="E39" s="19" t="inlineStr">
        <is>
          <t>iak</t>
        </is>
      </c>
      <c r="F39" s="19" t="inlineStr">
        <is>
          <t>iak</t>
        </is>
      </c>
      <c r="G39" s="22" t="inlineStr">
        <is>
          <t>iak</t>
        </is>
      </c>
      <c r="H39" s="23" t="inlineStr">
        <is>
          <t>姜促</t>
        </is>
      </c>
      <c r="I39" s="19" t="inlineStr">
        <is>
          <t>ㄧㄚㆻ</t>
        </is>
      </c>
      <c r="J39" s="19" t="n"/>
      <c r="K39" s="23">
        <f>LEN(E39)</f>
        <v/>
      </c>
      <c r="L39" s="24" t="n"/>
      <c r="M39" s="11">
        <f>E39</f>
        <v/>
      </c>
      <c r="N39" s="11">
        <f>F39</f>
        <v/>
      </c>
      <c r="P39" s="3">
        <f>_xlfn.CONCAT(N39, "(\d)")</f>
        <v/>
      </c>
      <c r="Q39" s="5" t="inlineStr">
        <is>
          <t>a</t>
        </is>
      </c>
      <c r="R39" s="5">
        <f>IFERROR( IF(Q39="", "", SEARCH(Q39, $N39)), "")</f>
        <v/>
      </c>
      <c r="S39" s="3">
        <f>IFERROR( _xlfn.CONCAT(LEFT(N39,R39-1), "》", MID(N39,R39,1), "${1}", RIGHT(N39, LEN(N39)-R39)), "" )</f>
        <v/>
      </c>
      <c r="T39" s="25" t="n"/>
      <c r="U39" s="26">
        <f>IF(AND(N39&lt;&gt;"", M39&lt;&gt;""), "    - xform/》" &amp; P39 &amp; "/" &amp; S39 &amp; "/", "")</f>
        <v/>
      </c>
    </row>
    <row r="40" ht="27.75" customHeight="1" s="69" thickBot="1">
      <c r="A40" s="19" t="n">
        <v>39</v>
      </c>
      <c r="B40" s="20" t="inlineStr">
        <is>
          <t>ɪau</t>
        </is>
      </c>
      <c r="C40" s="21" t="inlineStr">
        <is>
          <t>iau</t>
        </is>
      </c>
      <c r="D40" s="19" t="inlineStr">
        <is>
          <t>iau</t>
        </is>
      </c>
      <c r="E40" s="19" t="inlineStr">
        <is>
          <t>iau</t>
        </is>
      </c>
      <c r="F40" s="19" t="inlineStr">
        <is>
          <t>iao</t>
        </is>
      </c>
      <c r="G40" s="22" t="inlineStr">
        <is>
          <t>iau</t>
        </is>
      </c>
      <c r="H40" s="23" t="inlineStr">
        <is>
          <t>嬌舒</t>
        </is>
      </c>
      <c r="I40" s="19" t="inlineStr">
        <is>
          <t>ㄧㄠ</t>
        </is>
      </c>
      <c r="J40" s="19" t="n"/>
      <c r="K40" s="23">
        <f>LEN(E40)</f>
        <v/>
      </c>
      <c r="L40" s="24" t="n"/>
      <c r="M40" s="11">
        <f>E40</f>
        <v/>
      </c>
      <c r="N40" s="11">
        <f>F40</f>
        <v/>
      </c>
      <c r="P40" s="3">
        <f>_xlfn.CONCAT(N40, "(\d)")</f>
        <v/>
      </c>
      <c r="Q40" s="5" t="inlineStr">
        <is>
          <t>a</t>
        </is>
      </c>
      <c r="R40" s="5">
        <f>IFERROR( IF(Q40="", "", SEARCH(Q40, $N40)), "")</f>
        <v/>
      </c>
      <c r="S40" s="3">
        <f>IFERROR( _xlfn.CONCAT(LEFT(N40,R40-1), "》", MID(N40,R40,1), "${1}", RIGHT(N40, LEN(N40)-R40)), "" )</f>
        <v/>
      </c>
      <c r="T40" s="25" t="n"/>
      <c r="U40" s="26">
        <f>IF(AND(N40&lt;&gt;"", M40&lt;&gt;""), "    - xform/》" &amp; P40 &amp; "/" &amp; S40 &amp; "/", "")</f>
        <v/>
      </c>
    </row>
    <row r="41" ht="27.75" customHeight="1" s="69" thickBot="1">
      <c r="A41" s="19" t="n">
        <v>42</v>
      </c>
      <c r="B41" s="20" t="inlineStr">
        <is>
          <t>ɪə/ɪo</t>
        </is>
      </c>
      <c r="C41" s="21" t="inlineStr">
        <is>
          <t>io</t>
        </is>
      </c>
      <c r="D41" s="19" t="inlineStr">
        <is>
          <t>io</t>
        </is>
      </c>
      <c r="E41" s="19" t="inlineStr">
        <is>
          <t>ior</t>
        </is>
      </c>
      <c r="F41" s="19" t="inlineStr">
        <is>
          <t>io</t>
        </is>
      </c>
      <c r="G41" s="22" t="inlineStr">
        <is>
          <t>io</t>
        </is>
      </c>
      <c r="H41" s="23" t="inlineStr">
        <is>
          <t>茄舒</t>
        </is>
      </c>
      <c r="I41" s="19" t="inlineStr">
        <is>
          <t>ㄧㄜ</t>
        </is>
      </c>
      <c r="J41" s="19" t="n"/>
      <c r="K41" s="23">
        <f>LEN(E41)</f>
        <v/>
      </c>
      <c r="L41" s="24" t="n"/>
      <c r="M41" s="11">
        <f>E41</f>
        <v/>
      </c>
      <c r="N41" s="11">
        <f>F41</f>
        <v/>
      </c>
      <c r="P41" s="3">
        <f>_xlfn.CONCAT(N41, "(\d)")</f>
        <v/>
      </c>
      <c r="Q41" s="5" t="inlineStr">
        <is>
          <t>a</t>
        </is>
      </c>
      <c r="R41" s="5">
        <f>IFERROR( IF(Q41="", "", SEARCH(Q41, $N41)), "")</f>
        <v/>
      </c>
      <c r="S41" s="3">
        <f>IFERROR( _xlfn.CONCAT(LEFT(N41,R41-1), "》", MID(N41,R41,1), "${1}", RIGHT(N41, LEN(N41)-R41)), "" )</f>
        <v/>
      </c>
      <c r="T41" s="25" t="n"/>
      <c r="U41" s="26">
        <f>IF(AND(N41&lt;&gt;"", M41&lt;&gt;""), "    - xform/》" &amp; P41 &amp; "/" &amp; S41 &amp; "/", "")</f>
        <v/>
      </c>
    </row>
    <row r="42" ht="27.75" customHeight="1" s="69" thickBot="1">
      <c r="A42" s="19" t="n">
        <v>53</v>
      </c>
      <c r="B42" s="20" t="inlineStr">
        <is>
          <t>əʔ/oʔ</t>
        </is>
      </c>
      <c r="C42" s="21" t="inlineStr">
        <is>
          <t>oh</t>
        </is>
      </c>
      <c r="D42" s="19" t="inlineStr">
        <is>
          <t>oh</t>
        </is>
      </c>
      <c r="E42" s="19" t="inlineStr">
        <is>
          <t>orh</t>
        </is>
      </c>
      <c r="F42" s="19" t="inlineStr">
        <is>
          <t>oh</t>
        </is>
      </c>
      <c r="G42" s="22" t="inlineStr">
        <is>
          <t>oh</t>
        </is>
      </c>
      <c r="H42" s="23" t="inlineStr">
        <is>
          <t>高促</t>
        </is>
      </c>
      <c r="I42" s="19" t="inlineStr">
        <is>
          <t>ㄜㆷ</t>
        </is>
      </c>
      <c r="J42" s="19" t="n"/>
      <c r="K42" s="23">
        <f>LEN(E42)</f>
        <v/>
      </c>
      <c r="L42" s="24" t="n"/>
      <c r="M42" s="11">
        <f>E42</f>
        <v/>
      </c>
      <c r="N42" s="11">
        <f>F42</f>
        <v/>
      </c>
      <c r="P42" s="3">
        <f>_xlfn.CONCAT(N42, "(\d)")</f>
        <v/>
      </c>
      <c r="Q42" s="5" t="inlineStr">
        <is>
          <t>a</t>
        </is>
      </c>
      <c r="R42" s="5">
        <f>IFERROR( IF(Q42="", "", SEARCH(Q42, $N42)), "")</f>
        <v/>
      </c>
      <c r="S42" s="3">
        <f>IFERROR( _xlfn.CONCAT(LEFT(N42,R42-1), "》", MID(N42,R42,1), "${1}", RIGHT(N42, LEN(N42)-R42)), "" )</f>
        <v/>
      </c>
      <c r="T42" s="25" t="n"/>
      <c r="U42" s="26">
        <f>IF(AND(N42&lt;&gt;"", M42&lt;&gt;""), "    - xform/》" &amp; P42 &amp; "/" &amp; S42 &amp; "/", "")</f>
        <v/>
      </c>
    </row>
    <row r="43" ht="30.75" customHeight="1" s="69" thickBot="1">
      <c r="A43" s="19" t="n">
        <v>54</v>
      </c>
      <c r="B43" s="20" t="inlineStr">
        <is>
          <t>ɔʔ</t>
        </is>
      </c>
      <c r="C43" s="21" t="inlineStr">
        <is>
          <t>ooh</t>
        </is>
      </c>
      <c r="D43" s="31" t="inlineStr">
        <is>
          <t>ooh</t>
        </is>
      </c>
      <c r="E43" s="31" t="inlineStr">
        <is>
          <t>ooh</t>
        </is>
      </c>
      <c r="F43" s="31" t="inlineStr">
        <is>
          <t>ooh</t>
        </is>
      </c>
      <c r="G43" s="31" t="inlineStr">
        <is>
          <t>o͘h</t>
        </is>
      </c>
      <c r="H43" s="32" t="inlineStr">
        <is>
          <t>沽促</t>
        </is>
      </c>
      <c r="I43" s="34" t="inlineStr">
        <is>
          <t>ㆦㆷ</t>
        </is>
      </c>
      <c r="J43" s="19" t="n"/>
      <c r="K43" s="23">
        <f>LEN(E43)</f>
        <v/>
      </c>
      <c r="L43" s="24" t="n"/>
      <c r="M43" s="11">
        <f>E43</f>
        <v/>
      </c>
      <c r="N43" s="11">
        <f>F43</f>
        <v/>
      </c>
      <c r="P43" s="3">
        <f>_xlfn.CONCAT(N43, "(\d)")</f>
        <v/>
      </c>
      <c r="Q43" s="5" t="inlineStr">
        <is>
          <t>a</t>
        </is>
      </c>
      <c r="R43" s="5">
        <f>IFERROR( IF(Q43="", "", SEARCH(Q43, $N43)), "")</f>
        <v/>
      </c>
      <c r="S43" s="3">
        <f>IFERROR( _xlfn.CONCAT(LEFT(N43,R43-1), "》", MID(N43,R43,1), "${1}", RIGHT(N43, LEN(N43)-R43)), "" )</f>
        <v/>
      </c>
      <c r="T43" s="25" t="n"/>
      <c r="U43" s="26">
        <f>IF(AND(N43&lt;&gt;"", M43&lt;&gt;""), "    - xform/》" &amp; P43 &amp; "/" &amp; S43 &amp; "/", "")</f>
        <v/>
      </c>
    </row>
    <row r="44" ht="27.75" customHeight="1" s="69" thickBot="1">
      <c r="A44" s="19" t="n">
        <v>56</v>
      </c>
      <c r="B44" s="20" t="inlineStr">
        <is>
          <t>ɔm</t>
        </is>
      </c>
      <c r="C44" s="21" t="inlineStr">
        <is>
          <t>om</t>
        </is>
      </c>
      <c r="D44" s="19" t="inlineStr">
        <is>
          <t>om</t>
        </is>
      </c>
      <c r="E44" s="19" t="inlineStr">
        <is>
          <t>oom</t>
        </is>
      </c>
      <c r="F44" s="19" t="inlineStr">
        <is>
          <t>om</t>
        </is>
      </c>
      <c r="G44" s="22" t="inlineStr">
        <is>
          <t>om</t>
        </is>
      </c>
      <c r="H44" s="23" t="inlineStr">
        <is>
          <t>箴舒</t>
        </is>
      </c>
      <c r="I44" s="19" t="inlineStr">
        <is>
          <t>ㆱ</t>
        </is>
      </c>
      <c r="J44" s="19" t="n"/>
      <c r="K44" s="23">
        <f>LEN(E44)</f>
        <v/>
      </c>
      <c r="L44" s="24" t="n"/>
      <c r="M44" s="11">
        <f>E44</f>
        <v/>
      </c>
      <c r="N44" s="11">
        <f>F44</f>
        <v/>
      </c>
      <c r="P44" s="3">
        <f>_xlfn.CONCAT(N44, "(\d)")</f>
        <v/>
      </c>
      <c r="Q44" s="5" t="inlineStr">
        <is>
          <t>a</t>
        </is>
      </c>
      <c r="R44" s="5">
        <f>IFERROR( IF(Q44="", "", SEARCH(Q44, $N44)), "")</f>
        <v/>
      </c>
      <c r="S44" s="3">
        <f>IFERROR( _xlfn.CONCAT(LEFT(N44,R44-1), "》", MID(N44,R44,1), "${1}", RIGHT(N44, LEN(N44)-R44)), "" )</f>
        <v/>
      </c>
      <c r="T44" s="25" t="n"/>
      <c r="U44" s="26">
        <f>IF(AND(N44&lt;&gt;"", M44&lt;&gt;""), "    - xform/》" &amp; P44 &amp; "/" &amp; S44 &amp; "/", "")</f>
        <v/>
      </c>
    </row>
    <row r="45" ht="27.75" customHeight="1" s="69" thickBot="1">
      <c r="A45" s="19" t="n">
        <v>57</v>
      </c>
      <c r="B45" s="20" t="inlineStr">
        <is>
          <t>ɔŋ</t>
        </is>
      </c>
      <c r="C45" s="21" t="inlineStr">
        <is>
          <t>ong</t>
        </is>
      </c>
      <c r="D45" s="19" t="inlineStr">
        <is>
          <t>ong</t>
        </is>
      </c>
      <c r="E45" s="19" t="inlineStr">
        <is>
          <t>ong</t>
        </is>
      </c>
      <c r="F45" s="19" t="inlineStr">
        <is>
          <t>ong</t>
        </is>
      </c>
      <c r="G45" s="22" t="inlineStr">
        <is>
          <t>ong</t>
        </is>
      </c>
      <c r="H45" s="23" t="inlineStr">
        <is>
          <t>公舒</t>
        </is>
      </c>
      <c r="I45" s="19" t="inlineStr">
        <is>
          <t>ㆲ</t>
        </is>
      </c>
      <c r="J45" s="19" t="n"/>
      <c r="K45" s="23">
        <f>LEN(E45)</f>
        <v/>
      </c>
      <c r="L45" s="24" t="n"/>
      <c r="M45" s="11">
        <f>E45</f>
        <v/>
      </c>
      <c r="N45" s="11">
        <f>F45</f>
        <v/>
      </c>
      <c r="P45" s="3">
        <f>_xlfn.CONCAT(N45, "(\d)")</f>
        <v/>
      </c>
      <c r="Q45" s="5" t="inlineStr">
        <is>
          <t>o</t>
        </is>
      </c>
      <c r="R45" s="5">
        <f>IFERROR( IF(Q45="", "", SEARCH(Q45, $N45)), "")</f>
        <v/>
      </c>
      <c r="S45" s="3">
        <f>IFERROR( _xlfn.CONCAT(LEFT(N45,R45-1), "》", MID(N45,R45,1), "${1}", RIGHT(N45, LEN(N45)-R45)), "" )</f>
        <v/>
      </c>
      <c r="T45" s="25" t="n"/>
      <c r="U45" s="26">
        <f>IF(AND(N45&lt;&gt;"", M45&lt;&gt;""), "    - xform/》" &amp; P45 &amp; "/" &amp; S45 &amp; "/", "")</f>
        <v/>
      </c>
    </row>
    <row r="46" ht="27.75" customHeight="1" s="69" thickBot="1">
      <c r="A46" s="19" t="n">
        <v>58</v>
      </c>
      <c r="B46" s="20" t="inlineStr">
        <is>
          <t>ɔp̚</t>
        </is>
      </c>
      <c r="C46" s="21" t="inlineStr">
        <is>
          <t>op</t>
        </is>
      </c>
      <c r="D46" s="19" t="inlineStr">
        <is>
          <t>op</t>
        </is>
      </c>
      <c r="E46" s="19" t="inlineStr">
        <is>
          <t>oop</t>
        </is>
      </c>
      <c r="F46" s="19" t="inlineStr">
        <is>
          <t>op</t>
        </is>
      </c>
      <c r="G46" s="22" t="inlineStr">
        <is>
          <t>op</t>
        </is>
      </c>
      <c r="H46" s="23" t="inlineStr">
        <is>
          <t>箴促</t>
        </is>
      </c>
      <c r="I46" s="19" t="inlineStr">
        <is>
          <t>ㆦㆴ</t>
        </is>
      </c>
      <c r="J46" s="19" t="n"/>
      <c r="K46" s="23">
        <f>LEN(E46)</f>
        <v/>
      </c>
      <c r="L46" s="24" t="n"/>
      <c r="M46" s="11">
        <f>E46</f>
        <v/>
      </c>
      <c r="N46" s="11">
        <f>F46</f>
        <v/>
      </c>
      <c r="P46" s="3">
        <f>_xlfn.CONCAT(N46, "(\d)")</f>
        <v/>
      </c>
      <c r="Q46" s="5" t="inlineStr">
        <is>
          <t>o</t>
        </is>
      </c>
      <c r="R46" s="5">
        <f>IFERROR( IF(Q46="", "", SEARCH(Q46, $N46)), "")</f>
        <v/>
      </c>
      <c r="S46" s="3">
        <f>IFERROR( _xlfn.CONCAT(LEFT(N46,R46-1), "》", MID(N46,R46,1), "${1}", RIGHT(N46, LEN(N46)-R46)), "" )</f>
        <v/>
      </c>
      <c r="T46" s="25" t="n"/>
      <c r="U46" s="26">
        <f>IF(AND(N46&lt;&gt;"", M46&lt;&gt;""), "    - xform/》" &amp; P46 &amp; "/" &amp; S46 &amp; "/", "")</f>
        <v/>
      </c>
    </row>
    <row r="47" ht="27.75" customHeight="1" s="69" thickBot="1">
      <c r="A47" s="19" t="n">
        <v>66</v>
      </c>
      <c r="B47" s="20" t="inlineStr">
        <is>
          <t>uaʔ</t>
        </is>
      </c>
      <c r="C47" s="21" t="inlineStr">
        <is>
          <t>uah</t>
        </is>
      </c>
      <c r="D47" s="19" t="inlineStr">
        <is>
          <t>uah</t>
        </is>
      </c>
      <c r="E47" s="19" t="inlineStr">
        <is>
          <t>uah</t>
        </is>
      </c>
      <c r="F47" s="19" t="inlineStr">
        <is>
          <t>uah</t>
        </is>
      </c>
      <c r="G47" s="22" t="inlineStr">
        <is>
          <t>oah</t>
        </is>
      </c>
      <c r="H47" s="23" t="inlineStr">
        <is>
          <t>瓜促</t>
        </is>
      </c>
      <c r="I47" s="19" t="inlineStr">
        <is>
          <t>ㄨㄚㆷ</t>
        </is>
      </c>
      <c r="J47" s="19" t="n"/>
      <c r="K47" s="23">
        <f>LEN(E47)</f>
        <v/>
      </c>
      <c r="L47" s="24" t="n"/>
      <c r="M47" s="11">
        <f>E47</f>
        <v/>
      </c>
      <c r="N47" s="11">
        <f>F47</f>
        <v/>
      </c>
      <c r="P47" s="3">
        <f>_xlfn.CONCAT(N47, "(\d)")</f>
        <v/>
      </c>
      <c r="Q47" s="49" t="inlineStr">
        <is>
          <t>o</t>
        </is>
      </c>
      <c r="R47" s="5">
        <f>IFERROR( IF(Q47="", "", SEARCH(Q47, $N47)), "")</f>
        <v/>
      </c>
      <c r="S47" s="3">
        <f>IFERROR( _xlfn.CONCAT(LEFT(N47,R47-1), "》", MID(N47,R47,1), "${1}", RIGHT(N47, LEN(N47)-R47)), "" )</f>
        <v/>
      </c>
      <c r="T47" s="25" t="n"/>
      <c r="U47" s="26">
        <f>IF(AND(N47&lt;&gt;"", M47&lt;&gt;""), "    - xform/》" &amp; P47 &amp; "/" &amp; S47 &amp; "/", "")</f>
        <v/>
      </c>
    </row>
    <row r="48" ht="27.75" customHeight="1" s="69" thickBot="1">
      <c r="A48" s="19" t="n">
        <v>67</v>
      </c>
      <c r="B48" s="20" t="inlineStr">
        <is>
          <t>uan</t>
        </is>
      </c>
      <c r="C48" s="21" t="inlineStr">
        <is>
          <t>uan</t>
        </is>
      </c>
      <c r="D48" s="19" t="inlineStr">
        <is>
          <t>uan</t>
        </is>
      </c>
      <c r="E48" s="19" t="inlineStr">
        <is>
          <t>uan</t>
        </is>
      </c>
      <c r="F48" s="19" t="inlineStr">
        <is>
          <t>uan</t>
        </is>
      </c>
      <c r="G48" s="22" t="inlineStr">
        <is>
          <t>oan</t>
        </is>
      </c>
      <c r="H48" s="23" t="inlineStr">
        <is>
          <t>觀舒</t>
        </is>
      </c>
      <c r="I48" s="19" t="inlineStr">
        <is>
          <t>ㄨㄢ</t>
        </is>
      </c>
      <c r="J48" s="19" t="n"/>
      <c r="K48" s="23">
        <f>LEN(E48)</f>
        <v/>
      </c>
      <c r="L48" s="24" t="n"/>
      <c r="M48" s="11">
        <f>E48</f>
        <v/>
      </c>
      <c r="N48" s="11">
        <f>F48</f>
        <v/>
      </c>
      <c r="P48" s="3">
        <f>_xlfn.CONCAT(N48, "(\d)")</f>
        <v/>
      </c>
      <c r="Q48" s="5" t="inlineStr">
        <is>
          <t>o</t>
        </is>
      </c>
      <c r="R48" s="5">
        <f>IFERROR( IF(Q48="", "", SEARCH(Q48, $N48)), "")</f>
        <v/>
      </c>
      <c r="S48" s="3">
        <f>IFERROR( _xlfn.CONCAT(LEFT(N48,R48-1), "》", MID(N48,R48,1), "${1}", RIGHT(N48, LEN(N48)-R48)), "" )</f>
        <v/>
      </c>
      <c r="T48" s="25" t="n"/>
      <c r="U48" s="26">
        <f>IF(AND(N48&lt;&gt;"", M48&lt;&gt;""), "    - xform/》" &amp; P48 &amp; "/" &amp; S48 &amp; "/", "")</f>
        <v/>
      </c>
    </row>
    <row r="49" ht="27.75" customHeight="1" s="69" thickBot="1">
      <c r="A49" s="19" t="n">
        <v>69</v>
      </c>
      <c r="B49" s="20" t="inlineStr">
        <is>
          <t>uat̚</t>
        </is>
      </c>
      <c r="C49" s="21" t="inlineStr">
        <is>
          <t>uat</t>
        </is>
      </c>
      <c r="D49" s="19" t="inlineStr">
        <is>
          <t>uat</t>
        </is>
      </c>
      <c r="E49" s="19" t="inlineStr">
        <is>
          <t>uat</t>
        </is>
      </c>
      <c r="F49" s="19" t="inlineStr">
        <is>
          <t>uat</t>
        </is>
      </c>
      <c r="G49" s="22" t="inlineStr">
        <is>
          <t>oat</t>
        </is>
      </c>
      <c r="H49" s="23" t="inlineStr">
        <is>
          <t>觀促</t>
        </is>
      </c>
      <c r="I49" s="19" t="inlineStr">
        <is>
          <t>ㄨㄚㆵ</t>
        </is>
      </c>
      <c r="J49" s="19" t="n"/>
      <c r="K49" s="23">
        <f>LEN(E49)</f>
        <v/>
      </c>
      <c r="L49" s="24" t="n"/>
      <c r="M49" s="11">
        <f>E49</f>
        <v/>
      </c>
      <c r="N49" s="11">
        <f>F49</f>
        <v/>
      </c>
      <c r="P49" s="3">
        <f>_xlfn.CONCAT(N49, "(\d)")</f>
        <v/>
      </c>
      <c r="Q49" s="5" t="inlineStr">
        <is>
          <t>o</t>
        </is>
      </c>
      <c r="R49" s="5">
        <f>IFERROR( IF(Q49="", "", SEARCH(Q49, $N49)), "")</f>
        <v/>
      </c>
      <c r="S49" s="3">
        <f>IFERROR( _xlfn.CONCAT(LEFT(N49,R49-1), "》", MID(N49,R49,1), "${1}", RIGHT(N49, LEN(N49)-R49)), "" )</f>
        <v/>
      </c>
      <c r="T49" s="25" t="n"/>
      <c r="U49" s="26">
        <f>IF(AND(N49&lt;&gt;"", M49&lt;&gt;""), "    - xform/》" &amp; P49 &amp; "/" &amp; S49 &amp; "/", "")</f>
        <v/>
      </c>
    </row>
    <row r="50" ht="27.75" customHeight="1" s="69" thickBot="1">
      <c r="A50" s="19" t="n">
        <v>70</v>
      </c>
      <c r="B50" s="20" t="inlineStr">
        <is>
          <t>uai</t>
        </is>
      </c>
      <c r="C50" s="21" t="inlineStr">
        <is>
          <t>uai</t>
        </is>
      </c>
      <c r="D50" s="19" t="inlineStr">
        <is>
          <t>uai</t>
        </is>
      </c>
      <c r="E50" s="19" t="inlineStr">
        <is>
          <t>uai</t>
        </is>
      </c>
      <c r="F50" s="19" t="inlineStr">
        <is>
          <t>uai</t>
        </is>
      </c>
      <c r="G50" s="22" t="inlineStr">
        <is>
          <t>oai</t>
        </is>
      </c>
      <c r="H50" s="23" t="inlineStr">
        <is>
          <t>乖舒</t>
        </is>
      </c>
      <c r="I50" s="19" t="inlineStr">
        <is>
          <t>ㄨㄞ</t>
        </is>
      </c>
      <c r="J50" s="19" t="n"/>
      <c r="K50" s="23">
        <f>LEN(E50)</f>
        <v/>
      </c>
      <c r="L50" s="24" t="n"/>
      <c r="M50" s="11">
        <f>E50</f>
        <v/>
      </c>
      <c r="N50" s="11">
        <f>F50</f>
        <v/>
      </c>
      <c r="P50" s="3">
        <f>_xlfn.CONCAT(N50, "(\d)")</f>
        <v/>
      </c>
      <c r="Q50" s="5" t="inlineStr">
        <is>
          <t>i</t>
        </is>
      </c>
      <c r="R50" s="5">
        <f>IFERROR( IF(Q50="", "", SEARCH(Q50, $N50)), "")</f>
        <v/>
      </c>
      <c r="S50" s="3">
        <f>IFERROR( _xlfn.CONCAT(LEFT(N50,R50-1), "》", MID(N50,R50,1), "${1}", RIGHT(N50, LEN(N50)-R50)), "" )</f>
        <v/>
      </c>
      <c r="T50" s="25" t="n"/>
      <c r="U50" s="26">
        <f>IF(AND(N50&lt;&gt;"", M50&lt;&gt;""), "    - xform/》" &amp; P50 &amp; "/" &amp; S50 &amp; "/", "")</f>
        <v/>
      </c>
    </row>
    <row r="51" ht="27.75" customHeight="1" s="69" thickBot="1">
      <c r="A51" s="19" t="n">
        <v>75</v>
      </c>
      <c r="B51" s="20" t="inlineStr">
        <is>
          <t>ueʔ</t>
        </is>
      </c>
      <c r="C51" s="21" t="inlineStr">
        <is>
          <t>ueh</t>
        </is>
      </c>
      <c r="D51" s="19" t="inlineStr">
        <is>
          <t>ueh</t>
        </is>
      </c>
      <c r="E51" s="19" t="inlineStr">
        <is>
          <t>ueh</t>
        </is>
      </c>
      <c r="F51" s="19" t="inlineStr">
        <is>
          <t>ueh</t>
        </is>
      </c>
      <c r="G51" s="22" t="inlineStr">
        <is>
          <t>oeh</t>
        </is>
      </c>
      <c r="H51" s="23" t="inlineStr">
        <is>
          <t>檜促</t>
        </is>
      </c>
      <c r="I51" s="19" t="inlineStr">
        <is>
          <t>ㄨㆤㆷ</t>
        </is>
      </c>
      <c r="J51" s="19" t="n"/>
      <c r="K51" s="23">
        <f>LEN(E51)</f>
        <v/>
      </c>
      <c r="L51" s="24" t="n"/>
      <c r="M51" s="11">
        <f>E51</f>
        <v/>
      </c>
      <c r="N51" s="11">
        <f>F51</f>
        <v/>
      </c>
      <c r="P51" s="3">
        <f>_xlfn.CONCAT(N51, "(\d)")</f>
        <v/>
      </c>
      <c r="Q51" s="5" t="inlineStr">
        <is>
          <t>i</t>
        </is>
      </c>
      <c r="R51" s="5">
        <f>IFERROR( IF(Q51="", "", SEARCH(Q51, $N51)), "")</f>
        <v/>
      </c>
      <c r="S51" s="3">
        <f>IFERROR( _xlfn.CONCAT(LEFT(N51,R51-1), "》", MID(N51,R51,1), "${1}", RIGHT(N51, LEN(N51)-R51)), "" )</f>
        <v/>
      </c>
      <c r="T51" s="25" t="n"/>
      <c r="U51" s="26">
        <f>IF(AND(N51&lt;&gt;"", M51&lt;&gt;""), "    - xform/》" &amp; P51 &amp; "/" &amp; S51 &amp; "/", "")</f>
        <v/>
      </c>
    </row>
    <row r="52" ht="27.75" customHeight="1" s="69" thickBot="1">
      <c r="A52" s="19" t="n">
        <v>82</v>
      </c>
      <c r="B52" s="20" t="inlineStr">
        <is>
          <t>ŋ̍ʔ</t>
        </is>
      </c>
      <c r="C52" s="21" t="inlineStr">
        <is>
          <t>ngh</t>
        </is>
      </c>
      <c r="D52" s="31" t="inlineStr">
        <is>
          <t>ngh</t>
        </is>
      </c>
      <c r="E52" s="31" t="inlineStr">
        <is>
          <t>ngh</t>
        </is>
      </c>
      <c r="F52" s="31" t="inlineStr">
        <is>
          <t>ngh</t>
        </is>
      </c>
      <c r="G52" s="31" t="inlineStr">
        <is>
          <t>ngh</t>
        </is>
      </c>
      <c r="H52" s="35" t="inlineStr">
        <is>
          <t>鋼促</t>
        </is>
      </c>
      <c r="I52" s="34" t="inlineStr">
        <is>
          <t>ㆭㆷ</t>
        </is>
      </c>
      <c r="J52" s="19" t="n"/>
      <c r="K52" s="23">
        <f>LEN(E52)</f>
        <v/>
      </c>
      <c r="L52" s="24" t="n"/>
      <c r="M52" s="11">
        <f>E52</f>
        <v/>
      </c>
      <c r="N52" s="11">
        <f>F52</f>
        <v/>
      </c>
      <c r="P52" s="3">
        <f>_xlfn.CONCAT(N52, "(\d)")</f>
        <v/>
      </c>
      <c r="Q52" s="5" t="inlineStr">
        <is>
          <t>i</t>
        </is>
      </c>
      <c r="R52" s="5">
        <f>IFERROR( IF(Q52="", "", SEARCH(Q52, $N52)), "")</f>
        <v/>
      </c>
      <c r="S52" s="3">
        <f>IFERROR( _xlfn.CONCAT(LEFT(N52,R52-1), "》", MID(N52,R52,1), "${1}", RIGHT(N52, LEN(N52)-R52)), "" )</f>
        <v/>
      </c>
      <c r="T52" s="25" t="n"/>
      <c r="U52" s="26">
        <f>IF(AND(N52&lt;&gt;"", M52&lt;&gt;""), "    - xform/》" &amp; P52 &amp; "/" &amp; S52 &amp; "/", "")</f>
        <v/>
      </c>
    </row>
    <row r="53" ht="27.75" customHeight="1" s="69" thickBot="1">
      <c r="A53" s="19" t="n">
        <v>3</v>
      </c>
      <c r="B53" s="20" t="inlineStr">
        <is>
          <t>aʔ</t>
        </is>
      </c>
      <c r="C53" s="21" t="inlineStr">
        <is>
          <t>ah</t>
        </is>
      </c>
      <c r="D53" s="19" t="inlineStr">
        <is>
          <t>ah</t>
        </is>
      </c>
      <c r="E53" s="19" t="inlineStr">
        <is>
          <t>ah</t>
        </is>
      </c>
      <c r="F53" s="19" t="inlineStr">
        <is>
          <t>ah</t>
        </is>
      </c>
      <c r="G53" s="22" t="inlineStr">
        <is>
          <t>ah</t>
        </is>
      </c>
      <c r="H53" s="23" t="inlineStr">
        <is>
          <t>膠促</t>
        </is>
      </c>
      <c r="I53" s="19" t="inlineStr">
        <is>
          <t>ㄚㆷ</t>
        </is>
      </c>
      <c r="J53" s="19" t="n"/>
      <c r="K53" s="23">
        <f>LEN(E53)</f>
        <v/>
      </c>
      <c r="L53" s="24" t="n"/>
      <c r="M53" s="11">
        <f>E53</f>
        <v/>
      </c>
      <c r="N53" s="11">
        <f>F53</f>
        <v/>
      </c>
      <c r="P53" s="3">
        <f>_xlfn.CONCAT(N53, "(\d)")</f>
        <v/>
      </c>
      <c r="Q53" s="5" t="inlineStr">
        <is>
          <t>o</t>
        </is>
      </c>
      <c r="R53" s="5">
        <f>IFERROR( IF(Q53="", "", SEARCH(Q53, $N53)), "")</f>
        <v/>
      </c>
      <c r="S53" s="3">
        <f>IFERROR( _xlfn.CONCAT(LEFT(N53,R53-1), "》", MID(N53,R53,1), "${1}", RIGHT(N53, LEN(N53)-R53)), "" )</f>
        <v/>
      </c>
      <c r="T53" s="25" t="n"/>
      <c r="U53" s="26">
        <f>IF(AND(N53&lt;&gt;"", M53&lt;&gt;""), "    - xform/》" &amp; P53 &amp; "/" &amp; S53 &amp; "/", "")</f>
        <v/>
      </c>
    </row>
    <row r="54" ht="27.75" customHeight="1" s="69" thickBot="1">
      <c r="A54" s="19" t="n">
        <v>5</v>
      </c>
      <c r="B54" s="20" t="inlineStr">
        <is>
          <t>am</t>
        </is>
      </c>
      <c r="C54" s="21" t="inlineStr">
        <is>
          <t>am</t>
        </is>
      </c>
      <c r="D54" s="19" t="inlineStr">
        <is>
          <t>am</t>
        </is>
      </c>
      <c r="E54" s="19" t="inlineStr">
        <is>
          <t>am</t>
        </is>
      </c>
      <c r="F54" s="19" t="inlineStr">
        <is>
          <t>am</t>
        </is>
      </c>
      <c r="G54" s="22" t="inlineStr">
        <is>
          <t>am</t>
        </is>
      </c>
      <c r="H54" s="23" t="inlineStr">
        <is>
          <t>甘舒</t>
        </is>
      </c>
      <c r="I54" s="19" t="inlineStr">
        <is>
          <t>ㆰ</t>
        </is>
      </c>
      <c r="J54" s="19" t="n"/>
      <c r="K54" s="23">
        <f>LEN(E54)</f>
        <v/>
      </c>
      <c r="L54" s="24" t="n"/>
      <c r="M54" s="11">
        <f>E54</f>
        <v/>
      </c>
      <c r="N54" s="11">
        <f>F54</f>
        <v/>
      </c>
      <c r="P54" s="3">
        <f>_xlfn.CONCAT(N54, "(\d)")</f>
        <v/>
      </c>
      <c r="Q54" s="5" t="inlineStr">
        <is>
          <t>o</t>
        </is>
      </c>
      <c r="R54" s="5">
        <f>IFERROR( IF(Q54="", "", SEARCH(Q54, $N54)), "")</f>
        <v/>
      </c>
      <c r="S54" s="3">
        <f>IFERROR( _xlfn.CONCAT(LEFT(N54,R54-1), "》", MID(N54,R54,1), "${1}", RIGHT(N54, LEN(N54)-R54)), "" )</f>
        <v/>
      </c>
      <c r="T54" s="25" t="n"/>
      <c r="U54" s="26">
        <f>IF(AND(N54&lt;&gt;"", M54&lt;&gt;""), "    - xform/》" &amp; P54 &amp; "/" &amp; S54 &amp; "/", "")</f>
        <v/>
      </c>
    </row>
    <row r="55" ht="27.75" customHeight="1" s="69" thickBot="1">
      <c r="A55" s="19" t="n">
        <v>6</v>
      </c>
      <c r="B55" s="20" t="inlineStr">
        <is>
          <t>an</t>
        </is>
      </c>
      <c r="C55" s="21" t="inlineStr">
        <is>
          <t>an</t>
        </is>
      </c>
      <c r="D55" s="19" t="inlineStr">
        <is>
          <t>an</t>
        </is>
      </c>
      <c r="E55" s="19" t="inlineStr">
        <is>
          <t>an</t>
        </is>
      </c>
      <c r="F55" s="19" t="inlineStr">
        <is>
          <t>an</t>
        </is>
      </c>
      <c r="G55" s="22" t="inlineStr">
        <is>
          <t>an</t>
        </is>
      </c>
      <c r="H55" s="23" t="inlineStr">
        <is>
          <t>干舒</t>
        </is>
      </c>
      <c r="I55" s="19" t="inlineStr">
        <is>
          <t>ㄢ</t>
        </is>
      </c>
      <c r="J55" s="19" t="n"/>
      <c r="K55" s="23">
        <f>LEN(E55)</f>
        <v/>
      </c>
      <c r="L55" s="24" t="n"/>
      <c r="M55" s="11">
        <f>E55</f>
        <v/>
      </c>
      <c r="N55" s="11">
        <f>F55</f>
        <v/>
      </c>
      <c r="P55" s="3">
        <f>_xlfn.CONCAT(N55, "(\d)")</f>
        <v/>
      </c>
      <c r="Q55" s="5" t="inlineStr">
        <is>
          <t>o</t>
        </is>
      </c>
      <c r="R55" s="5">
        <f>IFERROR( IF(Q55="", "", SEARCH(Q55, $N55)), "")</f>
        <v/>
      </c>
      <c r="S55" s="3">
        <f>IFERROR( _xlfn.CONCAT(LEFT(N55,R55-1), "》", MID(N55,R55,1), "${1}", RIGHT(N55, LEN(N55)-R55)), "" )</f>
        <v/>
      </c>
      <c r="T55" s="25" t="n"/>
      <c r="U55" s="26">
        <f>IF(AND(N55&lt;&gt;"", M55&lt;&gt;""), "    - xform/》" &amp; P55 &amp; "/" &amp; S55 &amp; "/", "")</f>
        <v/>
      </c>
    </row>
    <row r="56" ht="27.75" customHeight="1" s="69" thickBot="1">
      <c r="A56" s="19" t="n">
        <v>8</v>
      </c>
      <c r="B56" s="20" t="inlineStr">
        <is>
          <t>ap̚</t>
        </is>
      </c>
      <c r="C56" s="21" t="inlineStr">
        <is>
          <t>ap</t>
        </is>
      </c>
      <c r="D56" s="19" t="inlineStr">
        <is>
          <t>ap</t>
        </is>
      </c>
      <c r="E56" s="19" t="inlineStr">
        <is>
          <t>ap</t>
        </is>
      </c>
      <c r="F56" s="19" t="inlineStr">
        <is>
          <t>ap</t>
        </is>
      </c>
      <c r="G56" s="22" t="inlineStr">
        <is>
          <t>ap</t>
        </is>
      </c>
      <c r="H56" s="23" t="inlineStr">
        <is>
          <t>甘促</t>
        </is>
      </c>
      <c r="I56" s="19" t="inlineStr">
        <is>
          <t>ㄚㆴ</t>
        </is>
      </c>
      <c r="J56" s="19" t="n"/>
      <c r="K56" s="23">
        <f>LEN(E56)</f>
        <v/>
      </c>
      <c r="L56" s="24" t="n"/>
      <c r="M56" s="11">
        <f>E56</f>
        <v/>
      </c>
      <c r="N56" s="11">
        <f>F56</f>
        <v/>
      </c>
      <c r="P56" s="3">
        <f>_xlfn.CONCAT(N56, "(\d)")</f>
        <v/>
      </c>
      <c r="Q56" s="5" t="inlineStr">
        <is>
          <t>o</t>
        </is>
      </c>
      <c r="R56" s="5">
        <f>IFERROR( IF(Q56="", "", SEARCH(Q56, $N56)), "")</f>
        <v/>
      </c>
      <c r="S56" s="3">
        <f>IFERROR( _xlfn.CONCAT(LEFT(N56,R56-1), "》", MID(N56,R56,1), "${1}", RIGHT(N56, LEN(N56)-R56)), "" )</f>
        <v/>
      </c>
      <c r="T56" s="25" t="n"/>
      <c r="U56" s="26">
        <f>IF(AND(N56&lt;&gt;"", M56&lt;&gt;""), "    - xform/》" &amp; P56 &amp; "/" &amp; S56 &amp; "/", "")</f>
        <v/>
      </c>
    </row>
    <row r="57" ht="27.75" customHeight="1" s="69" thickBot="1">
      <c r="A57" s="19" t="n">
        <v>9</v>
      </c>
      <c r="B57" s="20" t="inlineStr">
        <is>
          <t>at̚</t>
        </is>
      </c>
      <c r="C57" s="21" t="inlineStr">
        <is>
          <t>at</t>
        </is>
      </c>
      <c r="D57" s="19" t="inlineStr">
        <is>
          <t>at</t>
        </is>
      </c>
      <c r="E57" s="19" t="inlineStr">
        <is>
          <t>at</t>
        </is>
      </c>
      <c r="F57" s="19" t="inlineStr">
        <is>
          <t>at</t>
        </is>
      </c>
      <c r="G57" s="22" t="inlineStr">
        <is>
          <t>at</t>
        </is>
      </c>
      <c r="H57" s="23" t="inlineStr">
        <is>
          <t>干促</t>
        </is>
      </c>
      <c r="I57" s="19" t="inlineStr">
        <is>
          <t>ㄚㆵ</t>
        </is>
      </c>
      <c r="J57" s="19" t="n"/>
      <c r="K57" s="23">
        <f>LEN(E57)</f>
        <v/>
      </c>
      <c r="L57" s="24" t="n"/>
      <c r="M57" s="11">
        <f>E57</f>
        <v/>
      </c>
      <c r="N57" s="11">
        <f>F57</f>
        <v/>
      </c>
      <c r="P57" s="3">
        <f>_xlfn.CONCAT(N57, "(\d)")</f>
        <v/>
      </c>
      <c r="Q57" s="5" t="inlineStr">
        <is>
          <t>o</t>
        </is>
      </c>
      <c r="R57" s="5">
        <f>IFERROR( IF(Q57="", "", SEARCH(Q57, $N57)), "")</f>
        <v/>
      </c>
      <c r="S57" s="3">
        <f>IFERROR( _xlfn.CONCAT(LEFT(N57,R57-1), "》", MID(N57,R57,1), "${1}", RIGHT(N57, LEN(N57)-R57)), "" )</f>
        <v/>
      </c>
      <c r="T57" s="25" t="n"/>
      <c r="U57" s="26">
        <f>IF(AND(N57&lt;&gt;"", M57&lt;&gt;""), "    - xform/》" &amp; P57 &amp; "/" &amp; S57 &amp; "/", "")</f>
        <v/>
      </c>
    </row>
    <row r="58" ht="27.75" customHeight="1" s="69" thickBot="1">
      <c r="A58" s="19" t="n">
        <v>10</v>
      </c>
      <c r="B58" s="20" t="inlineStr">
        <is>
          <t>ak̚</t>
        </is>
      </c>
      <c r="C58" s="21" t="inlineStr">
        <is>
          <t>ak</t>
        </is>
      </c>
      <c r="D58" s="19" t="inlineStr">
        <is>
          <t>ak</t>
        </is>
      </c>
      <c r="E58" s="19" t="inlineStr">
        <is>
          <t>ak</t>
        </is>
      </c>
      <c r="F58" s="19" t="inlineStr">
        <is>
          <t>ak</t>
        </is>
      </c>
      <c r="G58" s="22" t="inlineStr">
        <is>
          <t>ak</t>
        </is>
      </c>
      <c r="H58" s="23" t="inlineStr">
        <is>
          <t>江促</t>
        </is>
      </c>
      <c r="I58" s="19" t="inlineStr">
        <is>
          <t>ㄚㆻ</t>
        </is>
      </c>
      <c r="J58" s="19" t="n"/>
      <c r="K58" s="23">
        <f>LEN(E58)</f>
        <v/>
      </c>
      <c r="L58" s="24" t="n"/>
      <c r="M58" s="11">
        <f>E58</f>
        <v/>
      </c>
      <c r="N58" s="11">
        <f>F58</f>
        <v/>
      </c>
      <c r="P58" s="3">
        <f>_xlfn.CONCAT(N58, "(\d)")</f>
        <v/>
      </c>
      <c r="Q58" s="5" t="inlineStr">
        <is>
          <t>o</t>
        </is>
      </c>
      <c r="R58" s="5">
        <f>IFERROR( IF(Q58="", "", SEARCH(Q58, $N58)), "")</f>
        <v/>
      </c>
      <c r="S58" s="3">
        <f>IFERROR( _xlfn.CONCAT(LEFT(N58,R58-1), "》", MID(N58,R58,1), "${1}", RIGHT(N58, LEN(N58)-R58)), "" )</f>
        <v/>
      </c>
      <c r="T58" s="25" t="n"/>
      <c r="U58" s="26">
        <f>IF(AND(N58&lt;&gt;"", M58&lt;&gt;""), "    - xform/》" &amp; P58 &amp; "/" &amp; S58 &amp; "/", "")</f>
        <v/>
      </c>
    </row>
    <row r="59" ht="27.75" customHeight="1" s="69" thickBot="1">
      <c r="A59" s="19" t="n">
        <v>11</v>
      </c>
      <c r="B59" s="20" t="inlineStr">
        <is>
          <t>aɪ</t>
        </is>
      </c>
      <c r="C59" s="21" t="inlineStr">
        <is>
          <t>ai</t>
        </is>
      </c>
      <c r="D59" s="19" t="inlineStr">
        <is>
          <t>ai</t>
        </is>
      </c>
      <c r="E59" s="19" t="inlineStr">
        <is>
          <t>ai</t>
        </is>
      </c>
      <c r="F59" s="19" t="inlineStr">
        <is>
          <t>ai</t>
        </is>
      </c>
      <c r="G59" s="22" t="inlineStr">
        <is>
          <t>ai</t>
        </is>
      </c>
      <c r="H59" s="23" t="inlineStr">
        <is>
          <t>皆舒</t>
        </is>
      </c>
      <c r="I59" s="19" t="inlineStr">
        <is>
          <t>ㄞ</t>
        </is>
      </c>
      <c r="J59" s="19" t="n"/>
      <c r="K59" s="23">
        <f>LEN(E59)</f>
        <v/>
      </c>
      <c r="L59" s="24" t="n"/>
      <c r="M59" s="11">
        <f>E59</f>
        <v/>
      </c>
      <c r="N59" s="11">
        <f>F59</f>
        <v/>
      </c>
      <c r="P59" s="3">
        <f>_xlfn.CONCAT(N59, "(\d)")</f>
        <v/>
      </c>
      <c r="Q59" s="5" t="inlineStr">
        <is>
          <t>o</t>
        </is>
      </c>
      <c r="R59" s="5">
        <f>IFERROR( IF(Q59="", "", SEARCH(Q59, $N59)), "")</f>
        <v/>
      </c>
      <c r="S59" s="3">
        <f>IFERROR( _xlfn.CONCAT(LEFT(N59,R59-1), "》", MID(N59,R59,1), "${1}", RIGHT(N59, LEN(N59)-R59)), "" )</f>
        <v/>
      </c>
      <c r="T59" s="25" t="n"/>
      <c r="U59" s="26">
        <f>IF(AND(N59&lt;&gt;"", M59&lt;&gt;""), "    - xform/》" &amp; P59 &amp; "/" &amp; S59 &amp; "/", "")</f>
        <v/>
      </c>
    </row>
    <row r="60" ht="27.75" customHeight="1" s="69" thickBot="1">
      <c r="A60" s="19" t="n">
        <v>14</v>
      </c>
      <c r="B60" s="20" t="inlineStr">
        <is>
          <t>au</t>
        </is>
      </c>
      <c r="C60" s="21" t="inlineStr">
        <is>
          <t>au</t>
        </is>
      </c>
      <c r="D60" s="19" t="inlineStr">
        <is>
          <t>au</t>
        </is>
      </c>
      <c r="E60" s="19" t="inlineStr">
        <is>
          <t>au</t>
        </is>
      </c>
      <c r="F60" s="19" t="inlineStr">
        <is>
          <t>ao</t>
        </is>
      </c>
      <c r="G60" s="22" t="inlineStr">
        <is>
          <t>au</t>
        </is>
      </c>
      <c r="H60" s="23" t="inlineStr">
        <is>
          <t>交舒</t>
        </is>
      </c>
      <c r="I60" s="19" t="inlineStr">
        <is>
          <t>ㄠ</t>
        </is>
      </c>
      <c r="J60" s="19" t="n"/>
      <c r="K60" s="23">
        <f>LEN(E60)</f>
        <v/>
      </c>
      <c r="L60" s="24" t="n"/>
      <c r="M60" s="11">
        <f>E60</f>
        <v/>
      </c>
      <c r="N60" s="11">
        <f>F60</f>
        <v/>
      </c>
      <c r="P60" s="3">
        <f>_xlfn.CONCAT(N60, "(\d)")</f>
        <v/>
      </c>
      <c r="Q60" s="5" t="inlineStr">
        <is>
          <t>o</t>
        </is>
      </c>
      <c r="R60" s="5">
        <f>IFERROR( IF(Q60="", "", SEARCH(Q60, $N60)), "")</f>
        <v/>
      </c>
      <c r="S60" s="3">
        <f>IFERROR( _xlfn.CONCAT(LEFT(N60,R60-1), "》", MID(N60,R60,1), "${1}", RIGHT(N60, LEN(N60)-R60)), "" )</f>
        <v/>
      </c>
      <c r="T60" s="25" t="n"/>
      <c r="U60" s="26">
        <f>IF(AND(N60&lt;&gt;"", M60&lt;&gt;""), "    - xform/》" &amp; P60 &amp; "/" &amp; S60 &amp; "/", "")</f>
        <v/>
      </c>
    </row>
    <row r="61" ht="27.75" customHeight="1" s="69" thickBot="1">
      <c r="A61" s="19" t="n">
        <v>18</v>
      </c>
      <c r="B61" s="20" t="inlineStr">
        <is>
          <t>eʔ</t>
        </is>
      </c>
      <c r="C61" s="21" t="inlineStr">
        <is>
          <t>eh</t>
        </is>
      </c>
      <c r="D61" s="19" t="inlineStr">
        <is>
          <t>eh</t>
        </is>
      </c>
      <c r="E61" s="19" t="inlineStr">
        <is>
          <t>eh</t>
        </is>
      </c>
      <c r="F61" s="19" t="inlineStr">
        <is>
          <t>eh</t>
        </is>
      </c>
      <c r="G61" s="22" t="inlineStr">
        <is>
          <t>eh</t>
        </is>
      </c>
      <c r="H61" s="23" t="inlineStr">
        <is>
          <t>伽促</t>
        </is>
      </c>
      <c r="I61" s="19" t="inlineStr">
        <is>
          <t>ㆤㆷ</t>
        </is>
      </c>
      <c r="J61" s="19" t="n"/>
      <c r="K61" s="23">
        <f>LEN(E61)</f>
        <v/>
      </c>
      <c r="L61" s="24" t="n"/>
      <c r="M61" s="11">
        <f>E61</f>
        <v/>
      </c>
      <c r="N61" s="11">
        <f>F61</f>
        <v/>
      </c>
      <c r="P61" s="3">
        <f>_xlfn.CONCAT(N61, "(\d)")</f>
        <v/>
      </c>
      <c r="Q61" s="5" t="inlineStr">
        <is>
          <t>o</t>
        </is>
      </c>
      <c r="R61" s="5">
        <f>IFERROR( IF(Q61="", "", SEARCH(Q61, $N61)), "")</f>
        <v/>
      </c>
      <c r="S61" s="3">
        <f>IFERROR( _xlfn.CONCAT(LEFT(N61,R61-1), "》", MID(N61,R61,1), "${1}", RIGHT(N61, LEN(N61)-R61)), "" )</f>
        <v/>
      </c>
      <c r="T61" s="25" t="n"/>
      <c r="U61" s="26">
        <f>IF(AND(N61&lt;&gt;"", M61&lt;&gt;""), "    - xform/》" &amp; P61 &amp; "/" &amp; S61 &amp; "/", "")</f>
        <v/>
      </c>
    </row>
    <row r="62" ht="27.75" customHeight="1" s="69" thickBot="1">
      <c r="A62" s="19" t="n">
        <v>22</v>
      </c>
      <c r="B62" s="20" t="inlineStr">
        <is>
          <t>iʔ</t>
        </is>
      </c>
      <c r="C62" s="21" t="inlineStr">
        <is>
          <t>ih</t>
        </is>
      </c>
      <c r="D62" s="19" t="inlineStr">
        <is>
          <t>ih</t>
        </is>
      </c>
      <c r="E62" s="19" t="inlineStr">
        <is>
          <t>ih</t>
        </is>
      </c>
      <c r="F62" s="19" t="inlineStr">
        <is>
          <t>ih</t>
        </is>
      </c>
      <c r="G62" s="22" t="inlineStr">
        <is>
          <t>ih</t>
        </is>
      </c>
      <c r="H62" s="23" t="inlineStr">
        <is>
          <t>居促</t>
        </is>
      </c>
      <c r="I62" s="19" t="inlineStr">
        <is>
          <t>ㄧㆷ</t>
        </is>
      </c>
      <c r="J62" s="19" t="n"/>
      <c r="K62" s="23">
        <f>LEN(E62)</f>
        <v/>
      </c>
      <c r="L62" s="24" t="n"/>
      <c r="M62" s="11">
        <f>E62</f>
        <v/>
      </c>
      <c r="N62" s="11">
        <f>F62</f>
        <v/>
      </c>
      <c r="P62" s="3">
        <f>_xlfn.CONCAT(N62, "(\d)")</f>
        <v/>
      </c>
      <c r="Q62" s="5" t="inlineStr">
        <is>
          <t>o</t>
        </is>
      </c>
      <c r="R62" s="5">
        <f>IFERROR( IF(Q62="", "", SEARCH(Q62, $N62)), "")</f>
        <v/>
      </c>
      <c r="S62" s="3">
        <f>IFERROR( _xlfn.CONCAT(LEFT(N62,R62-1), "》", MID(N62,R62,1), "${1}", RIGHT(N62, LEN(N62)-R62)), "" )</f>
        <v/>
      </c>
      <c r="T62" s="25" t="n"/>
      <c r="U62" s="26">
        <f>IF(AND(N62&lt;&gt;"", M62&lt;&gt;""), "    - xform/》" &amp; P62 &amp; "/" &amp; S62 &amp; "/", "")</f>
        <v/>
      </c>
    </row>
    <row r="63" ht="27.75" customHeight="1" s="69" thickBot="1">
      <c r="A63" s="19" t="n">
        <v>23</v>
      </c>
      <c r="B63" s="20" t="inlineStr">
        <is>
          <t>im</t>
        </is>
      </c>
      <c r="C63" s="21" t="inlineStr">
        <is>
          <t>im</t>
        </is>
      </c>
      <c r="D63" s="19" t="inlineStr">
        <is>
          <t>im</t>
        </is>
      </c>
      <c r="E63" s="19" t="inlineStr">
        <is>
          <t>im</t>
        </is>
      </c>
      <c r="F63" s="19" t="inlineStr">
        <is>
          <t>im</t>
        </is>
      </c>
      <c r="G63" s="22" t="inlineStr">
        <is>
          <t>im</t>
        </is>
      </c>
      <c r="H63" s="23" t="inlineStr">
        <is>
          <t>金舒</t>
        </is>
      </c>
      <c r="I63" s="19" t="inlineStr">
        <is>
          <t>ㄧㆬ</t>
        </is>
      </c>
      <c r="J63" s="19" t="n"/>
      <c r="K63" s="23">
        <f>LEN(E63)</f>
        <v/>
      </c>
      <c r="L63" s="24" t="n"/>
      <c r="M63" s="11">
        <f>E63</f>
        <v/>
      </c>
      <c r="N63" s="11">
        <f>F63</f>
        <v/>
      </c>
      <c r="P63" s="3">
        <f>_xlfn.CONCAT(N63, "(\d)")</f>
        <v/>
      </c>
      <c r="Q63" s="5" t="inlineStr">
        <is>
          <t>u</t>
        </is>
      </c>
      <c r="R63" s="5">
        <f>IFERROR( IF(Q63="", "", SEARCH(Q63, $N63)), "")</f>
        <v/>
      </c>
      <c r="S63" s="3">
        <f>IFERROR( _xlfn.CONCAT(LEFT(N63,R63-1), "》", MID(N63,R63,1), "${1}", RIGHT(N63, LEN(N63)-R63)), "" )</f>
        <v/>
      </c>
      <c r="T63" s="25" t="n"/>
      <c r="U63" s="26">
        <f>IF(AND(N63&lt;&gt;"", M63&lt;&gt;""), "    - xform/》" &amp; P63 &amp; "/" &amp; S63 &amp; "/", "")</f>
        <v/>
      </c>
    </row>
    <row r="64" ht="27.75" customHeight="1" s="69" thickBot="1">
      <c r="A64" s="19" t="n">
        <v>24</v>
      </c>
      <c r="B64" s="20" t="inlineStr">
        <is>
          <t>in</t>
        </is>
      </c>
      <c r="C64" s="21" t="inlineStr">
        <is>
          <t>in</t>
        </is>
      </c>
      <c r="D64" s="19" t="inlineStr">
        <is>
          <t>in</t>
        </is>
      </c>
      <c r="E64" s="19" t="inlineStr">
        <is>
          <t>in</t>
        </is>
      </c>
      <c r="F64" s="19" t="inlineStr">
        <is>
          <t>in</t>
        </is>
      </c>
      <c r="G64" s="22" t="inlineStr">
        <is>
          <t>in</t>
        </is>
      </c>
      <c r="H64" s="23" t="inlineStr">
        <is>
          <t>巾舒</t>
        </is>
      </c>
      <c r="I64" s="19" t="inlineStr">
        <is>
          <t>ㄧㄣ</t>
        </is>
      </c>
      <c r="J64" s="19" t="n"/>
      <c r="K64" s="23">
        <f>LEN(E64)</f>
        <v/>
      </c>
      <c r="L64" s="24" t="n"/>
      <c r="M64" s="11">
        <f>E64</f>
        <v/>
      </c>
      <c r="N64" s="11">
        <f>F64</f>
        <v/>
      </c>
      <c r="P64" s="3">
        <f>_xlfn.CONCAT(N64, "(\d)")</f>
        <v/>
      </c>
      <c r="Q64" s="5" t="inlineStr">
        <is>
          <t>u</t>
        </is>
      </c>
      <c r="R64" s="5">
        <f>IFERROR( IF(Q64="", "", SEARCH(Q64, $N64)), "")</f>
        <v/>
      </c>
      <c r="S64" s="3">
        <f>IFERROR( _xlfn.CONCAT(LEFT(N64,R64-1), "》", MID(N64,R64,1), "${1}", RIGHT(N64, LEN(N64)-R64)), "" )</f>
        <v/>
      </c>
      <c r="T64" s="25" t="n"/>
      <c r="U64" s="26">
        <f>IF(AND(N64&lt;&gt;"", M64&lt;&gt;""), "    - xform/》" &amp; P64 &amp; "/" &amp; S64 &amp; "/", "")</f>
        <v/>
      </c>
    </row>
    <row r="65" ht="27.75" customHeight="1" s="69" thickBot="1">
      <c r="A65" s="19" t="n">
        <v>26</v>
      </c>
      <c r="B65" s="20" t="inlineStr">
        <is>
          <t>ip̚</t>
        </is>
      </c>
      <c r="C65" s="21" t="inlineStr">
        <is>
          <t>ip</t>
        </is>
      </c>
      <c r="D65" s="19" t="inlineStr">
        <is>
          <t>ip</t>
        </is>
      </c>
      <c r="E65" s="19" t="inlineStr">
        <is>
          <t>ip</t>
        </is>
      </c>
      <c r="F65" s="19" t="inlineStr">
        <is>
          <t>ip</t>
        </is>
      </c>
      <c r="G65" s="22" t="inlineStr">
        <is>
          <t>ip</t>
        </is>
      </c>
      <c r="H65" s="23" t="inlineStr">
        <is>
          <t>金促</t>
        </is>
      </c>
      <c r="I65" s="19" t="inlineStr">
        <is>
          <t>一ㆴ</t>
        </is>
      </c>
      <c r="J65" s="19" t="n"/>
      <c r="K65" s="23">
        <f>LEN(E65)</f>
        <v/>
      </c>
      <c r="L65" s="24" t="n"/>
      <c r="M65" s="11">
        <f>E65</f>
        <v/>
      </c>
      <c r="N65" s="11">
        <f>F65</f>
        <v/>
      </c>
      <c r="P65" s="3">
        <f>_xlfn.CONCAT(N65, "(\d)")</f>
        <v/>
      </c>
      <c r="Q65" s="5" t="inlineStr">
        <is>
          <t>u</t>
        </is>
      </c>
      <c r="R65" s="5">
        <f>IFERROR( IF(Q65="", "", SEARCH(Q65, $N65)), "")</f>
        <v/>
      </c>
      <c r="S65" s="3">
        <f>IFERROR( _xlfn.CONCAT(LEFT(N65,R65-1), "》", MID(N65,R65,1), "${1}", RIGHT(N65, LEN(N65)-R65)), "" )</f>
        <v/>
      </c>
      <c r="T65" s="25" t="n"/>
      <c r="U65" s="26">
        <f>IF(AND(N65&lt;&gt;"", M65&lt;&gt;""), "    - xform/》" &amp; P65 &amp; "/" &amp; S65 &amp; "/", "")</f>
        <v/>
      </c>
    </row>
    <row r="66" ht="27.75" customHeight="1" s="69" thickBot="1">
      <c r="A66" s="19" t="n">
        <v>27</v>
      </c>
      <c r="B66" s="20" t="inlineStr">
        <is>
          <t>it̚</t>
        </is>
      </c>
      <c r="C66" s="21" t="inlineStr">
        <is>
          <t>it</t>
        </is>
      </c>
      <c r="D66" s="19" t="inlineStr">
        <is>
          <t>it</t>
        </is>
      </c>
      <c r="E66" s="19" t="inlineStr">
        <is>
          <t>it</t>
        </is>
      </c>
      <c r="F66" s="19" t="inlineStr">
        <is>
          <t>it</t>
        </is>
      </c>
      <c r="G66" s="22" t="inlineStr">
        <is>
          <t>it</t>
        </is>
      </c>
      <c r="H66" s="23" t="inlineStr">
        <is>
          <t>巾促</t>
        </is>
      </c>
      <c r="I66" s="19" t="inlineStr">
        <is>
          <t>ㄧㆵ</t>
        </is>
      </c>
      <c r="J66" s="19" t="n"/>
      <c r="K66" s="23">
        <f>LEN(E66)</f>
        <v/>
      </c>
      <c r="L66" s="24" t="n"/>
      <c r="M66" s="11">
        <f>E66</f>
        <v/>
      </c>
      <c r="N66" s="11">
        <f>F66</f>
        <v/>
      </c>
      <c r="P66" s="3">
        <f>_xlfn.CONCAT(N66, "(\d)")</f>
        <v/>
      </c>
      <c r="Q66" s="5" t="inlineStr">
        <is>
          <t>u</t>
        </is>
      </c>
      <c r="R66" s="5">
        <f>IFERROR( IF(Q66="", "", SEARCH(Q66, $N66)), "")</f>
        <v/>
      </c>
      <c r="S66" s="3">
        <f>IFERROR( _xlfn.CONCAT(LEFT(N66,R66-1), "》", MID(N66,R66,1), "${1}", RIGHT(N66, LEN(N66)-R66)), "" )</f>
        <v/>
      </c>
      <c r="T66" s="25" t="n"/>
      <c r="U66" s="26">
        <f>IF(AND(N66&lt;&gt;"", M66&lt;&gt;""), "    - xform/》" &amp; P66 &amp; "/" &amp; S66 &amp; "/", "")</f>
        <v/>
      </c>
    </row>
    <row r="67" ht="27.75" customHeight="1" s="69" thickBot="1">
      <c r="A67" s="19" t="n">
        <v>28</v>
      </c>
      <c r="B67" s="20" t="inlineStr">
        <is>
          <t>ik̚/ɪək̚</t>
        </is>
      </c>
      <c r="C67" s="21" t="inlineStr">
        <is>
          <t>ik</t>
        </is>
      </c>
      <c r="D67" s="19" t="inlineStr">
        <is>
          <t>ik</t>
        </is>
      </c>
      <c r="E67" s="19" t="inlineStr">
        <is>
          <t>ik</t>
        </is>
      </c>
      <c r="F67" s="19" t="inlineStr">
        <is>
          <t>ik</t>
        </is>
      </c>
      <c r="G67" s="22" t="inlineStr">
        <is>
          <t>ek</t>
        </is>
      </c>
      <c r="H67" s="23" t="inlineStr">
        <is>
          <t>經促</t>
        </is>
      </c>
      <c r="I67" s="19" t="inlineStr">
        <is>
          <t>ㄧㆻ</t>
        </is>
      </c>
      <c r="J67" s="19" t="n"/>
      <c r="K67" s="23">
        <f>LEN(E67)</f>
        <v/>
      </c>
      <c r="L67" s="24" t="n"/>
      <c r="M67" s="11">
        <f>E67</f>
        <v/>
      </c>
      <c r="N67" s="11">
        <f>F67</f>
        <v/>
      </c>
      <c r="P67" s="3">
        <f>_xlfn.CONCAT(N67, "(\d)")</f>
        <v/>
      </c>
      <c r="Q67" s="5" t="inlineStr">
        <is>
          <t>a</t>
        </is>
      </c>
      <c r="R67" s="5">
        <f>IFERROR( IF(Q67="", "", SEARCH(Q67, $N67)), "")</f>
        <v/>
      </c>
      <c r="S67" s="3">
        <f>IFERROR( _xlfn.CONCAT(LEFT(N67,R67-1), "》", MID(N67,R67,1), "${1}", RIGHT(N67, LEN(N67)-R67)), "" )</f>
        <v/>
      </c>
      <c r="T67" s="25" t="n"/>
      <c r="U67" s="26">
        <f>IF(AND(N67&lt;&gt;"", M67&lt;&gt;""), "    - xform/》" &amp; P67 &amp; "/" &amp; S67 &amp; "/", "")</f>
        <v/>
      </c>
    </row>
    <row r="68" ht="27.75" customHeight="1" s="69" thickBot="1">
      <c r="A68" s="19" t="n">
        <v>29</v>
      </c>
      <c r="B68" s="20" t="inlineStr">
        <is>
          <t>ɪa</t>
        </is>
      </c>
      <c r="C68" s="21" t="inlineStr">
        <is>
          <t>ia</t>
        </is>
      </c>
      <c r="D68" s="19" t="inlineStr">
        <is>
          <t>ia</t>
        </is>
      </c>
      <c r="E68" s="19" t="inlineStr">
        <is>
          <t>ia</t>
        </is>
      </c>
      <c r="F68" s="19" t="inlineStr">
        <is>
          <t>ia</t>
        </is>
      </c>
      <c r="G68" s="22" t="inlineStr">
        <is>
          <t>ia</t>
        </is>
      </c>
      <c r="H68" s="23" t="inlineStr">
        <is>
          <t>迦舒</t>
        </is>
      </c>
      <c r="I68" s="19" t="inlineStr">
        <is>
          <t>ㄧㄚ</t>
        </is>
      </c>
      <c r="J68" s="19" t="n"/>
      <c r="K68" s="23">
        <f>LEN(E68)</f>
        <v/>
      </c>
      <c r="L68" s="24" t="n"/>
      <c r="M68" s="11">
        <f>E68</f>
        <v/>
      </c>
      <c r="N68" s="11">
        <f>F68</f>
        <v/>
      </c>
      <c r="P68" s="3">
        <f>_xlfn.CONCAT(N68, "(\d)")</f>
        <v/>
      </c>
      <c r="Q68" s="5" t="inlineStr">
        <is>
          <t>a</t>
        </is>
      </c>
      <c r="R68" s="5">
        <f>IFERROR( IF(Q68="", "", SEARCH(Q68, $N68)), "")</f>
        <v/>
      </c>
      <c r="S68" s="3">
        <f>IFERROR( _xlfn.CONCAT(LEFT(N68,R68-1), "》", MID(N68,R68,1), "${1}", RIGHT(N68, LEN(N68)-R68)), "" )</f>
        <v/>
      </c>
      <c r="T68" s="25" t="n"/>
      <c r="U68" s="26">
        <f>IF(AND(N68&lt;&gt;"", M68&lt;&gt;""), "    - xform/》" &amp; P68 &amp; "/" &amp; S68 &amp; "/", "")</f>
        <v/>
      </c>
    </row>
    <row r="69" ht="27.75" customHeight="1" s="69" thickBot="1">
      <c r="A69" s="19" t="n">
        <v>47</v>
      </c>
      <c r="B69" s="20" t="inlineStr">
        <is>
          <t>iu</t>
        </is>
      </c>
      <c r="C69" s="21" t="inlineStr">
        <is>
          <t>iu</t>
        </is>
      </c>
      <c r="D69" s="19" t="inlineStr">
        <is>
          <t>iu</t>
        </is>
      </c>
      <c r="E69" s="19" t="inlineStr">
        <is>
          <t>iu</t>
        </is>
      </c>
      <c r="F69" s="19" t="inlineStr">
        <is>
          <t>iu</t>
        </is>
      </c>
      <c r="G69" s="22" t="inlineStr">
        <is>
          <t>iu</t>
        </is>
      </c>
      <c r="H69" s="23" t="inlineStr">
        <is>
          <t>丩舒</t>
        </is>
      </c>
      <c r="I69" s="19" t="inlineStr">
        <is>
          <t>ㄧㄨ</t>
        </is>
      </c>
      <c r="J69" s="19" t="n"/>
      <c r="K69" s="23">
        <f>LEN(E69)</f>
        <v/>
      </c>
      <c r="L69" s="24" t="n"/>
      <c r="M69" s="11">
        <f>E69</f>
        <v/>
      </c>
      <c r="N69" s="11">
        <f>F69</f>
        <v/>
      </c>
      <c r="P69" s="3">
        <f>_xlfn.CONCAT(N69, "(\d)")</f>
        <v/>
      </c>
      <c r="Q69" s="5" t="inlineStr">
        <is>
          <t>a</t>
        </is>
      </c>
      <c r="R69" s="5">
        <f>IFERROR( IF(Q69="", "", SEARCH(Q69, $N69)), "")</f>
        <v/>
      </c>
      <c r="S69" s="3">
        <f>IFERROR( _xlfn.CONCAT(LEFT(N69,R69-1), "》", MID(N69,R69,1), "${1}", RIGHT(N69, LEN(N69)-R69)), "" )</f>
        <v/>
      </c>
      <c r="T69" s="25" t="n"/>
      <c r="U69" s="26">
        <f>IF(AND(N69&lt;&gt;"", M69&lt;&gt;""), "    - xform/》" &amp; P69 &amp;  "/"  &amp; S69 &amp;  "/", "")</f>
        <v/>
      </c>
    </row>
    <row r="70" ht="27.75" customHeight="1" s="69" thickBot="1">
      <c r="A70" s="19" t="n">
        <v>50</v>
      </c>
      <c r="B70" s="20" t="inlineStr">
        <is>
          <t>ə/o</t>
        </is>
      </c>
      <c r="C70" s="21" t="inlineStr">
        <is>
          <t>o</t>
        </is>
      </c>
      <c r="D70" s="19" t="inlineStr">
        <is>
          <t>o</t>
        </is>
      </c>
      <c r="E70" s="19" t="inlineStr">
        <is>
          <t>or</t>
        </is>
      </c>
      <c r="F70" s="19" t="inlineStr">
        <is>
          <t>o</t>
        </is>
      </c>
      <c r="G70" s="22" t="inlineStr">
        <is>
          <t>o</t>
        </is>
      </c>
      <c r="H70" s="23" t="inlineStr">
        <is>
          <t>高舒</t>
        </is>
      </c>
      <c r="I70" s="19" t="inlineStr">
        <is>
          <t>ㄜ</t>
        </is>
      </c>
      <c r="J70" s="19" t="n"/>
      <c r="K70" s="23">
        <f>LEN(E70)</f>
        <v/>
      </c>
      <c r="L70" s="24" t="n"/>
      <c r="M70" s="11">
        <f>E70</f>
        <v/>
      </c>
      <c r="N70" s="11">
        <f>F70</f>
        <v/>
      </c>
      <c r="P70" s="3">
        <f>_xlfn.CONCAT(N70, "(\d)")</f>
        <v/>
      </c>
      <c r="Q70" s="5" t="inlineStr">
        <is>
          <t>a</t>
        </is>
      </c>
      <c r="R70" s="5">
        <f>IFERROR( IF(Q70="", "", SEARCH(Q70, $N70)), "")</f>
        <v/>
      </c>
      <c r="S70" s="3">
        <f>IFERROR( _xlfn.CONCAT(LEFT(N70,R70-1), "》", MID(N70,R70,1), "${1}", RIGHT(N70, LEN(N70)-R70)), "" )</f>
        <v/>
      </c>
      <c r="T70" s="25" t="n"/>
      <c r="U70" s="26">
        <f>IF(AND(N70&lt;&gt;"", M70&lt;&gt;""), "    - xform/》" &amp; P70 &amp; "/" &amp; S70 &amp; "/", "")</f>
        <v/>
      </c>
    </row>
    <row r="71" ht="27.75" customHeight="1" s="69" thickBot="1">
      <c r="A71" s="19" t="n">
        <v>51</v>
      </c>
      <c r="B71" s="20" t="inlineStr">
        <is>
          <t>ɔ</t>
        </is>
      </c>
      <c r="C71" s="21" t="inlineStr">
        <is>
          <t>oo</t>
        </is>
      </c>
      <c r="D71" s="19" t="inlineStr">
        <is>
          <t>oo</t>
        </is>
      </c>
      <c r="E71" s="19" t="inlineStr">
        <is>
          <t>oo</t>
        </is>
      </c>
      <c r="F71" s="19" t="inlineStr">
        <is>
          <t>oo</t>
        </is>
      </c>
      <c r="G71" s="22" t="inlineStr">
        <is>
          <t>o͘</t>
        </is>
      </c>
      <c r="H71" s="23" t="inlineStr">
        <is>
          <t>沽舒</t>
        </is>
      </c>
      <c r="I71" s="19" t="inlineStr">
        <is>
          <t>ㆦ</t>
        </is>
      </c>
      <c r="J71" s="19" t="n"/>
      <c r="K71" s="23">
        <f>LEN(E71)</f>
        <v/>
      </c>
      <c r="L71" s="24" t="n"/>
      <c r="M71" s="11">
        <f>E71</f>
        <v/>
      </c>
      <c r="N71" s="11">
        <f>F71</f>
        <v/>
      </c>
      <c r="P71" s="3">
        <f>_xlfn.CONCAT(N71, "(\d)")</f>
        <v/>
      </c>
      <c r="Q71" s="5" t="inlineStr">
        <is>
          <t>a</t>
        </is>
      </c>
      <c r="R71" s="5">
        <f>IFERROR( IF(Q71="", "", SEARCH(Q71, $N71)), "")</f>
        <v/>
      </c>
      <c r="S71" s="3">
        <f>IFERROR( _xlfn.CONCAT(LEFT(N71,R71-1), "》", MID(N71,R71,1), "${1}", RIGHT(N71, LEN(N71)-R71)), "" )</f>
        <v/>
      </c>
      <c r="T71" s="25" t="n"/>
      <c r="U71" s="26">
        <f>IF(AND(N71&lt;&gt;"", M71&lt;&gt;""), "    - xform/》" &amp; P71 &amp; "/" &amp; S71 &amp; "/", "")</f>
        <v/>
      </c>
    </row>
    <row r="72" ht="27.75" customHeight="1" s="69" thickBot="1">
      <c r="A72" s="19" t="n">
        <v>59</v>
      </c>
      <c r="B72" s="20" t="inlineStr">
        <is>
          <t>ɔk̚</t>
        </is>
      </c>
      <c r="C72" s="21" t="inlineStr">
        <is>
          <t>ok</t>
        </is>
      </c>
      <c r="D72" s="19" t="inlineStr">
        <is>
          <t>ok</t>
        </is>
      </c>
      <c r="E72" s="19" t="inlineStr">
        <is>
          <t>ok</t>
        </is>
      </c>
      <c r="F72" s="19" t="inlineStr">
        <is>
          <t>ok</t>
        </is>
      </c>
      <c r="G72" s="22" t="inlineStr">
        <is>
          <t>ok</t>
        </is>
      </c>
      <c r="H72" s="23" t="inlineStr">
        <is>
          <t>公促</t>
        </is>
      </c>
      <c r="I72" s="19" t="inlineStr">
        <is>
          <t>ㆦㆻ</t>
        </is>
      </c>
      <c r="J72" s="19" t="n"/>
      <c r="K72" s="23">
        <f>LEN(E72)</f>
        <v/>
      </c>
      <c r="L72" s="24" t="n"/>
      <c r="M72" s="11">
        <f>E72</f>
        <v/>
      </c>
      <c r="N72" s="11">
        <f>F72</f>
        <v/>
      </c>
      <c r="P72" s="3">
        <f>_xlfn.CONCAT(N72, "(\d)")</f>
        <v/>
      </c>
      <c r="Q72" s="5" t="inlineStr">
        <is>
          <t>a</t>
        </is>
      </c>
      <c r="R72" s="5">
        <f>IFERROR( IF(Q72="", "", SEARCH(Q72, $N72)), "")</f>
        <v/>
      </c>
      <c r="S72" s="3">
        <f>IFERROR( _xlfn.CONCAT(LEFT(N72,R72-1), "》", MID(N72,R72,1), "${1}", RIGHT(N72, LEN(N72)-R72)), "" )</f>
        <v/>
      </c>
      <c r="T72" s="25" t="n"/>
      <c r="U72" s="26">
        <f>IF(AND(N72&lt;&gt;"", M72&lt;&gt;""), "    - xform/》" &amp; P72 &amp; "/" &amp; S72 &amp; "/", "")</f>
        <v/>
      </c>
    </row>
    <row r="73" ht="27.75" customHeight="1" s="69" thickBot="1">
      <c r="A73" s="19" t="n">
        <v>61</v>
      </c>
      <c r="B73" s="20" t="inlineStr">
        <is>
          <t>uʔ</t>
        </is>
      </c>
      <c r="C73" s="21" t="inlineStr">
        <is>
          <t>uh</t>
        </is>
      </c>
      <c r="D73" s="19" t="inlineStr">
        <is>
          <t>uh</t>
        </is>
      </c>
      <c r="E73" s="19" t="inlineStr">
        <is>
          <t>uh</t>
        </is>
      </c>
      <c r="F73" s="19" t="inlineStr">
        <is>
          <t>uh</t>
        </is>
      </c>
      <c r="G73" s="22" t="inlineStr">
        <is>
          <t>uh</t>
        </is>
      </c>
      <c r="H73" s="23" t="inlineStr">
        <is>
          <t>艍促</t>
        </is>
      </c>
      <c r="I73" s="19" t="inlineStr">
        <is>
          <t>ㄨㆷ</t>
        </is>
      </c>
      <c r="J73" s="19" t="n"/>
      <c r="K73" s="23">
        <f>LEN(E73)</f>
        <v/>
      </c>
      <c r="L73" s="24" t="n"/>
      <c r="M73" s="11">
        <f>E73</f>
        <v/>
      </c>
      <c r="N73" s="11">
        <f>F73</f>
        <v/>
      </c>
      <c r="P73" s="3">
        <f>_xlfn.CONCAT(N73, "(\d)")</f>
        <v/>
      </c>
      <c r="Q73" s="5" t="inlineStr">
        <is>
          <t>a</t>
        </is>
      </c>
      <c r="R73" s="5">
        <f>IFERROR( IF(Q73="", "", SEARCH(Q73, $N73)), "")</f>
        <v/>
      </c>
      <c r="S73" s="3">
        <f>IFERROR( _xlfn.CONCAT(LEFT(N73,R73-1), "》", MID(N73,R73,1), "${1}", RIGHT(N73, LEN(N73)-R73)), "" )</f>
        <v/>
      </c>
      <c r="T73" s="25" t="n"/>
      <c r="U73" s="26">
        <f>IF(AND(N73&lt;&gt;"", M73&lt;&gt;""), "    - xform/》" &amp; P73 &amp; "/" &amp; S73 &amp; "/", "")</f>
        <v/>
      </c>
    </row>
    <row r="74" ht="27.75" customHeight="1" s="69" thickBot="1">
      <c r="A74" s="19" t="n">
        <v>62</v>
      </c>
      <c r="B74" s="20" t="inlineStr">
        <is>
          <t>un</t>
        </is>
      </c>
      <c r="C74" s="21" t="inlineStr">
        <is>
          <t>un</t>
        </is>
      </c>
      <c r="D74" s="19" t="inlineStr">
        <is>
          <t>un</t>
        </is>
      </c>
      <c r="E74" s="19" t="inlineStr">
        <is>
          <t>un</t>
        </is>
      </c>
      <c r="F74" s="19" t="inlineStr">
        <is>
          <t>un</t>
        </is>
      </c>
      <c r="G74" s="22" t="inlineStr">
        <is>
          <t>un</t>
        </is>
      </c>
      <c r="H74" s="23" t="inlineStr">
        <is>
          <t>君舒</t>
        </is>
      </c>
      <c r="I74" s="19" t="inlineStr">
        <is>
          <t>ㄨㄣ</t>
        </is>
      </c>
      <c r="J74" s="19" t="n"/>
      <c r="K74" s="23">
        <f>LEN(E74)</f>
        <v/>
      </c>
      <c r="L74" s="24" t="n"/>
      <c r="M74" s="11">
        <f>E74</f>
        <v/>
      </c>
      <c r="N74" s="11">
        <f>F74</f>
        <v/>
      </c>
      <c r="P74" s="3">
        <f>_xlfn.CONCAT(N74, "(\d)")</f>
        <v/>
      </c>
      <c r="Q74" s="5" t="inlineStr">
        <is>
          <t>a</t>
        </is>
      </c>
      <c r="R74" s="5">
        <f>IFERROR( IF(Q74="", "", SEARCH(Q74, $N74)), "")</f>
        <v/>
      </c>
      <c r="S74" s="3">
        <f>IFERROR( _xlfn.CONCAT(LEFT(N74,R74-1), "》", MID(N74,R74,1), "${1}", RIGHT(N74, LEN(N74)-R74)), "" )</f>
        <v/>
      </c>
      <c r="T74" s="25" t="n"/>
      <c r="U74" s="26">
        <f>IF(AND(N74&lt;&gt;"", M74&lt;&gt;""), "    - xform/》" &amp; P74 &amp; "/" &amp; S74 &amp; "/", "")</f>
        <v/>
      </c>
    </row>
    <row r="75" ht="27.75" customHeight="1" s="69" thickBot="1">
      <c r="A75" s="19" t="n">
        <v>63</v>
      </c>
      <c r="B75" s="20" t="inlineStr">
        <is>
          <t>ut̚</t>
        </is>
      </c>
      <c r="C75" s="21" t="inlineStr">
        <is>
          <t>ut</t>
        </is>
      </c>
      <c r="D75" s="19" t="inlineStr">
        <is>
          <t>ut</t>
        </is>
      </c>
      <c r="E75" s="19" t="inlineStr">
        <is>
          <t>ut</t>
        </is>
      </c>
      <c r="F75" s="19" t="inlineStr">
        <is>
          <t>ut</t>
        </is>
      </c>
      <c r="G75" s="22" t="inlineStr">
        <is>
          <t>ut</t>
        </is>
      </c>
      <c r="H75" s="23" t="inlineStr">
        <is>
          <t>君促</t>
        </is>
      </c>
      <c r="I75" s="19" t="inlineStr">
        <is>
          <t>ㄨㆵ</t>
        </is>
      </c>
      <c r="J75" s="19" t="n"/>
      <c r="K75" s="23">
        <f>LEN(E75)</f>
        <v/>
      </c>
      <c r="L75" s="24" t="n"/>
      <c r="M75" s="11">
        <f>E75</f>
        <v/>
      </c>
      <c r="N75" s="11">
        <f>F75</f>
        <v/>
      </c>
      <c r="P75" s="3">
        <f>_xlfn.CONCAT(N75, "(\d)")</f>
        <v/>
      </c>
      <c r="Q75" s="5" t="inlineStr">
        <is>
          <t>a</t>
        </is>
      </c>
      <c r="R75" s="5">
        <f>IFERROR( IF(Q75="", "", SEARCH(Q75, $N75)), "")</f>
        <v/>
      </c>
      <c r="S75" s="3">
        <f>IFERROR( _xlfn.CONCAT(LEFT(N75,R75-1), "》", MID(N75,R75,1), "${1}", RIGHT(N75, LEN(N75)-R75)), "" )</f>
        <v/>
      </c>
      <c r="T75" s="25" t="n"/>
      <c r="U75" s="26">
        <f>IF(AND(N75&lt;&gt;"", M75&lt;&gt;""), "    - xform/》" &amp; P75 &amp; "/" &amp; S75 &amp; "/", "")</f>
        <v/>
      </c>
    </row>
    <row r="76" ht="27.75" customHeight="1" s="69" thickBot="1">
      <c r="A76" s="19" t="n">
        <v>64</v>
      </c>
      <c r="B76" s="20" t="inlineStr">
        <is>
          <t>ua</t>
        </is>
      </c>
      <c r="C76" s="21" t="inlineStr">
        <is>
          <t>ua</t>
        </is>
      </c>
      <c r="D76" s="19" t="inlineStr">
        <is>
          <t>ua</t>
        </is>
      </c>
      <c r="E76" s="19" t="inlineStr">
        <is>
          <t>ua</t>
        </is>
      </c>
      <c r="F76" s="19" t="inlineStr">
        <is>
          <t>ua</t>
        </is>
      </c>
      <c r="G76" s="22" t="inlineStr">
        <is>
          <t>oa</t>
        </is>
      </c>
      <c r="H76" s="23" t="inlineStr">
        <is>
          <t>瓜舒</t>
        </is>
      </c>
      <c r="I76" s="19" t="inlineStr">
        <is>
          <t>ㄨㄚ</t>
        </is>
      </c>
      <c r="J76" s="19" t="n"/>
      <c r="K76" s="23">
        <f>LEN(E76)</f>
        <v/>
      </c>
      <c r="L76" s="24" t="n"/>
      <c r="M76" s="11">
        <f>E76</f>
        <v/>
      </c>
      <c r="N76" s="11">
        <f>F76</f>
        <v/>
      </c>
      <c r="P76" s="3">
        <f>_xlfn.CONCAT(N76, "(\d)")</f>
        <v/>
      </c>
      <c r="Q76" s="5" t="inlineStr">
        <is>
          <t>a</t>
        </is>
      </c>
      <c r="R76" s="5">
        <f>IFERROR( IF(Q76="", "", SEARCH(Q76, $N76)), "")</f>
        <v/>
      </c>
      <c r="S76" s="3">
        <f>IFERROR( _xlfn.CONCAT(LEFT(N76,R76-1), "》", MID(N76,R76,1), "${1}", RIGHT(N76, LEN(N76)-R76)), "" )</f>
        <v/>
      </c>
      <c r="T76" s="25" t="n"/>
      <c r="U76" s="26">
        <f>IF(AND(N76&lt;&gt;"", M76&lt;&gt;""), "    - xform/》" &amp; P76 &amp; "/" &amp; S76 &amp; "/", "")</f>
        <v/>
      </c>
    </row>
    <row r="77" ht="27.75" customHeight="1" s="69" thickBot="1">
      <c r="A77" s="19" t="n">
        <v>74</v>
      </c>
      <c r="B77" s="20" t="inlineStr">
        <is>
          <t>ue</t>
        </is>
      </c>
      <c r="C77" s="21" t="inlineStr">
        <is>
          <t>ue</t>
        </is>
      </c>
      <c r="D77" s="19" t="inlineStr">
        <is>
          <t>ue</t>
        </is>
      </c>
      <c r="E77" s="19" t="inlineStr">
        <is>
          <t>ue</t>
        </is>
      </c>
      <c r="F77" s="19" t="inlineStr">
        <is>
          <t>ue</t>
        </is>
      </c>
      <c r="G77" s="22" t="inlineStr">
        <is>
          <t>oe</t>
        </is>
      </c>
      <c r="H77" s="23" t="inlineStr">
        <is>
          <t>檜舒</t>
        </is>
      </c>
      <c r="I77" s="19" t="inlineStr">
        <is>
          <t>ㄨㆤ</t>
        </is>
      </c>
      <c r="J77" s="19" t="n"/>
      <c r="K77" s="23">
        <f>LEN(E77)</f>
        <v/>
      </c>
      <c r="L77" s="24" t="n"/>
      <c r="M77" s="11">
        <f>E77</f>
        <v/>
      </c>
      <c r="N77" s="11">
        <f>F77</f>
        <v/>
      </c>
      <c r="P77" s="3">
        <f>_xlfn.CONCAT(N77, "(\d)")</f>
        <v/>
      </c>
      <c r="Q77" s="5" t="inlineStr">
        <is>
          <t>u</t>
        </is>
      </c>
      <c r="R77" s="5">
        <f>IFERROR( IF(Q77="", "", SEARCH(Q77, $N77)), "")</f>
        <v/>
      </c>
      <c r="S77" s="3">
        <f>IFERROR( _xlfn.CONCAT(LEFT(N77,R77-1), "》", MID(N77,R77,1), "${1}", RIGHT(N77, LEN(N77)-R77)), "" )</f>
        <v/>
      </c>
      <c r="T77" s="25" t="n"/>
      <c r="U77" s="26">
        <f>IF(AND(N77&lt;&gt;"", M77&lt;&gt;""), "    - xform/》" &amp; P77 &amp; "/" &amp; S77 &amp; "/", "")</f>
        <v/>
      </c>
    </row>
    <row r="78" ht="27.75" customHeight="1" s="69" thickBot="1">
      <c r="A78" s="19" t="n">
        <v>76</v>
      </c>
      <c r="B78" s="20" t="inlineStr">
        <is>
          <t>ui</t>
        </is>
      </c>
      <c r="C78" s="21" t="inlineStr">
        <is>
          <t>ui</t>
        </is>
      </c>
      <c r="D78" s="19" t="inlineStr">
        <is>
          <t>ui</t>
        </is>
      </c>
      <c r="E78" s="19" t="inlineStr">
        <is>
          <t>ui</t>
        </is>
      </c>
      <c r="F78" s="19" t="inlineStr">
        <is>
          <t>ui</t>
        </is>
      </c>
      <c r="G78" s="22" t="inlineStr">
        <is>
          <t>ui</t>
        </is>
      </c>
      <c r="H78" s="23" t="inlineStr">
        <is>
          <t>規舒</t>
        </is>
      </c>
      <c r="I78" s="19" t="inlineStr">
        <is>
          <t>ㄨㄧ</t>
        </is>
      </c>
      <c r="J78" s="19" t="n"/>
      <c r="K78" s="23">
        <f>LEN(E78)</f>
        <v/>
      </c>
      <c r="L78" s="24" t="n"/>
      <c r="M78" s="11">
        <f>E78</f>
        <v/>
      </c>
      <c r="N78" s="11">
        <f>F78</f>
        <v/>
      </c>
      <c r="P78" s="3">
        <f>_xlfn.CONCAT(N78, "(\d)")</f>
        <v/>
      </c>
      <c r="Q78" s="5" t="inlineStr">
        <is>
          <t>u</t>
        </is>
      </c>
      <c r="R78" s="5">
        <f>IFERROR( IF(Q78="", "", SEARCH(Q78, $N78)), "")</f>
        <v/>
      </c>
      <c r="S78" s="3">
        <f>IFERROR( _xlfn.CONCAT(LEFT(N78,R78-1), "》", MID(N78,R78,1), "${1}", RIGHT(N78, LEN(N78)-R78)), "" )</f>
        <v/>
      </c>
      <c r="T78" s="25" t="n"/>
      <c r="U78" s="26">
        <f>IF(AND(N78&lt;&gt;"", M78&lt;&gt;""), "    - xform/》" &amp; P78 &amp; "/" &amp; S78 &amp; "/", "")</f>
        <v/>
      </c>
    </row>
    <row r="79" ht="27.75" customHeight="1" s="69" thickBot="1">
      <c r="A79" s="19" t="n">
        <v>80</v>
      </c>
      <c r="B79" s="20" t="inlineStr">
        <is>
          <t>m̩ʔ</t>
        </is>
      </c>
      <c r="C79" s="21" t="inlineStr">
        <is>
          <t>mh</t>
        </is>
      </c>
      <c r="D79" s="31" t="inlineStr">
        <is>
          <t>mh</t>
        </is>
      </c>
      <c r="E79" s="31" t="inlineStr">
        <is>
          <t>mh</t>
        </is>
      </c>
      <c r="F79" s="31" t="inlineStr">
        <is>
          <t>mh</t>
        </is>
      </c>
      <c r="G79" s="31" t="inlineStr">
        <is>
          <t>mh</t>
        </is>
      </c>
      <c r="H79" s="35" t="inlineStr">
        <is>
          <t>姆促</t>
        </is>
      </c>
      <c r="I79" s="34" t="inlineStr">
        <is>
          <t>ㆬㆷ</t>
        </is>
      </c>
      <c r="J79" s="19" t="n"/>
      <c r="K79" s="23">
        <f>LEN(E79)</f>
        <v/>
      </c>
      <c r="L79" s="24" t="n"/>
      <c r="M79" s="11">
        <f>E79</f>
        <v/>
      </c>
      <c r="N79" s="11">
        <f>F79</f>
        <v/>
      </c>
      <c r="P79" s="3">
        <f>_xlfn.CONCAT(N79, "(\d)")</f>
        <v/>
      </c>
      <c r="Q79" s="5" t="inlineStr">
        <is>
          <t>u</t>
        </is>
      </c>
      <c r="R79" s="5">
        <f>IFERROR( IF(Q79="", "", SEARCH(Q79, $N79)), "")</f>
        <v/>
      </c>
      <c r="S79" s="3">
        <f>IFERROR( _xlfn.CONCAT(LEFT(N79,R79-1), "》", MID(N79,R79,1), "${1}", RIGHT(N79, LEN(N79)-R79)), "" )</f>
        <v/>
      </c>
      <c r="T79" s="25" t="n"/>
      <c r="U79" s="26">
        <f>IF(AND(N79&lt;&gt;"", M79&lt;&gt;""), "    - xform/》" &amp; P79 &amp; "/" &amp; S79 &amp; "/", "")</f>
        <v/>
      </c>
    </row>
    <row r="80" ht="27.75" customHeight="1" s="69" thickBot="1">
      <c r="A80" s="19" t="n">
        <v>81</v>
      </c>
      <c r="B80" s="20" t="inlineStr">
        <is>
          <t>ŋ̍</t>
        </is>
      </c>
      <c r="C80" s="21" t="inlineStr">
        <is>
          <t>ng</t>
        </is>
      </c>
      <c r="D80" s="19" t="inlineStr">
        <is>
          <t>ng</t>
        </is>
      </c>
      <c r="E80" s="19" t="inlineStr">
        <is>
          <t>ng</t>
        </is>
      </c>
      <c r="F80" s="19" t="inlineStr">
        <is>
          <t>ng</t>
        </is>
      </c>
      <c r="G80" s="22" t="inlineStr">
        <is>
          <t>ng</t>
        </is>
      </c>
      <c r="H80" s="23" t="inlineStr">
        <is>
          <t>鋼舒</t>
        </is>
      </c>
      <c r="I80" s="19" t="inlineStr">
        <is>
          <t>ㆭ</t>
        </is>
      </c>
      <c r="J80" s="19" t="n"/>
      <c r="K80" s="23">
        <f>LEN(E80)</f>
        <v/>
      </c>
      <c r="L80" s="24" t="n"/>
      <c r="M80" s="11">
        <f>E80</f>
        <v/>
      </c>
      <c r="N80" s="11">
        <f>F80</f>
        <v/>
      </c>
      <c r="P80" s="3">
        <f>_xlfn.CONCAT(N80, "(\d)")</f>
        <v/>
      </c>
      <c r="Q80" s="5" t="inlineStr">
        <is>
          <t>u</t>
        </is>
      </c>
      <c r="R80" s="5">
        <f>IFERROR( IF(Q80="", "", SEARCH(Q80, $N80)), "")</f>
        <v/>
      </c>
      <c r="S80" s="3">
        <f>IFERROR( _xlfn.CONCAT(LEFT(N80,R80-1), "》", MID(N80,R80,1), "${1}", RIGHT(N80, LEN(N80)-R80)), "" )</f>
        <v/>
      </c>
      <c r="T80" s="25" t="n"/>
      <c r="U80" s="26">
        <f>IF(AND(N80&lt;&gt;"", M80&lt;&gt;""), "    - xform/》" &amp; P80 &amp; "/" &amp; S80 &amp; "/", "")</f>
        <v/>
      </c>
    </row>
    <row r="81" ht="27.75" customHeight="1" s="69" thickBot="1">
      <c r="A81" s="19" t="n">
        <v>1</v>
      </c>
      <c r="B81" s="20" t="inlineStr">
        <is>
          <t>a</t>
        </is>
      </c>
      <c r="C81" s="21" t="inlineStr">
        <is>
          <t>a</t>
        </is>
      </c>
      <c r="D81" s="19" t="inlineStr">
        <is>
          <t>a</t>
        </is>
      </c>
      <c r="E81" s="19" t="inlineStr">
        <is>
          <t>a</t>
        </is>
      </c>
      <c r="F81" s="19" t="inlineStr">
        <is>
          <t>a</t>
        </is>
      </c>
      <c r="G81" s="22" t="inlineStr">
        <is>
          <t>a</t>
        </is>
      </c>
      <c r="H81" s="23" t="inlineStr">
        <is>
          <t>膠舒</t>
        </is>
      </c>
      <c r="I81" s="19" t="inlineStr">
        <is>
          <t>ㄚ</t>
        </is>
      </c>
      <c r="J81" s="19" t="n"/>
      <c r="K81" s="23">
        <f>LEN(E81)</f>
        <v/>
      </c>
      <c r="L81" s="24" t="n"/>
      <c r="M81" s="11">
        <f>E81</f>
        <v/>
      </c>
      <c r="N81" s="11">
        <f>F81</f>
        <v/>
      </c>
      <c r="P81" s="3">
        <f>_xlfn.CONCAT(N81, "(\d)")</f>
        <v/>
      </c>
      <c r="Q81" s="5" t="inlineStr">
        <is>
          <t>u</t>
        </is>
      </c>
      <c r="R81" s="5">
        <f>IFERROR( IF(Q81="", "", SEARCH(Q81, $N81)), "")</f>
        <v/>
      </c>
      <c r="S81" s="3">
        <f>IFERROR( _xlfn.CONCAT(LEFT(N81,R81-1), "》", MID(N81,R81,1), "${1}", RIGHT(N81, LEN(N81)-R81)), "" )</f>
        <v/>
      </c>
      <c r="T81" s="25" t="n"/>
      <c r="U81" s="26">
        <f>IF(AND(N81&lt;&gt;"", M81&lt;&gt;""), "    - xform/》" &amp; P81 &amp; "/" &amp; S81 &amp; "/", "")</f>
        <v/>
      </c>
    </row>
    <row r="82" ht="27.75" customHeight="1" s="69" thickBot="1">
      <c r="A82" s="19" t="n">
        <v>16</v>
      </c>
      <c r="B82" s="20" t="inlineStr">
        <is>
          <t>e</t>
        </is>
      </c>
      <c r="C82" s="21" t="inlineStr">
        <is>
          <t>e</t>
        </is>
      </c>
      <c r="D82" s="19" t="inlineStr">
        <is>
          <t>ei</t>
        </is>
      </c>
      <c r="E82" s="19" t="inlineStr">
        <is>
          <t>e</t>
        </is>
      </c>
      <c r="F82" s="19" t="inlineStr">
        <is>
          <t>e</t>
        </is>
      </c>
      <c r="G82" s="22" t="inlineStr">
        <is>
          <t>e</t>
        </is>
      </c>
      <c r="H82" s="23" t="inlineStr">
        <is>
          <t>稽舒</t>
        </is>
      </c>
      <c r="I82" s="19" t="inlineStr">
        <is>
          <t>ㆤ</t>
        </is>
      </c>
      <c r="J82" s="19" t="n"/>
      <c r="K82" s="23">
        <f>LEN(E82)</f>
        <v/>
      </c>
      <c r="L82" s="24" t="n"/>
      <c r="M82" s="11">
        <f>E82</f>
        <v/>
      </c>
      <c r="N82" s="11">
        <f>F82</f>
        <v/>
      </c>
      <c r="P82" s="3">
        <f>_xlfn.CONCAT(N82, "(\d)")</f>
        <v/>
      </c>
      <c r="Q82" s="5" t="inlineStr">
        <is>
          <t>m</t>
        </is>
      </c>
      <c r="R82" s="5">
        <f>IFERROR( IF(Q82="", "", SEARCH(Q82, $N82)), "")</f>
        <v/>
      </c>
      <c r="S82" s="3">
        <f>IFERROR( _xlfn.CONCAT(LEFT(N82,R82-1), "》", MID(N82,R82,1), "${1}", RIGHT(N82, LEN(N82)-R82)), "" )</f>
        <v/>
      </c>
      <c r="T82" s="25" t="n"/>
      <c r="U82" s="26">
        <f>IF(AND(N82&lt;&gt;"", M82&lt;&gt;""), "    - xform/》" &amp; P82 &amp; "/" &amp; S82 &amp; "/", "")</f>
        <v/>
      </c>
    </row>
    <row r="83" ht="27.75" customHeight="1" s="69" thickBot="1">
      <c r="A83" s="19" t="n">
        <v>20</v>
      </c>
      <c r="B83" s="20" t="inlineStr">
        <is>
          <t>i</t>
        </is>
      </c>
      <c r="C83" s="21" t="inlineStr">
        <is>
          <t>i</t>
        </is>
      </c>
      <c r="D83" s="19" t="inlineStr">
        <is>
          <t>i</t>
        </is>
      </c>
      <c r="E83" s="19" t="inlineStr">
        <is>
          <t>i</t>
        </is>
      </c>
      <c r="F83" s="19" t="inlineStr">
        <is>
          <t>i</t>
        </is>
      </c>
      <c r="G83" s="22" t="inlineStr">
        <is>
          <t>i</t>
        </is>
      </c>
      <c r="H83" s="23" t="inlineStr">
        <is>
          <t>居舒</t>
        </is>
      </c>
      <c r="I83" s="19" t="inlineStr">
        <is>
          <t>ㄧ</t>
        </is>
      </c>
      <c r="J83" s="19" t="n"/>
      <c r="K83" s="23">
        <f>LEN(E83)</f>
        <v/>
      </c>
      <c r="L83" s="24" t="n"/>
      <c r="M83" s="11">
        <f>E83</f>
        <v/>
      </c>
      <c r="N83" s="11">
        <f>F83</f>
        <v/>
      </c>
      <c r="P83" s="3">
        <f>_xlfn.CONCAT(N83, "(\d)")</f>
        <v/>
      </c>
      <c r="Q83" s="5" t="inlineStr">
        <is>
          <t>m</t>
        </is>
      </c>
      <c r="R83" s="5">
        <f>IFERROR( IF(Q83="", "", SEARCH(Q83, $N83)), "")</f>
        <v/>
      </c>
      <c r="S83" s="3">
        <f>IFERROR( _xlfn.CONCAT(LEFT(N83,R83-1), "》", MID(N83,R83,1), "${1}", RIGHT(N83, LEN(N83)-R83)), "" )</f>
        <v/>
      </c>
      <c r="T83" s="25" t="n"/>
      <c r="U83" s="26">
        <f>IF(AND(N83&lt;&gt;"", M83&lt;&gt;""), "    - xform/》" &amp; P83 &amp; "/" &amp; S83 &amp; "/", "")</f>
        <v/>
      </c>
    </row>
    <row r="84" ht="27.75" customHeight="1" s="69" thickBot="1">
      <c r="A84" s="19" t="n">
        <v>60</v>
      </c>
      <c r="B84" s="20" t="inlineStr">
        <is>
          <t>u</t>
        </is>
      </c>
      <c r="C84" s="21" t="inlineStr">
        <is>
          <t>u</t>
        </is>
      </c>
      <c r="D84" s="19" t="inlineStr">
        <is>
          <t>u</t>
        </is>
      </c>
      <c r="E84" s="19" t="inlineStr">
        <is>
          <t>u</t>
        </is>
      </c>
      <c r="F84" s="19" t="inlineStr">
        <is>
          <t>u</t>
        </is>
      </c>
      <c r="G84" s="22" t="inlineStr">
        <is>
          <t>u</t>
        </is>
      </c>
      <c r="H84" s="23" t="inlineStr">
        <is>
          <t>艍舒</t>
        </is>
      </c>
      <c r="I84" s="19" t="inlineStr">
        <is>
          <t>ㄨ</t>
        </is>
      </c>
      <c r="J84" s="19" t="n"/>
      <c r="K84" s="23">
        <f>LEN(E84)</f>
        <v/>
      </c>
      <c r="L84" s="24" t="n"/>
      <c r="M84" s="11">
        <f>E84</f>
        <v/>
      </c>
      <c r="N84" s="11">
        <f>F84</f>
        <v/>
      </c>
      <c r="P84" s="3">
        <f>_xlfn.CONCAT(N84, "(\d)")</f>
        <v/>
      </c>
      <c r="Q84" s="5" t="inlineStr">
        <is>
          <t>n</t>
        </is>
      </c>
      <c r="R84" s="5">
        <f>IFERROR( IF(Q84="", "", SEARCH(Q84, $N84)), "")</f>
        <v/>
      </c>
      <c r="S84" s="3">
        <f>IFERROR( _xlfn.CONCAT(LEFT(N84,R84-1), "》", MID(N84,R84,1), "${1}", RIGHT(N84, LEN(N84)-R84)), "" )</f>
        <v/>
      </c>
      <c r="T84" s="25" t="n"/>
      <c r="U84" s="26">
        <f>IF(AND(N84&lt;&gt;"", M84&lt;&gt;""), "    - xform/》" &amp; P84 &amp; "/" &amp; S84 &amp; "/", "")</f>
        <v/>
      </c>
    </row>
    <row r="85" ht="27.75" customHeight="1" s="69" thickBot="1">
      <c r="A85" s="19" t="n">
        <v>79</v>
      </c>
      <c r="B85" s="20" t="inlineStr">
        <is>
          <t>m̩</t>
        </is>
      </c>
      <c r="C85" s="21" t="inlineStr">
        <is>
          <t>m</t>
        </is>
      </c>
      <c r="D85" s="19" t="inlineStr">
        <is>
          <t>m</t>
        </is>
      </c>
      <c r="E85" s="19" t="inlineStr">
        <is>
          <t>m</t>
        </is>
      </c>
      <c r="F85" s="19" t="inlineStr">
        <is>
          <t>m</t>
        </is>
      </c>
      <c r="G85" s="22" t="inlineStr">
        <is>
          <t>m</t>
        </is>
      </c>
      <c r="H85" s="23" t="inlineStr">
        <is>
          <t>姆舒</t>
        </is>
      </c>
      <c r="I85" s="19" t="inlineStr">
        <is>
          <t>ㆬ</t>
        </is>
      </c>
      <c r="J85" s="19" t="n"/>
      <c r="K85" s="23">
        <f>LEN(E85)</f>
        <v/>
      </c>
      <c r="L85" s="24" t="n"/>
      <c r="M85" s="11">
        <f>E85</f>
        <v/>
      </c>
      <c r="N85" s="11">
        <f>F85</f>
        <v/>
      </c>
      <c r="P85" s="3">
        <f>_xlfn.CONCAT(N85, "(\d)")</f>
        <v/>
      </c>
      <c r="Q85" s="5" t="inlineStr">
        <is>
          <t>n</t>
        </is>
      </c>
      <c r="R85" s="5">
        <f>IFERROR( IF(Q85="", "", SEARCH(Q85, $N85)), "")</f>
        <v/>
      </c>
      <c r="S85" s="3">
        <f>IFERROR( _xlfn.CONCAT(LEFT(N85,R85-1), "》", MID(N85,R85,1), "${1}", RIGHT(N85, LEN(N85)-R85)), "" )</f>
        <v/>
      </c>
      <c r="T85" s="25" t="n"/>
      <c r="U85" s="26">
        <f>IF(AND(N85&lt;&gt;"", M85&lt;&gt;""), "    - xform/》" &amp; P85 &amp; "/" &amp; S85 &amp; "/", "")</f>
        <v/>
      </c>
    </row>
    <row r="86" ht="27" customHeight="1" s="69" thickBot="1"/>
    <row r="87" ht="48.75" customHeight="1" s="69" thickBot="1">
      <c r="B87" s="11" t="inlineStr">
        <is>
          <t>Unicode 編碼</t>
        </is>
      </c>
      <c r="C87" s="11" t="inlineStr">
        <is>
          <t>實例</t>
        </is>
      </c>
      <c r="D87" s="11" t="inlineStr">
        <is>
          <t>實例</t>
        </is>
      </c>
    </row>
    <row r="88" ht="27.75" customHeight="1" s="69" thickBot="1">
      <c r="B88" s="19" t="inlineStr">
        <is>
          <t>U+0303</t>
        </is>
      </c>
      <c r="C88" s="19">
        <f>HEX2DEC(VALUE(RIGHT(B88,4)))</f>
        <v/>
      </c>
      <c r="D88" s="19">
        <f>_xlfn.CONCAT("a", _xlfn.UNICHAR(HEX2DEC(RIGHT(B88,4))))</f>
        <v/>
      </c>
    </row>
    <row r="89" ht="27.75" customHeight="1" s="69" thickBot="1">
      <c r="B89" s="19" t="inlineStr">
        <is>
          <t>U+0294</t>
        </is>
      </c>
      <c r="C89" s="19">
        <f>HEX2DEC(VALUE(RIGHT(B89,4)))</f>
        <v/>
      </c>
      <c r="D89" s="19">
        <f>_xlfn.CONCAT("a", _xlfn.UNICHAR(HEX2DEC(RIGHT(B89,4))))</f>
        <v/>
      </c>
    </row>
    <row r="90" ht="27" customHeight="1" s="69" thickBot="1"/>
    <row r="91" ht="27" customHeight="1" s="69" thickBot="1">
      <c r="B91" s="11" t="inlineStr">
        <is>
          <t>U+0856</t>
        </is>
      </c>
      <c r="C91" s="11">
        <f>HEX2DEC(VALUE(RIGHT(B91,4)))</f>
        <v/>
      </c>
      <c r="D91" s="11">
        <f>_xlfn.CONCAT("o", _xlfn.UNICHAR( RIGHT(B91,4)))</f>
        <v/>
      </c>
    </row>
    <row r="92" ht="27" customHeight="1" s="69" thickBot="1">
      <c r="B92" s="11" t="inlineStr">
        <is>
          <t>o͘</t>
        </is>
      </c>
      <c r="C92" s="11">
        <f>_xlfn.UNICODE( RIGHT(B92,1) )</f>
        <v/>
      </c>
      <c r="D92" s="11">
        <f>_xlfn.CONCAT("o", _xlfn.UNICHAR(C92))</f>
        <v/>
      </c>
    </row>
    <row r="93" ht="27" customHeight="1" s="69" thickBot="1"/>
    <row r="94" ht="27" customHeight="1" s="69" thickBot="1">
      <c r="B94" s="11" t="inlineStr">
        <is>
          <t>[əŋ]</t>
        </is>
      </c>
      <c r="C94" s="11" t="inlineStr">
        <is>
          <t>ㄥ</t>
        </is>
      </c>
    </row>
    <row r="95" ht="27" customHeight="1" s="69" thickBot="1">
      <c r="B95" s="11" t="inlineStr">
        <is>
          <t>[ŋ̍]</t>
        </is>
      </c>
      <c r="C95" s="11" t="inlineStr">
        <is>
          <t>ㆭ</t>
        </is>
      </c>
    </row>
    <row r="97">
      <c r="A97" s="1">
        <f>"(""" &amp; _xlfn.TEXTJOIN(""",""",TRUE,F4:F85) &amp; """)"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97"/>
  <sheetViews>
    <sheetView showGridLines="0" workbookViewId="0">
      <pane ySplit="3" topLeftCell="A59" activePane="bottomLeft" state="frozen"/>
      <selection pane="bottomLeft" activeCell="G64" sqref="G64"/>
    </sheetView>
  </sheetViews>
  <sheetFormatPr baseColWidth="8" defaultRowHeight="26.25"/>
  <cols>
    <col width="8.375" customWidth="1" style="2" min="1" max="1"/>
    <col width="15.375" customWidth="1" style="2" min="2" max="5"/>
    <col outlineLevel="1" width="15.375" customWidth="1" style="2" min="6" max="10"/>
    <col width="15.375" customWidth="1" style="2" min="11" max="13"/>
    <col width="7.75" customWidth="1" style="2" min="14" max="14"/>
    <col width="5.25" customWidth="1" style="2" min="15" max="15"/>
    <col width="15.125" customWidth="1" style="52" min="16" max="16"/>
    <col width="15.125" customWidth="1" style="2" min="17" max="17"/>
    <col width="2.875" customWidth="1" style="2" min="18" max="18"/>
    <col width="15.5" customWidth="1" style="3" min="19" max="19"/>
    <col width="16.75" customWidth="1" style="3" min="20" max="20"/>
    <col width="4.5" customWidth="1" style="2" min="21" max="21"/>
    <col width="51.75" customWidth="1" style="6" min="22" max="22"/>
    <col width="9" customWidth="1" style="2" min="23" max="23"/>
    <col width="7.5" customWidth="1" style="7" min="24" max="35"/>
    <col width="19.375" bestFit="1" customWidth="1" style="8" min="36" max="41"/>
    <col width="19.875" customWidth="1" style="8" min="42" max="44"/>
    <col width="19.875" customWidth="1" style="2" min="45" max="45"/>
    <col width="9" customWidth="1" style="2" min="46" max="46"/>
    <col width="9" customWidth="1" style="2" min="47" max="16384"/>
  </cols>
  <sheetData>
    <row r="1" ht="46.5" customHeight="1" s="69">
      <c r="A1" s="1" t="n"/>
      <c r="C1" s="1" t="n"/>
      <c r="D1" s="1" t="n"/>
      <c r="E1" s="1" t="n"/>
      <c r="J1" s="1" t="n"/>
      <c r="K1" s="1" t="n"/>
      <c r="L1" s="1" t="n"/>
      <c r="M1" s="1" t="n"/>
      <c r="N1" s="1" t="n"/>
    </row>
    <row r="2" ht="27" customHeight="1" s="69" thickBot="1">
      <c r="A2" s="9" t="inlineStr">
        <is>
          <t>響度優先次第： a &gt; oo &gt; (e = o) &gt; (i = u)〈低元音 &gt; 高元音 &gt; 無擦通音 &gt; 擦音 &gt; 塞音〉</t>
        </is>
      </c>
      <c r="C2" s="1" t="n"/>
      <c r="D2" s="1" t="n"/>
      <c r="E2" s="1" t="n"/>
      <c r="J2" s="1" t="n"/>
      <c r="K2" s="1" t="n"/>
      <c r="L2" s="1" t="n"/>
      <c r="M2" s="1" t="n"/>
      <c r="N2" s="1" t="n"/>
      <c r="V2" s="10" t="n"/>
      <c r="Y2" s="7" t="n">
        <v>1</v>
      </c>
      <c r="Z2" s="7" t="n">
        <v>2</v>
      </c>
      <c r="AA2" s="7" t="n">
        <v>3</v>
      </c>
      <c r="AB2" s="7" t="n">
        <v>4</v>
      </c>
      <c r="AC2" s="7" t="n">
        <v>5</v>
      </c>
      <c r="AD2" s="7" t="n">
        <v>6</v>
      </c>
      <c r="AE2" s="7" t="n">
        <v>7</v>
      </c>
      <c r="AF2" s="7" t="n">
        <v>8</v>
      </c>
      <c r="AG2" s="7" t="n">
        <v>9</v>
      </c>
      <c r="AH2" s="7" t="n">
        <v>9</v>
      </c>
    </row>
    <row r="3" ht="48.75" customHeight="1" s="69" thickBot="1">
      <c r="A3" s="11" t="inlineStr">
        <is>
          <t>序號</t>
        </is>
      </c>
      <c r="B3" s="12" t="inlineStr">
        <is>
          <t>國際音標</t>
        </is>
      </c>
      <c r="C3" s="12" t="inlineStr">
        <is>
          <t>台羅拼音</t>
        </is>
      </c>
      <c r="D3" s="12" t="inlineStr">
        <is>
          <t>L台羅拼音</t>
        </is>
      </c>
      <c r="E3" s="11" t="inlineStr">
        <is>
          <t>台語音標</t>
        </is>
      </c>
      <c r="F3" s="11" t="inlineStr">
        <is>
          <t>台語注音二式</t>
        </is>
      </c>
      <c r="G3" s="11" t="inlineStr">
        <is>
          <t>L台語注音二式</t>
        </is>
      </c>
      <c r="H3" s="11" t="inlineStr">
        <is>
          <t>閩拼方案</t>
        </is>
      </c>
      <c r="I3" s="11" t="inlineStr">
        <is>
          <t>白話字</t>
        </is>
      </c>
      <c r="J3" s="11" t="inlineStr">
        <is>
          <t>十五音</t>
        </is>
      </c>
      <c r="K3" s="11" t="inlineStr">
        <is>
          <t>方音符號</t>
        </is>
      </c>
      <c r="L3" s="11" t="inlineStr">
        <is>
          <t>台語注音</t>
        </is>
      </c>
      <c r="M3" s="11" t="inlineStr">
        <is>
          <t>聲韻調類</t>
        </is>
      </c>
      <c r="N3" s="11" t="inlineStr">
        <is>
          <t>字長</t>
        </is>
      </c>
      <c r="O3" s="13" t="n"/>
      <c r="P3" s="51">
        <f>G3</f>
        <v/>
      </c>
      <c r="Q3" s="11">
        <f>K3</f>
        <v/>
      </c>
      <c r="S3" s="11">
        <f>P3</f>
        <v/>
      </c>
      <c r="T3" s="11">
        <f>K3</f>
        <v/>
      </c>
      <c r="V3" s="14" t="n"/>
      <c r="X3" s="16" t="n"/>
      <c r="Z3" s="17" t="inlineStr">
        <is>
          <t>U+0301</t>
        </is>
      </c>
      <c r="AA3" s="17" t="inlineStr">
        <is>
          <t>U+0300</t>
        </is>
      </c>
      <c r="AB3" s="17" t="n"/>
      <c r="AC3" s="17" t="inlineStr">
        <is>
          <t>U+030C</t>
        </is>
      </c>
      <c r="AD3" s="17" t="inlineStr">
        <is>
          <t>U+0301</t>
        </is>
      </c>
      <c r="AE3" s="17" t="inlineStr">
        <is>
          <t>U+0304</t>
        </is>
      </c>
      <c r="AF3" s="17" t="inlineStr">
        <is>
          <t>U+030D</t>
        </is>
      </c>
      <c r="AG3" s="17" t="inlineStr">
        <is>
          <t>U+030B</t>
        </is>
      </c>
      <c r="AH3" s="17" t="inlineStr">
        <is>
          <t>U+030A</t>
        </is>
      </c>
      <c r="AI3" s="18" t="n"/>
    </row>
    <row r="4" ht="27.75" customHeight="1" s="69" thickBot="1">
      <c r="A4" s="19" t="n">
        <v>73</v>
      </c>
      <c r="B4" s="20" t="inlineStr">
        <is>
          <t>uãiʔ</t>
        </is>
      </c>
      <c r="C4" s="21" t="inlineStr">
        <is>
          <t>uainnh</t>
        </is>
      </c>
      <c r="D4" s="21" t="inlineStr">
        <is>
          <t>Luaih</t>
        </is>
      </c>
      <c r="E4" s="19" t="inlineStr">
        <is>
          <t>uaihnn</t>
        </is>
      </c>
      <c r="F4" s="19" t="inlineStr">
        <is>
          <t>uainnh</t>
        </is>
      </c>
      <c r="G4" s="19" t="inlineStr">
        <is>
          <t>Luaih</t>
        </is>
      </c>
      <c r="H4" s="31" t="inlineStr">
        <is>
          <t>uainnh</t>
        </is>
      </c>
      <c r="I4" s="22" t="inlineStr">
        <is>
          <t>oaihⁿ</t>
        </is>
      </c>
      <c r="J4" s="23" t="inlineStr">
        <is>
          <t>閂促</t>
        </is>
      </c>
      <c r="K4" s="19" t="inlineStr">
        <is>
          <t>ㄨㆮㆷ</t>
        </is>
      </c>
      <c r="L4" s="19" t="inlineStr">
        <is>
          <t>⁰ㄨㄞㄏ</t>
        </is>
      </c>
      <c r="M4" s="29" t="inlineStr">
        <is>
          <t>韻-鼻</t>
        </is>
      </c>
      <c r="N4" s="23">
        <f>LEN(C4)</f>
        <v/>
      </c>
      <c r="O4" s="24" t="n"/>
      <c r="P4" s="51">
        <f>G4</f>
        <v/>
      </c>
      <c r="Q4" s="51">
        <f>K4</f>
        <v/>
      </c>
      <c r="S4" s="3">
        <f>_xlfn.CONCAT(P4)</f>
        <v/>
      </c>
      <c r="T4" s="3">
        <f>IFERROR( _xlfn.CONCAT(Q4, ""), "" )</f>
        <v/>
      </c>
      <c r="U4" s="25" t="n"/>
      <c r="V4" s="26">
        <f>IF(AND(Q4&lt;&gt;"", P4&lt;&gt;""), "    - xform/》" &amp; S4 &amp;  "/"  &amp; T4 &amp;  "》/", "")</f>
        <v/>
      </c>
      <c r="X4" s="7" t="inlineStr">
        <is>
          <t>a</t>
        </is>
      </c>
      <c r="Y4" s="27">
        <f>_xlfn.CONCAT($X4, IF(Y$3="", "", _xlfn.UNICHAR( HEX2DEC( RIGHT(Y$3,4)))))</f>
        <v/>
      </c>
      <c r="Z4" s="27">
        <f>_xlfn.CONCAT($X4, IF(Z$3="", "", _xlfn.UNICHAR( HEX2DEC( RIGHT(Z$3,4)))))</f>
        <v/>
      </c>
      <c r="AA4" s="27">
        <f>_xlfn.CONCAT($X4, IF(AA$3="", "", _xlfn.UNICHAR( HEX2DEC( RIGHT(AA$3,4)))))</f>
        <v/>
      </c>
      <c r="AB4" s="27">
        <f>_xlfn.CONCAT($X4, IF(AB$3="", "", _xlfn.UNICHAR( HEX2DEC( RIGHT(AB$3,4)))))</f>
        <v/>
      </c>
      <c r="AC4" s="27">
        <f>_xlfn.CONCAT($X4, IF(AC$3="", "", _xlfn.UNICHAR( HEX2DEC( RIGHT(AC$3,4)))))</f>
        <v/>
      </c>
      <c r="AD4" s="27">
        <f>_xlfn.CONCAT($X4, IF(AD$3="", "", _xlfn.UNICHAR( HEX2DEC( RIGHT(AD$3,4)))))</f>
        <v/>
      </c>
      <c r="AE4" s="27">
        <f>_xlfn.CONCAT($X4, IF(AE$3="", "", _xlfn.UNICHAR( HEX2DEC( RIGHT(AE$3,4)))))</f>
        <v/>
      </c>
      <c r="AF4" s="27">
        <f>_xlfn.CONCAT($X4, IF(AF$3="", "", _xlfn.UNICHAR( HEX2DEC( RIGHT(AF$3,4)))))</f>
        <v/>
      </c>
      <c r="AG4" s="27">
        <f>_xlfn.CONCAT($X4, IF(AG$3="", "", _xlfn.UNICHAR( HEX2DEC( RIGHT(AG$3,4)))))</f>
        <v/>
      </c>
      <c r="AH4" s="27">
        <f>_xlfn.CONCAT($X4, IF(AH$3="", "", _xlfn.UNICHAR( HEX2DEC( RIGHT(AH$3,4)))))</f>
        <v/>
      </c>
      <c r="AJ4" s="28">
        <f>_xlfn.CONCAT("    - xform/》", $X4, Y$2, "/", Y4, "/")</f>
        <v/>
      </c>
      <c r="AK4" s="28">
        <f>_xlfn.CONCAT("    - xform/》", $X4, Z$2, "/", Z4, "/")</f>
        <v/>
      </c>
      <c r="AL4" s="28">
        <f>_xlfn.CONCAT("    - xform/》", $X4, AA$2, "/", AA4, "/")</f>
        <v/>
      </c>
      <c r="AM4" s="28">
        <f>_xlfn.CONCAT("    - xform/》", $X4, AB$2, "/", AB4, "/")</f>
        <v/>
      </c>
      <c r="AN4" s="28">
        <f>_xlfn.CONCAT("    - xform/》", $X4, AC$2, "/", AC4, "/")</f>
        <v/>
      </c>
      <c r="AO4" s="28">
        <f>_xlfn.CONCAT("    - xform/》", $X4, AD$2, "/", AD4, "/")</f>
        <v/>
      </c>
      <c r="AP4" s="28">
        <f>_xlfn.CONCAT("    - xform/》", $X4, AE$2, "/", AE4, "/")</f>
        <v/>
      </c>
      <c r="AQ4" s="28">
        <f>_xlfn.CONCAT("    - xform/》", $X4, AF$2, "/", AF4, "/")</f>
        <v/>
      </c>
      <c r="AR4" s="28">
        <f>_xlfn.CONCAT("    - xform/》", $X4, AG$2, "/", AG4, "/")</f>
        <v/>
      </c>
      <c r="AS4" s="28">
        <f>_xlfn.CONCAT("    - xform/》", $X4, AH$2, "/", AH4, "/")</f>
        <v/>
      </c>
      <c r="AT4" s="27" t="n"/>
      <c r="AU4" s="27" t="n"/>
      <c r="AV4" s="7" t="n"/>
    </row>
    <row r="5" ht="30.75" customHeight="1" s="69" thickBot="1">
      <c r="A5" s="19" t="n">
        <v>32</v>
      </c>
      <c r="B5" s="20" t="inlineStr">
        <is>
          <t>iãʔ</t>
        </is>
      </c>
      <c r="C5" s="21" t="inlineStr">
        <is>
          <t>iannh</t>
        </is>
      </c>
      <c r="D5" s="21" t="inlineStr">
        <is>
          <t>Liah</t>
        </is>
      </c>
      <c r="E5" s="31" t="inlineStr">
        <is>
          <t>iannh</t>
        </is>
      </c>
      <c r="F5" s="31" t="inlineStr">
        <is>
          <t>iannh</t>
        </is>
      </c>
      <c r="G5" s="31" t="inlineStr">
        <is>
          <t>Liah</t>
        </is>
      </c>
      <c r="H5" s="31" t="inlineStr">
        <is>
          <t>iannh</t>
        </is>
      </c>
      <c r="I5" s="31" t="inlineStr">
        <is>
          <t>iaⁿh</t>
        </is>
      </c>
      <c r="J5" s="32" t="inlineStr">
        <is>
          <t>迦促</t>
        </is>
      </c>
      <c r="K5" s="33" t="inlineStr">
        <is>
          <t>ㄧㆩㆷ</t>
        </is>
      </c>
      <c r="L5" s="19" t="inlineStr">
        <is>
          <t>⁰ㄧㄚㄏ</t>
        </is>
      </c>
      <c r="M5" s="29" t="inlineStr">
        <is>
          <t>韻-鼻</t>
        </is>
      </c>
      <c r="N5" s="23">
        <f>LEN(C5)</f>
        <v/>
      </c>
      <c r="O5" s="24" t="n"/>
      <c r="P5" s="51">
        <f>G5</f>
        <v/>
      </c>
      <c r="Q5" s="51">
        <f>K5</f>
        <v/>
      </c>
      <c r="S5" s="3">
        <f>_xlfn.CONCAT(P5)</f>
        <v/>
      </c>
      <c r="T5" s="3">
        <f>IFERROR( _xlfn.CONCAT(Q5, ""), "" )</f>
        <v/>
      </c>
      <c r="U5" s="25" t="n"/>
      <c r="V5" s="26">
        <f>IF(AND(Q5&lt;&gt;"", P5&lt;&gt;""), "    - xform/》" &amp; S5 &amp;  "/"  &amp; T5 &amp;  "》/", "")</f>
        <v/>
      </c>
      <c r="X5" s="7" t="inlineStr">
        <is>
          <t>i</t>
        </is>
      </c>
      <c r="Y5" s="27">
        <f>_xlfn.CONCAT($X5, IF(Y$3="", "", _xlfn.UNICHAR( HEX2DEC( RIGHT(Y$3,4)))))</f>
        <v/>
      </c>
      <c r="Z5" s="27">
        <f>_xlfn.CONCAT($X5, IF(Z$3="", "", _xlfn.UNICHAR( HEX2DEC( RIGHT(Z$3,4)))))</f>
        <v/>
      </c>
      <c r="AA5" s="27">
        <f>_xlfn.CONCAT($X5, IF(AA$3="", "", _xlfn.UNICHAR( HEX2DEC( RIGHT(AA$3,4)))))</f>
        <v/>
      </c>
      <c r="AB5" s="27">
        <f>_xlfn.CONCAT($X5, IF(AB$3="", "", _xlfn.UNICHAR( HEX2DEC( RIGHT(AB$3,4)))))</f>
        <v/>
      </c>
      <c r="AC5" s="27">
        <f>_xlfn.CONCAT($X5, IF(AC$3="", "", _xlfn.UNICHAR( HEX2DEC( RIGHT(AC$3,4)))))</f>
        <v/>
      </c>
      <c r="AD5" s="27">
        <f>_xlfn.CONCAT($X5, IF(AD$3="", "", _xlfn.UNICHAR( HEX2DEC( RIGHT(AD$3,4)))))</f>
        <v/>
      </c>
      <c r="AE5" s="27">
        <f>_xlfn.CONCAT($X5, IF(AE$3="", "", _xlfn.UNICHAR( HEX2DEC( RIGHT(AE$3,4)))))</f>
        <v/>
      </c>
      <c r="AF5" s="27">
        <f>_xlfn.CONCAT($X5, IF(AF$3="", "", _xlfn.UNICHAR( HEX2DEC( RIGHT(AF$3,4)))))</f>
        <v/>
      </c>
      <c r="AG5" s="27">
        <f>_xlfn.CONCAT($X5, IF(AG$3="", "", _xlfn.UNICHAR( HEX2DEC( RIGHT(AG$3,4)))))</f>
        <v/>
      </c>
      <c r="AH5" s="27">
        <f>_xlfn.CONCAT($X5, IF(AH$3="", "", _xlfn.UNICHAR( HEX2DEC( RIGHT(AH$3,4)))))</f>
        <v/>
      </c>
      <c r="AJ5" s="28">
        <f>_xlfn.CONCAT("    - xform/》", $X5, Y$2, "/", Y5, "/")</f>
        <v/>
      </c>
      <c r="AK5" s="28">
        <f>_xlfn.CONCAT("    - xform/》", $X5, Z$2, "/", Z5, "/")</f>
        <v/>
      </c>
      <c r="AL5" s="28">
        <f>_xlfn.CONCAT("    - xform/》", $X5, AA$2, "/", AA5, "/")</f>
        <v/>
      </c>
      <c r="AM5" s="28">
        <f>_xlfn.CONCAT("    - xform/》", $X5, AB$2, "/", AB5, "/")</f>
        <v/>
      </c>
      <c r="AN5" s="28">
        <f>_xlfn.CONCAT("    - xform/》", $X5, AC$2, "/", AC5, "/")</f>
        <v/>
      </c>
      <c r="AO5" s="28">
        <f>_xlfn.CONCAT("    - xform/》", $X5, AD$2, "/", AD5, "/")</f>
        <v/>
      </c>
      <c r="AP5" s="28">
        <f>_xlfn.CONCAT("    - xform/》", $X5, AE$2, "/", AE5, "/")</f>
        <v/>
      </c>
      <c r="AQ5" s="28">
        <f>_xlfn.CONCAT("    - xform/》", $X5, AF$2, "/", AF5, "/")</f>
        <v/>
      </c>
      <c r="AR5" s="28">
        <f>_xlfn.CONCAT("    - xform/》", $X5, AG$2, "/", AG5, "/")</f>
        <v/>
      </c>
      <c r="AS5" s="28">
        <f>_xlfn.CONCAT("    - xform/》", $X5, AH$2, "/", AH5, "/")</f>
        <v/>
      </c>
      <c r="AT5" s="27" t="n"/>
      <c r="AU5" s="27" t="n"/>
      <c r="AV5" s="7" t="n"/>
    </row>
    <row r="6" ht="27.75" customHeight="1" s="69" thickBot="1">
      <c r="A6" s="19" t="n">
        <v>40</v>
      </c>
      <c r="B6" s="20" t="inlineStr">
        <is>
          <t>ɪãu</t>
        </is>
      </c>
      <c r="C6" s="21" t="inlineStr">
        <is>
          <t>iaunn</t>
        </is>
      </c>
      <c r="D6" s="21" t="inlineStr">
        <is>
          <t>Liau</t>
        </is>
      </c>
      <c r="E6" s="19" t="inlineStr">
        <is>
          <t>iaunn</t>
        </is>
      </c>
      <c r="F6" s="19" t="inlineStr">
        <is>
          <t>iaunn</t>
        </is>
      </c>
      <c r="G6" s="19" t="inlineStr">
        <is>
          <t>Liau</t>
        </is>
      </c>
      <c r="H6" s="19" t="inlineStr">
        <is>
          <t>niao</t>
        </is>
      </c>
      <c r="I6" s="22" t="inlineStr">
        <is>
          <t>iauⁿ</t>
        </is>
      </c>
      <c r="J6" s="23" t="inlineStr">
        <is>
          <t>嘄舒</t>
        </is>
      </c>
      <c r="K6" s="19" t="inlineStr">
        <is>
          <t>ㄧㆯ</t>
        </is>
      </c>
      <c r="L6" s="19" t="inlineStr">
        <is>
          <t>⁰ㄧㄠ</t>
        </is>
      </c>
      <c r="M6" s="29" t="inlineStr">
        <is>
          <t>韻-鼻</t>
        </is>
      </c>
      <c r="N6" s="23">
        <f>LEN(C6)</f>
        <v/>
      </c>
      <c r="O6" s="24" t="n"/>
      <c r="P6" s="51">
        <f>G6</f>
        <v/>
      </c>
      <c r="Q6" s="51">
        <f>K6</f>
        <v/>
      </c>
      <c r="S6" s="3">
        <f>_xlfn.CONCAT(P6)</f>
        <v/>
      </c>
      <c r="T6" s="3">
        <f>IFERROR( _xlfn.CONCAT(Q6, ""), "" )</f>
        <v/>
      </c>
      <c r="U6" s="25" t="n"/>
      <c r="V6" s="26">
        <f>IF(AND(Q6&lt;&gt;"", P6&lt;&gt;""), "    - xform/》" &amp; S6 &amp; "/" &amp; T6 &amp; "》/", "")</f>
        <v/>
      </c>
      <c r="X6" s="7" t="inlineStr">
        <is>
          <t>u</t>
        </is>
      </c>
      <c r="Y6" s="27">
        <f>_xlfn.CONCAT($X6, IF(Y$3="", "", _xlfn.UNICHAR( HEX2DEC( RIGHT(Y$3,4)))))</f>
        <v/>
      </c>
      <c r="Z6" s="27">
        <f>_xlfn.CONCAT($X6, IF(Z$3="", "", _xlfn.UNICHAR( HEX2DEC( RIGHT(Z$3,4)))))</f>
        <v/>
      </c>
      <c r="AA6" s="27">
        <f>_xlfn.CONCAT($X6, IF(AA$3="", "", _xlfn.UNICHAR( HEX2DEC( RIGHT(AA$3,4)))))</f>
        <v/>
      </c>
      <c r="AB6" s="27">
        <f>_xlfn.CONCAT($X6, IF(AB$3="", "", _xlfn.UNICHAR( HEX2DEC( RIGHT(AB$3,4)))))</f>
        <v/>
      </c>
      <c r="AC6" s="27">
        <f>_xlfn.CONCAT($X6, IF(AC$3="", "", _xlfn.UNICHAR( HEX2DEC( RIGHT(AC$3,4)))))</f>
        <v/>
      </c>
      <c r="AD6" s="27">
        <f>_xlfn.CONCAT($X6, IF(AD$3="", "", _xlfn.UNICHAR( HEX2DEC( RIGHT(AD$3,4)))))</f>
        <v/>
      </c>
      <c r="AE6" s="27">
        <f>_xlfn.CONCAT($X6, IF(AE$3="", "", _xlfn.UNICHAR( HEX2DEC( RIGHT(AE$3,4)))))</f>
        <v/>
      </c>
      <c r="AF6" s="27">
        <f>_xlfn.CONCAT($X6, IF(AF$3="", "", _xlfn.UNICHAR( HEX2DEC( RIGHT(AF$3,4)))))</f>
        <v/>
      </c>
      <c r="AG6" s="27">
        <f>_xlfn.CONCAT($X6, IF(AG$3="", "", _xlfn.UNICHAR( HEX2DEC( RIGHT(AG$3,4)))))</f>
        <v/>
      </c>
      <c r="AH6" s="27">
        <f>_xlfn.CONCAT($X6, IF(AH$3="", "", _xlfn.UNICHAR( HEX2DEC( RIGHT(AH$3,4)))))</f>
        <v/>
      </c>
      <c r="AJ6" s="28">
        <f>_xlfn.CONCAT("    - xform/》", $X6, Y$2, "/", Y6, "/")</f>
        <v/>
      </c>
      <c r="AK6" s="28">
        <f>_xlfn.CONCAT("    - xform/》", $X6, Z$2, "/", Z6, "/")</f>
        <v/>
      </c>
      <c r="AL6" s="28">
        <f>_xlfn.CONCAT("    - xform/》", $X6, AA$2, "/", AA6, "/")</f>
        <v/>
      </c>
      <c r="AM6" s="28">
        <f>_xlfn.CONCAT("    - xform/》", $X6, AB$2, "/", AB6, "/")</f>
        <v/>
      </c>
      <c r="AN6" s="28">
        <f>_xlfn.CONCAT("    - xform/》", $X6, AC$2, "/", AC6, "/")</f>
        <v/>
      </c>
      <c r="AO6" s="28">
        <f>_xlfn.CONCAT("    - xform/》", $X6, AD$2, "/", AD6, "/")</f>
        <v/>
      </c>
      <c r="AP6" s="28">
        <f>_xlfn.CONCAT("    - xform/》", $X6, AE$2, "/", AE6, "/")</f>
        <v/>
      </c>
      <c r="AQ6" s="28">
        <f>_xlfn.CONCAT("    - xform/》", $X6, AF$2, "/", AF6, "/")</f>
        <v/>
      </c>
      <c r="AR6" s="28">
        <f>_xlfn.CONCAT("    - xform/》", $X6, AG$2, "/", AG6, "/")</f>
        <v/>
      </c>
      <c r="AS6" s="28">
        <f>_xlfn.CONCAT("    - xform/》", $X6, AH$2, "/", AH6, "/")</f>
        <v/>
      </c>
      <c r="AT6" s="27" t="n"/>
      <c r="AU6" s="27" t="n"/>
      <c r="AV6" s="7" t="n"/>
    </row>
    <row r="7" ht="30.75" customHeight="1" s="69" thickBot="1">
      <c r="A7" s="19" t="n">
        <v>49</v>
      </c>
      <c r="B7" s="20" t="inlineStr">
        <is>
          <t>iũʔ</t>
        </is>
      </c>
      <c r="C7" s="21" t="inlineStr">
        <is>
          <t>iunnh</t>
        </is>
      </c>
      <c r="D7" s="21" t="inlineStr">
        <is>
          <t>Liuh</t>
        </is>
      </c>
      <c r="E7" s="31" t="inlineStr">
        <is>
          <t>iunnh</t>
        </is>
      </c>
      <c r="F7" s="31" t="inlineStr">
        <is>
          <t>iunnh</t>
        </is>
      </c>
      <c r="G7" s="31" t="inlineStr">
        <is>
          <t>Liuh</t>
        </is>
      </c>
      <c r="H7" s="31" t="inlineStr">
        <is>
          <t>niuh</t>
        </is>
      </c>
      <c r="I7" s="31" t="inlineStr">
        <is>
          <t>iuⁿh</t>
        </is>
      </c>
      <c r="J7" s="32" t="inlineStr">
        <is>
          <t>牛促</t>
        </is>
      </c>
      <c r="K7" s="33" t="inlineStr">
        <is>
          <t>ㄧㆫㆷ</t>
        </is>
      </c>
      <c r="L7" s="19" t="inlineStr">
        <is>
          <t>⁰ㄧㄨㄏ</t>
        </is>
      </c>
      <c r="M7" s="29" t="inlineStr">
        <is>
          <t>韻-鼻</t>
        </is>
      </c>
      <c r="N7" s="23">
        <f>LEN(C7)</f>
        <v/>
      </c>
      <c r="O7" s="24" t="n"/>
      <c r="P7" s="51">
        <f>G7</f>
        <v/>
      </c>
      <c r="Q7" s="51">
        <f>K7</f>
        <v/>
      </c>
      <c r="S7" s="3">
        <f>_xlfn.CONCAT(P7)</f>
        <v/>
      </c>
      <c r="T7" s="3">
        <f>IFERROR( _xlfn.CONCAT(Q7, ""), "" )</f>
        <v/>
      </c>
      <c r="U7" s="25" t="n"/>
      <c r="V7" s="26">
        <f>IF(AND(Q7&lt;&gt;"", P7&lt;&gt;""), "    - xform/》" &amp; S7 &amp; "/" &amp; T7 &amp; "》/", "")</f>
        <v/>
      </c>
      <c r="X7" s="7" t="inlineStr">
        <is>
          <t>e</t>
        </is>
      </c>
      <c r="Y7" s="27">
        <f>_xlfn.CONCAT($X7, IF(Y$3="", "", _xlfn.UNICHAR( HEX2DEC( RIGHT(Y$3,4)))))</f>
        <v/>
      </c>
      <c r="Z7" s="27">
        <f>_xlfn.CONCAT($X7, IF(Z$3="", "", _xlfn.UNICHAR( HEX2DEC( RIGHT(Z$3,4)))))</f>
        <v/>
      </c>
      <c r="AA7" s="27">
        <f>_xlfn.CONCAT($X7, IF(AA$3="", "", _xlfn.UNICHAR( HEX2DEC( RIGHT(AA$3,4)))))</f>
        <v/>
      </c>
      <c r="AB7" s="27">
        <f>_xlfn.CONCAT($X7, IF(AB$3="", "", _xlfn.UNICHAR( HEX2DEC( RIGHT(AB$3,4)))))</f>
        <v/>
      </c>
      <c r="AC7" s="27">
        <f>_xlfn.CONCAT($X7, IF(AC$3="", "", _xlfn.UNICHAR( HEX2DEC( RIGHT(AC$3,4)))))</f>
        <v/>
      </c>
      <c r="AD7" s="27">
        <f>_xlfn.CONCAT($X7, IF(AD$3="", "", _xlfn.UNICHAR( HEX2DEC( RIGHT(AD$3,4)))))</f>
        <v/>
      </c>
      <c r="AE7" s="27">
        <f>_xlfn.CONCAT($X7, IF(AE$3="", "", _xlfn.UNICHAR( HEX2DEC( RIGHT(AE$3,4)))))</f>
        <v/>
      </c>
      <c r="AF7" s="27">
        <f>_xlfn.CONCAT($X7, IF(AF$3="", "", _xlfn.UNICHAR( HEX2DEC( RIGHT(AF$3,4)))))</f>
        <v/>
      </c>
      <c r="AG7" s="27">
        <f>_xlfn.CONCAT($X7, IF(AG$3="", "", _xlfn.UNICHAR( HEX2DEC( RIGHT(AG$3,4)))))</f>
        <v/>
      </c>
      <c r="AH7" s="27">
        <f>_xlfn.CONCAT($X7, IF(AH$3="", "", _xlfn.UNICHAR( HEX2DEC( RIGHT(AH$3,4)))))</f>
        <v/>
      </c>
      <c r="AJ7" s="28">
        <f>_xlfn.CONCAT("    - xform/》", $X7, Y$2, "/", Y7, "/")</f>
        <v/>
      </c>
      <c r="AK7" s="28">
        <f>_xlfn.CONCAT("    - xform/》", $X7, Z$2, "/", Z7, "/")</f>
        <v/>
      </c>
      <c r="AL7" s="28">
        <f>_xlfn.CONCAT("    - xform/》", $X7, AA$2, "/", AA7, "/")</f>
        <v/>
      </c>
      <c r="AM7" s="28">
        <f>_xlfn.CONCAT("    - xform/》", $X7, AB$2, "/", AB7, "/")</f>
        <v/>
      </c>
      <c r="AN7" s="28">
        <f>_xlfn.CONCAT("    - xform/》", $X7, AC$2, "/", AC7, "/")</f>
        <v/>
      </c>
      <c r="AO7" s="28">
        <f>_xlfn.CONCAT("    - xform/》", $X7, AD$2, "/", AD7, "/")</f>
        <v/>
      </c>
      <c r="AP7" s="28">
        <f>_xlfn.CONCAT("    - xform/》", $X7, AE$2, "/", AE7, "/")</f>
        <v/>
      </c>
      <c r="AQ7" s="28">
        <f>_xlfn.CONCAT("    - xform/》", $X7, AF$2, "/", AF7, "/")</f>
        <v/>
      </c>
      <c r="AR7" s="28">
        <f>_xlfn.CONCAT("    - xform/》", $X7, AG$2, "/", AG7, "/")</f>
        <v/>
      </c>
      <c r="AS7" s="28">
        <f>_xlfn.CONCAT("    - xform/》", $X7, AH$2, "/", AH7, "/")</f>
        <v/>
      </c>
      <c r="AT7" s="27" t="n"/>
      <c r="AU7" s="27" t="n"/>
      <c r="AV7" s="7" t="n"/>
    </row>
    <row r="8" ht="27.75" customHeight="1" s="69" thickBot="1">
      <c r="A8" s="19" t="n">
        <v>71</v>
      </c>
      <c r="B8" s="20" t="inlineStr">
        <is>
          <t>uãi</t>
        </is>
      </c>
      <c r="C8" s="21" t="inlineStr">
        <is>
          <t>uainn</t>
        </is>
      </c>
      <c r="D8" s="21" t="inlineStr">
        <is>
          <t>Luai</t>
        </is>
      </c>
      <c r="E8" s="19" t="inlineStr">
        <is>
          <t>uainn</t>
        </is>
      </c>
      <c r="F8" s="19" t="inlineStr">
        <is>
          <t>uainn</t>
        </is>
      </c>
      <c r="G8" s="19" t="inlineStr">
        <is>
          <t>Luai</t>
        </is>
      </c>
      <c r="H8" s="19" t="inlineStr">
        <is>
          <t>nuai</t>
        </is>
      </c>
      <c r="I8" s="22" t="inlineStr">
        <is>
          <t>oaiⁿ</t>
        </is>
      </c>
      <c r="J8" s="23" t="inlineStr">
        <is>
          <t>閂舒</t>
        </is>
      </c>
      <c r="K8" s="19" t="inlineStr">
        <is>
          <t>ㄨㆮ</t>
        </is>
      </c>
      <c r="L8" s="19" t="inlineStr">
        <is>
          <t>⁰ㄨㄞ</t>
        </is>
      </c>
      <c r="M8" s="29" t="inlineStr">
        <is>
          <t>韻-鼻</t>
        </is>
      </c>
      <c r="N8" s="23">
        <f>LEN(C8)</f>
        <v/>
      </c>
      <c r="O8" s="24" t="n"/>
      <c r="P8" s="51">
        <f>G8</f>
        <v/>
      </c>
      <c r="Q8" s="51">
        <f>K8</f>
        <v/>
      </c>
      <c r="S8" s="3">
        <f>_xlfn.CONCAT(P8)</f>
        <v/>
      </c>
      <c r="T8" s="3">
        <f>IFERROR( _xlfn.CONCAT(Q8, ""), "" )</f>
        <v/>
      </c>
      <c r="U8" s="25" t="n"/>
      <c r="V8" s="26">
        <f>IF(AND(Q8&lt;&gt;"", P8&lt;&gt;""), "    - xform/》" &amp; S8 &amp; "/" &amp; T8 &amp; "》/", "")</f>
        <v/>
      </c>
      <c r="X8" s="7" t="inlineStr">
        <is>
          <t>o</t>
        </is>
      </c>
      <c r="Y8" s="27">
        <f>_xlfn.CONCAT($X8, IF(Y$3="", "", _xlfn.UNICHAR( HEX2DEC( RIGHT(Y$3,4)))))</f>
        <v/>
      </c>
      <c r="Z8" s="27">
        <f>_xlfn.CONCAT($X8, IF(Z$3="", "", _xlfn.UNICHAR( HEX2DEC( RIGHT(Z$3,4)))))</f>
        <v/>
      </c>
      <c r="AA8" s="27">
        <f>_xlfn.CONCAT($X8, IF(AA$3="", "", _xlfn.UNICHAR( HEX2DEC( RIGHT(AA$3,4)))))</f>
        <v/>
      </c>
      <c r="AB8" s="27">
        <f>_xlfn.CONCAT($X8, IF(AB$3="", "", _xlfn.UNICHAR( HEX2DEC( RIGHT(AB$3,4)))))</f>
        <v/>
      </c>
      <c r="AC8" s="27">
        <f>_xlfn.CONCAT($X8, IF(AC$3="", "", _xlfn.UNICHAR( HEX2DEC( RIGHT(AC$3,4)))))</f>
        <v/>
      </c>
      <c r="AD8" s="27">
        <f>_xlfn.CONCAT($X8, IF(AD$3="", "", _xlfn.UNICHAR( HEX2DEC( RIGHT(AD$3,4)))))</f>
        <v/>
      </c>
      <c r="AE8" s="27">
        <f>_xlfn.CONCAT($X8, IF(AE$3="", "", _xlfn.UNICHAR( HEX2DEC( RIGHT(AE$3,4)))))</f>
        <v/>
      </c>
      <c r="AF8" s="27">
        <f>_xlfn.CONCAT($X8, IF(AF$3="", "", _xlfn.UNICHAR( HEX2DEC( RIGHT(AF$3,4)))))</f>
        <v/>
      </c>
      <c r="AG8" s="27">
        <f>_xlfn.CONCAT($X8, IF(AG$3="", "", _xlfn.UNICHAR( HEX2DEC( RIGHT(AG$3,4)))))</f>
        <v/>
      </c>
      <c r="AH8" s="27">
        <f>_xlfn.CONCAT($X8, IF(AH$3="", "", _xlfn.UNICHAR( HEX2DEC( RIGHT(AH$3,4)))))</f>
        <v/>
      </c>
      <c r="AJ8" s="28">
        <f>_xlfn.CONCAT("    - xform/》", $X8, Y$2, "/", Y8, "/")</f>
        <v/>
      </c>
      <c r="AK8" s="28">
        <f>_xlfn.CONCAT("    - xform/》", $X8, Z$2, "/", Z8, "/")</f>
        <v/>
      </c>
      <c r="AL8" s="28">
        <f>_xlfn.CONCAT("    - xform/》", $X8, AA$2, "/", AA8, "/")</f>
        <v/>
      </c>
      <c r="AM8" s="28">
        <f>_xlfn.CONCAT("    - xform/》", $X8, AB$2, "/", AB8, "/")</f>
        <v/>
      </c>
      <c r="AN8" s="28">
        <f>_xlfn.CONCAT("    - xform/》", $X8, AC$2, "/", AC8, "/")</f>
        <v/>
      </c>
      <c r="AO8" s="28">
        <f>_xlfn.CONCAT("    - xform/》", $X8, AD$2, "/", AD8, "/")</f>
        <v/>
      </c>
      <c r="AP8" s="28">
        <f>_xlfn.CONCAT("    - xform/》", $X8, AE$2, "/", AE8, "/")</f>
        <v/>
      </c>
      <c r="AQ8" s="28">
        <f>_xlfn.CONCAT("    - xform/》", $X8, AF$2, "/", AF8, "/")</f>
        <v/>
      </c>
      <c r="AR8" s="28">
        <f>_xlfn.CONCAT("    - xform/》", $X8, AG$2, "/", AG8, "/")</f>
        <v/>
      </c>
      <c r="AS8" s="28">
        <f>_xlfn.CONCAT("    - xform/》", $X8, AH$2, "/", AH8, "/")</f>
        <v/>
      </c>
      <c r="AT8" s="27" t="n"/>
      <c r="AU8" s="27" t="n"/>
      <c r="AV8" s="7" t="n"/>
    </row>
    <row r="9" ht="27.75" customHeight="1" s="69" thickBot="1">
      <c r="A9" s="19" t="n">
        <v>4</v>
      </c>
      <c r="B9" s="20" t="inlineStr">
        <is>
          <t>ãʔ</t>
        </is>
      </c>
      <c r="C9" s="21" t="inlineStr">
        <is>
          <t>annh</t>
        </is>
      </c>
      <c r="D9" s="21" t="inlineStr">
        <is>
          <t>Lah</t>
        </is>
      </c>
      <c r="E9" s="19" t="inlineStr">
        <is>
          <t>ahnn</t>
        </is>
      </c>
      <c r="F9" s="19" t="inlineStr">
        <is>
          <t>annh</t>
        </is>
      </c>
      <c r="G9" s="19" t="inlineStr">
        <is>
          <t>Lah</t>
        </is>
      </c>
      <c r="H9" s="31" t="inlineStr">
        <is>
          <t>nah</t>
        </is>
      </c>
      <c r="I9" s="22" t="inlineStr">
        <is>
          <t>ahⁿ</t>
        </is>
      </c>
      <c r="J9" s="23" t="inlineStr">
        <is>
          <t>監促</t>
        </is>
      </c>
      <c r="K9" s="19" t="inlineStr">
        <is>
          <t>ㆩㆷ</t>
        </is>
      </c>
      <c r="L9" s="19" t="inlineStr">
        <is>
          <t>⁰ㄚㄏ</t>
        </is>
      </c>
      <c r="M9" s="29" t="inlineStr">
        <is>
          <t>韻-鼻</t>
        </is>
      </c>
      <c r="N9" s="23">
        <f>LEN(C9)</f>
        <v/>
      </c>
      <c r="O9" s="24" t="n"/>
      <c r="P9" s="51">
        <f>G9</f>
        <v/>
      </c>
      <c r="Q9" s="51">
        <f>K9</f>
        <v/>
      </c>
      <c r="S9" s="3">
        <f>_xlfn.CONCAT(P9)</f>
        <v/>
      </c>
      <c r="T9" s="3">
        <f>IFERROR( _xlfn.CONCAT(Q9, ""), "" )</f>
        <v/>
      </c>
      <c r="U9" s="25" t="n"/>
      <c r="V9" s="26">
        <f>IF(AND(Q9&lt;&gt;"", P9&lt;&gt;""), "    - xform/》" &amp; S9 &amp; "/" &amp; T9 &amp; "》/", "")</f>
        <v/>
      </c>
      <c r="X9" s="7" t="inlineStr">
        <is>
          <t>m</t>
        </is>
      </c>
      <c r="Y9" s="27">
        <f>_xlfn.CONCAT($X9, IF(Y$3="", "", _xlfn.UNICHAR( HEX2DEC( RIGHT(Y$3,4)))))</f>
        <v/>
      </c>
      <c r="Z9" s="27">
        <f>_xlfn.CONCAT($X9, IF(Z$3="", "", _xlfn.UNICHAR( HEX2DEC( RIGHT(Z$3,4)))))</f>
        <v/>
      </c>
      <c r="AA9" s="27">
        <f>_xlfn.CONCAT($X9, IF(AA$3="", "", _xlfn.UNICHAR( HEX2DEC( RIGHT(AA$3,4)))))</f>
        <v/>
      </c>
      <c r="AB9" s="27">
        <f>_xlfn.CONCAT($X9, IF(AB$3="", "", _xlfn.UNICHAR( HEX2DEC( RIGHT(AB$3,4)))))</f>
        <v/>
      </c>
      <c r="AC9" s="27">
        <f>_xlfn.CONCAT($X9, IF(AC$3="", "", _xlfn.UNICHAR( HEX2DEC( RIGHT(AC$3,4)))))</f>
        <v/>
      </c>
      <c r="AD9" s="27">
        <f>_xlfn.CONCAT($X9, IF(AD$3="", "", _xlfn.UNICHAR( HEX2DEC( RIGHT(AD$3,4)))))</f>
        <v/>
      </c>
      <c r="AE9" s="27">
        <f>_xlfn.CONCAT($X9, IF(AE$3="", "", _xlfn.UNICHAR( HEX2DEC( RIGHT(AE$3,4)))))</f>
        <v/>
      </c>
      <c r="AF9" s="27">
        <f>_xlfn.CONCAT($X9, IF(AF$3="", "", _xlfn.UNICHAR( HEX2DEC( RIGHT(AF$3,4)))))</f>
        <v/>
      </c>
      <c r="AG9" s="27">
        <f>_xlfn.CONCAT($X9, IF(AG$3="", "", _xlfn.UNICHAR( HEX2DEC( RIGHT(AG$3,4)))))</f>
        <v/>
      </c>
      <c r="AH9" s="27">
        <f>_xlfn.CONCAT($X9, IF(AH$3="", "", _xlfn.UNICHAR( HEX2DEC( RIGHT(AH$3,4)))))</f>
        <v/>
      </c>
      <c r="AJ9" s="28">
        <f>_xlfn.CONCAT("    - xform/》", $X9, Y$2, "/", Y9, "/")</f>
        <v/>
      </c>
      <c r="AK9" s="28">
        <f>_xlfn.CONCAT("    - xform/》", $X9, Z$2, "/", Z9, "/")</f>
        <v/>
      </c>
      <c r="AL9" s="28">
        <f>_xlfn.CONCAT("    - xform/》", $X9, AA$2, "/", AA9, "/")</f>
        <v/>
      </c>
      <c r="AM9" s="28">
        <f>_xlfn.CONCAT("    - xform/》", $X9, AB$2, "/", AB9, "/")</f>
        <v/>
      </c>
      <c r="AN9" s="28">
        <f>_xlfn.CONCAT("    - xform/》", $X9, AC$2, "/", AC9, "/")</f>
        <v/>
      </c>
      <c r="AO9" s="28">
        <f>_xlfn.CONCAT("    - xform/》", $X9, AD$2, "/", AD9, "/")</f>
        <v/>
      </c>
      <c r="AP9" s="28">
        <f>_xlfn.CONCAT("    - xform/》", $X9, AE$2, "/", AE9, "/")</f>
        <v/>
      </c>
      <c r="AQ9" s="28">
        <f>_xlfn.CONCAT("    - xform/》", $X9, AF$2, "/", AF9, "/")</f>
        <v/>
      </c>
      <c r="AR9" s="28">
        <f>_xlfn.CONCAT("    - xform/》", $X9, AG$2, "/", AG9, "/")</f>
        <v/>
      </c>
      <c r="AS9" s="28">
        <f>_xlfn.CONCAT("    - xform/》", $X9, AH$2, "/", AH9, "/")</f>
        <v/>
      </c>
      <c r="AT9" s="27" t="n"/>
      <c r="AU9" s="27" t="n"/>
      <c r="AV9" s="7" t="n"/>
    </row>
    <row r="10" ht="27.75" customHeight="1" s="69" thickBot="1">
      <c r="A10" s="19" t="n">
        <v>12</v>
      </c>
      <c r="B10" s="20" t="inlineStr">
        <is>
          <t>ãɪ</t>
        </is>
      </c>
      <c r="C10" s="21" t="inlineStr">
        <is>
          <t>ainn</t>
        </is>
      </c>
      <c r="D10" s="21" t="inlineStr">
        <is>
          <t>Lai</t>
        </is>
      </c>
      <c r="E10" s="19" t="inlineStr">
        <is>
          <t>ainn</t>
        </is>
      </c>
      <c r="F10" s="19" t="inlineStr">
        <is>
          <t>ainn</t>
        </is>
      </c>
      <c r="G10" s="19" t="inlineStr">
        <is>
          <t>Lai</t>
        </is>
      </c>
      <c r="H10" s="19" t="inlineStr">
        <is>
          <t>nai</t>
        </is>
      </c>
      <c r="I10" s="22" t="inlineStr">
        <is>
          <t>aiⁿ</t>
        </is>
      </c>
      <c r="J10" s="23" t="inlineStr">
        <is>
          <t>閒舒</t>
        </is>
      </c>
      <c r="K10" s="19" t="inlineStr">
        <is>
          <t>ㆮ</t>
        </is>
      </c>
      <c r="L10" s="19" t="inlineStr">
        <is>
          <t>⁰ㄞ</t>
        </is>
      </c>
      <c r="M10" s="29" t="inlineStr">
        <is>
          <t>韻-鼻</t>
        </is>
      </c>
      <c r="N10" s="23">
        <f>LEN(C10)</f>
        <v/>
      </c>
      <c r="O10" s="24" t="n"/>
      <c r="P10" s="51">
        <f>G10</f>
        <v/>
      </c>
      <c r="Q10" s="51">
        <f>K10</f>
        <v/>
      </c>
      <c r="S10" s="3">
        <f>_xlfn.CONCAT(P10)</f>
        <v/>
      </c>
      <c r="T10" s="3">
        <f>IFERROR( _xlfn.CONCAT(Q10, ""), "" )</f>
        <v/>
      </c>
      <c r="U10" s="25" t="n"/>
      <c r="V10" s="26">
        <f>IF(AND(Q10&lt;&gt;"", P10&lt;&gt;""), "    - xform/》" &amp; S10 &amp; "/" &amp; T10 &amp; "》/", "")</f>
        <v/>
      </c>
      <c r="X10" s="7" t="inlineStr">
        <is>
          <t>n</t>
        </is>
      </c>
      <c r="Y10" s="27">
        <f>_xlfn.CONCAT($X10, IF(Y$3="", "", _xlfn.UNICHAR( HEX2DEC( RIGHT(Y$3,4)))))</f>
        <v/>
      </c>
      <c r="Z10" s="27">
        <f>_xlfn.CONCAT($X10, IF(Z$3="", "", _xlfn.UNICHAR( HEX2DEC( RIGHT(Z$3,4)))))</f>
        <v/>
      </c>
      <c r="AA10" s="27">
        <f>_xlfn.CONCAT($X10, IF(AA$3="", "", _xlfn.UNICHAR( HEX2DEC( RIGHT(AA$3,4)))))</f>
        <v/>
      </c>
      <c r="AB10" s="27">
        <f>_xlfn.CONCAT($X10, IF(AB$3="", "", _xlfn.UNICHAR( HEX2DEC( RIGHT(AB$3,4)))))</f>
        <v/>
      </c>
      <c r="AC10" s="27">
        <f>_xlfn.CONCAT($X10, IF(AC$3="", "", _xlfn.UNICHAR( HEX2DEC( RIGHT(AC$3,4)))))</f>
        <v/>
      </c>
      <c r="AD10" s="27">
        <f>_xlfn.CONCAT($X10, IF(AD$3="", "", _xlfn.UNICHAR( HEX2DEC( RIGHT(AD$3,4)))))</f>
        <v/>
      </c>
      <c r="AE10" s="27">
        <f>_xlfn.CONCAT($X10, IF(AE$3="", "", _xlfn.UNICHAR( HEX2DEC( RIGHT(AE$3,4)))))</f>
        <v/>
      </c>
      <c r="AF10" s="27">
        <f>_xlfn.CONCAT($X10, IF(AF$3="", "", _xlfn.UNICHAR( HEX2DEC( RIGHT(AF$3,4)))))</f>
        <v/>
      </c>
      <c r="AG10" s="27">
        <f>_xlfn.CONCAT($X10, IF(AG$3="", "", _xlfn.UNICHAR( HEX2DEC( RIGHT(AG$3,4)))))</f>
        <v/>
      </c>
      <c r="AH10" s="27">
        <f>_xlfn.CONCAT($X10, IF(AH$3="", "", _xlfn.UNICHAR( HEX2DEC( RIGHT(AH$3,4)))))</f>
        <v/>
      </c>
      <c r="AJ10" s="28">
        <f>_xlfn.CONCAT("    - xform/》", $X10, Y$2, "/", Y10, "/")</f>
        <v/>
      </c>
      <c r="AK10" s="28">
        <f>_xlfn.CONCAT("    - xform/》", $X10, Z$2, "/", Z10, "/")</f>
        <v/>
      </c>
      <c r="AL10" s="28">
        <f>_xlfn.CONCAT("    - xform/》", $X10, AA$2, "/", AA10, "/")</f>
        <v/>
      </c>
      <c r="AM10" s="28">
        <f>_xlfn.CONCAT("    - xform/》", $X10, AB$2, "/", AB10, "/")</f>
        <v/>
      </c>
      <c r="AN10" s="28">
        <f>_xlfn.CONCAT("    - xform/》", $X10, AC$2, "/", AC10, "/")</f>
        <v/>
      </c>
      <c r="AO10" s="28">
        <f>_xlfn.CONCAT("    - xform/》", $X10, AD$2, "/", AD10, "/")</f>
        <v/>
      </c>
      <c r="AP10" s="28">
        <f>_xlfn.CONCAT("    - xform/》", $X10, AE$2, "/", AE10, "/")</f>
        <v/>
      </c>
      <c r="AQ10" s="28">
        <f>_xlfn.CONCAT("    - xform/》", $X10, AF$2, "/", AF10, "/")</f>
        <v/>
      </c>
      <c r="AR10" s="28">
        <f>_xlfn.CONCAT("    - xform/》", $X10, AG$2, "/", AG10, "/")</f>
        <v/>
      </c>
      <c r="AS10" s="28">
        <f>_xlfn.CONCAT("    - xform/》", $X10, AH$2, "/", AH10, "/")</f>
        <v/>
      </c>
      <c r="AT10" s="27" t="n"/>
      <c r="AU10" s="27" t="n"/>
      <c r="AV10" s="7" t="n"/>
    </row>
    <row r="11" ht="30.75" customHeight="1" s="69" thickBot="1">
      <c r="A11" s="19" t="n">
        <v>19</v>
      </c>
      <c r="B11" s="20" t="inlineStr">
        <is>
          <t>ẽʔ</t>
        </is>
      </c>
      <c r="C11" s="21" t="inlineStr">
        <is>
          <t>ennh</t>
        </is>
      </c>
      <c r="D11" s="21" t="inlineStr">
        <is>
          <t>Leh</t>
        </is>
      </c>
      <c r="E11" s="31" t="inlineStr">
        <is>
          <t>ennh</t>
        </is>
      </c>
      <c r="F11" s="31" t="inlineStr">
        <is>
          <t>ennh</t>
        </is>
      </c>
      <c r="G11" s="31" t="inlineStr">
        <is>
          <t>Leh</t>
        </is>
      </c>
      <c r="H11" s="31" t="inlineStr">
        <is>
          <t>ennh</t>
        </is>
      </c>
      <c r="I11" s="31" t="inlineStr">
        <is>
          <t>ennh</t>
        </is>
      </c>
      <c r="J11" s="32" t="inlineStr">
        <is>
          <t>更促</t>
        </is>
      </c>
      <c r="K11" s="34" t="inlineStr">
        <is>
          <t>ㆥㆷ</t>
        </is>
      </c>
      <c r="L11" s="19" t="inlineStr">
        <is>
          <t>⁰ㄝㄏ</t>
        </is>
      </c>
      <c r="M11" s="29" t="inlineStr">
        <is>
          <t>韻-鼻</t>
        </is>
      </c>
      <c r="N11" s="23">
        <f>LEN(C11)</f>
        <v/>
      </c>
      <c r="O11" s="24" t="n"/>
      <c r="P11" s="51">
        <f>G11</f>
        <v/>
      </c>
      <c r="Q11" s="51">
        <f>K11</f>
        <v/>
      </c>
      <c r="S11" s="3">
        <f>_xlfn.CONCAT(P11)</f>
        <v/>
      </c>
      <c r="T11" s="3">
        <f>IFERROR( _xlfn.CONCAT(Q11, ""), "" )</f>
        <v/>
      </c>
      <c r="U11" s="25" t="n"/>
      <c r="V11" s="26">
        <f>IF(AND(Q11&lt;&gt;"", P11&lt;&gt;""), "    - xform/》" &amp; S11 &amp; "/" &amp; T11 &amp; "》/", "")</f>
        <v/>
      </c>
    </row>
    <row r="12" ht="27.75" customHeight="1" s="69" thickBot="1">
      <c r="A12" s="19" t="n">
        <v>30</v>
      </c>
      <c r="B12" s="20" t="inlineStr">
        <is>
          <t>iã</t>
        </is>
      </c>
      <c r="C12" s="21" t="inlineStr">
        <is>
          <t>iann</t>
        </is>
      </c>
      <c r="D12" s="21" t="inlineStr">
        <is>
          <t>Lia</t>
        </is>
      </c>
      <c r="E12" s="19" t="inlineStr">
        <is>
          <t>iann</t>
        </is>
      </c>
      <c r="F12" s="19" t="inlineStr">
        <is>
          <t>iann</t>
        </is>
      </c>
      <c r="G12" s="19" t="inlineStr">
        <is>
          <t>Lia</t>
        </is>
      </c>
      <c r="H12" s="19" t="inlineStr">
        <is>
          <t>nia</t>
        </is>
      </c>
      <c r="I12" s="22" t="inlineStr">
        <is>
          <t>iaⁿ</t>
        </is>
      </c>
      <c r="J12" s="23" t="inlineStr">
        <is>
          <t>驚舒</t>
        </is>
      </c>
      <c r="K12" s="19" t="inlineStr">
        <is>
          <t>ㄧㆩ</t>
        </is>
      </c>
      <c r="L12" s="19" t="inlineStr">
        <is>
          <t>⁰ㄧㄚ</t>
        </is>
      </c>
      <c r="M12" s="29" t="inlineStr">
        <is>
          <t>韻-鼻</t>
        </is>
      </c>
      <c r="N12" s="23">
        <f>LEN(C12)</f>
        <v/>
      </c>
      <c r="O12" s="24" t="n"/>
      <c r="P12" s="51">
        <f>G12</f>
        <v/>
      </c>
      <c r="Q12" s="51">
        <f>K12</f>
        <v/>
      </c>
      <c r="S12" s="3">
        <f>_xlfn.CONCAT(P12)</f>
        <v/>
      </c>
      <c r="T12" s="3">
        <f>IFERROR( _xlfn.CONCAT(Q12, ""), "" )</f>
        <v/>
      </c>
      <c r="U12" s="25" t="n"/>
      <c r="V12" s="26">
        <f>IF(AND(Q12&lt;&gt;"", P12&lt;&gt;""), "    - xform/》" &amp; S12 &amp; "/" &amp; T12 &amp; "》/", "")</f>
        <v/>
      </c>
    </row>
    <row r="13" ht="27.75" customHeight="1" s="69" thickBot="1">
      <c r="A13" s="19" t="n">
        <v>43</v>
      </c>
      <c r="B13" s="20" t="inlineStr">
        <is>
          <t>ɪɔ̃</t>
        </is>
      </c>
      <c r="C13" s="21" t="inlineStr">
        <is>
          <t>ionn</t>
        </is>
      </c>
      <c r="D13" s="21" t="inlineStr">
        <is>
          <t>Lio</t>
        </is>
      </c>
      <c r="E13" s="19" t="inlineStr">
        <is>
          <t>ionn</t>
        </is>
      </c>
      <c r="F13" s="19" t="inlineStr">
        <is>
          <t>ioonn</t>
        </is>
      </c>
      <c r="G13" s="19" t="inlineStr">
        <is>
          <t>Lio</t>
        </is>
      </c>
      <c r="H13" s="19" t="inlineStr">
        <is>
          <t>nioo</t>
        </is>
      </c>
      <c r="I13" s="22" t="inlineStr">
        <is>
          <t>ioⁿ</t>
        </is>
      </c>
      <c r="J13" s="23" t="inlineStr">
        <is>
          <t>薑舒</t>
        </is>
      </c>
      <c r="K13" s="19" t="inlineStr">
        <is>
          <t>ㄧㆧ</t>
        </is>
      </c>
      <c r="L13" s="19" t="inlineStr">
        <is>
          <t>⁰ㄧㄛ</t>
        </is>
      </c>
      <c r="M13" s="29" t="inlineStr">
        <is>
          <t>韻-鼻</t>
        </is>
      </c>
      <c r="N13" s="23">
        <f>LEN(C13)</f>
        <v/>
      </c>
      <c r="O13" s="24" t="n"/>
      <c r="P13" s="51">
        <f>G13</f>
        <v/>
      </c>
      <c r="Q13" s="51">
        <f>K13</f>
        <v/>
      </c>
      <c r="S13" s="3">
        <f>_xlfn.CONCAT(P13)</f>
        <v/>
      </c>
      <c r="T13" s="3">
        <f>IFERROR( _xlfn.CONCAT(Q13, ""), "" )</f>
        <v/>
      </c>
      <c r="U13" s="25" t="n"/>
      <c r="V13" s="26">
        <f>IF(AND(Q13&lt;&gt;"", P13&lt;&gt;""), "    - xform/》" &amp; S13 &amp; "/" &amp; T13 &amp; "》/", "")</f>
        <v/>
      </c>
    </row>
    <row r="14" ht="27.75" customHeight="1" s="69" thickBot="1">
      <c r="A14" s="19" t="n">
        <v>48</v>
      </c>
      <c r="B14" s="20" t="inlineStr">
        <is>
          <t>iũ</t>
        </is>
      </c>
      <c r="C14" s="21" t="inlineStr">
        <is>
          <t>iunn</t>
        </is>
      </c>
      <c r="D14" s="21" t="inlineStr">
        <is>
          <t>Liu</t>
        </is>
      </c>
      <c r="E14" s="19" t="inlineStr">
        <is>
          <t>iunn</t>
        </is>
      </c>
      <c r="F14" s="19" t="inlineStr">
        <is>
          <t>iunn</t>
        </is>
      </c>
      <c r="G14" s="19" t="inlineStr">
        <is>
          <t>Liu</t>
        </is>
      </c>
      <c r="H14" s="19" t="inlineStr">
        <is>
          <t>niu</t>
        </is>
      </c>
      <c r="I14" s="22" t="inlineStr">
        <is>
          <t>iuⁿ</t>
        </is>
      </c>
      <c r="J14" s="23" t="inlineStr">
        <is>
          <t>牛舒</t>
        </is>
      </c>
      <c r="K14" s="19" t="inlineStr">
        <is>
          <t>ㄧㆫ</t>
        </is>
      </c>
      <c r="L14" s="19" t="inlineStr">
        <is>
          <t>⁰ㄧㆫ</t>
        </is>
      </c>
      <c r="M14" s="29" t="inlineStr">
        <is>
          <t>韻-鼻</t>
        </is>
      </c>
      <c r="N14" s="23">
        <f>LEN(C14)</f>
        <v/>
      </c>
      <c r="O14" s="24" t="n"/>
      <c r="P14" s="51">
        <f>G14</f>
        <v/>
      </c>
      <c r="Q14" s="51">
        <f>K14</f>
        <v/>
      </c>
      <c r="S14" s="3">
        <f>_xlfn.CONCAT(P14)</f>
        <v/>
      </c>
      <c r="T14" s="3">
        <f>IFERROR( _xlfn.CONCAT(Q14, ""), "" )</f>
        <v/>
      </c>
      <c r="U14" s="25" t="n"/>
      <c r="V14" s="26">
        <f>IF(AND(Q14&lt;&gt;"", P14&lt;&gt;""), "    - xform/》" &amp; S14 &amp; "/" &amp; T14 &amp; "》/", "")</f>
        <v/>
      </c>
    </row>
    <row r="15" ht="27.75" customHeight="1" s="69" thickBot="1">
      <c r="A15" s="19" t="n">
        <v>55</v>
      </c>
      <c r="B15" s="20" t="inlineStr">
        <is>
          <t>ɔ̃ʔ</t>
        </is>
      </c>
      <c r="C15" s="21" t="inlineStr">
        <is>
          <t>onnh</t>
        </is>
      </c>
      <c r="D15" s="21" t="inlineStr">
        <is>
          <t>Loh</t>
        </is>
      </c>
      <c r="E15" s="19" t="inlineStr">
        <is>
          <t>ohnn</t>
        </is>
      </c>
      <c r="F15" s="19" t="inlineStr">
        <is>
          <t>onnh</t>
        </is>
      </c>
      <c r="G15" s="19" t="inlineStr">
        <is>
          <t>Loh</t>
        </is>
      </c>
      <c r="H15" s="19" t="inlineStr">
        <is>
          <t>niuh</t>
        </is>
      </c>
      <c r="I15" s="22" t="inlineStr">
        <is>
          <t>ohⁿ</t>
        </is>
      </c>
      <c r="J15" s="23" t="inlineStr">
        <is>
          <t>扛促</t>
        </is>
      </c>
      <c r="K15" s="19" t="inlineStr">
        <is>
          <t>ㆧㆷ</t>
        </is>
      </c>
      <c r="L15" s="19" t="inlineStr">
        <is>
          <t>⁰ㄛㄏ</t>
        </is>
      </c>
      <c r="M15" s="29" t="inlineStr">
        <is>
          <t>韻-鼻</t>
        </is>
      </c>
      <c r="N15" s="23">
        <f>LEN(C15)</f>
        <v/>
      </c>
      <c r="O15" s="24" t="n"/>
      <c r="P15" s="51">
        <f>G15</f>
        <v/>
      </c>
      <c r="Q15" s="51">
        <f>K15</f>
        <v/>
      </c>
      <c r="S15" s="3">
        <f>_xlfn.CONCAT(P15)</f>
        <v/>
      </c>
      <c r="T15" s="3">
        <f>IFERROR( _xlfn.CONCAT(Q15, ""), "" )</f>
        <v/>
      </c>
      <c r="U15" s="25" t="n"/>
      <c r="V15" s="26">
        <f>IF(AND(Q15&lt;&gt;"", P15&lt;&gt;""), "    - xform/》" &amp; S15 &amp; "/" &amp; T15 &amp; "》/", "")</f>
        <v/>
      </c>
    </row>
    <row r="16" ht="27.75" customHeight="1" s="69" thickBot="1">
      <c r="A16" s="19" t="n">
        <v>65</v>
      </c>
      <c r="B16" s="20" t="inlineStr">
        <is>
          <t>uã</t>
        </is>
      </c>
      <c r="C16" s="21" t="inlineStr">
        <is>
          <t>uann</t>
        </is>
      </c>
      <c r="D16" s="21" t="inlineStr">
        <is>
          <t>Lua</t>
        </is>
      </c>
      <c r="E16" s="19" t="inlineStr">
        <is>
          <t>uann</t>
        </is>
      </c>
      <c r="F16" s="19" t="inlineStr">
        <is>
          <t>uann</t>
        </is>
      </c>
      <c r="G16" s="19" t="inlineStr">
        <is>
          <t>Lua</t>
        </is>
      </c>
      <c r="H16" s="19" t="inlineStr">
        <is>
          <t>nua</t>
        </is>
      </c>
      <c r="I16" s="22" t="inlineStr">
        <is>
          <t>oaⁿ</t>
        </is>
      </c>
      <c r="J16" s="23" t="inlineStr">
        <is>
          <t>官舒</t>
        </is>
      </c>
      <c r="K16" s="19" t="inlineStr">
        <is>
          <t>ㄨㆩ</t>
        </is>
      </c>
      <c r="L16" s="19" t="inlineStr">
        <is>
          <t>⁰ㄨㄚ</t>
        </is>
      </c>
      <c r="M16" s="29" t="inlineStr">
        <is>
          <t>韻-鼻</t>
        </is>
      </c>
      <c r="N16" s="23">
        <f>LEN(C16)</f>
        <v/>
      </c>
      <c r="O16" s="24" t="n"/>
      <c r="P16" s="51">
        <f>G16</f>
        <v/>
      </c>
      <c r="Q16" s="51">
        <f>K16</f>
        <v/>
      </c>
      <c r="S16" s="3">
        <f>_xlfn.CONCAT(P16)</f>
        <v/>
      </c>
      <c r="T16" s="3">
        <f>IFERROR( _xlfn.CONCAT(Q16, ""), "" )</f>
        <v/>
      </c>
      <c r="U16" s="25" t="n"/>
      <c r="V16" s="26">
        <f>IF(AND(Q16&lt;&gt;"", P16&lt;&gt;""), "    - xform/》" &amp; S16 &amp; "/" &amp; T16 &amp; "》/", "")</f>
        <v/>
      </c>
    </row>
    <row r="17" ht="27.75" customHeight="1" s="69" thickBot="1">
      <c r="A17" s="19" t="n">
        <v>77</v>
      </c>
      <c r="B17" s="20" t="inlineStr">
        <is>
          <t>uĩ</t>
        </is>
      </c>
      <c r="C17" s="21" t="inlineStr">
        <is>
          <t>uinn</t>
        </is>
      </c>
      <c r="D17" s="21" t="inlineStr">
        <is>
          <t>Lui</t>
        </is>
      </c>
      <c r="E17" s="19" t="inlineStr">
        <is>
          <t>Lui</t>
        </is>
      </c>
      <c r="F17" s="19" t="inlineStr">
        <is>
          <t>uinn</t>
        </is>
      </c>
      <c r="G17" s="19" t="inlineStr">
        <is>
          <t>Lui</t>
        </is>
      </c>
      <c r="H17" s="19" t="inlineStr">
        <is>
          <t>nui</t>
        </is>
      </c>
      <c r="I17" s="22" t="inlineStr">
        <is>
          <t>uiⁿ</t>
        </is>
      </c>
      <c r="J17" s="23" t="inlineStr">
        <is>
          <t>褌舒</t>
        </is>
      </c>
      <c r="K17" s="19" t="inlineStr">
        <is>
          <t>ㄨㆪ</t>
        </is>
      </c>
      <c r="L17" s="19" t="inlineStr">
        <is>
          <t>⁰ㄨㄧ</t>
        </is>
      </c>
      <c r="M17" s="29" t="inlineStr">
        <is>
          <t>韻-鼻</t>
        </is>
      </c>
      <c r="N17" s="23">
        <f>LEN(C17)</f>
        <v/>
      </c>
      <c r="O17" s="24" t="n"/>
      <c r="P17" s="51">
        <f>G17</f>
        <v/>
      </c>
      <c r="Q17" s="51">
        <f>K17</f>
        <v/>
      </c>
      <c r="S17" s="3">
        <f>_xlfn.CONCAT(P17)</f>
        <v/>
      </c>
      <c r="T17" s="3">
        <f>IFERROR( _xlfn.CONCAT(Q17, ""), "" )</f>
        <v/>
      </c>
      <c r="U17" s="25" t="n"/>
      <c r="V17" s="26">
        <f>IF(AND(Q17&lt;&gt;"", P17&lt;&gt;""), "    - xform/》" &amp; S17 &amp; "/" &amp; T17 &amp; "》/", "")</f>
        <v/>
      </c>
    </row>
    <row r="18" ht="27.75" customHeight="1" s="69" thickBot="1">
      <c r="A18" s="19" t="n">
        <v>2</v>
      </c>
      <c r="B18" s="20" t="inlineStr">
        <is>
          <t>ã</t>
        </is>
      </c>
      <c r="C18" s="21" t="inlineStr">
        <is>
          <t>ann</t>
        </is>
      </c>
      <c r="D18" s="21" t="inlineStr">
        <is>
          <t>La</t>
        </is>
      </c>
      <c r="E18" s="19" t="inlineStr">
        <is>
          <t>ann</t>
        </is>
      </c>
      <c r="F18" s="19" t="inlineStr">
        <is>
          <t>ann</t>
        </is>
      </c>
      <c r="G18" s="19" t="inlineStr">
        <is>
          <t>La</t>
        </is>
      </c>
      <c r="H18" s="19" t="inlineStr">
        <is>
          <t>na</t>
        </is>
      </c>
      <c r="I18" s="22" t="inlineStr">
        <is>
          <t>aⁿ</t>
        </is>
      </c>
      <c r="J18" s="23" t="inlineStr">
        <is>
          <t>監舒</t>
        </is>
      </c>
      <c r="K18" s="19" t="inlineStr">
        <is>
          <t>ㆩ</t>
        </is>
      </c>
      <c r="L18" s="19" t="inlineStr">
        <is>
          <t>⁰ㄚ</t>
        </is>
      </c>
      <c r="M18" s="29" t="inlineStr">
        <is>
          <t>韻-鼻</t>
        </is>
      </c>
      <c r="N18" s="23">
        <f>LEN(C18)</f>
        <v/>
      </c>
      <c r="O18" s="24" t="n"/>
      <c r="P18" s="51">
        <f>G18</f>
        <v/>
      </c>
      <c r="Q18" s="51">
        <f>K18</f>
        <v/>
      </c>
      <c r="S18" s="3">
        <f>_xlfn.CONCAT(P18)</f>
        <v/>
      </c>
      <c r="T18" s="3">
        <f>IFERROR( _xlfn.CONCAT(Q18, ""), "" )</f>
        <v/>
      </c>
      <c r="U18" s="25" t="n"/>
      <c r="V18" s="26">
        <f>IF(AND(Q18&lt;&gt;"", P18&lt;&gt;""), "    - xform/》" &amp; S18 &amp; "/" &amp; T18 &amp; "》/", "")</f>
        <v/>
      </c>
    </row>
    <row r="19" ht="27.75" customHeight="1" s="69" thickBot="1">
      <c r="A19" s="19" t="n">
        <v>17</v>
      </c>
      <c r="B19" s="20" t="inlineStr">
        <is>
          <t>ẽ</t>
        </is>
      </c>
      <c r="C19" s="21" t="inlineStr">
        <is>
          <t>enn</t>
        </is>
      </c>
      <c r="D19" s="21" t="inlineStr">
        <is>
          <t>Le</t>
        </is>
      </c>
      <c r="E19" s="19" t="inlineStr">
        <is>
          <t>enn</t>
        </is>
      </c>
      <c r="F19" s="19" t="inlineStr">
        <is>
          <t>enn</t>
        </is>
      </c>
      <c r="G19" s="19" t="inlineStr">
        <is>
          <t>Le</t>
        </is>
      </c>
      <c r="H19" s="19" t="inlineStr">
        <is>
          <t>ne</t>
        </is>
      </c>
      <c r="I19" s="22" t="inlineStr">
        <is>
          <t>eⁿ</t>
        </is>
      </c>
      <c r="J19" s="23" t="inlineStr">
        <is>
          <t>更舒</t>
        </is>
      </c>
      <c r="K19" s="19" t="inlineStr">
        <is>
          <t>ㆥ</t>
        </is>
      </c>
      <c r="L19" s="19" t="inlineStr">
        <is>
          <t>⁰ㄝ</t>
        </is>
      </c>
      <c r="M19" s="29" t="inlineStr">
        <is>
          <t>韻-鼻</t>
        </is>
      </c>
      <c r="N19" s="23">
        <f>LEN(C19)</f>
        <v/>
      </c>
      <c r="O19" s="24" t="n"/>
      <c r="P19" s="51">
        <f>G19</f>
        <v/>
      </c>
      <c r="Q19" s="51">
        <f>K19</f>
        <v/>
      </c>
      <c r="S19" s="3">
        <f>_xlfn.CONCAT(P19)</f>
        <v/>
      </c>
      <c r="T19" s="3">
        <f>IFERROR( _xlfn.CONCAT(Q19, ""), "" )</f>
        <v/>
      </c>
      <c r="U19" s="25" t="n"/>
      <c r="V19" s="26">
        <f>IF(AND(Q19&lt;&gt;"", P19&lt;&gt;""), "    - xform/》" &amp; S19 &amp; "/" &amp; T19 &amp; "》/", "")</f>
        <v/>
      </c>
    </row>
    <row r="20" ht="27.75" customHeight="1" s="69" thickBot="1">
      <c r="A20" s="19" t="n">
        <v>21</v>
      </c>
      <c r="B20" s="20" t="inlineStr">
        <is>
          <t>ĩ</t>
        </is>
      </c>
      <c r="C20" s="21" t="inlineStr">
        <is>
          <t>inn</t>
        </is>
      </c>
      <c r="D20" s="21" t="inlineStr">
        <is>
          <t>Li</t>
        </is>
      </c>
      <c r="E20" s="19" t="inlineStr">
        <is>
          <t>inn</t>
        </is>
      </c>
      <c r="F20" s="19" t="inlineStr">
        <is>
          <t>inn</t>
        </is>
      </c>
      <c r="G20" s="19" t="inlineStr">
        <is>
          <t>Li</t>
        </is>
      </c>
      <c r="H20" s="19" t="inlineStr">
        <is>
          <t>ni</t>
        </is>
      </c>
      <c r="I20" s="22" t="inlineStr">
        <is>
          <t>iⁿ</t>
        </is>
      </c>
      <c r="J20" s="23" t="inlineStr">
        <is>
          <t>梔舒</t>
        </is>
      </c>
      <c r="K20" s="19" t="inlineStr">
        <is>
          <t>ㆪ</t>
        </is>
      </c>
      <c r="L20" s="19" t="inlineStr">
        <is>
          <t>⁰ㄧ</t>
        </is>
      </c>
      <c r="M20" s="29" t="inlineStr">
        <is>
          <t>韻-鼻</t>
        </is>
      </c>
      <c r="N20" s="23">
        <f>LEN(C20)</f>
        <v/>
      </c>
      <c r="O20" s="24" t="n"/>
      <c r="P20" s="51">
        <f>G20</f>
        <v/>
      </c>
      <c r="Q20" s="51">
        <f>K20</f>
        <v/>
      </c>
      <c r="S20" s="3">
        <f>_xlfn.CONCAT(P20)</f>
        <v/>
      </c>
      <c r="T20" s="3">
        <f>IFERROR( _xlfn.CONCAT(Q20, ""), "" )</f>
        <v/>
      </c>
      <c r="U20" s="25" t="n"/>
      <c r="V20" s="26">
        <f>IF(AND(Q20&lt;&gt;"", P20&lt;&gt;""), "    - xform/》" &amp; S20 &amp; "/" &amp; T20 &amp; "》/", "")</f>
        <v/>
      </c>
    </row>
    <row r="21" ht="27.75" customHeight="1" s="69" thickBot="1">
      <c r="A21" s="19" t="n">
        <v>52</v>
      </c>
      <c r="B21" s="20" t="inlineStr">
        <is>
          <t>ɔ̃</t>
        </is>
      </c>
      <c r="C21" s="21" t="inlineStr">
        <is>
          <t>onn</t>
        </is>
      </c>
      <c r="D21" s="21" t="inlineStr">
        <is>
          <t>Lo</t>
        </is>
      </c>
      <c r="E21" s="19" t="inlineStr">
        <is>
          <t>onn</t>
        </is>
      </c>
      <c r="F21" s="19" t="inlineStr">
        <is>
          <t>oonn</t>
        </is>
      </c>
      <c r="G21" s="19" t="inlineStr">
        <is>
          <t>Loo</t>
        </is>
      </c>
      <c r="H21" s="19" t="inlineStr">
        <is>
          <t>noo</t>
        </is>
      </c>
      <c r="I21" s="22" t="inlineStr">
        <is>
          <t>oⁿ</t>
        </is>
      </c>
      <c r="J21" s="23" t="inlineStr">
        <is>
          <t>姑舒</t>
        </is>
      </c>
      <c r="K21" s="19" t="inlineStr">
        <is>
          <t>ㆧ</t>
        </is>
      </c>
      <c r="L21" s="19" t="inlineStr">
        <is>
          <t>⁰ㄛ</t>
        </is>
      </c>
      <c r="M21" s="29" t="inlineStr">
        <is>
          <t>韻-鼻</t>
        </is>
      </c>
      <c r="N21" s="23">
        <f>LEN(C21)</f>
        <v/>
      </c>
      <c r="O21" s="24" t="n"/>
      <c r="P21" s="51">
        <f>G21</f>
        <v/>
      </c>
      <c r="Q21" s="51">
        <f>K21</f>
        <v/>
      </c>
      <c r="S21" s="3">
        <f>_xlfn.CONCAT(P21)</f>
        <v/>
      </c>
      <c r="T21" s="3">
        <f>IFERROR( _xlfn.CONCAT(Q21, ""), "" )</f>
        <v/>
      </c>
      <c r="U21" s="25" t="n"/>
      <c r="V21" s="26">
        <f>IF(AND(Q21&lt;&gt;"", P21&lt;&gt;""), "    - xform/》" &amp; S21 &amp; "/" &amp; T21 &amp; "》/", "")</f>
        <v/>
      </c>
    </row>
    <row r="22" ht="27.75" customHeight="1" s="69" thickBot="1">
      <c r="A22" s="19" t="n">
        <v>35</v>
      </c>
      <c r="B22" s="20" t="inlineStr">
        <is>
          <t>ɪaŋ</t>
        </is>
      </c>
      <c r="C22" s="21" t="inlineStr">
        <is>
          <t>iang</t>
        </is>
      </c>
      <c r="D22" s="21" t="inlineStr">
        <is>
          <t>iang</t>
        </is>
      </c>
      <c r="E22" s="19" t="inlineStr">
        <is>
          <t>iang</t>
        </is>
      </c>
      <c r="F22" s="19" t="inlineStr">
        <is>
          <t>iang</t>
        </is>
      </c>
      <c r="G22" s="19" t="inlineStr">
        <is>
          <t>iang</t>
        </is>
      </c>
      <c r="H22" s="19" t="inlineStr">
        <is>
          <t>iang</t>
        </is>
      </c>
      <c r="I22" s="22" t="inlineStr">
        <is>
          <t>iang</t>
        </is>
      </c>
      <c r="J22" s="23" t="inlineStr">
        <is>
          <t>姜舒</t>
        </is>
      </c>
      <c r="K22" s="19" t="inlineStr">
        <is>
          <t>ㄧㄤ</t>
        </is>
      </c>
      <c r="L22" s="19" t="inlineStr">
        <is>
          <t>ㄧㄤ</t>
        </is>
      </c>
      <c r="M22" s="19" t="n"/>
      <c r="N22" s="23">
        <f>LEN(C22)</f>
        <v/>
      </c>
      <c r="O22" s="24" t="n"/>
      <c r="P22" s="51">
        <f>G22</f>
        <v/>
      </c>
      <c r="Q22" s="51">
        <f>K22</f>
        <v/>
      </c>
      <c r="S22" s="3">
        <f>_xlfn.CONCAT(P22)</f>
        <v/>
      </c>
      <c r="T22" s="3">
        <f>IFERROR( _xlfn.CONCAT(Q22, ""), "" )</f>
        <v/>
      </c>
      <c r="U22" s="25" t="n"/>
      <c r="V22" s="26">
        <f>IF(AND(Q22&lt;&gt;"", P22&lt;&gt;""), "    - xform/》" &amp; S22 &amp; "/" &amp; T22 &amp; "》/", "")</f>
        <v/>
      </c>
    </row>
    <row r="23" ht="27.75" customHeight="1" s="69" thickBot="1">
      <c r="A23" s="19" t="n">
        <v>41</v>
      </c>
      <c r="B23" s="20" t="inlineStr">
        <is>
          <t>ɪauʔ</t>
        </is>
      </c>
      <c r="C23" s="21" t="inlineStr">
        <is>
          <t>iauh</t>
        </is>
      </c>
      <c r="D23" s="21" t="inlineStr">
        <is>
          <t>iauh</t>
        </is>
      </c>
      <c r="E23" s="19" t="inlineStr">
        <is>
          <t>iauh</t>
        </is>
      </c>
      <c r="F23" s="19" t="inlineStr">
        <is>
          <t>iauh</t>
        </is>
      </c>
      <c r="G23" s="19" t="inlineStr">
        <is>
          <t>iauh</t>
        </is>
      </c>
      <c r="H23" s="19" t="inlineStr">
        <is>
          <t>iaoh</t>
        </is>
      </c>
      <c r="I23" s="22" t="inlineStr">
        <is>
          <t>iauh</t>
        </is>
      </c>
      <c r="J23" s="23" t="inlineStr">
        <is>
          <t>嬌促</t>
        </is>
      </c>
      <c r="K23" s="19" t="inlineStr">
        <is>
          <t>ㄧㄠㆷ</t>
        </is>
      </c>
      <c r="L23" s="19" t="inlineStr">
        <is>
          <t>ㄧㄠㄏ</t>
        </is>
      </c>
      <c r="M23" s="19" t="n"/>
      <c r="N23" s="23">
        <f>LEN(C23)</f>
        <v/>
      </c>
      <c r="O23" s="24" t="n"/>
      <c r="P23" s="51">
        <f>G23</f>
        <v/>
      </c>
      <c r="Q23" s="51">
        <f>K23</f>
        <v/>
      </c>
      <c r="S23" s="3">
        <f>_xlfn.CONCAT(P23)</f>
        <v/>
      </c>
      <c r="T23" s="3">
        <f>IFERROR( _xlfn.CONCAT(Q23, ""), "" )</f>
        <v/>
      </c>
      <c r="U23" s="25" t="n"/>
      <c r="V23" s="26">
        <f>IF(AND(Q23&lt;&gt;"", P23&lt;&gt;""), "    - xform/》" &amp; S23 &amp; "/" &amp; T23 &amp; "》/", "")</f>
        <v/>
      </c>
    </row>
    <row r="24" ht="27.75" customHeight="1" s="69" thickBot="1">
      <c r="A24" s="19" t="n">
        <v>45</v>
      </c>
      <c r="B24" s="20" t="inlineStr">
        <is>
          <t>ɪɔŋ</t>
        </is>
      </c>
      <c r="C24" s="21" t="inlineStr">
        <is>
          <t>iong</t>
        </is>
      </c>
      <c r="D24" s="21" t="inlineStr">
        <is>
          <t>iong</t>
        </is>
      </c>
      <c r="E24" s="19" t="inlineStr">
        <is>
          <t>iong</t>
        </is>
      </c>
      <c r="F24" s="19" t="inlineStr">
        <is>
          <t>iong</t>
        </is>
      </c>
      <c r="G24" s="19" t="inlineStr">
        <is>
          <t>iong</t>
        </is>
      </c>
      <c r="H24" s="19" t="inlineStr">
        <is>
          <t>iong</t>
        </is>
      </c>
      <c r="I24" s="22" t="inlineStr">
        <is>
          <t>iong</t>
        </is>
      </c>
      <c r="J24" s="23" t="inlineStr">
        <is>
          <t>恭舒</t>
        </is>
      </c>
      <c r="K24" s="19" t="inlineStr">
        <is>
          <t>ㄧㆲ</t>
        </is>
      </c>
      <c r="L24" s="19" t="inlineStr">
        <is>
          <t>ㄧㄛㄥ</t>
        </is>
      </c>
      <c r="M24" s="19" t="n"/>
      <c r="N24" s="23">
        <f>LEN(C24)</f>
        <v/>
      </c>
      <c r="O24" s="24" t="n"/>
      <c r="P24" s="51">
        <f>G24</f>
        <v/>
      </c>
      <c r="Q24" s="51">
        <f>K24</f>
        <v/>
      </c>
      <c r="S24" s="3">
        <f>_xlfn.CONCAT(P24)</f>
        <v/>
      </c>
      <c r="T24" s="3">
        <f>IFERROR( _xlfn.CONCAT(Q24, ""), "" )</f>
        <v/>
      </c>
      <c r="U24" s="25" t="n"/>
      <c r="V24" s="26">
        <f>IF(AND(Q24&lt;&gt;"", P24&lt;&gt;""), "    - xform/》" &amp; S24 &amp; "/" &amp; T24 &amp; "》/", "")</f>
        <v/>
      </c>
    </row>
    <row r="25" ht="27.75" customHeight="1" s="69" thickBot="1">
      <c r="A25" s="19" t="n">
        <v>68</v>
      </c>
      <c r="B25" s="20" t="inlineStr">
        <is>
          <t>uaŋ</t>
        </is>
      </c>
      <c r="C25" s="21" t="inlineStr">
        <is>
          <t>uang</t>
        </is>
      </c>
      <c r="D25" s="21" t="inlineStr">
        <is>
          <t>uang</t>
        </is>
      </c>
      <c r="E25" s="19" t="inlineStr">
        <is>
          <t>uang</t>
        </is>
      </c>
      <c r="F25" s="19" t="inlineStr">
        <is>
          <t>uang</t>
        </is>
      </c>
      <c r="G25" s="19" t="inlineStr">
        <is>
          <t>uang</t>
        </is>
      </c>
      <c r="H25" s="19" t="inlineStr">
        <is>
          <t>uang</t>
        </is>
      </c>
      <c r="I25" s="22" t="inlineStr">
        <is>
          <t>oang</t>
        </is>
      </c>
      <c r="J25" s="23" t="inlineStr">
        <is>
          <t>光舒</t>
        </is>
      </c>
      <c r="K25" s="19" t="inlineStr">
        <is>
          <t>ㄨㄤ</t>
        </is>
      </c>
      <c r="L25" s="19" t="inlineStr">
        <is>
          <t>ㄨㄤ</t>
        </is>
      </c>
      <c r="M25" s="19" t="n"/>
      <c r="N25" s="23">
        <f>LEN(C25)</f>
        <v/>
      </c>
      <c r="O25" s="24" t="n"/>
      <c r="P25" s="51">
        <f>G25</f>
        <v/>
      </c>
      <c r="Q25" s="51">
        <f>K25</f>
        <v/>
      </c>
      <c r="S25" s="3">
        <f>_xlfn.CONCAT(P25)</f>
        <v/>
      </c>
      <c r="T25" s="3">
        <f>IFERROR( _xlfn.CONCAT(Q25, ""), "" )</f>
        <v/>
      </c>
      <c r="U25" s="25" t="n"/>
      <c r="V25" s="26">
        <f>IF(AND(Q25&lt;&gt;"", P25&lt;&gt;""), "    - xform/》" &amp; S25 &amp; "/" &amp; T25 &amp; "》/", "")</f>
        <v/>
      </c>
    </row>
    <row r="26" ht="27.75" customHeight="1" s="69" thickBot="1">
      <c r="A26" s="19" t="n">
        <v>72</v>
      </c>
      <c r="B26" s="20" t="inlineStr">
        <is>
          <t>uaiʔ</t>
        </is>
      </c>
      <c r="C26" s="21" t="inlineStr">
        <is>
          <t>uaih</t>
        </is>
      </c>
      <c r="D26" s="21" t="inlineStr">
        <is>
          <t>uaih</t>
        </is>
      </c>
      <c r="E26" s="19" t="inlineStr">
        <is>
          <t>uaih</t>
        </is>
      </c>
      <c r="F26" s="19" t="inlineStr">
        <is>
          <t>uaih</t>
        </is>
      </c>
      <c r="G26" s="19" t="inlineStr">
        <is>
          <t>uaih</t>
        </is>
      </c>
      <c r="H26" s="19" t="inlineStr">
        <is>
          <t>uaih</t>
        </is>
      </c>
      <c r="I26" s="22" t="inlineStr">
        <is>
          <t>oaih</t>
        </is>
      </c>
      <c r="J26" s="23" t="inlineStr">
        <is>
          <t>乖促</t>
        </is>
      </c>
      <c r="K26" s="19" t="inlineStr">
        <is>
          <t>ㄨㄞㆷ</t>
        </is>
      </c>
      <c r="L26" s="19" t="inlineStr">
        <is>
          <t>ㄨㄞㄏ</t>
        </is>
      </c>
      <c r="M26" s="19" t="n"/>
      <c r="N26" s="23">
        <f>LEN(C26)</f>
        <v/>
      </c>
      <c r="O26" s="24" t="n"/>
      <c r="P26" s="51">
        <f>G26</f>
        <v/>
      </c>
      <c r="Q26" s="51">
        <f>K26</f>
        <v/>
      </c>
      <c r="S26" s="3">
        <f>_xlfn.CONCAT(P26)</f>
        <v/>
      </c>
      <c r="T26" s="3">
        <f>IFERROR( _xlfn.CONCAT(Q26, ""), "" )</f>
        <v/>
      </c>
      <c r="U26" s="25" t="n"/>
      <c r="V26" s="26">
        <f>IF(AND(Q26&lt;&gt;"", P26&lt;&gt;""), "    - xform/》" &amp; S26 &amp; "/" &amp; T26 &amp; "》/", "")</f>
        <v/>
      </c>
    </row>
    <row r="27" ht="27.75" customHeight="1" s="69" thickBot="1">
      <c r="A27" s="19" t="n">
        <v>78</v>
      </c>
      <c r="B27" s="20" t="inlineStr">
        <is>
          <t>uiʔ</t>
        </is>
      </c>
      <c r="C27" s="21" t="inlineStr">
        <is>
          <t>uih</t>
        </is>
      </c>
      <c r="D27" s="21" t="inlineStr">
        <is>
          <t>uih</t>
        </is>
      </c>
      <c r="E27" s="31" t="inlineStr">
        <is>
          <t>uih</t>
        </is>
      </c>
      <c r="F27" s="31" t="inlineStr">
        <is>
          <t>uih</t>
        </is>
      </c>
      <c r="G27" s="31" t="inlineStr">
        <is>
          <t>uih</t>
        </is>
      </c>
      <c r="H27" s="31" t="inlineStr">
        <is>
          <t>uih</t>
        </is>
      </c>
      <c r="I27" s="31" t="inlineStr">
        <is>
          <t>uih</t>
        </is>
      </c>
      <c r="J27" s="35" t="inlineStr">
        <is>
          <t>褌促</t>
        </is>
      </c>
      <c r="K27" s="33" t="inlineStr">
        <is>
          <t>ㄨㄧㆷ</t>
        </is>
      </c>
      <c r="L27" s="54" t="inlineStr">
        <is>
          <t>ㄨㄧㄏ</t>
        </is>
      </c>
      <c r="M27" s="29" t="n"/>
      <c r="N27" s="23">
        <f>LEN(C27)</f>
        <v/>
      </c>
      <c r="O27" s="24" t="n"/>
      <c r="P27" s="51">
        <f>G27</f>
        <v/>
      </c>
      <c r="Q27" s="51">
        <f>K27</f>
        <v/>
      </c>
      <c r="S27" s="3">
        <f>_xlfn.CONCAT(P27)</f>
        <v/>
      </c>
      <c r="T27" s="3">
        <f>IFERROR( _xlfn.CONCAT(Q27, ""), "" )</f>
        <v/>
      </c>
      <c r="U27" s="25" t="n"/>
      <c r="V27" s="26">
        <f>IF(AND(Q27&lt;&gt;"", P27&lt;&gt;""), "    - xform/》" &amp; S27 &amp; "/" &amp; T27 &amp; "》/", "")</f>
        <v/>
      </c>
    </row>
    <row r="28" ht="27.75" customHeight="1" s="69" thickBot="1">
      <c r="A28" s="19" t="n">
        <v>7</v>
      </c>
      <c r="B28" s="20" t="inlineStr">
        <is>
          <t>aŋ</t>
        </is>
      </c>
      <c r="C28" s="21" t="inlineStr">
        <is>
          <t>ang</t>
        </is>
      </c>
      <c r="D28" s="21" t="inlineStr">
        <is>
          <t>ang</t>
        </is>
      </c>
      <c r="E28" s="19" t="inlineStr">
        <is>
          <t>ang</t>
        </is>
      </c>
      <c r="F28" s="19" t="inlineStr">
        <is>
          <t>ang</t>
        </is>
      </c>
      <c r="G28" s="19" t="inlineStr">
        <is>
          <t>ang</t>
        </is>
      </c>
      <c r="H28" s="19" t="inlineStr">
        <is>
          <t>ang</t>
        </is>
      </c>
      <c r="I28" s="22" t="inlineStr">
        <is>
          <t>ang</t>
        </is>
      </c>
      <c r="J28" s="23" t="inlineStr">
        <is>
          <t>江舒</t>
        </is>
      </c>
      <c r="K28" s="19" t="inlineStr">
        <is>
          <t>ㄤ</t>
        </is>
      </c>
      <c r="L28" s="19" t="inlineStr">
        <is>
          <t>ㄤ</t>
        </is>
      </c>
      <c r="M28" s="19" t="n"/>
      <c r="N28" s="23">
        <f>LEN(C28)</f>
        <v/>
      </c>
      <c r="O28" s="24" t="n"/>
      <c r="P28" s="51">
        <f>G28</f>
        <v/>
      </c>
      <c r="Q28" s="51">
        <f>K28</f>
        <v/>
      </c>
      <c r="S28" s="3">
        <f>_xlfn.CONCAT(P28)</f>
        <v/>
      </c>
      <c r="T28" s="3">
        <f>IFERROR( _xlfn.CONCAT(Q28, ""), "" )</f>
        <v/>
      </c>
      <c r="U28" s="25" t="n"/>
      <c r="V28" s="26">
        <f>IF(AND(Q28&lt;&gt;"", P28&lt;&gt;""), "    - xform/》" &amp; S28 &amp; "/" &amp; T28 &amp; "》/", "")</f>
        <v/>
      </c>
    </row>
    <row r="29" ht="30.75" customHeight="1" s="69" thickBot="1">
      <c r="A29" s="19" t="n">
        <v>13</v>
      </c>
      <c r="B29" s="20" t="inlineStr">
        <is>
          <t>aɪʔ</t>
        </is>
      </c>
      <c r="C29" s="21" t="inlineStr">
        <is>
          <t>aih</t>
        </is>
      </c>
      <c r="D29" s="21" t="inlineStr">
        <is>
          <t>aih</t>
        </is>
      </c>
      <c r="E29" s="31" t="inlineStr">
        <is>
          <t>aih</t>
        </is>
      </c>
      <c r="F29" s="31" t="inlineStr">
        <is>
          <t>aih</t>
        </is>
      </c>
      <c r="G29" s="31" t="inlineStr">
        <is>
          <t>aih</t>
        </is>
      </c>
      <c r="H29" s="31" t="inlineStr">
        <is>
          <t>aih</t>
        </is>
      </c>
      <c r="I29" s="31" t="inlineStr">
        <is>
          <t>aih</t>
        </is>
      </c>
      <c r="J29" s="32" t="inlineStr">
        <is>
          <t>皆促</t>
        </is>
      </c>
      <c r="K29" s="33" t="inlineStr">
        <is>
          <t>ㄞㆷ</t>
        </is>
      </c>
      <c r="L29" s="54" t="inlineStr">
        <is>
          <t>ㄞㄏ</t>
        </is>
      </c>
      <c r="M29" s="19" t="n"/>
      <c r="N29" s="23">
        <f>LEN(C29)</f>
        <v/>
      </c>
      <c r="O29" s="24" t="n"/>
      <c r="P29" s="51">
        <f>G29</f>
        <v/>
      </c>
      <c r="Q29" s="51">
        <f>K29</f>
        <v/>
      </c>
      <c r="S29" s="3">
        <f>_xlfn.CONCAT(P29)</f>
        <v/>
      </c>
      <c r="T29" s="3">
        <f>IFERROR( _xlfn.CONCAT(Q29, ""), "" )</f>
        <v/>
      </c>
      <c r="U29" s="25" t="n"/>
      <c r="V29" s="26">
        <f>IF(AND(Q29&lt;&gt;"", P29&lt;&gt;""), "    - xform/》" &amp; S29 &amp; "/" &amp; T29 &amp; "》/", "")</f>
        <v/>
      </c>
    </row>
    <row r="30" ht="27.75" customHeight="1" s="69" thickBot="1">
      <c r="A30" s="19" t="n">
        <v>15</v>
      </c>
      <c r="B30" s="20" t="inlineStr">
        <is>
          <t>auʔ</t>
        </is>
      </c>
      <c r="C30" s="21" t="inlineStr">
        <is>
          <t>auh</t>
        </is>
      </c>
      <c r="D30" s="21" t="inlineStr">
        <is>
          <t>auh</t>
        </is>
      </c>
      <c r="E30" s="19" t="inlineStr">
        <is>
          <t>auh</t>
        </is>
      </c>
      <c r="F30" s="19" t="inlineStr">
        <is>
          <t>auh</t>
        </is>
      </c>
      <c r="G30" s="19" t="inlineStr">
        <is>
          <t>auh</t>
        </is>
      </c>
      <c r="H30" s="19" t="inlineStr">
        <is>
          <t>aoh</t>
        </is>
      </c>
      <c r="I30" s="22" t="inlineStr">
        <is>
          <t>auh</t>
        </is>
      </c>
      <c r="J30" s="23" t="inlineStr">
        <is>
          <t>交促</t>
        </is>
      </c>
      <c r="K30" s="19" t="inlineStr">
        <is>
          <t>ㄠㆷ</t>
        </is>
      </c>
      <c r="L30" s="19" t="inlineStr">
        <is>
          <t>ㄠㄏ</t>
        </is>
      </c>
      <c r="M30" s="19" t="n"/>
      <c r="N30" s="23">
        <f>LEN(C30)</f>
        <v/>
      </c>
      <c r="O30" s="24" t="n"/>
      <c r="P30" s="51">
        <f>G30</f>
        <v/>
      </c>
      <c r="Q30" s="51">
        <f>K30</f>
        <v/>
      </c>
      <c r="S30" s="3">
        <f>_xlfn.CONCAT(P30)</f>
        <v/>
      </c>
      <c r="T30" s="3">
        <f>IFERROR( _xlfn.CONCAT(Q30, ""), "" )</f>
        <v/>
      </c>
      <c r="U30" s="25" t="n"/>
      <c r="V30" s="26">
        <f>IF(AND(Q30&lt;&gt;"", P30&lt;&gt;""), "    - xform/》" &amp; S30 &amp; "/" &amp; T30 &amp; "》/", "")</f>
        <v/>
      </c>
    </row>
    <row r="31" ht="27.75" customHeight="1" s="69" thickBot="1">
      <c r="A31" s="19" t="n">
        <v>25</v>
      </c>
      <c r="B31" s="20" t="inlineStr">
        <is>
          <t>iŋ</t>
        </is>
      </c>
      <c r="C31" s="21" t="inlineStr">
        <is>
          <t>ing</t>
        </is>
      </c>
      <c r="D31" s="21" t="inlineStr">
        <is>
          <t>ing</t>
        </is>
      </c>
      <c r="E31" s="19" t="inlineStr">
        <is>
          <t>ing</t>
        </is>
      </c>
      <c r="F31" s="19" t="inlineStr">
        <is>
          <t>ing</t>
        </is>
      </c>
      <c r="G31" s="19" t="inlineStr">
        <is>
          <t>ing</t>
        </is>
      </c>
      <c r="H31" s="19" t="inlineStr">
        <is>
          <t>ing</t>
        </is>
      </c>
      <c r="I31" s="22" t="inlineStr">
        <is>
          <t>eng</t>
        </is>
      </c>
      <c r="J31" s="23" t="inlineStr">
        <is>
          <t>經舒</t>
        </is>
      </c>
      <c r="K31" s="19" t="inlineStr">
        <is>
          <t>ㄧㄥ</t>
        </is>
      </c>
      <c r="L31" s="19" t="inlineStr">
        <is>
          <t>ㄧㄥ</t>
        </is>
      </c>
      <c r="M31" s="19" t="n"/>
      <c r="N31" s="23">
        <f>LEN(C31)</f>
        <v/>
      </c>
      <c r="O31" s="24" t="n"/>
      <c r="P31" s="51">
        <f>G31</f>
        <v/>
      </c>
      <c r="Q31" s="51">
        <f>K31</f>
        <v/>
      </c>
      <c r="S31" s="3">
        <f>_xlfn.CONCAT(P31)</f>
        <v/>
      </c>
      <c r="T31" s="3">
        <f>IFERROR( _xlfn.CONCAT(Q31, ""), "" )</f>
        <v/>
      </c>
      <c r="U31" s="25" t="n"/>
      <c r="V31" s="26">
        <f>IF(AND(Q31&lt;&gt;"", P31&lt;&gt;""), "    - xform/》" &amp; S31 &amp; "/" &amp; T31 &amp; "》/", "")</f>
        <v/>
      </c>
    </row>
    <row r="32" ht="27.75" customHeight="1" s="69" thickBot="1">
      <c r="A32" s="19" t="n">
        <v>31</v>
      </c>
      <c r="B32" s="20" t="inlineStr">
        <is>
          <t>ɪaʔ</t>
        </is>
      </c>
      <c r="C32" s="21" t="inlineStr">
        <is>
          <t>iah</t>
        </is>
      </c>
      <c r="D32" s="21" t="inlineStr">
        <is>
          <t>iah</t>
        </is>
      </c>
      <c r="E32" s="19" t="inlineStr">
        <is>
          <t>iah</t>
        </is>
      </c>
      <c r="F32" s="19" t="inlineStr">
        <is>
          <t>iah</t>
        </is>
      </c>
      <c r="G32" s="19" t="inlineStr">
        <is>
          <t>iah</t>
        </is>
      </c>
      <c r="H32" s="19" t="inlineStr">
        <is>
          <t>iah</t>
        </is>
      </c>
      <c r="I32" s="22" t="inlineStr">
        <is>
          <t>iah</t>
        </is>
      </c>
      <c r="J32" s="23" t="inlineStr">
        <is>
          <t>迦促</t>
        </is>
      </c>
      <c r="K32" s="19" t="inlineStr">
        <is>
          <t>ㄧㄚㆷ</t>
        </is>
      </c>
      <c r="L32" s="19" t="inlineStr">
        <is>
          <t>ㄧㄚㄏ</t>
        </is>
      </c>
      <c r="M32" s="19" t="n"/>
      <c r="N32" s="23">
        <f>LEN(C32)</f>
        <v/>
      </c>
      <c r="O32" s="24" t="n"/>
      <c r="P32" s="51">
        <f>G32</f>
        <v/>
      </c>
      <c r="Q32" s="51">
        <f>K32</f>
        <v/>
      </c>
      <c r="S32" s="3">
        <f>_xlfn.CONCAT(P32)</f>
        <v/>
      </c>
      <c r="T32" s="3">
        <f>IFERROR( _xlfn.CONCAT(Q32, ""), "" )</f>
        <v/>
      </c>
      <c r="U32" s="25" t="n"/>
      <c r="V32" s="26">
        <f>IF(AND(Q32&lt;&gt;"", P32&lt;&gt;""), "    - xform/》" &amp; S32 &amp; "/" &amp; T32 &amp; "》/", "")</f>
        <v/>
      </c>
    </row>
    <row r="33" ht="27.75" customHeight="1" s="69" thickBot="1">
      <c r="A33" s="19" t="n">
        <v>33</v>
      </c>
      <c r="B33" s="20" t="inlineStr">
        <is>
          <t>ɪam</t>
        </is>
      </c>
      <c r="C33" s="21" t="inlineStr">
        <is>
          <t>iam</t>
        </is>
      </c>
      <c r="D33" s="21" t="inlineStr">
        <is>
          <t>iam</t>
        </is>
      </c>
      <c r="E33" s="19" t="inlineStr">
        <is>
          <t>iam</t>
        </is>
      </c>
      <c r="F33" s="19" t="inlineStr">
        <is>
          <t>iam</t>
        </is>
      </c>
      <c r="G33" s="19" t="inlineStr">
        <is>
          <t>iam</t>
        </is>
      </c>
      <c r="H33" s="19" t="inlineStr">
        <is>
          <t>iam</t>
        </is>
      </c>
      <c r="I33" s="22" t="inlineStr">
        <is>
          <t>iam</t>
        </is>
      </c>
      <c r="J33" s="23" t="inlineStr">
        <is>
          <t>兼舒</t>
        </is>
      </c>
      <c r="K33" s="19" t="inlineStr">
        <is>
          <t>ㄧㆰ</t>
        </is>
      </c>
      <c r="L33" s="19" t="inlineStr">
        <is>
          <t>ㄧㄚㄇ</t>
        </is>
      </c>
      <c r="M33" s="19" t="n"/>
      <c r="N33" s="23">
        <f>LEN(C33)</f>
        <v/>
      </c>
      <c r="O33" s="24" t="n"/>
      <c r="P33" s="51">
        <f>G33</f>
        <v/>
      </c>
      <c r="Q33" s="51">
        <f>K33</f>
        <v/>
      </c>
      <c r="S33" s="3">
        <f>_xlfn.CONCAT(P33)</f>
        <v/>
      </c>
      <c r="T33" s="3">
        <f>IFERROR( _xlfn.CONCAT(Q33, ""), "" )</f>
        <v/>
      </c>
      <c r="U33" s="25" t="n"/>
      <c r="V33" s="26">
        <f>IF(AND(Q33&lt;&gt;"", P33&lt;&gt;""), "    - xform/》" &amp; S33 &amp; "/" &amp; T33 &amp; "》/", "")</f>
        <v/>
      </c>
    </row>
    <row r="34" ht="27.75" customHeight="1" s="69" thickBot="1">
      <c r="A34" s="19" t="n">
        <v>34</v>
      </c>
      <c r="B34" s="20" t="inlineStr">
        <is>
          <t>ɪan/en</t>
        </is>
      </c>
      <c r="C34" s="21" t="inlineStr">
        <is>
          <t>ian</t>
        </is>
      </c>
      <c r="D34" s="21" t="inlineStr">
        <is>
          <t>ian</t>
        </is>
      </c>
      <c r="E34" s="19" t="inlineStr">
        <is>
          <t>ian</t>
        </is>
      </c>
      <c r="F34" s="19" t="inlineStr">
        <is>
          <t>ian</t>
        </is>
      </c>
      <c r="G34" s="19" t="inlineStr">
        <is>
          <t>ian</t>
        </is>
      </c>
      <c r="H34" s="19" t="inlineStr">
        <is>
          <t>ian</t>
        </is>
      </c>
      <c r="I34" s="22" t="inlineStr">
        <is>
          <t>ian</t>
        </is>
      </c>
      <c r="J34" s="23" t="inlineStr">
        <is>
          <t>堅舒</t>
        </is>
      </c>
      <c r="K34" s="19" t="inlineStr">
        <is>
          <t>ㄧㄢ</t>
        </is>
      </c>
      <c r="L34" s="19" t="inlineStr">
        <is>
          <t>ㄧㄢ</t>
        </is>
      </c>
      <c r="M34" s="19" t="n"/>
      <c r="N34" s="23">
        <f>LEN(C34)</f>
        <v/>
      </c>
      <c r="O34" s="24" t="n"/>
      <c r="P34" s="51">
        <f>G34</f>
        <v/>
      </c>
      <c r="Q34" s="51">
        <f>K34</f>
        <v/>
      </c>
      <c r="S34" s="3">
        <f>_xlfn.CONCAT(P34)</f>
        <v/>
      </c>
      <c r="T34" s="3">
        <f>IFERROR( _xlfn.CONCAT(Q34, ""), "" )</f>
        <v/>
      </c>
      <c r="U34" s="25" t="n"/>
      <c r="V34" s="26">
        <f>IF(AND(Q34&lt;&gt;"", P34&lt;&gt;""), "    - xform/》" &amp; S34 &amp; "/" &amp; T34 &amp; "》/", "")</f>
        <v/>
      </c>
    </row>
    <row r="35" ht="27.75" customHeight="1" s="69" thickBot="1">
      <c r="A35" s="19" t="n">
        <v>36</v>
      </c>
      <c r="B35" s="20" t="inlineStr">
        <is>
          <t>ɪap̚</t>
        </is>
      </c>
      <c r="C35" s="21" t="inlineStr">
        <is>
          <t>iap</t>
        </is>
      </c>
      <c r="D35" s="21" t="inlineStr">
        <is>
          <t>iap</t>
        </is>
      </c>
      <c r="E35" s="19" t="inlineStr">
        <is>
          <t>iap</t>
        </is>
      </c>
      <c r="F35" s="19" t="inlineStr">
        <is>
          <t>iap</t>
        </is>
      </c>
      <c r="G35" s="19" t="inlineStr">
        <is>
          <t>iap</t>
        </is>
      </c>
      <c r="H35" s="19" t="inlineStr">
        <is>
          <t>iap</t>
        </is>
      </c>
      <c r="I35" s="22" t="inlineStr">
        <is>
          <t>iap</t>
        </is>
      </c>
      <c r="J35" s="23" t="inlineStr">
        <is>
          <t>兼促</t>
        </is>
      </c>
      <c r="K35" s="19" t="inlineStr">
        <is>
          <t>ㄧㄚㆴ</t>
        </is>
      </c>
      <c r="L35" s="19" t="inlineStr">
        <is>
          <t>ㄧㄚㄅ</t>
        </is>
      </c>
      <c r="M35" s="19" t="n"/>
      <c r="N35" s="23">
        <f>LEN(C35)</f>
        <v/>
      </c>
      <c r="O35" s="24" t="n"/>
      <c r="P35" s="51">
        <f>G35</f>
        <v/>
      </c>
      <c r="Q35" s="51">
        <f>K35</f>
        <v/>
      </c>
      <c r="S35" s="3">
        <f>_xlfn.CONCAT(P35)</f>
        <v/>
      </c>
      <c r="T35" s="3">
        <f>IFERROR( _xlfn.CONCAT(Q35, ""), "" )</f>
        <v/>
      </c>
      <c r="U35" s="25" t="n"/>
      <c r="V35" s="26">
        <f>IF(AND(Q35&lt;&gt;"", P35&lt;&gt;""), "    - xform/》" &amp; S35 &amp; "/" &amp; T35 &amp; "》/", "")</f>
        <v/>
      </c>
    </row>
    <row r="36" ht="27.75" customHeight="1" s="69" thickBot="1">
      <c r="A36" s="19" t="n">
        <v>37</v>
      </c>
      <c r="B36" s="20" t="inlineStr">
        <is>
          <t>ɪat̚/ɪet̚</t>
        </is>
      </c>
      <c r="C36" s="21" t="inlineStr">
        <is>
          <t>iat</t>
        </is>
      </c>
      <c r="D36" s="21" t="inlineStr">
        <is>
          <t>iat</t>
        </is>
      </c>
      <c r="E36" s="19" t="inlineStr">
        <is>
          <t>iat</t>
        </is>
      </c>
      <c r="F36" s="19" t="inlineStr">
        <is>
          <t>iat</t>
        </is>
      </c>
      <c r="G36" s="19" t="inlineStr">
        <is>
          <t>iat</t>
        </is>
      </c>
      <c r="H36" s="19" t="inlineStr">
        <is>
          <t>iat</t>
        </is>
      </c>
      <c r="I36" s="22" t="inlineStr">
        <is>
          <t>iat</t>
        </is>
      </c>
      <c r="J36" s="23" t="inlineStr">
        <is>
          <t>堅促</t>
        </is>
      </c>
      <c r="K36" s="19" t="inlineStr">
        <is>
          <t>ㄧㄚㆵ</t>
        </is>
      </c>
      <c r="L36" s="19" t="inlineStr">
        <is>
          <t>ㄧㄚㄉ</t>
        </is>
      </c>
      <c r="M36" s="19" t="n"/>
      <c r="N36" s="23">
        <f>LEN(C36)</f>
        <v/>
      </c>
      <c r="O36" s="24" t="n"/>
      <c r="P36" s="51">
        <f>G36</f>
        <v/>
      </c>
      <c r="Q36" s="51">
        <f>K36</f>
        <v/>
      </c>
      <c r="S36" s="3">
        <f>_xlfn.CONCAT(P36)</f>
        <v/>
      </c>
      <c r="T36" s="3">
        <f>IFERROR( _xlfn.CONCAT(Q36, ""), "" )</f>
        <v/>
      </c>
      <c r="U36" s="25" t="n"/>
      <c r="V36" s="26">
        <f>IF(AND(Q36&lt;&gt;"", P36&lt;&gt;""), "    - xform/》" &amp; S36 &amp; "/" &amp; T36 &amp; "》/", "")</f>
        <v/>
      </c>
    </row>
    <row r="37" ht="27.75" customHeight="1" s="69" thickBot="1">
      <c r="A37" s="19" t="n">
        <v>38</v>
      </c>
      <c r="B37" s="20" t="inlineStr">
        <is>
          <t>ɪak̚</t>
        </is>
      </c>
      <c r="C37" s="21" t="inlineStr">
        <is>
          <t>iak</t>
        </is>
      </c>
      <c r="D37" s="21" t="inlineStr">
        <is>
          <t>iak</t>
        </is>
      </c>
      <c r="E37" s="19" t="inlineStr">
        <is>
          <t>iak</t>
        </is>
      </c>
      <c r="F37" s="19" t="inlineStr">
        <is>
          <t>iak</t>
        </is>
      </c>
      <c r="G37" s="19" t="inlineStr">
        <is>
          <t>iak</t>
        </is>
      </c>
      <c r="H37" s="19" t="inlineStr">
        <is>
          <t>iak</t>
        </is>
      </c>
      <c r="I37" s="22" t="inlineStr">
        <is>
          <t>iak</t>
        </is>
      </c>
      <c r="J37" s="23" t="inlineStr">
        <is>
          <t>姜促</t>
        </is>
      </c>
      <c r="K37" s="19" t="inlineStr">
        <is>
          <t>ㄧㄚㆻ</t>
        </is>
      </c>
      <c r="L37" s="19" t="inlineStr">
        <is>
          <t>ㄧㄚㄍ</t>
        </is>
      </c>
      <c r="M37" s="19" t="n"/>
      <c r="N37" s="23">
        <f>LEN(C37)</f>
        <v/>
      </c>
      <c r="O37" s="24" t="n"/>
      <c r="P37" s="51">
        <f>G37</f>
        <v/>
      </c>
      <c r="Q37" s="51">
        <f>K37</f>
        <v/>
      </c>
      <c r="S37" s="3">
        <f>_xlfn.CONCAT(P37)</f>
        <v/>
      </c>
      <c r="T37" s="3">
        <f>IFERROR( _xlfn.CONCAT(Q37, ""), "" )</f>
        <v/>
      </c>
      <c r="U37" s="25" t="n"/>
      <c r="V37" s="26">
        <f>IF(AND(Q37&lt;&gt;"", P37&lt;&gt;""), "    - xform/》" &amp; S37 &amp; "/" &amp; T37 &amp; "》/", "")</f>
        <v/>
      </c>
    </row>
    <row r="38" ht="27.75" customHeight="1" s="69" thickBot="1">
      <c r="A38" s="19" t="n">
        <v>39</v>
      </c>
      <c r="B38" s="20" t="inlineStr">
        <is>
          <t>ɪau</t>
        </is>
      </c>
      <c r="C38" s="21" t="inlineStr">
        <is>
          <t>iau</t>
        </is>
      </c>
      <c r="D38" s="21" t="inlineStr">
        <is>
          <t>iau</t>
        </is>
      </c>
      <c r="E38" s="19" t="inlineStr">
        <is>
          <t>iau</t>
        </is>
      </c>
      <c r="F38" s="19" t="inlineStr">
        <is>
          <t>iau</t>
        </is>
      </c>
      <c r="G38" s="19" t="inlineStr">
        <is>
          <t>iau</t>
        </is>
      </c>
      <c r="H38" s="19" t="inlineStr">
        <is>
          <t>iao</t>
        </is>
      </c>
      <c r="I38" s="22" t="inlineStr">
        <is>
          <t>iau</t>
        </is>
      </c>
      <c r="J38" s="23" t="inlineStr">
        <is>
          <t>嬌舒</t>
        </is>
      </c>
      <c r="K38" s="19" t="inlineStr">
        <is>
          <t>ㄧㄠ</t>
        </is>
      </c>
      <c r="L38" s="19" t="inlineStr">
        <is>
          <t>ㄧㄠ</t>
        </is>
      </c>
      <c r="M38" s="19" t="n"/>
      <c r="N38" s="23">
        <f>LEN(C38)</f>
        <v/>
      </c>
      <c r="O38" s="24" t="n"/>
      <c r="P38" s="51">
        <f>G38</f>
        <v/>
      </c>
      <c r="Q38" s="51">
        <f>K38</f>
        <v/>
      </c>
      <c r="S38" s="3">
        <f>_xlfn.CONCAT(P38)</f>
        <v/>
      </c>
      <c r="T38" s="3">
        <f>IFERROR( _xlfn.CONCAT(Q38, ""), "" )</f>
        <v/>
      </c>
      <c r="U38" s="25" t="n"/>
      <c r="V38" s="26">
        <f>IF(AND(Q38&lt;&gt;"", P38&lt;&gt;""), "    - xform/》" &amp; S38 &amp; "/" &amp; T38 &amp; "》/", "")</f>
        <v/>
      </c>
    </row>
    <row r="39" ht="27.75" customHeight="1" s="69" thickBot="1">
      <c r="A39" s="19" t="n">
        <v>44</v>
      </c>
      <c r="B39" s="20" t="inlineStr">
        <is>
          <t>ɪəʔ/ɪoʔ</t>
        </is>
      </c>
      <c r="C39" s="21" t="inlineStr">
        <is>
          <t>ioh</t>
        </is>
      </c>
      <c r="D39" s="21" t="inlineStr">
        <is>
          <t>ioh</t>
        </is>
      </c>
      <c r="E39" s="19" t="inlineStr">
        <is>
          <t>ioh</t>
        </is>
      </c>
      <c r="F39" s="19" t="inlineStr">
        <is>
          <t>iorh</t>
        </is>
      </c>
      <c r="G39" s="19" t="inlineStr">
        <is>
          <t>iorh</t>
        </is>
      </c>
      <c r="H39" s="19" t="inlineStr">
        <is>
          <t>ioh</t>
        </is>
      </c>
      <c r="I39" s="22" t="inlineStr">
        <is>
          <t>ioh</t>
        </is>
      </c>
      <c r="J39" s="23" t="inlineStr">
        <is>
          <t>茄促</t>
        </is>
      </c>
      <c r="K39" s="19" t="inlineStr">
        <is>
          <t>ㄧㄜㆷ</t>
        </is>
      </c>
      <c r="L39" s="19" t="inlineStr">
        <is>
          <t>ㄧㄜㄏ</t>
        </is>
      </c>
      <c r="M39" s="19" t="n"/>
      <c r="N39" s="23">
        <f>LEN(C39)</f>
        <v/>
      </c>
      <c r="O39" s="24" t="n"/>
      <c r="P39" s="51">
        <f>G39</f>
        <v/>
      </c>
      <c r="Q39" s="51">
        <f>K39</f>
        <v/>
      </c>
      <c r="S39" s="3">
        <f>_xlfn.CONCAT(P39)</f>
        <v/>
      </c>
      <c r="T39" s="3">
        <f>IFERROR( _xlfn.CONCAT(Q39, ""), "" )</f>
        <v/>
      </c>
      <c r="U39" s="25" t="n"/>
      <c r="V39" s="26">
        <f>IF(AND(Q39&lt;&gt;"", P39&lt;&gt;""), "    - xform/》" &amp; S39 &amp; "/" &amp; T39 &amp; "》/", "")</f>
        <v/>
      </c>
    </row>
    <row r="40" ht="27.75" customHeight="1" s="69" thickBot="1">
      <c r="A40" s="19" t="n">
        <v>46</v>
      </c>
      <c r="B40" s="20" t="inlineStr">
        <is>
          <t>ɪɔk̚</t>
        </is>
      </c>
      <c r="C40" s="21" t="inlineStr">
        <is>
          <t>iok</t>
        </is>
      </c>
      <c r="D40" s="21" t="inlineStr">
        <is>
          <t>iok</t>
        </is>
      </c>
      <c r="E40" s="19" t="inlineStr">
        <is>
          <t>iok</t>
        </is>
      </c>
      <c r="F40" s="19" t="inlineStr">
        <is>
          <t>iook</t>
        </is>
      </c>
      <c r="G40" s="19" t="inlineStr">
        <is>
          <t>iook</t>
        </is>
      </c>
      <c r="H40" s="19" t="inlineStr">
        <is>
          <t>iok</t>
        </is>
      </c>
      <c r="I40" s="22" t="inlineStr">
        <is>
          <t>iok</t>
        </is>
      </c>
      <c r="J40" s="23" t="inlineStr">
        <is>
          <t>恭促</t>
        </is>
      </c>
      <c r="K40" s="19" t="inlineStr">
        <is>
          <t>ㄧㆦㆻ</t>
        </is>
      </c>
      <c r="L40" s="19" t="inlineStr">
        <is>
          <t>ㄧㄛㄍ</t>
        </is>
      </c>
      <c r="M40" s="19" t="n"/>
      <c r="N40" s="23">
        <f>LEN(C40)</f>
        <v/>
      </c>
      <c r="O40" s="24" t="n"/>
      <c r="P40" s="51">
        <f>G40</f>
        <v/>
      </c>
      <c r="Q40" s="51">
        <f>K40</f>
        <v/>
      </c>
      <c r="S40" s="3">
        <f>_xlfn.CONCAT(P40)</f>
        <v/>
      </c>
      <c r="T40" s="3">
        <f>IFERROR( _xlfn.CONCAT(Q40, ""), "" )</f>
        <v/>
      </c>
      <c r="U40" s="25" t="n"/>
      <c r="V40" s="26">
        <f>IF(AND(Q40&lt;&gt;"", P40&lt;&gt;""), "    - xform/》" &amp; S40 &amp; "/" &amp; T40 &amp; "》/", "")</f>
        <v/>
      </c>
    </row>
    <row r="41" ht="30.75" customHeight="1" s="69" thickBot="1">
      <c r="A41" s="19" t="n">
        <v>54</v>
      </c>
      <c r="B41" s="20" t="inlineStr">
        <is>
          <t>ɔʔ</t>
        </is>
      </c>
      <c r="C41" s="21" t="inlineStr">
        <is>
          <t>ooh</t>
        </is>
      </c>
      <c r="D41" s="21" t="inlineStr">
        <is>
          <t>ooh</t>
        </is>
      </c>
      <c r="E41" s="31" t="inlineStr">
        <is>
          <t>ooh</t>
        </is>
      </c>
      <c r="F41" s="31" t="inlineStr">
        <is>
          <t>ooh</t>
        </is>
      </c>
      <c r="G41" s="31" t="inlineStr">
        <is>
          <t>ooh</t>
        </is>
      </c>
      <c r="H41" s="31" t="inlineStr">
        <is>
          <t>ooh</t>
        </is>
      </c>
      <c r="I41" s="31" t="inlineStr">
        <is>
          <t>o͘h</t>
        </is>
      </c>
      <c r="J41" s="32" t="inlineStr">
        <is>
          <t>沽促</t>
        </is>
      </c>
      <c r="K41" s="34" t="inlineStr">
        <is>
          <t>ㆦㆷ</t>
        </is>
      </c>
      <c r="L41" s="55" t="inlineStr">
        <is>
          <t>ㄛㄏ</t>
        </is>
      </c>
      <c r="M41" s="19" t="n"/>
      <c r="N41" s="23">
        <f>LEN(C41)</f>
        <v/>
      </c>
      <c r="O41" s="24" t="n"/>
      <c r="P41" s="51">
        <f>G41</f>
        <v/>
      </c>
      <c r="Q41" s="51">
        <f>K41</f>
        <v/>
      </c>
      <c r="S41" s="3">
        <f>_xlfn.CONCAT(P41)</f>
        <v/>
      </c>
      <c r="T41" s="3">
        <f>IFERROR( _xlfn.CONCAT(Q41, ""), "" )</f>
        <v/>
      </c>
      <c r="U41" s="25" t="n"/>
      <c r="V41" s="26">
        <f>IF(AND(Q41&lt;&gt;"", P41&lt;&gt;""), "    - xform/》" &amp; S41 &amp; "/" &amp; T41 &amp; "》/", "")</f>
        <v/>
      </c>
    </row>
    <row r="42" ht="27.75" customHeight="1" s="69" thickBot="1">
      <c r="A42" s="19" t="n">
        <v>57</v>
      </c>
      <c r="B42" s="20" t="inlineStr">
        <is>
          <t>ɔŋ</t>
        </is>
      </c>
      <c r="C42" s="21" t="inlineStr">
        <is>
          <t>ong</t>
        </is>
      </c>
      <c r="D42" s="21" t="inlineStr">
        <is>
          <t>ong</t>
        </is>
      </c>
      <c r="E42" s="19" t="inlineStr">
        <is>
          <t>ong</t>
        </is>
      </c>
      <c r="F42" s="19" t="inlineStr">
        <is>
          <t>ong</t>
        </is>
      </c>
      <c r="G42" s="19" t="inlineStr">
        <is>
          <t>ong</t>
        </is>
      </c>
      <c r="H42" s="19" t="inlineStr">
        <is>
          <t>ong</t>
        </is>
      </c>
      <c r="I42" s="22" t="inlineStr">
        <is>
          <t>ong</t>
        </is>
      </c>
      <c r="J42" s="23" t="inlineStr">
        <is>
          <t>公舒</t>
        </is>
      </c>
      <c r="K42" s="19" t="inlineStr">
        <is>
          <t>ㆲ</t>
        </is>
      </c>
      <c r="L42" s="19" t="inlineStr">
        <is>
          <t>ㄛㄥ</t>
        </is>
      </c>
      <c r="M42" s="19" t="n"/>
      <c r="N42" s="23">
        <f>LEN(C42)</f>
        <v/>
      </c>
      <c r="O42" s="24" t="n"/>
      <c r="P42" s="51">
        <f>G42</f>
        <v/>
      </c>
      <c r="Q42" s="51">
        <f>K42</f>
        <v/>
      </c>
      <c r="S42" s="3">
        <f>_xlfn.CONCAT(P42)</f>
        <v/>
      </c>
      <c r="T42" s="3">
        <f>IFERROR( _xlfn.CONCAT(Q42, ""), "" )</f>
        <v/>
      </c>
      <c r="U42" s="25" t="n"/>
      <c r="V42" s="26">
        <f>IF(AND(Q42&lt;&gt;"", P42&lt;&gt;""), "    - xform/》" &amp; S42 &amp; "/" &amp; T42 &amp; "》/", "")</f>
        <v/>
      </c>
    </row>
    <row r="43" ht="27.75" customHeight="1" s="69" thickBot="1">
      <c r="A43" s="19" t="n">
        <v>66</v>
      </c>
      <c r="B43" s="20" t="inlineStr">
        <is>
          <t>uaʔ</t>
        </is>
      </c>
      <c r="C43" s="21" t="inlineStr">
        <is>
          <t>uah</t>
        </is>
      </c>
      <c r="D43" s="21" t="inlineStr">
        <is>
          <t>uah</t>
        </is>
      </c>
      <c r="E43" s="19" t="inlineStr">
        <is>
          <t>uah</t>
        </is>
      </c>
      <c r="F43" s="19" t="inlineStr">
        <is>
          <t>uah</t>
        </is>
      </c>
      <c r="G43" s="19" t="inlineStr">
        <is>
          <t>uah</t>
        </is>
      </c>
      <c r="H43" s="19" t="inlineStr">
        <is>
          <t>uah</t>
        </is>
      </c>
      <c r="I43" s="22" t="inlineStr">
        <is>
          <t>oah</t>
        </is>
      </c>
      <c r="J43" s="23" t="inlineStr">
        <is>
          <t>瓜促</t>
        </is>
      </c>
      <c r="K43" s="19" t="inlineStr">
        <is>
          <t>ㄨㄚㆷ</t>
        </is>
      </c>
      <c r="L43" s="19" t="inlineStr">
        <is>
          <t>ㄨㄚㄏ</t>
        </is>
      </c>
      <c r="M43" s="19" t="n"/>
      <c r="N43" s="23">
        <f>LEN(C43)</f>
        <v/>
      </c>
      <c r="O43" s="24" t="n"/>
      <c r="P43" s="51">
        <f>G43</f>
        <v/>
      </c>
      <c r="Q43" s="51">
        <f>K43</f>
        <v/>
      </c>
      <c r="S43" s="3">
        <f>_xlfn.CONCAT(P43)</f>
        <v/>
      </c>
      <c r="T43" s="3">
        <f>IFERROR( _xlfn.CONCAT(Q43, ""), "" )</f>
        <v/>
      </c>
      <c r="U43" s="25" t="n"/>
      <c r="V43" s="26">
        <f>IF(AND(Q43&lt;&gt;"", P43&lt;&gt;""), "    - xform/》" &amp; S43 &amp; "/" &amp; T43 &amp; "》/", "")</f>
        <v/>
      </c>
    </row>
    <row r="44" ht="27.75" customHeight="1" s="69" thickBot="1">
      <c r="A44" s="19" t="n">
        <v>67</v>
      </c>
      <c r="B44" s="20" t="inlineStr">
        <is>
          <t>uan</t>
        </is>
      </c>
      <c r="C44" s="21" t="inlineStr">
        <is>
          <t>uan</t>
        </is>
      </c>
      <c r="D44" s="21" t="inlineStr">
        <is>
          <t>uan</t>
        </is>
      </c>
      <c r="E44" s="19" t="inlineStr">
        <is>
          <t>uan</t>
        </is>
      </c>
      <c r="F44" s="19" t="inlineStr">
        <is>
          <t>uan</t>
        </is>
      </c>
      <c r="G44" s="19" t="inlineStr">
        <is>
          <t>uan</t>
        </is>
      </c>
      <c r="H44" s="19" t="inlineStr">
        <is>
          <t>uan</t>
        </is>
      </c>
      <c r="I44" s="22" t="inlineStr">
        <is>
          <t>oan</t>
        </is>
      </c>
      <c r="J44" s="23" t="inlineStr">
        <is>
          <t>觀舒</t>
        </is>
      </c>
      <c r="K44" s="19" t="inlineStr">
        <is>
          <t>ㄨㄢ</t>
        </is>
      </c>
      <c r="L44" s="19" t="inlineStr">
        <is>
          <t>ㄨㄢ</t>
        </is>
      </c>
      <c r="M44" s="19" t="n"/>
      <c r="N44" s="23">
        <f>LEN(C44)</f>
        <v/>
      </c>
      <c r="O44" s="24" t="n"/>
      <c r="P44" s="51">
        <f>G44</f>
        <v/>
      </c>
      <c r="Q44" s="51">
        <f>K44</f>
        <v/>
      </c>
      <c r="S44" s="3">
        <f>_xlfn.CONCAT(P44)</f>
        <v/>
      </c>
      <c r="T44" s="3">
        <f>IFERROR( _xlfn.CONCAT(Q44, ""), "" )</f>
        <v/>
      </c>
      <c r="U44" s="25" t="n"/>
      <c r="V44" s="26">
        <f>IF(AND(Q44&lt;&gt;"", P44&lt;&gt;""), "    - xform/》" &amp; S44 &amp; "/" &amp; T44 &amp; "》/", "")</f>
        <v/>
      </c>
    </row>
    <row r="45" ht="27.75" customHeight="1" s="69" thickBot="1">
      <c r="A45" s="19" t="n">
        <v>69</v>
      </c>
      <c r="B45" s="20" t="inlineStr">
        <is>
          <t>uat̚</t>
        </is>
      </c>
      <c r="C45" s="21" t="inlineStr">
        <is>
          <t>uat</t>
        </is>
      </c>
      <c r="D45" s="21" t="inlineStr">
        <is>
          <t>uat</t>
        </is>
      </c>
      <c r="E45" s="19" t="inlineStr">
        <is>
          <t>uat</t>
        </is>
      </c>
      <c r="F45" s="19" t="inlineStr">
        <is>
          <t>uat</t>
        </is>
      </c>
      <c r="G45" s="19" t="inlineStr">
        <is>
          <t>uat</t>
        </is>
      </c>
      <c r="H45" s="19" t="inlineStr">
        <is>
          <t>uat</t>
        </is>
      </c>
      <c r="I45" s="22" t="inlineStr">
        <is>
          <t>oat</t>
        </is>
      </c>
      <c r="J45" s="23" t="inlineStr">
        <is>
          <t>觀促</t>
        </is>
      </c>
      <c r="K45" s="19" t="inlineStr">
        <is>
          <t>ㄨㄚㆵ</t>
        </is>
      </c>
      <c r="L45" s="19" t="inlineStr">
        <is>
          <t>ㄨㄚㄉ</t>
        </is>
      </c>
      <c r="M45" s="19" t="n"/>
      <c r="N45" s="23">
        <f>LEN(C45)</f>
        <v/>
      </c>
      <c r="O45" s="24" t="n"/>
      <c r="P45" s="51">
        <f>G45</f>
        <v/>
      </c>
      <c r="Q45" s="51">
        <f>K45</f>
        <v/>
      </c>
      <c r="S45" s="3">
        <f>_xlfn.CONCAT(P45)</f>
        <v/>
      </c>
      <c r="T45" s="3">
        <f>IFERROR( _xlfn.CONCAT(Q45, ""), "" )</f>
        <v/>
      </c>
      <c r="U45" s="25" t="n"/>
      <c r="V45" s="26">
        <f>IF(AND(Q45&lt;&gt;"", P45&lt;&gt;""), "    - xform/》" &amp; S45 &amp; "/" &amp; T45 &amp; "》/", "")</f>
        <v/>
      </c>
    </row>
    <row r="46" ht="27.75" customHeight="1" s="69" thickBot="1">
      <c r="A46" s="19" t="n">
        <v>70</v>
      </c>
      <c r="B46" s="20" t="inlineStr">
        <is>
          <t>uai</t>
        </is>
      </c>
      <c r="C46" s="21" t="inlineStr">
        <is>
          <t>uai</t>
        </is>
      </c>
      <c r="D46" s="21" t="inlineStr">
        <is>
          <t>uai</t>
        </is>
      </c>
      <c r="E46" s="19" t="inlineStr">
        <is>
          <t>uai</t>
        </is>
      </c>
      <c r="F46" s="19" t="inlineStr">
        <is>
          <t>uai</t>
        </is>
      </c>
      <c r="G46" s="19" t="inlineStr">
        <is>
          <t>uai</t>
        </is>
      </c>
      <c r="H46" s="19" t="inlineStr">
        <is>
          <t>uai</t>
        </is>
      </c>
      <c r="I46" s="22" t="inlineStr">
        <is>
          <t>oai</t>
        </is>
      </c>
      <c r="J46" s="23" t="inlineStr">
        <is>
          <t>乖舒</t>
        </is>
      </c>
      <c r="K46" s="19" t="inlineStr">
        <is>
          <t>ㄨㄞ</t>
        </is>
      </c>
      <c r="L46" s="19" t="inlineStr">
        <is>
          <t>ㄨㄞ</t>
        </is>
      </c>
      <c r="M46" s="19" t="n"/>
      <c r="N46" s="23">
        <f>LEN(C46)</f>
        <v/>
      </c>
      <c r="O46" s="24" t="n"/>
      <c r="P46" s="51">
        <f>G46</f>
        <v/>
      </c>
      <c r="Q46" s="51">
        <f>K46</f>
        <v/>
      </c>
      <c r="S46" s="3">
        <f>_xlfn.CONCAT(P46)</f>
        <v/>
      </c>
      <c r="T46" s="3">
        <f>IFERROR( _xlfn.CONCAT(Q46, ""), "" )</f>
        <v/>
      </c>
      <c r="U46" s="25" t="n"/>
      <c r="V46" s="26">
        <f>IF(AND(Q46&lt;&gt;"", P46&lt;&gt;""), "    - xform/》" &amp; S46 &amp; "/" &amp; T46 &amp; "》/", "")</f>
        <v/>
      </c>
    </row>
    <row r="47" ht="27.75" customHeight="1" s="69" thickBot="1">
      <c r="A47" s="19" t="n">
        <v>75</v>
      </c>
      <c r="B47" s="20" t="inlineStr">
        <is>
          <t>ueʔ</t>
        </is>
      </c>
      <c r="C47" s="21" t="inlineStr">
        <is>
          <t>ueh</t>
        </is>
      </c>
      <c r="D47" s="21" t="inlineStr">
        <is>
          <t>ueh</t>
        </is>
      </c>
      <c r="E47" s="19" t="inlineStr">
        <is>
          <t>ueh</t>
        </is>
      </c>
      <c r="F47" s="19" t="inlineStr">
        <is>
          <t>ueh</t>
        </is>
      </c>
      <c r="G47" s="19" t="inlineStr">
        <is>
          <t>ueh</t>
        </is>
      </c>
      <c r="H47" s="19" t="inlineStr">
        <is>
          <t>ueh</t>
        </is>
      </c>
      <c r="I47" s="22" t="inlineStr">
        <is>
          <t>oeh</t>
        </is>
      </c>
      <c r="J47" s="23" t="inlineStr">
        <is>
          <t>檜促</t>
        </is>
      </c>
      <c r="K47" s="19" t="inlineStr">
        <is>
          <t>ㄨㆤㆷ</t>
        </is>
      </c>
      <c r="L47" s="19" t="inlineStr">
        <is>
          <t>ㄨㄝㄏ</t>
        </is>
      </c>
      <c r="M47" s="19" t="n"/>
      <c r="N47" s="23">
        <f>LEN(C47)</f>
        <v/>
      </c>
      <c r="O47" s="24" t="n"/>
      <c r="P47" s="51">
        <f>G47</f>
        <v/>
      </c>
      <c r="Q47" s="51">
        <f>K47</f>
        <v/>
      </c>
      <c r="S47" s="3">
        <f>_xlfn.CONCAT(P47)</f>
        <v/>
      </c>
      <c r="T47" s="3">
        <f>IFERROR( _xlfn.CONCAT(Q47, ""), "" )</f>
        <v/>
      </c>
      <c r="U47" s="25" t="n"/>
      <c r="V47" s="26">
        <f>IF(AND(Q47&lt;&gt;"", P47&lt;&gt;""), "    - xform/》" &amp; S47 &amp; "/" &amp; T47 &amp; "》/", "")</f>
        <v/>
      </c>
    </row>
    <row r="48" ht="30.75" customHeight="1" s="69" thickBot="1">
      <c r="A48" s="19" t="n">
        <v>82</v>
      </c>
      <c r="B48" s="20" t="inlineStr">
        <is>
          <t>ŋ̍ʔ</t>
        </is>
      </c>
      <c r="C48" s="21" t="inlineStr">
        <is>
          <t>ngh</t>
        </is>
      </c>
      <c r="D48" s="21" t="inlineStr">
        <is>
          <t>ngh</t>
        </is>
      </c>
      <c r="E48" s="31" t="inlineStr">
        <is>
          <t>ngh</t>
        </is>
      </c>
      <c r="F48" s="31" t="inlineStr">
        <is>
          <t>ngh</t>
        </is>
      </c>
      <c r="G48" s="31" t="inlineStr">
        <is>
          <t>ngh</t>
        </is>
      </c>
      <c r="H48" s="31" t="inlineStr">
        <is>
          <t>ngh</t>
        </is>
      </c>
      <c r="I48" s="31" t="inlineStr">
        <is>
          <t>ngh</t>
        </is>
      </c>
      <c r="J48" s="35" t="inlineStr">
        <is>
          <t>鋼促</t>
        </is>
      </c>
      <c r="K48" s="34" t="inlineStr">
        <is>
          <t>ㆭㆷ</t>
        </is>
      </c>
      <c r="L48" s="55" t="inlineStr">
        <is>
          <t>ㄥㄏ</t>
        </is>
      </c>
      <c r="M48" s="19" t="n"/>
      <c r="N48" s="23">
        <f>LEN(C48)</f>
        <v/>
      </c>
      <c r="O48" s="24" t="n"/>
      <c r="P48" s="51">
        <f>G48</f>
        <v/>
      </c>
      <c r="Q48" s="51">
        <f>K48</f>
        <v/>
      </c>
      <c r="S48" s="3">
        <f>_xlfn.CONCAT(P48)</f>
        <v/>
      </c>
      <c r="T48" s="3">
        <f>IFERROR( _xlfn.CONCAT(Q48, ""), "" )</f>
        <v/>
      </c>
      <c r="U48" s="25" t="n"/>
      <c r="V48" s="26">
        <f>IF(AND(Q48&lt;&gt;"", P48&lt;&gt;""), "    - xform/》" &amp; S48 &amp; "/" &amp; T48 &amp; "》/", "")</f>
        <v/>
      </c>
    </row>
    <row r="49" ht="27.75" customHeight="1" s="69" thickBot="1">
      <c r="A49" s="19" t="n">
        <v>3</v>
      </c>
      <c r="B49" s="20" t="inlineStr">
        <is>
          <t>aʔ</t>
        </is>
      </c>
      <c r="C49" s="21" t="inlineStr">
        <is>
          <t>ah</t>
        </is>
      </c>
      <c r="D49" s="21" t="inlineStr">
        <is>
          <t>ah</t>
        </is>
      </c>
      <c r="E49" s="19" t="inlineStr">
        <is>
          <t>ah</t>
        </is>
      </c>
      <c r="F49" s="19" t="inlineStr">
        <is>
          <t>ah</t>
        </is>
      </c>
      <c r="G49" s="19" t="inlineStr">
        <is>
          <t>ah</t>
        </is>
      </c>
      <c r="H49" s="19" t="inlineStr">
        <is>
          <t>ah</t>
        </is>
      </c>
      <c r="I49" s="22" t="inlineStr">
        <is>
          <t>ah</t>
        </is>
      </c>
      <c r="J49" s="23" t="inlineStr">
        <is>
          <t>膠促</t>
        </is>
      </c>
      <c r="K49" s="19" t="inlineStr">
        <is>
          <t>ㄚㆷ</t>
        </is>
      </c>
      <c r="L49" s="19" t="inlineStr">
        <is>
          <t>ㄚㄏ</t>
        </is>
      </c>
      <c r="M49" s="19" t="n"/>
      <c r="N49" s="23">
        <f>LEN(C49)</f>
        <v/>
      </c>
      <c r="O49" s="24" t="n"/>
      <c r="P49" s="51">
        <f>G49</f>
        <v/>
      </c>
      <c r="Q49" s="51">
        <f>K49</f>
        <v/>
      </c>
      <c r="S49" s="3">
        <f>_xlfn.CONCAT(P49)</f>
        <v/>
      </c>
      <c r="T49" s="3">
        <f>IFERROR( _xlfn.CONCAT(Q49, ""), "" )</f>
        <v/>
      </c>
      <c r="U49" s="25" t="n"/>
      <c r="V49" s="26">
        <f>IF(AND(Q49&lt;&gt;"", P49&lt;&gt;""), "    - xform/》" &amp; S49 &amp; "/" &amp; T49 &amp; "》/", "")</f>
        <v/>
      </c>
    </row>
    <row r="50" ht="27.75" customHeight="1" s="69" thickBot="1">
      <c r="A50" s="19" t="n">
        <v>5</v>
      </c>
      <c r="B50" s="20" t="inlineStr">
        <is>
          <t>am</t>
        </is>
      </c>
      <c r="C50" s="21" t="inlineStr">
        <is>
          <t>am</t>
        </is>
      </c>
      <c r="D50" s="21" t="inlineStr">
        <is>
          <t>am</t>
        </is>
      </c>
      <c r="E50" s="19" t="inlineStr">
        <is>
          <t>am</t>
        </is>
      </c>
      <c r="F50" s="19" t="inlineStr">
        <is>
          <t>am</t>
        </is>
      </c>
      <c r="G50" s="19" t="inlineStr">
        <is>
          <t>am</t>
        </is>
      </c>
      <c r="H50" s="19" t="inlineStr">
        <is>
          <t>am</t>
        </is>
      </c>
      <c r="I50" s="22" t="inlineStr">
        <is>
          <t>am</t>
        </is>
      </c>
      <c r="J50" s="23" t="inlineStr">
        <is>
          <t>甘舒</t>
        </is>
      </c>
      <c r="K50" s="19" t="inlineStr">
        <is>
          <t>ㆰ</t>
        </is>
      </c>
      <c r="L50" s="19" t="inlineStr">
        <is>
          <t>ㄚㄇ</t>
        </is>
      </c>
      <c r="M50" s="19" t="n"/>
      <c r="N50" s="23">
        <f>LEN(C50)</f>
        <v/>
      </c>
      <c r="O50" s="24" t="n"/>
      <c r="P50" s="51">
        <f>G50</f>
        <v/>
      </c>
      <c r="Q50" s="51">
        <f>K50</f>
        <v/>
      </c>
      <c r="S50" s="3">
        <f>_xlfn.CONCAT(P50)</f>
        <v/>
      </c>
      <c r="T50" s="3">
        <f>IFERROR( _xlfn.CONCAT(Q50, ""), "" )</f>
        <v/>
      </c>
      <c r="U50" s="25" t="n"/>
      <c r="V50" s="26">
        <f>IF(AND(Q50&lt;&gt;"", P50&lt;&gt;""), "    - xform/》" &amp; S50 &amp; "/" &amp; T50 &amp; "》/", "")</f>
        <v/>
      </c>
    </row>
    <row r="51" ht="27.75" customHeight="1" s="69" thickBot="1">
      <c r="A51" s="19" t="n">
        <v>6</v>
      </c>
      <c r="B51" s="20" t="inlineStr">
        <is>
          <t>an</t>
        </is>
      </c>
      <c r="C51" s="21" t="inlineStr">
        <is>
          <t>an</t>
        </is>
      </c>
      <c r="D51" s="21" t="inlineStr">
        <is>
          <t>an</t>
        </is>
      </c>
      <c r="E51" s="19" t="inlineStr">
        <is>
          <t>an</t>
        </is>
      </c>
      <c r="F51" s="19" t="inlineStr">
        <is>
          <t>an</t>
        </is>
      </c>
      <c r="G51" s="19" t="inlineStr">
        <is>
          <t>an</t>
        </is>
      </c>
      <c r="H51" s="19" t="inlineStr">
        <is>
          <t>an</t>
        </is>
      </c>
      <c r="I51" s="22" t="inlineStr">
        <is>
          <t>an</t>
        </is>
      </c>
      <c r="J51" s="23" t="inlineStr">
        <is>
          <t>干舒</t>
        </is>
      </c>
      <c r="K51" s="19" t="inlineStr">
        <is>
          <t>ㄢ</t>
        </is>
      </c>
      <c r="L51" s="19" t="inlineStr">
        <is>
          <t>ㄢ</t>
        </is>
      </c>
      <c r="M51" s="19" t="n"/>
      <c r="N51" s="23">
        <f>LEN(C51)</f>
        <v/>
      </c>
      <c r="O51" s="24" t="n"/>
      <c r="P51" s="51">
        <f>G51</f>
        <v/>
      </c>
      <c r="Q51" s="51">
        <f>K51</f>
        <v/>
      </c>
      <c r="S51" s="3">
        <f>_xlfn.CONCAT(P51)</f>
        <v/>
      </c>
      <c r="T51" s="3">
        <f>IFERROR( _xlfn.CONCAT(Q51, ""), "" )</f>
        <v/>
      </c>
      <c r="U51" s="25" t="n"/>
      <c r="V51" s="26">
        <f>IF(AND(Q51&lt;&gt;"", P51&lt;&gt;""), "    - xform/》" &amp; S51 &amp; "/" &amp; T51 &amp; "》/", "")</f>
        <v/>
      </c>
    </row>
    <row r="52" ht="27.75" customHeight="1" s="69" thickBot="1">
      <c r="A52" s="19" t="n">
        <v>8</v>
      </c>
      <c r="B52" s="20" t="inlineStr">
        <is>
          <t>ap̚</t>
        </is>
      </c>
      <c r="C52" s="21" t="inlineStr">
        <is>
          <t>ap</t>
        </is>
      </c>
      <c r="D52" s="21" t="inlineStr">
        <is>
          <t>ap</t>
        </is>
      </c>
      <c r="E52" s="19" t="inlineStr">
        <is>
          <t>ap</t>
        </is>
      </c>
      <c r="F52" s="19" t="inlineStr">
        <is>
          <t>ap</t>
        </is>
      </c>
      <c r="G52" s="19" t="inlineStr">
        <is>
          <t>ap</t>
        </is>
      </c>
      <c r="H52" s="19" t="inlineStr">
        <is>
          <t>ap</t>
        </is>
      </c>
      <c r="I52" s="22" t="inlineStr">
        <is>
          <t>ap</t>
        </is>
      </c>
      <c r="J52" s="23" t="inlineStr">
        <is>
          <t>甘促</t>
        </is>
      </c>
      <c r="K52" s="19" t="inlineStr">
        <is>
          <t>ㄚㆴ</t>
        </is>
      </c>
      <c r="L52" s="19" t="inlineStr">
        <is>
          <t>ㄚㄅ</t>
        </is>
      </c>
      <c r="M52" s="19" t="n"/>
      <c r="N52" s="23">
        <f>LEN(C52)</f>
        <v/>
      </c>
      <c r="O52" s="24" t="n"/>
      <c r="P52" s="51">
        <f>G52</f>
        <v/>
      </c>
      <c r="Q52" s="51">
        <f>K52</f>
        <v/>
      </c>
      <c r="S52" s="3">
        <f>_xlfn.CONCAT(P52)</f>
        <v/>
      </c>
      <c r="T52" s="3">
        <f>IFERROR( _xlfn.CONCAT(Q52, ""), "" )</f>
        <v/>
      </c>
      <c r="U52" s="25" t="n"/>
      <c r="V52" s="26">
        <f>IF(AND(Q52&lt;&gt;"", P52&lt;&gt;""), "    - xform/》" &amp; S52 &amp; "/" &amp; T52 &amp; "》/", "")</f>
        <v/>
      </c>
    </row>
    <row r="53" ht="27.75" customHeight="1" s="69" thickBot="1">
      <c r="A53" s="19" t="n">
        <v>9</v>
      </c>
      <c r="B53" s="20" t="inlineStr">
        <is>
          <t>at̚</t>
        </is>
      </c>
      <c r="C53" s="21" t="inlineStr">
        <is>
          <t>at</t>
        </is>
      </c>
      <c r="D53" s="21" t="inlineStr">
        <is>
          <t>at</t>
        </is>
      </c>
      <c r="E53" s="19" t="inlineStr">
        <is>
          <t>at</t>
        </is>
      </c>
      <c r="F53" s="19" t="inlineStr">
        <is>
          <t>at</t>
        </is>
      </c>
      <c r="G53" s="19" t="inlineStr">
        <is>
          <t>at</t>
        </is>
      </c>
      <c r="H53" s="19" t="inlineStr">
        <is>
          <t>at</t>
        </is>
      </c>
      <c r="I53" s="22" t="inlineStr">
        <is>
          <t>at</t>
        </is>
      </c>
      <c r="J53" s="23" t="inlineStr">
        <is>
          <t>干促</t>
        </is>
      </c>
      <c r="K53" s="19" t="inlineStr">
        <is>
          <t>ㄚㆵ</t>
        </is>
      </c>
      <c r="L53" s="19" t="inlineStr">
        <is>
          <t>ㄚㄉ</t>
        </is>
      </c>
      <c r="M53" s="19" t="n"/>
      <c r="N53" s="23">
        <f>LEN(C53)</f>
        <v/>
      </c>
      <c r="O53" s="24" t="n"/>
      <c r="P53" s="51">
        <f>G53</f>
        <v/>
      </c>
      <c r="Q53" s="51">
        <f>K53</f>
        <v/>
      </c>
      <c r="S53" s="3">
        <f>_xlfn.CONCAT(P53)</f>
        <v/>
      </c>
      <c r="T53" s="3">
        <f>IFERROR( _xlfn.CONCAT(Q53, ""), "" )</f>
        <v/>
      </c>
      <c r="U53" s="25" t="n"/>
      <c r="V53" s="26">
        <f>IF(AND(Q53&lt;&gt;"", P53&lt;&gt;""), "    - xform/》" &amp; S53 &amp; "/" &amp; T53 &amp; "》/", "")</f>
        <v/>
      </c>
    </row>
    <row r="54" ht="27.75" customHeight="1" s="69" thickBot="1">
      <c r="A54" s="19" t="n">
        <v>10</v>
      </c>
      <c r="B54" s="20" t="inlineStr">
        <is>
          <t>ak̚</t>
        </is>
      </c>
      <c r="C54" s="21" t="inlineStr">
        <is>
          <t>ak</t>
        </is>
      </c>
      <c r="D54" s="21" t="inlineStr">
        <is>
          <t>ak</t>
        </is>
      </c>
      <c r="E54" s="19" t="inlineStr">
        <is>
          <t>ak</t>
        </is>
      </c>
      <c r="F54" s="19" t="inlineStr">
        <is>
          <t>ak</t>
        </is>
      </c>
      <c r="G54" s="19" t="inlineStr">
        <is>
          <t>ak</t>
        </is>
      </c>
      <c r="H54" s="19" t="inlineStr">
        <is>
          <t>ak</t>
        </is>
      </c>
      <c r="I54" s="22" t="inlineStr">
        <is>
          <t>ak</t>
        </is>
      </c>
      <c r="J54" s="23" t="inlineStr">
        <is>
          <t>江促</t>
        </is>
      </c>
      <c r="K54" s="19" t="inlineStr">
        <is>
          <t>ㄚㆻ</t>
        </is>
      </c>
      <c r="L54" s="19" t="inlineStr">
        <is>
          <t>ㄚㄍ</t>
        </is>
      </c>
      <c r="M54" s="19" t="n"/>
      <c r="N54" s="23">
        <f>LEN(C54)</f>
        <v/>
      </c>
      <c r="O54" s="24" t="n"/>
      <c r="P54" s="51">
        <f>G54</f>
        <v/>
      </c>
      <c r="Q54" s="51">
        <f>K54</f>
        <v/>
      </c>
      <c r="S54" s="3">
        <f>_xlfn.CONCAT(P54)</f>
        <v/>
      </c>
      <c r="T54" s="3">
        <f>IFERROR( _xlfn.CONCAT(Q54, ""), "" )</f>
        <v/>
      </c>
      <c r="U54" s="25" t="n"/>
      <c r="V54" s="26">
        <f>IF(AND(Q54&lt;&gt;"", P54&lt;&gt;""), "    - xform/》" &amp; S54 &amp; "/" &amp; T54 &amp; "》/", "")</f>
        <v/>
      </c>
    </row>
    <row r="55" ht="27.75" customHeight="1" s="69" thickBot="1">
      <c r="A55" s="19" t="n">
        <v>11</v>
      </c>
      <c r="B55" s="20" t="inlineStr">
        <is>
          <t>aɪ</t>
        </is>
      </c>
      <c r="C55" s="21" t="inlineStr">
        <is>
          <t>ai</t>
        </is>
      </c>
      <c r="D55" s="21" t="inlineStr">
        <is>
          <t>ai</t>
        </is>
      </c>
      <c r="E55" s="19" t="inlineStr">
        <is>
          <t>ai</t>
        </is>
      </c>
      <c r="F55" s="19" t="inlineStr">
        <is>
          <t>ai</t>
        </is>
      </c>
      <c r="G55" s="19" t="inlineStr">
        <is>
          <t>ai</t>
        </is>
      </c>
      <c r="H55" s="19" t="inlineStr">
        <is>
          <t>ai</t>
        </is>
      </c>
      <c r="I55" s="22" t="inlineStr">
        <is>
          <t>ai</t>
        </is>
      </c>
      <c r="J55" s="23" t="inlineStr">
        <is>
          <t>皆舒</t>
        </is>
      </c>
      <c r="K55" s="19" t="inlineStr">
        <is>
          <t>ㄞ</t>
        </is>
      </c>
      <c r="L55" s="19" t="inlineStr">
        <is>
          <t>ㄞ</t>
        </is>
      </c>
      <c r="M55" s="19" t="n"/>
      <c r="N55" s="23">
        <f>LEN(C55)</f>
        <v/>
      </c>
      <c r="O55" s="24" t="n"/>
      <c r="P55" s="51">
        <f>G55</f>
        <v/>
      </c>
      <c r="Q55" s="51">
        <f>K55</f>
        <v/>
      </c>
      <c r="S55" s="3">
        <f>_xlfn.CONCAT(P55)</f>
        <v/>
      </c>
      <c r="T55" s="3">
        <f>IFERROR( _xlfn.CONCAT(Q55, ""), "" )</f>
        <v/>
      </c>
      <c r="U55" s="25" t="n"/>
      <c r="V55" s="26">
        <f>IF(AND(Q55&lt;&gt;"", P55&lt;&gt;""), "    - xform/》" &amp; S55 &amp; "/" &amp; T55 &amp; "》/", "")</f>
        <v/>
      </c>
    </row>
    <row r="56" ht="27.75" customHeight="1" s="69" thickBot="1">
      <c r="A56" s="19" t="n">
        <v>14</v>
      </c>
      <c r="B56" s="20" t="inlineStr">
        <is>
          <t>au</t>
        </is>
      </c>
      <c r="C56" s="21" t="inlineStr">
        <is>
          <t>au</t>
        </is>
      </c>
      <c r="D56" s="21" t="inlineStr">
        <is>
          <t>au</t>
        </is>
      </c>
      <c r="E56" s="19" t="inlineStr">
        <is>
          <t>au</t>
        </is>
      </c>
      <c r="F56" s="19" t="inlineStr">
        <is>
          <t>au</t>
        </is>
      </c>
      <c r="G56" s="19" t="inlineStr">
        <is>
          <t>au</t>
        </is>
      </c>
      <c r="H56" s="19" t="inlineStr">
        <is>
          <t>ao</t>
        </is>
      </c>
      <c r="I56" s="22" t="inlineStr">
        <is>
          <t>au</t>
        </is>
      </c>
      <c r="J56" s="23" t="inlineStr">
        <is>
          <t>交舒</t>
        </is>
      </c>
      <c r="K56" s="19" t="inlineStr">
        <is>
          <t>ㄠ</t>
        </is>
      </c>
      <c r="L56" s="19" t="inlineStr">
        <is>
          <t>ㄠ</t>
        </is>
      </c>
      <c r="M56" s="19" t="n"/>
      <c r="N56" s="23">
        <f>LEN(C56)</f>
        <v/>
      </c>
      <c r="O56" s="24" t="n"/>
      <c r="P56" s="51">
        <f>G56</f>
        <v/>
      </c>
      <c r="Q56" s="51">
        <f>K56</f>
        <v/>
      </c>
      <c r="S56" s="3">
        <f>_xlfn.CONCAT(P56)</f>
        <v/>
      </c>
      <c r="T56" s="3">
        <f>IFERROR( _xlfn.CONCAT(Q56, ""), "" )</f>
        <v/>
      </c>
      <c r="U56" s="25" t="n"/>
      <c r="V56" s="26">
        <f>IF(AND(Q56&lt;&gt;"", P56&lt;&gt;""), "    - xform/》" &amp; S56 &amp; "/" &amp; T56 &amp; "》/", "")</f>
        <v/>
      </c>
    </row>
    <row r="57" ht="27.75" customHeight="1" s="69" thickBot="1">
      <c r="A57" s="19" t="n">
        <v>18</v>
      </c>
      <c r="B57" s="20" t="inlineStr">
        <is>
          <t>eʔ</t>
        </is>
      </c>
      <c r="C57" s="21" t="inlineStr">
        <is>
          <t>eh</t>
        </is>
      </c>
      <c r="D57" s="21" t="inlineStr">
        <is>
          <t>eh</t>
        </is>
      </c>
      <c r="E57" s="19" t="inlineStr">
        <is>
          <t>eh</t>
        </is>
      </c>
      <c r="F57" s="19" t="inlineStr">
        <is>
          <t>eh</t>
        </is>
      </c>
      <c r="G57" s="19" t="inlineStr">
        <is>
          <t>eh</t>
        </is>
      </c>
      <c r="H57" s="19" t="inlineStr">
        <is>
          <t>eh</t>
        </is>
      </c>
      <c r="I57" s="22" t="inlineStr">
        <is>
          <t>eh</t>
        </is>
      </c>
      <c r="J57" s="23" t="inlineStr">
        <is>
          <t>伽促</t>
        </is>
      </c>
      <c r="K57" s="19" t="inlineStr">
        <is>
          <t>ㆤㆷ</t>
        </is>
      </c>
      <c r="L57" s="19" t="inlineStr">
        <is>
          <t>ㄝㄏ</t>
        </is>
      </c>
      <c r="M57" s="19" t="n"/>
      <c r="N57" s="23">
        <f>LEN(C57)</f>
        <v/>
      </c>
      <c r="O57" s="24" t="n"/>
      <c r="P57" s="51">
        <f>G57</f>
        <v/>
      </c>
      <c r="Q57" s="51">
        <f>K57</f>
        <v/>
      </c>
      <c r="S57" s="3">
        <f>_xlfn.CONCAT(P57)</f>
        <v/>
      </c>
      <c r="T57" s="3">
        <f>IFERROR( _xlfn.CONCAT(Q57, ""), "" )</f>
        <v/>
      </c>
      <c r="U57" s="25" t="n"/>
      <c r="V57" s="26">
        <f>IF(AND(Q57&lt;&gt;"", P57&lt;&gt;""), "    - xform/》" &amp; S57 &amp; "/" &amp; T57 &amp; "》/", "")</f>
        <v/>
      </c>
    </row>
    <row r="58" ht="27.75" customHeight="1" s="69" thickBot="1">
      <c r="A58" s="19" t="n">
        <v>22</v>
      </c>
      <c r="B58" s="20" t="inlineStr">
        <is>
          <t>iʔ</t>
        </is>
      </c>
      <c r="C58" s="21" t="inlineStr">
        <is>
          <t>ih</t>
        </is>
      </c>
      <c r="D58" s="21" t="inlineStr">
        <is>
          <t>ih</t>
        </is>
      </c>
      <c r="E58" s="19" t="inlineStr">
        <is>
          <t>ih</t>
        </is>
      </c>
      <c r="F58" s="19" t="inlineStr">
        <is>
          <t>ih</t>
        </is>
      </c>
      <c r="G58" s="19" t="inlineStr">
        <is>
          <t>ih</t>
        </is>
      </c>
      <c r="H58" s="19" t="inlineStr">
        <is>
          <t>ih</t>
        </is>
      </c>
      <c r="I58" s="22" t="inlineStr">
        <is>
          <t>ih</t>
        </is>
      </c>
      <c r="J58" s="23" t="inlineStr">
        <is>
          <t>居促</t>
        </is>
      </c>
      <c r="K58" s="19" t="inlineStr">
        <is>
          <t>ㄧㆷ</t>
        </is>
      </c>
      <c r="L58" s="19" t="inlineStr">
        <is>
          <t>ㄧㄏ</t>
        </is>
      </c>
      <c r="M58" s="19" t="n"/>
      <c r="N58" s="23">
        <f>LEN(C58)</f>
        <v/>
      </c>
      <c r="O58" s="24" t="n"/>
      <c r="P58" s="51">
        <f>G58</f>
        <v/>
      </c>
      <c r="Q58" s="51">
        <f>K58</f>
        <v/>
      </c>
      <c r="S58" s="3">
        <f>_xlfn.CONCAT(P58)</f>
        <v/>
      </c>
      <c r="T58" s="3">
        <f>IFERROR( _xlfn.CONCAT(Q58, ""), "" )</f>
        <v/>
      </c>
      <c r="U58" s="25" t="n"/>
      <c r="V58" s="26">
        <f>IF(AND(Q58&lt;&gt;"", P58&lt;&gt;""), "    - xform/》" &amp; S58 &amp; "/" &amp; T58 &amp; "》/", "")</f>
        <v/>
      </c>
    </row>
    <row r="59" ht="27.75" customHeight="1" s="69" thickBot="1">
      <c r="A59" s="19" t="n">
        <v>23</v>
      </c>
      <c r="B59" s="20" t="inlineStr">
        <is>
          <t>im</t>
        </is>
      </c>
      <c r="C59" s="21" t="inlineStr">
        <is>
          <t>im</t>
        </is>
      </c>
      <c r="D59" s="21" t="inlineStr">
        <is>
          <t>im</t>
        </is>
      </c>
      <c r="E59" s="19" t="inlineStr">
        <is>
          <t>im</t>
        </is>
      </c>
      <c r="F59" s="19" t="inlineStr">
        <is>
          <t>im</t>
        </is>
      </c>
      <c r="G59" s="19" t="inlineStr">
        <is>
          <t>im</t>
        </is>
      </c>
      <c r="H59" s="19" t="inlineStr">
        <is>
          <t>im</t>
        </is>
      </c>
      <c r="I59" s="22" t="inlineStr">
        <is>
          <t>im</t>
        </is>
      </c>
      <c r="J59" s="23" t="inlineStr">
        <is>
          <t>金舒</t>
        </is>
      </c>
      <c r="K59" s="19" t="inlineStr">
        <is>
          <t>ㄧㆬ</t>
        </is>
      </c>
      <c r="L59" s="19" t="inlineStr">
        <is>
          <t>ㄧㄇ</t>
        </is>
      </c>
      <c r="M59" s="19" t="n"/>
      <c r="N59" s="23">
        <f>LEN(C59)</f>
        <v/>
      </c>
      <c r="O59" s="24" t="n"/>
      <c r="P59" s="51">
        <f>G59</f>
        <v/>
      </c>
      <c r="Q59" s="51">
        <f>K59</f>
        <v/>
      </c>
      <c r="S59" s="3">
        <f>_xlfn.CONCAT(P59)</f>
        <v/>
      </c>
      <c r="T59" s="3">
        <f>IFERROR( _xlfn.CONCAT(Q59, ""), "" )</f>
        <v/>
      </c>
      <c r="U59" s="25" t="n"/>
      <c r="V59" s="26">
        <f>IF(AND(Q59&lt;&gt;"", P59&lt;&gt;""), "    - xform/》" &amp; S59 &amp; "/" &amp; T59 &amp; "》/", "")</f>
        <v/>
      </c>
    </row>
    <row r="60" ht="27.75" customHeight="1" s="69" thickBot="1">
      <c r="A60" s="19" t="n">
        <v>24</v>
      </c>
      <c r="B60" s="20" t="inlineStr">
        <is>
          <t>in</t>
        </is>
      </c>
      <c r="C60" s="21" t="inlineStr">
        <is>
          <t>in</t>
        </is>
      </c>
      <c r="D60" s="21" t="inlineStr">
        <is>
          <t>in</t>
        </is>
      </c>
      <c r="E60" s="19" t="inlineStr">
        <is>
          <t>in</t>
        </is>
      </c>
      <c r="F60" s="19" t="inlineStr">
        <is>
          <t>in</t>
        </is>
      </c>
      <c r="G60" s="19" t="inlineStr">
        <is>
          <t>in</t>
        </is>
      </c>
      <c r="H60" s="19" t="inlineStr">
        <is>
          <t>in</t>
        </is>
      </c>
      <c r="I60" s="22" t="inlineStr">
        <is>
          <t>in</t>
        </is>
      </c>
      <c r="J60" s="23" t="inlineStr">
        <is>
          <t>巾舒</t>
        </is>
      </c>
      <c r="K60" s="19" t="inlineStr">
        <is>
          <t>ㄧㄣ</t>
        </is>
      </c>
      <c r="L60" s="19" t="inlineStr">
        <is>
          <t>ㄧㄣ</t>
        </is>
      </c>
      <c r="M60" s="19" t="n"/>
      <c r="N60" s="23">
        <f>LEN(C60)</f>
        <v/>
      </c>
      <c r="O60" s="24" t="n"/>
      <c r="P60" s="51">
        <f>G60</f>
        <v/>
      </c>
      <c r="Q60" s="51">
        <f>K60</f>
        <v/>
      </c>
      <c r="S60" s="3">
        <f>_xlfn.CONCAT(P60)</f>
        <v/>
      </c>
      <c r="T60" s="3">
        <f>IFERROR( _xlfn.CONCAT(Q60, ""), "" )</f>
        <v/>
      </c>
      <c r="U60" s="25" t="n"/>
      <c r="V60" s="26">
        <f>IF(AND(Q60&lt;&gt;"", P60&lt;&gt;""), "    - xform/》" &amp; S60 &amp; "/" &amp; T60 &amp; "》/", "")</f>
        <v/>
      </c>
    </row>
    <row r="61" ht="27.75" customHeight="1" s="69" thickBot="1">
      <c r="A61" s="19" t="n">
        <v>26</v>
      </c>
      <c r="B61" s="20" t="inlineStr">
        <is>
          <t>ip̚</t>
        </is>
      </c>
      <c r="C61" s="21" t="inlineStr">
        <is>
          <t>ip</t>
        </is>
      </c>
      <c r="D61" s="21" t="inlineStr">
        <is>
          <t>ip</t>
        </is>
      </c>
      <c r="E61" s="19" t="inlineStr">
        <is>
          <t>ip</t>
        </is>
      </c>
      <c r="F61" s="19" t="inlineStr">
        <is>
          <t>ip</t>
        </is>
      </c>
      <c r="G61" s="19" t="inlineStr">
        <is>
          <t>ip</t>
        </is>
      </c>
      <c r="H61" s="19" t="inlineStr">
        <is>
          <t>ip</t>
        </is>
      </c>
      <c r="I61" s="22" t="inlineStr">
        <is>
          <t>ip</t>
        </is>
      </c>
      <c r="J61" s="23" t="inlineStr">
        <is>
          <t>金促</t>
        </is>
      </c>
      <c r="K61" s="19" t="inlineStr">
        <is>
          <t>一ㆴ</t>
        </is>
      </c>
      <c r="L61" s="19" t="inlineStr">
        <is>
          <t>ㄧㄅ</t>
        </is>
      </c>
      <c r="M61" s="19" t="n"/>
      <c r="N61" s="23">
        <f>LEN(C61)</f>
        <v/>
      </c>
      <c r="O61" s="24" t="n"/>
      <c r="P61" s="51">
        <f>G61</f>
        <v/>
      </c>
      <c r="Q61" s="51">
        <f>K61</f>
        <v/>
      </c>
      <c r="S61" s="3">
        <f>_xlfn.CONCAT(P61)</f>
        <v/>
      </c>
      <c r="T61" s="3">
        <f>IFERROR( _xlfn.CONCAT(Q61, ""), "" )</f>
        <v/>
      </c>
      <c r="U61" s="25" t="n"/>
      <c r="V61" s="26">
        <f>IF(AND(Q61&lt;&gt;"", P61&lt;&gt;""), "    - xform/》" &amp; S61 &amp; "/" &amp; T61 &amp; "》/", "")</f>
        <v/>
      </c>
    </row>
    <row r="62" ht="27.75" customHeight="1" s="69" thickBot="1">
      <c r="A62" s="19" t="n">
        <v>27</v>
      </c>
      <c r="B62" s="20" t="inlineStr">
        <is>
          <t>it̚</t>
        </is>
      </c>
      <c r="C62" s="21" t="inlineStr">
        <is>
          <t>it</t>
        </is>
      </c>
      <c r="D62" s="21" t="inlineStr">
        <is>
          <t>it</t>
        </is>
      </c>
      <c r="E62" s="19" t="inlineStr">
        <is>
          <t>it</t>
        </is>
      </c>
      <c r="F62" s="19" t="inlineStr">
        <is>
          <t>it</t>
        </is>
      </c>
      <c r="G62" s="19" t="inlineStr">
        <is>
          <t>it</t>
        </is>
      </c>
      <c r="H62" s="19" t="inlineStr">
        <is>
          <t>it</t>
        </is>
      </c>
      <c r="I62" s="22" t="inlineStr">
        <is>
          <t>it</t>
        </is>
      </c>
      <c r="J62" s="23" t="inlineStr">
        <is>
          <t>巾促</t>
        </is>
      </c>
      <c r="K62" s="19" t="inlineStr">
        <is>
          <t>ㄧㆵ</t>
        </is>
      </c>
      <c r="L62" s="19" t="inlineStr">
        <is>
          <t>ㄧㄉ</t>
        </is>
      </c>
      <c r="M62" s="19" t="n"/>
      <c r="N62" s="23">
        <f>LEN(C62)</f>
        <v/>
      </c>
      <c r="O62" s="24" t="n"/>
      <c r="P62" s="51">
        <f>G62</f>
        <v/>
      </c>
      <c r="Q62" s="51">
        <f>K62</f>
        <v/>
      </c>
      <c r="S62" s="3">
        <f>_xlfn.CONCAT(P62)</f>
        <v/>
      </c>
      <c r="T62" s="3">
        <f>IFERROR( _xlfn.CONCAT(Q62, ""), "" )</f>
        <v/>
      </c>
      <c r="U62" s="25" t="n"/>
      <c r="V62" s="26">
        <f>IF(AND(Q62&lt;&gt;"", P62&lt;&gt;""), "    - xform/》" &amp; S62 &amp; "/" &amp; T62 &amp; "》/", "")</f>
        <v/>
      </c>
    </row>
    <row r="63" ht="27.75" customHeight="1" s="69" thickBot="1">
      <c r="A63" s="19" t="n">
        <v>28</v>
      </c>
      <c r="B63" s="20" t="inlineStr">
        <is>
          <t>ik̚/ɪək̚</t>
        </is>
      </c>
      <c r="C63" s="21" t="inlineStr">
        <is>
          <t>ik</t>
        </is>
      </c>
      <c r="D63" s="21" t="inlineStr">
        <is>
          <t>ik</t>
        </is>
      </c>
      <c r="E63" s="19" t="inlineStr">
        <is>
          <t>ik</t>
        </is>
      </c>
      <c r="F63" s="19" t="inlineStr">
        <is>
          <t>iek</t>
        </is>
      </c>
      <c r="G63" s="19" t="inlineStr">
        <is>
          <t>iek</t>
        </is>
      </c>
      <c r="H63" s="19" t="inlineStr">
        <is>
          <t>ik</t>
        </is>
      </c>
      <c r="I63" s="22" t="inlineStr">
        <is>
          <t>ek</t>
        </is>
      </c>
      <c r="J63" s="23" t="inlineStr">
        <is>
          <t>經促</t>
        </is>
      </c>
      <c r="K63" s="19" t="inlineStr">
        <is>
          <t>ㄧㆻ</t>
        </is>
      </c>
      <c r="L63" s="19" t="inlineStr">
        <is>
          <t>ㄧㄍ</t>
        </is>
      </c>
      <c r="M63" s="19" t="n"/>
      <c r="N63" s="23">
        <f>LEN(C63)</f>
        <v/>
      </c>
      <c r="O63" s="24" t="n"/>
      <c r="P63" s="51">
        <f>G63</f>
        <v/>
      </c>
      <c r="Q63" s="51">
        <f>K63</f>
        <v/>
      </c>
      <c r="S63" s="3">
        <f>_xlfn.CONCAT(P63)</f>
        <v/>
      </c>
      <c r="T63" s="3">
        <f>IFERROR( _xlfn.CONCAT(Q63, ""), "" )</f>
        <v/>
      </c>
      <c r="U63" s="25" t="n"/>
      <c r="V63" s="26">
        <f>IF(AND(Q63&lt;&gt;"", P63&lt;&gt;""), "    - xform/》" &amp; S63 &amp; "/" &amp; T63 &amp; "》/", "")</f>
        <v/>
      </c>
    </row>
    <row r="64" ht="27.75" customHeight="1" s="69" thickBot="1">
      <c r="A64" s="19" t="n">
        <v>29</v>
      </c>
      <c r="B64" s="20" t="inlineStr">
        <is>
          <t>ɪa</t>
        </is>
      </c>
      <c r="C64" s="21" t="inlineStr">
        <is>
          <t>ia</t>
        </is>
      </c>
      <c r="D64" s="21" t="inlineStr">
        <is>
          <t>ia</t>
        </is>
      </c>
      <c r="E64" s="19" t="inlineStr">
        <is>
          <t>ia</t>
        </is>
      </c>
      <c r="F64" s="19" t="inlineStr">
        <is>
          <t>ia</t>
        </is>
      </c>
      <c r="G64" s="19" t="inlineStr">
        <is>
          <t>ia</t>
        </is>
      </c>
      <c r="H64" s="19" t="inlineStr">
        <is>
          <t>ia</t>
        </is>
      </c>
      <c r="I64" s="22" t="inlineStr">
        <is>
          <t>ia</t>
        </is>
      </c>
      <c r="J64" s="23" t="inlineStr">
        <is>
          <t>迦舒</t>
        </is>
      </c>
      <c r="K64" s="19" t="inlineStr">
        <is>
          <t>ㄧㄚ</t>
        </is>
      </c>
      <c r="L64" s="19" t="inlineStr">
        <is>
          <t>ㄧㄚ</t>
        </is>
      </c>
      <c r="M64" s="19" t="n"/>
      <c r="N64" s="23">
        <f>LEN(C64)</f>
        <v/>
      </c>
      <c r="O64" s="24" t="n"/>
      <c r="P64" s="51">
        <f>G64</f>
        <v/>
      </c>
      <c r="Q64" s="51">
        <f>K64</f>
        <v/>
      </c>
      <c r="S64" s="3">
        <f>_xlfn.CONCAT(P64)</f>
        <v/>
      </c>
      <c r="T64" s="3">
        <f>IFERROR( _xlfn.CONCAT(Q64, ""), "" )</f>
        <v/>
      </c>
      <c r="U64" s="25" t="n"/>
      <c r="V64" s="26">
        <f>IF(AND(Q64&lt;&gt;"", P64&lt;&gt;""), "    - xform/》" &amp; S64 &amp; "/" &amp; T64 &amp; "》/", "")</f>
        <v/>
      </c>
    </row>
    <row r="65" ht="27.75" customHeight="1" s="69" thickBot="1">
      <c r="A65" s="19" t="n">
        <v>42</v>
      </c>
      <c r="B65" s="20" t="inlineStr">
        <is>
          <t>ɪə/ɪo</t>
        </is>
      </c>
      <c r="C65" s="21" t="inlineStr">
        <is>
          <t>io</t>
        </is>
      </c>
      <c r="D65" s="21" t="inlineStr">
        <is>
          <t>io</t>
        </is>
      </c>
      <c r="E65" s="19" t="inlineStr">
        <is>
          <t>io</t>
        </is>
      </c>
      <c r="F65" s="19" t="inlineStr">
        <is>
          <t>ior</t>
        </is>
      </c>
      <c r="G65" s="19" t="inlineStr">
        <is>
          <t>ior</t>
        </is>
      </c>
      <c r="H65" s="19" t="inlineStr">
        <is>
          <t>io</t>
        </is>
      </c>
      <c r="I65" s="22" t="inlineStr">
        <is>
          <t>io</t>
        </is>
      </c>
      <c r="J65" s="23" t="inlineStr">
        <is>
          <t>茄舒</t>
        </is>
      </c>
      <c r="K65" s="19" t="inlineStr">
        <is>
          <t>ㄧㄜ</t>
        </is>
      </c>
      <c r="L65" s="19" t="inlineStr">
        <is>
          <t>ㄧㄜ</t>
        </is>
      </c>
      <c r="M65" s="19" t="n"/>
      <c r="N65" s="23">
        <f>LEN(C65)</f>
        <v/>
      </c>
      <c r="O65" s="24" t="n"/>
      <c r="P65" s="51">
        <f>G65</f>
        <v/>
      </c>
      <c r="Q65" s="51">
        <f>K65</f>
        <v/>
      </c>
      <c r="S65" s="3">
        <f>_xlfn.CONCAT(P65)</f>
        <v/>
      </c>
      <c r="T65" s="3">
        <f>IFERROR( _xlfn.CONCAT(Q65, ""), "" )</f>
        <v/>
      </c>
      <c r="U65" s="25" t="n"/>
      <c r="V65" s="26">
        <f>IF(AND(Q65&lt;&gt;"", P65&lt;&gt;""), "    - xform/》" &amp; S65 &amp; "/" &amp; T65 &amp; "》/", "")</f>
        <v/>
      </c>
    </row>
    <row r="66" ht="27.75" customHeight="1" s="69" thickBot="1">
      <c r="A66" s="19" t="n">
        <v>47</v>
      </c>
      <c r="B66" s="20" t="inlineStr">
        <is>
          <t>iu</t>
        </is>
      </c>
      <c r="C66" s="21" t="inlineStr">
        <is>
          <t>iu</t>
        </is>
      </c>
      <c r="D66" s="21" t="inlineStr">
        <is>
          <t>iu</t>
        </is>
      </c>
      <c r="E66" s="19" t="inlineStr">
        <is>
          <t>iu</t>
        </is>
      </c>
      <c r="F66" s="19" t="inlineStr">
        <is>
          <t>iu</t>
        </is>
      </c>
      <c r="G66" s="19" t="inlineStr">
        <is>
          <t>iu</t>
        </is>
      </c>
      <c r="H66" s="19" t="inlineStr">
        <is>
          <t>iu</t>
        </is>
      </c>
      <c r="I66" s="22" t="inlineStr">
        <is>
          <t>iu</t>
        </is>
      </c>
      <c r="J66" s="23" t="inlineStr">
        <is>
          <t>丩舒</t>
        </is>
      </c>
      <c r="K66" s="19" t="inlineStr">
        <is>
          <t>ㄧㄨ</t>
        </is>
      </c>
      <c r="L66" s="19" t="inlineStr">
        <is>
          <t>ㄧㄨ</t>
        </is>
      </c>
      <c r="M66" s="19" t="n"/>
      <c r="N66" s="23">
        <f>LEN(C66)</f>
        <v/>
      </c>
      <c r="O66" s="24" t="n"/>
      <c r="P66" s="51">
        <f>G66</f>
        <v/>
      </c>
      <c r="Q66" s="51">
        <f>K66</f>
        <v/>
      </c>
      <c r="S66" s="3">
        <f>_xlfn.CONCAT(P66)</f>
        <v/>
      </c>
      <c r="T66" s="3">
        <f>IFERROR( _xlfn.CONCAT(Q66, ""), "" )</f>
        <v/>
      </c>
      <c r="U66" s="25" t="n"/>
      <c r="V66" s="26">
        <f>IF(AND(Q66&lt;&gt;"", P66&lt;&gt;""), "    - xform/》" &amp; S66 &amp; "/" &amp; T66 &amp; "》/", "")</f>
        <v/>
      </c>
    </row>
    <row r="67" ht="27.75" customHeight="1" s="69" thickBot="1">
      <c r="A67" s="19" t="n">
        <v>51</v>
      </c>
      <c r="B67" s="20" t="inlineStr">
        <is>
          <t>ɔ</t>
        </is>
      </c>
      <c r="C67" s="21" t="inlineStr">
        <is>
          <t>oo</t>
        </is>
      </c>
      <c r="D67" s="21" t="inlineStr">
        <is>
          <t>oo</t>
        </is>
      </c>
      <c r="E67" s="19" t="inlineStr">
        <is>
          <t>oo</t>
        </is>
      </c>
      <c r="F67" s="19" t="inlineStr">
        <is>
          <t>oo</t>
        </is>
      </c>
      <c r="G67" s="19" t="inlineStr">
        <is>
          <t>oo</t>
        </is>
      </c>
      <c r="H67" s="19" t="inlineStr">
        <is>
          <t>oo</t>
        </is>
      </c>
      <c r="I67" s="22" t="inlineStr">
        <is>
          <t>o͘</t>
        </is>
      </c>
      <c r="J67" s="23" t="inlineStr">
        <is>
          <t>沽舒</t>
        </is>
      </c>
      <c r="K67" s="19" t="inlineStr">
        <is>
          <t>ㆦ</t>
        </is>
      </c>
      <c r="L67" s="19" t="inlineStr">
        <is>
          <t>ㄛ</t>
        </is>
      </c>
      <c r="M67" s="19" t="n"/>
      <c r="N67" s="23">
        <f>LEN(C67)</f>
        <v/>
      </c>
      <c r="O67" s="24" t="n"/>
      <c r="P67" s="51">
        <f>G67</f>
        <v/>
      </c>
      <c r="Q67" s="51">
        <f>K67</f>
        <v/>
      </c>
      <c r="S67" s="3">
        <f>_xlfn.CONCAT(P67)</f>
        <v/>
      </c>
      <c r="T67" s="3">
        <f>IFERROR( _xlfn.CONCAT(Q67, ""), "" )</f>
        <v/>
      </c>
      <c r="U67" s="25" t="n"/>
      <c r="V67" s="26">
        <f>IF(AND(Q67&lt;&gt;"", P67&lt;&gt;""), "    - xform/》" &amp; S67 &amp; "/" &amp; T67 &amp; "》/", "")</f>
        <v/>
      </c>
    </row>
    <row r="68" ht="27.75" customHeight="1" s="69" thickBot="1">
      <c r="A68" s="19" t="n">
        <v>53</v>
      </c>
      <c r="B68" s="20" t="inlineStr">
        <is>
          <t>əʔ/oʔ</t>
        </is>
      </c>
      <c r="C68" s="21" t="inlineStr">
        <is>
          <t>oh</t>
        </is>
      </c>
      <c r="D68" s="21" t="inlineStr">
        <is>
          <t>oh</t>
        </is>
      </c>
      <c r="E68" s="19" t="inlineStr">
        <is>
          <t>oh</t>
        </is>
      </c>
      <c r="F68" s="19" t="inlineStr">
        <is>
          <t>orh</t>
        </is>
      </c>
      <c r="G68" s="19" t="inlineStr">
        <is>
          <t>orh</t>
        </is>
      </c>
      <c r="H68" s="19" t="inlineStr">
        <is>
          <t>oh</t>
        </is>
      </c>
      <c r="I68" s="22" t="inlineStr">
        <is>
          <t>oh</t>
        </is>
      </c>
      <c r="J68" s="23" t="inlineStr">
        <is>
          <t>高促</t>
        </is>
      </c>
      <c r="K68" s="19" t="inlineStr">
        <is>
          <t>ㄜㆷ</t>
        </is>
      </c>
      <c r="L68" s="19" t="inlineStr">
        <is>
          <t>ㄜㄏ</t>
        </is>
      </c>
      <c r="M68" s="19" t="n"/>
      <c r="N68" s="23">
        <f>LEN(C68)</f>
        <v/>
      </c>
      <c r="O68" s="24" t="n"/>
      <c r="P68" s="51">
        <f>G68</f>
        <v/>
      </c>
      <c r="Q68" s="51">
        <f>K68</f>
        <v/>
      </c>
      <c r="S68" s="3">
        <f>_xlfn.CONCAT(P68)</f>
        <v/>
      </c>
      <c r="T68" s="3">
        <f>IFERROR( _xlfn.CONCAT(Q68, ""), "" )</f>
        <v/>
      </c>
      <c r="U68" s="25" t="n"/>
      <c r="V68" s="26">
        <f>IF(AND(Q68&lt;&gt;"", P68&lt;&gt;""), "    - xform/》" &amp; S68 &amp; "/" &amp; T68 &amp; "》/", "")</f>
        <v/>
      </c>
    </row>
    <row r="69" ht="27.75" customHeight="1" s="69" thickBot="1">
      <c r="A69" s="19" t="n">
        <v>56</v>
      </c>
      <c r="B69" s="20" t="inlineStr">
        <is>
          <t>ɔm</t>
        </is>
      </c>
      <c r="C69" s="21" t="inlineStr">
        <is>
          <t>om</t>
        </is>
      </c>
      <c r="D69" s="21" t="inlineStr">
        <is>
          <t>om</t>
        </is>
      </c>
      <c r="E69" s="19" t="inlineStr">
        <is>
          <t>om</t>
        </is>
      </c>
      <c r="F69" s="19" t="inlineStr">
        <is>
          <t>oom</t>
        </is>
      </c>
      <c r="G69" s="19" t="inlineStr">
        <is>
          <t>oom</t>
        </is>
      </c>
      <c r="H69" s="19" t="inlineStr">
        <is>
          <t>om</t>
        </is>
      </c>
      <c r="I69" s="22" t="inlineStr">
        <is>
          <t>om</t>
        </is>
      </c>
      <c r="J69" s="23" t="inlineStr">
        <is>
          <t>箴舒</t>
        </is>
      </c>
      <c r="K69" s="19" t="inlineStr">
        <is>
          <t>ㆱ</t>
        </is>
      </c>
      <c r="L69" s="19" t="inlineStr">
        <is>
          <t>ㄛㄇ</t>
        </is>
      </c>
      <c r="M69" s="19" t="n"/>
      <c r="N69" s="23">
        <f>LEN(C69)</f>
        <v/>
      </c>
      <c r="O69" s="24" t="n"/>
      <c r="P69" s="51">
        <f>G69</f>
        <v/>
      </c>
      <c r="Q69" s="51">
        <f>K69</f>
        <v/>
      </c>
      <c r="S69" s="3">
        <f>_xlfn.CONCAT(P69)</f>
        <v/>
      </c>
      <c r="T69" s="3">
        <f>IFERROR( _xlfn.CONCAT(Q69, ""), "" )</f>
        <v/>
      </c>
      <c r="U69" s="25" t="n"/>
      <c r="V69" s="26">
        <f>IF(AND(Q69&lt;&gt;"", P69&lt;&gt;""), "    - xform/》" &amp; S69 &amp;  "/"  &amp; T69 &amp;  "》/", "")</f>
        <v/>
      </c>
    </row>
    <row r="70" ht="27.75" customHeight="1" s="69" thickBot="1">
      <c r="A70" s="19" t="n">
        <v>58</v>
      </c>
      <c r="B70" s="20" t="inlineStr">
        <is>
          <t>ɔp̚</t>
        </is>
      </c>
      <c r="C70" s="21" t="inlineStr">
        <is>
          <t>op</t>
        </is>
      </c>
      <c r="D70" s="21" t="inlineStr">
        <is>
          <t>op</t>
        </is>
      </c>
      <c r="E70" s="19" t="inlineStr">
        <is>
          <t>op</t>
        </is>
      </c>
      <c r="F70" s="19" t="inlineStr">
        <is>
          <t>oop</t>
        </is>
      </c>
      <c r="G70" s="19" t="inlineStr">
        <is>
          <t>oop</t>
        </is>
      </c>
      <c r="H70" s="19" t="inlineStr">
        <is>
          <t>op</t>
        </is>
      </c>
      <c r="I70" s="22" t="inlineStr">
        <is>
          <t>op</t>
        </is>
      </c>
      <c r="J70" s="23" t="inlineStr">
        <is>
          <t>箴促</t>
        </is>
      </c>
      <c r="K70" s="19" t="inlineStr">
        <is>
          <t>ㆦㆴ</t>
        </is>
      </c>
      <c r="L70" s="19" t="inlineStr">
        <is>
          <t>ㄛㄅ</t>
        </is>
      </c>
      <c r="M70" s="19" t="n"/>
      <c r="N70" s="23">
        <f>LEN(C70)</f>
        <v/>
      </c>
      <c r="O70" s="24" t="n"/>
      <c r="P70" s="51">
        <f>G70</f>
        <v/>
      </c>
      <c r="Q70" s="51">
        <f>K70</f>
        <v/>
      </c>
      <c r="S70" s="3">
        <f>_xlfn.CONCAT(P70)</f>
        <v/>
      </c>
      <c r="T70" s="3">
        <f>IFERROR( _xlfn.CONCAT(Q70, ""), "" )</f>
        <v/>
      </c>
      <c r="U70" s="25" t="n"/>
      <c r="V70" s="26">
        <f>IF(AND(Q70&lt;&gt;"", P70&lt;&gt;""), "    - xform/》" &amp; S70 &amp; "/" &amp; T70 &amp; "》/", "")</f>
        <v/>
      </c>
    </row>
    <row r="71" ht="27.75" customHeight="1" s="69" thickBot="1">
      <c r="A71" s="19" t="n">
        <v>59</v>
      </c>
      <c r="B71" s="20" t="inlineStr">
        <is>
          <t>ɔk̚</t>
        </is>
      </c>
      <c r="C71" s="21" t="inlineStr">
        <is>
          <t>ok</t>
        </is>
      </c>
      <c r="D71" s="21" t="inlineStr">
        <is>
          <t>ok</t>
        </is>
      </c>
      <c r="E71" s="19" t="inlineStr">
        <is>
          <t>ok</t>
        </is>
      </c>
      <c r="F71" s="19" t="inlineStr">
        <is>
          <t>ok</t>
        </is>
      </c>
      <c r="G71" s="19" t="inlineStr">
        <is>
          <t>ok</t>
        </is>
      </c>
      <c r="H71" s="19" t="inlineStr">
        <is>
          <t>ok</t>
        </is>
      </c>
      <c r="I71" s="22" t="inlineStr">
        <is>
          <t>ok</t>
        </is>
      </c>
      <c r="J71" s="23" t="inlineStr">
        <is>
          <t>公促</t>
        </is>
      </c>
      <c r="K71" s="19" t="inlineStr">
        <is>
          <t>ㆦㆻ</t>
        </is>
      </c>
      <c r="L71" s="19" t="inlineStr">
        <is>
          <t>ㄛㄍ</t>
        </is>
      </c>
      <c r="M71" s="19" t="n"/>
      <c r="N71" s="23">
        <f>LEN(C71)</f>
        <v/>
      </c>
      <c r="O71" s="24" t="n"/>
      <c r="P71" s="51">
        <f>G71</f>
        <v/>
      </c>
      <c r="Q71" s="51">
        <f>K71</f>
        <v/>
      </c>
      <c r="S71" s="3">
        <f>_xlfn.CONCAT(P71)</f>
        <v/>
      </c>
      <c r="T71" s="3">
        <f>IFERROR( _xlfn.CONCAT(Q71, ""), "" )</f>
        <v/>
      </c>
      <c r="U71" s="25" t="n"/>
      <c r="V71" s="26">
        <f>IF(AND(Q71&lt;&gt;"", P71&lt;&gt;""), "    - xform/》" &amp; S71 &amp; "/" &amp; T71 &amp; "》/", "")</f>
        <v/>
      </c>
    </row>
    <row r="72" ht="27.75" customHeight="1" s="69" thickBot="1">
      <c r="A72" s="19" t="n">
        <v>61</v>
      </c>
      <c r="B72" s="20" t="inlineStr">
        <is>
          <t>uʔ</t>
        </is>
      </c>
      <c r="C72" s="21" t="inlineStr">
        <is>
          <t>uh</t>
        </is>
      </c>
      <c r="D72" s="21" t="inlineStr">
        <is>
          <t>uh</t>
        </is>
      </c>
      <c r="E72" s="19" t="inlineStr">
        <is>
          <t>uh</t>
        </is>
      </c>
      <c r="F72" s="19" t="inlineStr">
        <is>
          <t>uh</t>
        </is>
      </c>
      <c r="G72" s="19" t="inlineStr">
        <is>
          <t>uh</t>
        </is>
      </c>
      <c r="H72" s="19" t="inlineStr">
        <is>
          <t>uh</t>
        </is>
      </c>
      <c r="I72" s="22" t="inlineStr">
        <is>
          <t>uh</t>
        </is>
      </c>
      <c r="J72" s="23" t="inlineStr">
        <is>
          <t>艍促</t>
        </is>
      </c>
      <c r="K72" s="19" t="inlineStr">
        <is>
          <t>ㄨㆷ</t>
        </is>
      </c>
      <c r="L72" s="19" t="inlineStr">
        <is>
          <t>ㄨㄏ</t>
        </is>
      </c>
      <c r="M72" s="19" t="n"/>
      <c r="N72" s="23">
        <f>LEN(C72)</f>
        <v/>
      </c>
      <c r="O72" s="24" t="n"/>
      <c r="P72" s="51">
        <f>G72</f>
        <v/>
      </c>
      <c r="Q72" s="51">
        <f>K72</f>
        <v/>
      </c>
      <c r="S72" s="3">
        <f>_xlfn.CONCAT(P72)</f>
        <v/>
      </c>
      <c r="T72" s="3">
        <f>IFERROR( _xlfn.CONCAT(Q72, ""), "" )</f>
        <v/>
      </c>
      <c r="U72" s="25" t="n"/>
      <c r="V72" s="26">
        <f>IF(AND(Q72&lt;&gt;"", P72&lt;&gt;""), "    - xform/》" &amp; S72 &amp; "/" &amp; T72 &amp; "》/", "")</f>
        <v/>
      </c>
    </row>
    <row r="73" ht="27.75" customHeight="1" s="69" thickBot="1">
      <c r="A73" s="19" t="n">
        <v>62</v>
      </c>
      <c r="B73" s="20" t="inlineStr">
        <is>
          <t>un</t>
        </is>
      </c>
      <c r="C73" s="21" t="inlineStr">
        <is>
          <t>un</t>
        </is>
      </c>
      <c r="D73" s="21" t="inlineStr">
        <is>
          <t>un</t>
        </is>
      </c>
      <c r="E73" s="19" t="inlineStr">
        <is>
          <t>un</t>
        </is>
      </c>
      <c r="F73" s="19" t="inlineStr">
        <is>
          <t>un</t>
        </is>
      </c>
      <c r="G73" s="19" t="inlineStr">
        <is>
          <t>un</t>
        </is>
      </c>
      <c r="H73" s="19" t="inlineStr">
        <is>
          <t>un</t>
        </is>
      </c>
      <c r="I73" s="22" t="inlineStr">
        <is>
          <t>un</t>
        </is>
      </c>
      <c r="J73" s="23" t="inlineStr">
        <is>
          <t>君舒</t>
        </is>
      </c>
      <c r="K73" s="19" t="inlineStr">
        <is>
          <t>ㄨㄣ</t>
        </is>
      </c>
      <c r="L73" s="19" t="inlineStr">
        <is>
          <t>ㄨㄣ</t>
        </is>
      </c>
      <c r="M73" s="19" t="n"/>
      <c r="N73" s="23">
        <f>LEN(C73)</f>
        <v/>
      </c>
      <c r="O73" s="24" t="n"/>
      <c r="P73" s="51">
        <f>G73</f>
        <v/>
      </c>
      <c r="Q73" s="51">
        <f>K73</f>
        <v/>
      </c>
      <c r="S73" s="3">
        <f>_xlfn.CONCAT(P73)</f>
        <v/>
      </c>
      <c r="T73" s="3">
        <f>IFERROR( _xlfn.CONCAT(Q73, ""), "" )</f>
        <v/>
      </c>
      <c r="U73" s="25" t="n"/>
      <c r="V73" s="26">
        <f>IF(AND(Q73&lt;&gt;"", P73&lt;&gt;""), "    - xform/》" &amp; S73 &amp; "/" &amp; T73 &amp; "》/", "")</f>
        <v/>
      </c>
    </row>
    <row r="74" ht="27.75" customHeight="1" s="69" thickBot="1">
      <c r="A74" s="19" t="n">
        <v>63</v>
      </c>
      <c r="B74" s="20" t="inlineStr">
        <is>
          <t>ut̚</t>
        </is>
      </c>
      <c r="C74" s="21" t="inlineStr">
        <is>
          <t>ut</t>
        </is>
      </c>
      <c r="D74" s="21" t="inlineStr">
        <is>
          <t>ut</t>
        </is>
      </c>
      <c r="E74" s="19" t="inlineStr">
        <is>
          <t>ut</t>
        </is>
      </c>
      <c r="F74" s="19" t="inlineStr">
        <is>
          <t>ut</t>
        </is>
      </c>
      <c r="G74" s="19" t="inlineStr">
        <is>
          <t>ut</t>
        </is>
      </c>
      <c r="H74" s="19" t="inlineStr">
        <is>
          <t>ut</t>
        </is>
      </c>
      <c r="I74" s="22" t="inlineStr">
        <is>
          <t>ut</t>
        </is>
      </c>
      <c r="J74" s="23" t="inlineStr">
        <is>
          <t>君促</t>
        </is>
      </c>
      <c r="K74" s="19" t="inlineStr">
        <is>
          <t>ㄨㆵ</t>
        </is>
      </c>
      <c r="L74" s="19" t="inlineStr">
        <is>
          <t>ㄨㄉ</t>
        </is>
      </c>
      <c r="M74" s="19" t="n"/>
      <c r="N74" s="23">
        <f>LEN(C74)</f>
        <v/>
      </c>
      <c r="O74" s="24" t="n"/>
      <c r="P74" s="51">
        <f>G74</f>
        <v/>
      </c>
      <c r="Q74" s="51">
        <f>K74</f>
        <v/>
      </c>
      <c r="S74" s="3">
        <f>_xlfn.CONCAT(P74)</f>
        <v/>
      </c>
      <c r="T74" s="3">
        <f>IFERROR( _xlfn.CONCAT(Q74, ""), "" )</f>
        <v/>
      </c>
      <c r="U74" s="25" t="n"/>
      <c r="V74" s="26">
        <f>IF(AND(Q74&lt;&gt;"", P74&lt;&gt;""), "    - xform/》" &amp; S74 &amp; "/" &amp; T74 &amp; "》/", "")</f>
        <v/>
      </c>
    </row>
    <row r="75" ht="27.75" customHeight="1" s="69" thickBot="1">
      <c r="A75" s="19" t="n">
        <v>64</v>
      </c>
      <c r="B75" s="20" t="inlineStr">
        <is>
          <t>ua</t>
        </is>
      </c>
      <c r="C75" s="21" t="inlineStr">
        <is>
          <t>ua</t>
        </is>
      </c>
      <c r="D75" s="21" t="inlineStr">
        <is>
          <t>ua</t>
        </is>
      </c>
      <c r="E75" s="19" t="inlineStr">
        <is>
          <t>ua</t>
        </is>
      </c>
      <c r="F75" s="19" t="inlineStr">
        <is>
          <t>ua</t>
        </is>
      </c>
      <c r="G75" s="19" t="inlineStr">
        <is>
          <t>ua</t>
        </is>
      </c>
      <c r="H75" s="19" t="inlineStr">
        <is>
          <t>ua</t>
        </is>
      </c>
      <c r="I75" s="22" t="inlineStr">
        <is>
          <t>oa</t>
        </is>
      </c>
      <c r="J75" s="23" t="inlineStr">
        <is>
          <t>瓜舒</t>
        </is>
      </c>
      <c r="K75" s="19" t="inlineStr">
        <is>
          <t>ㄨㄚ</t>
        </is>
      </c>
      <c r="L75" s="19" t="inlineStr">
        <is>
          <t>ㄨㄚ</t>
        </is>
      </c>
      <c r="M75" s="19" t="n"/>
      <c r="N75" s="23">
        <f>LEN(C75)</f>
        <v/>
      </c>
      <c r="O75" s="24" t="n"/>
      <c r="P75" s="51">
        <f>G75</f>
        <v/>
      </c>
      <c r="Q75" s="51">
        <f>K75</f>
        <v/>
      </c>
      <c r="S75" s="3">
        <f>_xlfn.CONCAT(P75)</f>
        <v/>
      </c>
      <c r="T75" s="3">
        <f>IFERROR( _xlfn.CONCAT(Q75, ""), "" )</f>
        <v/>
      </c>
      <c r="U75" s="25" t="n"/>
      <c r="V75" s="26">
        <f>IF(AND(Q75&lt;&gt;"", P75&lt;&gt;""), "    - xform/》" &amp; S75 &amp; "/" &amp; T75 &amp; "》/", "")</f>
        <v/>
      </c>
    </row>
    <row r="76" ht="27.75" customHeight="1" s="69" thickBot="1">
      <c r="A76" s="19" t="n">
        <v>74</v>
      </c>
      <c r="B76" s="20" t="inlineStr">
        <is>
          <t>ue</t>
        </is>
      </c>
      <c r="C76" s="21" t="inlineStr">
        <is>
          <t>ue</t>
        </is>
      </c>
      <c r="D76" s="21" t="inlineStr">
        <is>
          <t>ue</t>
        </is>
      </c>
      <c r="E76" s="19" t="inlineStr">
        <is>
          <t>ue</t>
        </is>
      </c>
      <c r="F76" s="19" t="inlineStr">
        <is>
          <t>ue</t>
        </is>
      </c>
      <c r="G76" s="19" t="inlineStr">
        <is>
          <t>ue</t>
        </is>
      </c>
      <c r="H76" s="19" t="inlineStr">
        <is>
          <t>ue</t>
        </is>
      </c>
      <c r="I76" s="22" t="inlineStr">
        <is>
          <t>oe</t>
        </is>
      </c>
      <c r="J76" s="23" t="inlineStr">
        <is>
          <t>檜舒</t>
        </is>
      </c>
      <c r="K76" s="19" t="inlineStr">
        <is>
          <t>ㄨㆤ</t>
        </is>
      </c>
      <c r="L76" s="19" t="inlineStr">
        <is>
          <t>ㄨㄝ</t>
        </is>
      </c>
      <c r="M76" s="19" t="n"/>
      <c r="N76" s="23">
        <f>LEN(C76)</f>
        <v/>
      </c>
      <c r="O76" s="24" t="n"/>
      <c r="P76" s="51">
        <f>G76</f>
        <v/>
      </c>
      <c r="Q76" s="51">
        <f>K76</f>
        <v/>
      </c>
      <c r="S76" s="3">
        <f>_xlfn.CONCAT(P76)</f>
        <v/>
      </c>
      <c r="T76" s="3">
        <f>IFERROR( _xlfn.CONCAT(Q76, ""), "" )</f>
        <v/>
      </c>
      <c r="U76" s="25" t="n"/>
      <c r="V76" s="26">
        <f>IF(AND(Q76&lt;&gt;"", P76&lt;&gt;""), "    - xform/》" &amp; S76 &amp; "/" &amp; T76 &amp; "》/", "")</f>
        <v/>
      </c>
    </row>
    <row r="77" ht="27.75" customHeight="1" s="69" thickBot="1">
      <c r="A77" s="19" t="n">
        <v>76</v>
      </c>
      <c r="B77" s="20" t="inlineStr">
        <is>
          <t>ui</t>
        </is>
      </c>
      <c r="C77" s="21" t="inlineStr">
        <is>
          <t>ui</t>
        </is>
      </c>
      <c r="D77" s="21" t="inlineStr">
        <is>
          <t>ui</t>
        </is>
      </c>
      <c r="E77" s="19" t="inlineStr">
        <is>
          <t>ui</t>
        </is>
      </c>
      <c r="F77" s="19" t="inlineStr">
        <is>
          <t>ui</t>
        </is>
      </c>
      <c r="G77" s="19" t="inlineStr">
        <is>
          <t>ui</t>
        </is>
      </c>
      <c r="H77" s="19" t="inlineStr">
        <is>
          <t>ui</t>
        </is>
      </c>
      <c r="I77" s="22" t="inlineStr">
        <is>
          <t>ui</t>
        </is>
      </c>
      <c r="J77" s="23" t="inlineStr">
        <is>
          <t>規舒</t>
        </is>
      </c>
      <c r="K77" s="19" t="inlineStr">
        <is>
          <t>ㄨㄧ</t>
        </is>
      </c>
      <c r="L77" s="19" t="inlineStr">
        <is>
          <t>ㄨㄧ</t>
        </is>
      </c>
      <c r="M77" s="19" t="n"/>
      <c r="N77" s="23">
        <f>LEN(C77)</f>
        <v/>
      </c>
      <c r="O77" s="24" t="n"/>
      <c r="P77" s="51">
        <f>G77</f>
        <v/>
      </c>
      <c r="Q77" s="51">
        <f>K77</f>
        <v/>
      </c>
      <c r="S77" s="3">
        <f>_xlfn.CONCAT(P77)</f>
        <v/>
      </c>
      <c r="T77" s="3">
        <f>IFERROR( _xlfn.CONCAT(Q77, ""), "" )</f>
        <v/>
      </c>
      <c r="U77" s="25" t="n"/>
      <c r="V77" s="26">
        <f>IF(AND(Q77&lt;&gt;"", P77&lt;&gt;""), "    - xform/》" &amp; S77 &amp; "/" &amp; T77 &amp; "》/", "")</f>
        <v/>
      </c>
    </row>
    <row r="78" ht="27.75" customHeight="1" s="69" thickBot="1">
      <c r="A78" s="19" t="n">
        <v>80</v>
      </c>
      <c r="B78" s="20" t="inlineStr">
        <is>
          <t>m̩ʔ</t>
        </is>
      </c>
      <c r="C78" s="21" t="inlineStr">
        <is>
          <t>mh</t>
        </is>
      </c>
      <c r="D78" s="21" t="inlineStr">
        <is>
          <t>mh</t>
        </is>
      </c>
      <c r="E78" s="31" t="inlineStr">
        <is>
          <t>mh</t>
        </is>
      </c>
      <c r="F78" s="31" t="inlineStr">
        <is>
          <t>mh</t>
        </is>
      </c>
      <c r="G78" s="31" t="inlineStr">
        <is>
          <t>mh</t>
        </is>
      </c>
      <c r="H78" s="31" t="inlineStr">
        <is>
          <t>mh</t>
        </is>
      </c>
      <c r="I78" s="31" t="inlineStr">
        <is>
          <t>mh</t>
        </is>
      </c>
      <c r="J78" s="35" t="inlineStr">
        <is>
          <t>姆促</t>
        </is>
      </c>
      <c r="K78" s="34" t="inlineStr">
        <is>
          <t>ㆬㆷ</t>
        </is>
      </c>
      <c r="L78" s="54" t="inlineStr">
        <is>
          <t>ㄇㄏ</t>
        </is>
      </c>
      <c r="M78" s="19" t="n"/>
      <c r="N78" s="23">
        <f>LEN(C78)</f>
        <v/>
      </c>
      <c r="O78" s="24" t="n"/>
      <c r="P78" s="51">
        <f>G78</f>
        <v/>
      </c>
      <c r="Q78" s="51">
        <f>K78</f>
        <v/>
      </c>
      <c r="S78" s="3">
        <f>_xlfn.CONCAT(P78)</f>
        <v/>
      </c>
      <c r="T78" s="3">
        <f>IFERROR( _xlfn.CONCAT(Q78, ""), "" )</f>
        <v/>
      </c>
      <c r="U78" s="25" t="n"/>
      <c r="V78" s="26">
        <f>IF(AND(Q78&lt;&gt;"", P78&lt;&gt;""), "    - xform/》" &amp; S78 &amp; "/" &amp; T78 &amp; "》/", "")</f>
        <v/>
      </c>
    </row>
    <row r="79" ht="27.75" customHeight="1" s="69" thickBot="1">
      <c r="A79" s="19" t="n">
        <v>81</v>
      </c>
      <c r="B79" s="20" t="inlineStr">
        <is>
          <t>ŋ̍</t>
        </is>
      </c>
      <c r="C79" s="21" t="inlineStr">
        <is>
          <t>ng</t>
        </is>
      </c>
      <c r="D79" s="21" t="inlineStr">
        <is>
          <t>ng</t>
        </is>
      </c>
      <c r="E79" s="19" t="inlineStr">
        <is>
          <t>ng</t>
        </is>
      </c>
      <c r="F79" s="19" t="inlineStr">
        <is>
          <t>ng</t>
        </is>
      </c>
      <c r="G79" s="19" t="inlineStr">
        <is>
          <t>ng</t>
        </is>
      </c>
      <c r="H79" s="19" t="inlineStr">
        <is>
          <t>ng</t>
        </is>
      </c>
      <c r="I79" s="22" t="inlineStr">
        <is>
          <t>ng</t>
        </is>
      </c>
      <c r="J79" s="23" t="inlineStr">
        <is>
          <t>鋼舒</t>
        </is>
      </c>
      <c r="K79" s="19" t="inlineStr">
        <is>
          <t>ㆭ</t>
        </is>
      </c>
      <c r="L79" s="19" t="inlineStr">
        <is>
          <t>ㄥ</t>
        </is>
      </c>
      <c r="M79" s="19" t="n"/>
      <c r="N79" s="23">
        <f>LEN(C79)</f>
        <v/>
      </c>
      <c r="O79" s="24" t="n"/>
      <c r="P79" s="51">
        <f>G79</f>
        <v/>
      </c>
      <c r="Q79" s="51">
        <f>K79</f>
        <v/>
      </c>
      <c r="S79" s="3">
        <f>_xlfn.CONCAT(P79)</f>
        <v/>
      </c>
      <c r="T79" s="3">
        <f>IFERROR( _xlfn.CONCAT(Q79, ""), "" )</f>
        <v/>
      </c>
      <c r="U79" s="25" t="n"/>
      <c r="V79" s="26">
        <f>IF(AND(Q79&lt;&gt;"", P79&lt;&gt;""), "    - xform/》" &amp; S79 &amp; "/" &amp; T79 &amp; "》/", "")</f>
        <v/>
      </c>
    </row>
    <row r="80" ht="27.75" customHeight="1" s="69" thickBot="1">
      <c r="A80" s="19" t="n">
        <v>1</v>
      </c>
      <c r="B80" s="20" t="inlineStr">
        <is>
          <t>a</t>
        </is>
      </c>
      <c r="C80" s="21" t="inlineStr">
        <is>
          <t>a</t>
        </is>
      </c>
      <c r="D80" s="21" t="inlineStr">
        <is>
          <t>a</t>
        </is>
      </c>
      <c r="E80" s="19" t="inlineStr">
        <is>
          <t>a</t>
        </is>
      </c>
      <c r="F80" s="19" t="inlineStr">
        <is>
          <t>a</t>
        </is>
      </c>
      <c r="G80" s="19" t="inlineStr">
        <is>
          <t>a</t>
        </is>
      </c>
      <c r="H80" s="19" t="inlineStr">
        <is>
          <t>a</t>
        </is>
      </c>
      <c r="I80" s="22" t="inlineStr">
        <is>
          <t>a</t>
        </is>
      </c>
      <c r="J80" s="23" t="inlineStr">
        <is>
          <t>膠舒</t>
        </is>
      </c>
      <c r="K80" s="19" t="inlineStr">
        <is>
          <t>ㄚ</t>
        </is>
      </c>
      <c r="L80" s="19" t="inlineStr">
        <is>
          <t>ㄚ</t>
        </is>
      </c>
      <c r="M80" s="19" t="n"/>
      <c r="N80" s="23">
        <f>LEN(C80)</f>
        <v/>
      </c>
      <c r="O80" s="24" t="n"/>
      <c r="P80" s="51">
        <f>G80</f>
        <v/>
      </c>
      <c r="Q80" s="51">
        <f>K80</f>
        <v/>
      </c>
      <c r="S80" s="3">
        <f>_xlfn.CONCAT(P80)</f>
        <v/>
      </c>
      <c r="T80" s="3">
        <f>IFERROR( _xlfn.CONCAT(Q80, ""), "" )</f>
        <v/>
      </c>
      <c r="U80" s="25" t="n"/>
      <c r="V80" s="26">
        <f>IF(AND(Q80&lt;&gt;"", P80&lt;&gt;""), "    - xform/》" &amp; S80 &amp; "/" &amp; T80 &amp; "》/", "")</f>
        <v/>
      </c>
    </row>
    <row r="81" ht="27.75" customHeight="1" s="69" thickBot="1">
      <c r="A81" s="19" t="n">
        <v>16</v>
      </c>
      <c r="B81" s="20" t="inlineStr">
        <is>
          <t>e</t>
        </is>
      </c>
      <c r="C81" s="21" t="inlineStr">
        <is>
          <t>e</t>
        </is>
      </c>
      <c r="D81" s="21" t="inlineStr">
        <is>
          <t>e</t>
        </is>
      </c>
      <c r="E81" s="19" t="inlineStr">
        <is>
          <t>ei</t>
        </is>
      </c>
      <c r="F81" s="19" t="inlineStr">
        <is>
          <t>e</t>
        </is>
      </c>
      <c r="G81" s="19" t="inlineStr">
        <is>
          <t>e</t>
        </is>
      </c>
      <c r="H81" s="19" t="inlineStr">
        <is>
          <t>e</t>
        </is>
      </c>
      <c r="I81" s="22" t="n">
        <v>0</v>
      </c>
      <c r="J81" s="23" t="inlineStr">
        <is>
          <t>稽舒</t>
        </is>
      </c>
      <c r="K81" s="19" t="inlineStr">
        <is>
          <t>ㆤ</t>
        </is>
      </c>
      <c r="L81" s="19" t="inlineStr">
        <is>
          <t>ㄝ</t>
        </is>
      </c>
      <c r="M81" s="19" t="n"/>
      <c r="N81" s="23">
        <f>LEN(C81)</f>
        <v/>
      </c>
      <c r="O81" s="24" t="n"/>
      <c r="P81" s="51">
        <f>G81</f>
        <v/>
      </c>
      <c r="Q81" s="51">
        <f>K81</f>
        <v/>
      </c>
      <c r="S81" s="3">
        <f>_xlfn.CONCAT(P81)</f>
        <v/>
      </c>
      <c r="T81" s="3">
        <f>IFERROR( _xlfn.CONCAT(Q81, ""), "" )</f>
        <v/>
      </c>
      <c r="U81" s="25" t="n"/>
      <c r="V81" s="26">
        <f>IF(AND(Q81&lt;&gt;"", P81&lt;&gt;""), "    - xform/》" &amp; S81 &amp; "/" &amp; T81 &amp; "》/", "")</f>
        <v/>
      </c>
    </row>
    <row r="82" ht="27.75" customHeight="1" s="69" thickBot="1">
      <c r="A82" s="19" t="n">
        <v>20</v>
      </c>
      <c r="B82" s="20" t="inlineStr">
        <is>
          <t>i</t>
        </is>
      </c>
      <c r="C82" s="21" t="inlineStr">
        <is>
          <t>i</t>
        </is>
      </c>
      <c r="D82" s="21" t="inlineStr">
        <is>
          <t>i</t>
        </is>
      </c>
      <c r="E82" s="19" t="inlineStr">
        <is>
          <t>i</t>
        </is>
      </c>
      <c r="F82" s="19" t="inlineStr">
        <is>
          <t>i</t>
        </is>
      </c>
      <c r="G82" s="19" t="inlineStr">
        <is>
          <t>i</t>
        </is>
      </c>
      <c r="H82" s="19" t="inlineStr">
        <is>
          <t>i</t>
        </is>
      </c>
      <c r="I82" s="22" t="inlineStr">
        <is>
          <t>i</t>
        </is>
      </c>
      <c r="J82" s="23" t="inlineStr">
        <is>
          <t>居舒</t>
        </is>
      </c>
      <c r="K82" s="19" t="inlineStr">
        <is>
          <t>ㄧ</t>
        </is>
      </c>
      <c r="L82" s="19" t="inlineStr">
        <is>
          <t>ㄧ</t>
        </is>
      </c>
      <c r="M82" s="19" t="n"/>
      <c r="N82" s="23">
        <f>LEN(C82)</f>
        <v/>
      </c>
      <c r="O82" s="24" t="n"/>
      <c r="P82" s="51">
        <f>G82</f>
        <v/>
      </c>
      <c r="Q82" s="51">
        <f>K82</f>
        <v/>
      </c>
      <c r="S82" s="3">
        <f>_xlfn.CONCAT(P82)</f>
        <v/>
      </c>
      <c r="T82" s="3">
        <f>IFERROR( _xlfn.CONCAT(Q82, ""), "" )</f>
        <v/>
      </c>
      <c r="U82" s="25" t="n"/>
      <c r="V82" s="26">
        <f>IF(AND(Q82&lt;&gt;"", P82&lt;&gt;""), "    - xform/》" &amp; S82 &amp; "/" &amp; T82 &amp; "》/", "")</f>
        <v/>
      </c>
    </row>
    <row r="83" ht="27.75" customHeight="1" s="69" thickBot="1">
      <c r="A83" s="19" t="n">
        <v>50</v>
      </c>
      <c r="B83" s="20" t="inlineStr">
        <is>
          <t>ə/o</t>
        </is>
      </c>
      <c r="C83" s="21" t="inlineStr">
        <is>
          <t>o</t>
        </is>
      </c>
      <c r="D83" s="21" t="inlineStr">
        <is>
          <t>o</t>
        </is>
      </c>
      <c r="E83" s="19" t="inlineStr">
        <is>
          <t>o</t>
        </is>
      </c>
      <c r="F83" s="19" t="inlineStr">
        <is>
          <t>or</t>
        </is>
      </c>
      <c r="G83" s="19" t="inlineStr">
        <is>
          <t>or</t>
        </is>
      </c>
      <c r="H83" s="19" t="inlineStr">
        <is>
          <t>o</t>
        </is>
      </c>
      <c r="I83" s="22" t="inlineStr">
        <is>
          <t>o</t>
        </is>
      </c>
      <c r="J83" s="23" t="inlineStr">
        <is>
          <t>高舒</t>
        </is>
      </c>
      <c r="K83" s="19" t="inlineStr">
        <is>
          <t>ㄜ</t>
        </is>
      </c>
      <c r="L83" s="19" t="inlineStr">
        <is>
          <t>ㄜ</t>
        </is>
      </c>
      <c r="M83" s="19" t="n"/>
      <c r="N83" s="23">
        <f>LEN(C83)</f>
        <v/>
      </c>
      <c r="O83" s="24" t="n"/>
      <c r="P83" s="51">
        <f>G83</f>
        <v/>
      </c>
      <c r="Q83" s="51">
        <f>K83</f>
        <v/>
      </c>
      <c r="S83" s="3">
        <f>_xlfn.CONCAT(P83)</f>
        <v/>
      </c>
      <c r="T83" s="3">
        <f>IFERROR( _xlfn.CONCAT(Q83, ""), "" )</f>
        <v/>
      </c>
      <c r="U83" s="25" t="n"/>
      <c r="V83" s="26">
        <f>IF(AND(Q83&lt;&gt;"", P83&lt;&gt;""), "    - xform/》" &amp; S83 &amp; "/" &amp; T83 &amp; "》/", "")</f>
        <v/>
      </c>
    </row>
    <row r="84" ht="27.75" customHeight="1" s="69" thickBot="1">
      <c r="A84" s="19" t="n">
        <v>60</v>
      </c>
      <c r="B84" s="20" t="inlineStr">
        <is>
          <t>u</t>
        </is>
      </c>
      <c r="C84" s="21" t="inlineStr">
        <is>
          <t>u</t>
        </is>
      </c>
      <c r="D84" s="21" t="inlineStr">
        <is>
          <t>u</t>
        </is>
      </c>
      <c r="E84" s="19" t="inlineStr">
        <is>
          <t>u</t>
        </is>
      </c>
      <c r="F84" s="19" t="inlineStr">
        <is>
          <t>u</t>
        </is>
      </c>
      <c r="G84" s="19" t="inlineStr">
        <is>
          <t>u</t>
        </is>
      </c>
      <c r="H84" s="19" t="inlineStr">
        <is>
          <t>u</t>
        </is>
      </c>
      <c r="I84" s="22" t="inlineStr">
        <is>
          <t>u</t>
        </is>
      </c>
      <c r="J84" s="23" t="inlineStr">
        <is>
          <t>艍舒</t>
        </is>
      </c>
      <c r="K84" s="19" t="inlineStr">
        <is>
          <t>ㄨ</t>
        </is>
      </c>
      <c r="L84" s="19" t="inlineStr">
        <is>
          <t>ㄨ</t>
        </is>
      </c>
      <c r="M84" s="19" t="n"/>
      <c r="N84" s="23">
        <f>LEN(C84)</f>
        <v/>
      </c>
      <c r="O84" s="24" t="n"/>
      <c r="P84" s="51">
        <f>G84</f>
        <v/>
      </c>
      <c r="Q84" s="51">
        <f>K84</f>
        <v/>
      </c>
      <c r="S84" s="3">
        <f>_xlfn.CONCAT(P84)</f>
        <v/>
      </c>
      <c r="T84" s="3">
        <f>IFERROR( _xlfn.CONCAT(Q84, ""), "" )</f>
        <v/>
      </c>
      <c r="U84" s="25" t="n"/>
      <c r="V84" s="26">
        <f>IF(AND(Q84&lt;&gt;"", P84&lt;&gt;""), "    - xform/》" &amp; S84 &amp; "/" &amp; T84 &amp; "》/", "")</f>
        <v/>
      </c>
    </row>
    <row r="85" ht="27.75" customHeight="1" s="69" thickBot="1">
      <c r="A85" s="19" t="n">
        <v>79</v>
      </c>
      <c r="B85" s="20" t="inlineStr">
        <is>
          <t>m̩</t>
        </is>
      </c>
      <c r="C85" s="21" t="inlineStr">
        <is>
          <t>m</t>
        </is>
      </c>
      <c r="D85" s="21" t="inlineStr">
        <is>
          <t>m</t>
        </is>
      </c>
      <c r="E85" s="19" t="inlineStr">
        <is>
          <t>m</t>
        </is>
      </c>
      <c r="F85" s="19" t="inlineStr">
        <is>
          <t>m</t>
        </is>
      </c>
      <c r="G85" s="19" t="inlineStr">
        <is>
          <t>m</t>
        </is>
      </c>
      <c r="H85" s="19" t="inlineStr">
        <is>
          <t>m</t>
        </is>
      </c>
      <c r="I85" s="22" t="inlineStr">
        <is>
          <t>m</t>
        </is>
      </c>
      <c r="J85" s="23" t="inlineStr">
        <is>
          <t>姆舒</t>
        </is>
      </c>
      <c r="K85" s="19" t="inlineStr">
        <is>
          <t>ㆬ</t>
        </is>
      </c>
      <c r="L85" s="19" t="inlineStr">
        <is>
          <t>ㄇ</t>
        </is>
      </c>
      <c r="M85" s="19" t="n"/>
      <c r="N85" s="23">
        <f>LEN(C85)</f>
        <v/>
      </c>
      <c r="O85" s="24" t="n"/>
      <c r="P85" s="51">
        <f>G85</f>
        <v/>
      </c>
      <c r="Q85" s="51">
        <f>K85</f>
        <v/>
      </c>
      <c r="S85" s="3">
        <f>_xlfn.CONCAT(P85)</f>
        <v/>
      </c>
      <c r="T85" s="3">
        <f>IFERROR( _xlfn.CONCAT(Q85, ""), "" )</f>
        <v/>
      </c>
      <c r="U85" s="25" t="n"/>
      <c r="V85" s="26">
        <f>IF(AND(Q85&lt;&gt;"", P85&lt;&gt;""), "    - xform/》" &amp; S85 &amp; "/" &amp; T85 &amp; "》/", "")</f>
        <v/>
      </c>
    </row>
    <row r="86" ht="27" customHeight="1" s="69" thickBot="1"/>
    <row r="87" ht="48.75" customHeight="1" s="69" thickBot="1">
      <c r="B87" s="11" t="inlineStr">
        <is>
          <t>Unicode 編碼</t>
        </is>
      </c>
      <c r="C87" s="11" t="inlineStr">
        <is>
          <t>實例</t>
        </is>
      </c>
      <c r="D87" s="11" t="n"/>
      <c r="E87" s="11" t="inlineStr">
        <is>
          <t>實例</t>
        </is>
      </c>
    </row>
    <row r="88" ht="27.75" customHeight="1" s="69" thickBot="1">
      <c r="B88" s="19" t="inlineStr">
        <is>
          <t>U+0303</t>
        </is>
      </c>
      <c r="C88" s="19">
        <f>HEX2DEC(VALUE(RIGHT(B88,4)))</f>
        <v/>
      </c>
      <c r="D88" s="19" t="n"/>
      <c r="E88" s="19">
        <f>_xlfn.CONCAT("a", _xlfn.UNICHAR(HEX2DEC(RIGHT(B88,4))))</f>
        <v/>
      </c>
    </row>
    <row r="89" ht="27.75" customHeight="1" s="69" thickBot="1">
      <c r="B89" s="19" t="inlineStr">
        <is>
          <t>U+0294</t>
        </is>
      </c>
      <c r="C89" s="19">
        <f>HEX2DEC(VALUE(RIGHT(B89,4)))</f>
        <v/>
      </c>
      <c r="D89" s="19" t="n"/>
      <c r="E89" s="19">
        <f>_xlfn.CONCAT("a", _xlfn.UNICHAR(HEX2DEC(RIGHT(B89,4))))</f>
        <v/>
      </c>
    </row>
    <row r="90" ht="27" customHeight="1" s="69" thickBot="1"/>
    <row r="91" ht="27" customHeight="1" s="69" thickBot="1">
      <c r="B91" s="11" t="inlineStr">
        <is>
          <t>U+0856</t>
        </is>
      </c>
      <c r="C91" s="11">
        <f>HEX2DEC(VALUE(RIGHT(B91,4)))</f>
        <v/>
      </c>
      <c r="D91" s="11" t="n"/>
      <c r="E91" s="11">
        <f>_xlfn.CONCAT("o", _xlfn.UNICHAR( RIGHT(B91,4)))</f>
        <v/>
      </c>
    </row>
    <row r="92" ht="27" customHeight="1" s="69" thickBot="1">
      <c r="B92" s="11" t="inlineStr">
        <is>
          <t>o͘</t>
        </is>
      </c>
      <c r="C92" s="11">
        <f>_xlfn.UNICODE( RIGHT(B92,1) )</f>
        <v/>
      </c>
      <c r="D92" s="11" t="n"/>
      <c r="E92" s="11">
        <f>_xlfn.CONCAT("o", _xlfn.UNICHAR(C92))</f>
        <v/>
      </c>
    </row>
    <row r="93" ht="27" customHeight="1" s="69" thickBot="1"/>
    <row r="94" ht="27" customHeight="1" s="69" thickBot="1">
      <c r="B94" s="11" t="inlineStr">
        <is>
          <t>[əŋ]</t>
        </is>
      </c>
      <c r="C94" s="11" t="inlineStr">
        <is>
          <t>ㄥ</t>
        </is>
      </c>
      <c r="D94" s="50" t="n"/>
    </row>
    <row r="95" ht="27" customHeight="1" s="69" thickBot="1">
      <c r="B95" s="11" t="inlineStr">
        <is>
          <t>[ŋ̍]</t>
        </is>
      </c>
      <c r="C95" s="11" t="inlineStr">
        <is>
          <t>ㆭ</t>
        </is>
      </c>
      <c r="D95" s="50" t="n"/>
    </row>
    <row r="97">
      <c r="A97" s="1">
        <f>"(""" &amp; _xlfn.TEXTJOIN(""",""",TRUE,H4:H85) &amp; """)"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97"/>
  <sheetViews>
    <sheetView showGridLines="0" workbookViewId="0">
      <pane ySplit="3" topLeftCell="A4" activePane="bottomLeft" state="frozen"/>
      <selection pane="bottomLeft" activeCell="H1" sqref="H1"/>
    </sheetView>
  </sheetViews>
  <sheetFormatPr baseColWidth="8" defaultRowHeight="26.25"/>
  <cols>
    <col width="8.375" customWidth="1" style="2" min="1" max="1"/>
    <col width="15.375" customWidth="1" style="2" min="2" max="5"/>
    <col outlineLevel="1" width="15.375" customWidth="1" style="2" min="6" max="9"/>
    <col width="15.375" customWidth="1" style="2" min="10" max="12"/>
    <col width="7.75" customWidth="1" style="2" min="13" max="13"/>
    <col width="5.25" customWidth="1" style="2" min="14" max="14"/>
    <col width="15.125" customWidth="1" style="52" min="15" max="15"/>
    <col width="15.125" customWidth="1" style="2" min="16" max="16"/>
    <col width="2.875" customWidth="1" style="2" min="17" max="17"/>
    <col width="13.75" bestFit="1" customWidth="1" style="3" min="18" max="18"/>
    <col width="16.75" customWidth="1" style="3" min="19" max="19"/>
    <col width="4.5" customWidth="1" style="2" min="20" max="20"/>
    <col width="51.75" customWidth="1" style="6" min="21" max="21"/>
    <col width="9" customWidth="1" style="2" min="22" max="22"/>
    <col width="7.5" customWidth="1" style="7" min="23" max="34"/>
    <col width="19.375" bestFit="1" customWidth="1" style="8" min="35" max="40"/>
    <col width="19.875" customWidth="1" style="8" min="41" max="43"/>
    <col width="19.875" customWidth="1" style="2" min="44" max="44"/>
    <col width="9" customWidth="1" style="2" min="45" max="45"/>
    <col width="9" customWidth="1" style="2" min="46" max="16384"/>
  </cols>
  <sheetData>
    <row r="1" ht="46.5" customHeight="1" s="69">
      <c r="A1" s="1" t="n"/>
      <c r="C1" s="1" t="n"/>
      <c r="D1" s="1" t="n"/>
      <c r="E1" s="1" t="n"/>
      <c r="I1" s="1" t="n"/>
      <c r="J1" s="1" t="n"/>
      <c r="K1" s="1" t="n"/>
      <c r="L1" s="1" t="n"/>
      <c r="M1" s="1" t="n"/>
    </row>
    <row r="2" ht="27" customHeight="1" s="69" thickBot="1">
      <c r="A2" s="9" t="inlineStr">
        <is>
          <t>響度優先次第： a &gt; oo &gt; (e = o) &gt; (i = u)〈低元音 &gt; 高元音 &gt; 無擦通音 &gt; 擦音 &gt; 塞音〉</t>
        </is>
      </c>
      <c r="C2" s="1" t="n"/>
      <c r="D2" s="1" t="n"/>
      <c r="E2" s="1" t="n"/>
      <c r="I2" s="1" t="n"/>
      <c r="J2" s="1" t="n"/>
      <c r="K2" s="1" t="n"/>
      <c r="L2" s="1" t="n"/>
      <c r="M2" s="1" t="n"/>
      <c r="U2" s="10" t="n"/>
      <c r="X2" s="7" t="n">
        <v>1</v>
      </c>
      <c r="Y2" s="7" t="n">
        <v>2</v>
      </c>
      <c r="Z2" s="7" t="n">
        <v>3</v>
      </c>
      <c r="AA2" s="7" t="n">
        <v>4</v>
      </c>
      <c r="AB2" s="7" t="n">
        <v>5</v>
      </c>
      <c r="AC2" s="7" t="n">
        <v>6</v>
      </c>
      <c r="AD2" s="7" t="n">
        <v>7</v>
      </c>
      <c r="AE2" s="7" t="n">
        <v>8</v>
      </c>
      <c r="AF2" s="7" t="n">
        <v>9</v>
      </c>
      <c r="AG2" s="7" t="n">
        <v>9</v>
      </c>
    </row>
    <row r="3" ht="48.75" customHeight="1" s="69" thickBot="1">
      <c r="A3" s="11" t="inlineStr">
        <is>
          <t>序號</t>
        </is>
      </c>
      <c r="B3" s="12" t="inlineStr">
        <is>
          <t>國際音標</t>
        </is>
      </c>
      <c r="C3" s="12" t="inlineStr">
        <is>
          <t>台羅拼音</t>
        </is>
      </c>
      <c r="D3" s="12" t="inlineStr">
        <is>
          <t>L台羅拼音</t>
        </is>
      </c>
      <c r="E3" s="11" t="inlineStr">
        <is>
          <t>台語音標</t>
        </is>
      </c>
      <c r="F3" s="11" t="inlineStr">
        <is>
          <t>台語注音二式</t>
        </is>
      </c>
      <c r="G3" s="11" t="inlineStr">
        <is>
          <t>閩拼方案</t>
        </is>
      </c>
      <c r="H3" s="11" t="inlineStr">
        <is>
          <t>白話字</t>
        </is>
      </c>
      <c r="I3" s="11" t="inlineStr">
        <is>
          <t>十五音</t>
        </is>
      </c>
      <c r="J3" s="11" t="inlineStr">
        <is>
          <t>方音符號</t>
        </is>
      </c>
      <c r="K3" s="11" t="inlineStr">
        <is>
          <t>台語注音</t>
        </is>
      </c>
      <c r="L3" s="11" t="inlineStr">
        <is>
          <t>聲韻調類</t>
        </is>
      </c>
      <c r="M3" s="11" t="inlineStr">
        <is>
          <t>字長</t>
        </is>
      </c>
      <c r="N3" s="13" t="n"/>
      <c r="O3" s="51">
        <f>D3</f>
        <v/>
      </c>
      <c r="P3" s="11">
        <f>J3</f>
        <v/>
      </c>
      <c r="R3" s="11">
        <f>O3</f>
        <v/>
      </c>
      <c r="S3" s="11">
        <f>P3</f>
        <v/>
      </c>
      <c r="U3" s="14" t="n"/>
      <c r="W3" s="16" t="n"/>
      <c r="Y3" s="17" t="inlineStr">
        <is>
          <t>U+0301</t>
        </is>
      </c>
      <c r="Z3" s="17" t="inlineStr">
        <is>
          <t>U+0300</t>
        </is>
      </c>
      <c r="AA3" s="17" t="n"/>
      <c r="AB3" s="17" t="inlineStr">
        <is>
          <t>U+030C</t>
        </is>
      </c>
      <c r="AC3" s="17" t="inlineStr">
        <is>
          <t>U+0301</t>
        </is>
      </c>
      <c r="AD3" s="17" t="inlineStr">
        <is>
          <t>U+0304</t>
        </is>
      </c>
      <c r="AE3" s="17" t="inlineStr">
        <is>
          <t>U+030D</t>
        </is>
      </c>
      <c r="AF3" s="17" t="inlineStr">
        <is>
          <t>U+030B</t>
        </is>
      </c>
      <c r="AG3" s="17" t="inlineStr">
        <is>
          <t>U+030A</t>
        </is>
      </c>
      <c r="AH3" s="18" t="n"/>
    </row>
    <row r="4" ht="27.75" customHeight="1" s="69" thickBot="1">
      <c r="A4" s="19" t="n">
        <v>73</v>
      </c>
      <c r="B4" s="20" t="inlineStr">
        <is>
          <t>uãiʔ</t>
        </is>
      </c>
      <c r="C4" s="21" t="inlineStr">
        <is>
          <t>uainnh</t>
        </is>
      </c>
      <c r="D4" s="21" t="inlineStr">
        <is>
          <t>Luaih</t>
        </is>
      </c>
      <c r="E4" s="19" t="inlineStr">
        <is>
          <t>uaihnn</t>
        </is>
      </c>
      <c r="F4" s="19" t="inlineStr">
        <is>
          <t>uainnh</t>
        </is>
      </c>
      <c r="G4" s="31" t="inlineStr">
        <is>
          <t>uainnh</t>
        </is>
      </c>
      <c r="H4" s="22" t="inlineStr">
        <is>
          <t>oaihⁿ</t>
        </is>
      </c>
      <c r="I4" s="23" t="inlineStr">
        <is>
          <t>閂促</t>
        </is>
      </c>
      <c r="J4" s="19" t="inlineStr">
        <is>
          <t>ㄨㆮㆷ</t>
        </is>
      </c>
      <c r="K4" s="19" t="inlineStr">
        <is>
          <t>⁰ㄨㄞㄏ</t>
        </is>
      </c>
      <c r="L4" s="29" t="inlineStr">
        <is>
          <t>韻-鼻</t>
        </is>
      </c>
      <c r="M4" s="23">
        <f>LEN(C4)</f>
        <v/>
      </c>
      <c r="N4" s="24" t="n"/>
      <c r="O4" s="53">
        <f>D4</f>
        <v/>
      </c>
      <c r="P4" s="19">
        <f>J4</f>
        <v/>
      </c>
      <c r="R4" s="3">
        <f>_xlfn.CONCAT(O4)</f>
        <v/>
      </c>
      <c r="S4" s="3">
        <f>IFERROR( _xlfn.CONCAT(P4, ""), "" )</f>
        <v/>
      </c>
      <c r="T4" s="25" t="n"/>
      <c r="U4" s="26">
        <f>IF(AND(P4&lt;&gt;"", O4&lt;&gt;""), "    - xform/》" &amp; R4 &amp;  "/"  &amp; S4 &amp;  "》/", "")</f>
        <v/>
      </c>
      <c r="W4" s="7" t="inlineStr">
        <is>
          <t>a</t>
        </is>
      </c>
      <c r="X4" s="27">
        <f>_xlfn.CONCAT($W4, IF(X$3="", "", _xlfn.UNICHAR( HEX2DEC( RIGHT(X$3,4)))))</f>
        <v/>
      </c>
      <c r="Y4" s="27">
        <f>_xlfn.CONCAT($W4, IF(Y$3="", "", _xlfn.UNICHAR( HEX2DEC( RIGHT(Y$3,4)))))</f>
        <v/>
      </c>
      <c r="Z4" s="27">
        <f>_xlfn.CONCAT($W4, IF(Z$3="", "", _xlfn.UNICHAR( HEX2DEC( RIGHT(Z$3,4)))))</f>
        <v/>
      </c>
      <c r="AA4" s="27">
        <f>_xlfn.CONCAT($W4, IF(AA$3="", "", _xlfn.UNICHAR( HEX2DEC( RIGHT(AA$3,4)))))</f>
        <v/>
      </c>
      <c r="AB4" s="27">
        <f>_xlfn.CONCAT($W4, IF(AB$3="", "", _xlfn.UNICHAR( HEX2DEC( RIGHT(AB$3,4)))))</f>
        <v/>
      </c>
      <c r="AC4" s="27">
        <f>_xlfn.CONCAT($W4, IF(AC$3="", "", _xlfn.UNICHAR( HEX2DEC( RIGHT(AC$3,4)))))</f>
        <v/>
      </c>
      <c r="AD4" s="27">
        <f>_xlfn.CONCAT($W4, IF(AD$3="", "", _xlfn.UNICHAR( HEX2DEC( RIGHT(AD$3,4)))))</f>
        <v/>
      </c>
      <c r="AE4" s="27">
        <f>_xlfn.CONCAT($W4, IF(AE$3="", "", _xlfn.UNICHAR( HEX2DEC( RIGHT(AE$3,4)))))</f>
        <v/>
      </c>
      <c r="AF4" s="27">
        <f>_xlfn.CONCAT($W4, IF(AF$3="", "", _xlfn.UNICHAR( HEX2DEC( RIGHT(AF$3,4)))))</f>
        <v/>
      </c>
      <c r="AG4" s="27">
        <f>_xlfn.CONCAT($W4, IF(AG$3="", "", _xlfn.UNICHAR( HEX2DEC( RIGHT(AG$3,4)))))</f>
        <v/>
      </c>
      <c r="AI4" s="28">
        <f>_xlfn.CONCAT("    - xform/》", $W4, X$2, "/", X4, "/")</f>
        <v/>
      </c>
      <c r="AJ4" s="28">
        <f>_xlfn.CONCAT("    - xform/》", $W4, Y$2, "/", Y4, "/")</f>
        <v/>
      </c>
      <c r="AK4" s="28">
        <f>_xlfn.CONCAT("    - xform/》", $W4, Z$2, "/", Z4, "/")</f>
        <v/>
      </c>
      <c r="AL4" s="28">
        <f>_xlfn.CONCAT("    - xform/》", $W4, AA$2, "/", AA4, "/")</f>
        <v/>
      </c>
      <c r="AM4" s="28">
        <f>_xlfn.CONCAT("    - xform/》", $W4, AB$2, "/", AB4, "/")</f>
        <v/>
      </c>
      <c r="AN4" s="28">
        <f>_xlfn.CONCAT("    - xform/》", $W4, AC$2, "/", AC4, "/")</f>
        <v/>
      </c>
      <c r="AO4" s="28">
        <f>_xlfn.CONCAT("    - xform/》", $W4, AD$2, "/", AD4, "/")</f>
        <v/>
      </c>
      <c r="AP4" s="28">
        <f>_xlfn.CONCAT("    - xform/》", $W4, AE$2, "/", AE4, "/")</f>
        <v/>
      </c>
      <c r="AQ4" s="28">
        <f>_xlfn.CONCAT("    - xform/》", $W4, AF$2, "/", AF4, "/")</f>
        <v/>
      </c>
      <c r="AR4" s="28">
        <f>_xlfn.CONCAT("    - xform/》", $W4, AG$2, "/", AG4, "/")</f>
        <v/>
      </c>
      <c r="AS4" s="27" t="n"/>
      <c r="AT4" s="27" t="n"/>
      <c r="AU4" s="7" t="n"/>
    </row>
    <row r="5" ht="30.75" customHeight="1" s="69" thickBot="1">
      <c r="A5" s="19" t="n">
        <v>32</v>
      </c>
      <c r="B5" s="20" t="inlineStr">
        <is>
          <t>iãʔ</t>
        </is>
      </c>
      <c r="C5" s="21" t="inlineStr">
        <is>
          <t>iannh</t>
        </is>
      </c>
      <c r="D5" s="21" t="inlineStr">
        <is>
          <t>Liah</t>
        </is>
      </c>
      <c r="E5" s="31" t="inlineStr">
        <is>
          <t>iannh</t>
        </is>
      </c>
      <c r="F5" s="31" t="inlineStr">
        <is>
          <t>iannh</t>
        </is>
      </c>
      <c r="G5" s="31" t="inlineStr">
        <is>
          <t>iannh</t>
        </is>
      </c>
      <c r="H5" s="31" t="inlineStr">
        <is>
          <t>iaⁿh</t>
        </is>
      </c>
      <c r="I5" s="32" t="inlineStr">
        <is>
          <t>迦促</t>
        </is>
      </c>
      <c r="J5" s="33" t="inlineStr">
        <is>
          <t>ㄧㆩㆷ</t>
        </is>
      </c>
      <c r="K5" s="19" t="inlineStr">
        <is>
          <t>⁰ㄧㄚㄏ</t>
        </is>
      </c>
      <c r="L5" s="29" t="inlineStr">
        <is>
          <t>韻-鼻</t>
        </is>
      </c>
      <c r="M5" s="23">
        <f>LEN(C5)</f>
        <v/>
      </c>
      <c r="N5" s="24" t="n"/>
      <c r="O5" s="53">
        <f>D5</f>
        <v/>
      </c>
      <c r="P5" s="19">
        <f>J5</f>
        <v/>
      </c>
      <c r="R5" s="3">
        <f>_xlfn.CONCAT(O5)</f>
        <v/>
      </c>
      <c r="S5" s="3">
        <f>IFERROR( _xlfn.CONCAT(P5, ""), "" )</f>
        <v/>
      </c>
      <c r="T5" s="25" t="n"/>
      <c r="U5" s="26">
        <f>IF(AND(P5&lt;&gt;"", O5&lt;&gt;""), "    - xform/》" &amp; R5 &amp;  "/"  &amp; S5 &amp;  "》/", "")</f>
        <v/>
      </c>
      <c r="W5" s="7" t="inlineStr">
        <is>
          <t>i</t>
        </is>
      </c>
      <c r="X5" s="27">
        <f>_xlfn.CONCAT($W5, IF(X$3="", "", _xlfn.UNICHAR( HEX2DEC( RIGHT(X$3,4)))))</f>
        <v/>
      </c>
      <c r="Y5" s="27">
        <f>_xlfn.CONCAT($W5, IF(Y$3="", "", _xlfn.UNICHAR( HEX2DEC( RIGHT(Y$3,4)))))</f>
        <v/>
      </c>
      <c r="Z5" s="27">
        <f>_xlfn.CONCAT($W5, IF(Z$3="", "", _xlfn.UNICHAR( HEX2DEC( RIGHT(Z$3,4)))))</f>
        <v/>
      </c>
      <c r="AA5" s="27">
        <f>_xlfn.CONCAT($W5, IF(AA$3="", "", _xlfn.UNICHAR( HEX2DEC( RIGHT(AA$3,4)))))</f>
        <v/>
      </c>
      <c r="AB5" s="27">
        <f>_xlfn.CONCAT($W5, IF(AB$3="", "", _xlfn.UNICHAR( HEX2DEC( RIGHT(AB$3,4)))))</f>
        <v/>
      </c>
      <c r="AC5" s="27">
        <f>_xlfn.CONCAT($W5, IF(AC$3="", "", _xlfn.UNICHAR( HEX2DEC( RIGHT(AC$3,4)))))</f>
        <v/>
      </c>
      <c r="AD5" s="27">
        <f>_xlfn.CONCAT($W5, IF(AD$3="", "", _xlfn.UNICHAR( HEX2DEC( RIGHT(AD$3,4)))))</f>
        <v/>
      </c>
      <c r="AE5" s="27">
        <f>_xlfn.CONCAT($W5, IF(AE$3="", "", _xlfn.UNICHAR( HEX2DEC( RIGHT(AE$3,4)))))</f>
        <v/>
      </c>
      <c r="AF5" s="27">
        <f>_xlfn.CONCAT($W5, IF(AF$3="", "", _xlfn.UNICHAR( HEX2DEC( RIGHT(AF$3,4)))))</f>
        <v/>
      </c>
      <c r="AG5" s="27">
        <f>_xlfn.CONCAT($W5, IF(AG$3="", "", _xlfn.UNICHAR( HEX2DEC( RIGHT(AG$3,4)))))</f>
        <v/>
      </c>
      <c r="AI5" s="28">
        <f>_xlfn.CONCAT("    - xform/》", $W5, X$2, "/", X5, "/")</f>
        <v/>
      </c>
      <c r="AJ5" s="28">
        <f>_xlfn.CONCAT("    - xform/》", $W5, Y$2, "/", Y5, "/")</f>
        <v/>
      </c>
      <c r="AK5" s="28">
        <f>_xlfn.CONCAT("    - xform/》", $W5, Z$2, "/", Z5, "/")</f>
        <v/>
      </c>
      <c r="AL5" s="28">
        <f>_xlfn.CONCAT("    - xform/》", $W5, AA$2, "/", AA5, "/")</f>
        <v/>
      </c>
      <c r="AM5" s="28">
        <f>_xlfn.CONCAT("    - xform/》", $W5, AB$2, "/", AB5, "/")</f>
        <v/>
      </c>
      <c r="AN5" s="28">
        <f>_xlfn.CONCAT("    - xform/》", $W5, AC$2, "/", AC5, "/")</f>
        <v/>
      </c>
      <c r="AO5" s="28">
        <f>_xlfn.CONCAT("    - xform/》", $W5, AD$2, "/", AD5, "/")</f>
        <v/>
      </c>
      <c r="AP5" s="28">
        <f>_xlfn.CONCAT("    - xform/》", $W5, AE$2, "/", AE5, "/")</f>
        <v/>
      </c>
      <c r="AQ5" s="28">
        <f>_xlfn.CONCAT("    - xform/》", $W5, AF$2, "/", AF5, "/")</f>
        <v/>
      </c>
      <c r="AR5" s="28">
        <f>_xlfn.CONCAT("    - xform/》", $W5, AG$2, "/", AG5, "/")</f>
        <v/>
      </c>
      <c r="AS5" s="27" t="n"/>
      <c r="AT5" s="27" t="n"/>
      <c r="AU5" s="7" t="n"/>
    </row>
    <row r="6" ht="27.75" customHeight="1" s="69" thickBot="1">
      <c r="A6" s="19" t="n">
        <v>40</v>
      </c>
      <c r="B6" s="20" t="inlineStr">
        <is>
          <t>ɪãu</t>
        </is>
      </c>
      <c r="C6" s="21" t="inlineStr">
        <is>
          <t>iaunn</t>
        </is>
      </c>
      <c r="D6" s="21" t="inlineStr">
        <is>
          <t>Liau</t>
        </is>
      </c>
      <c r="E6" s="19" t="inlineStr">
        <is>
          <t>iaunn</t>
        </is>
      </c>
      <c r="F6" s="19" t="inlineStr">
        <is>
          <t>iaunn</t>
        </is>
      </c>
      <c r="G6" s="19" t="inlineStr">
        <is>
          <t>niao</t>
        </is>
      </c>
      <c r="H6" s="22" t="inlineStr">
        <is>
          <t>iauⁿ</t>
        </is>
      </c>
      <c r="I6" s="23" t="inlineStr">
        <is>
          <t>嘄舒</t>
        </is>
      </c>
      <c r="J6" s="19" t="inlineStr">
        <is>
          <t>ㄧㆯ</t>
        </is>
      </c>
      <c r="K6" s="19" t="inlineStr">
        <is>
          <t>⁰ㄧㄠ</t>
        </is>
      </c>
      <c r="L6" s="29" t="inlineStr">
        <is>
          <t>韻-鼻</t>
        </is>
      </c>
      <c r="M6" s="23">
        <f>LEN(C6)</f>
        <v/>
      </c>
      <c r="N6" s="24" t="n"/>
      <c r="O6" s="53">
        <f>D6</f>
        <v/>
      </c>
      <c r="P6" s="19">
        <f>J6</f>
        <v/>
      </c>
      <c r="R6" s="3">
        <f>_xlfn.CONCAT(O6)</f>
        <v/>
      </c>
      <c r="S6" s="3">
        <f>IFERROR( _xlfn.CONCAT(P6, ""), "" )</f>
        <v/>
      </c>
      <c r="T6" s="25" t="n"/>
      <c r="U6" s="26">
        <f>IF(AND(P6&lt;&gt;"", O6&lt;&gt;""), "    - xform/》" &amp; R6 &amp; "/" &amp; S6 &amp; "》/", "")</f>
        <v/>
      </c>
      <c r="W6" s="7" t="inlineStr">
        <is>
          <t>u</t>
        </is>
      </c>
      <c r="X6" s="27">
        <f>_xlfn.CONCAT($W6, IF(X$3="", "", _xlfn.UNICHAR( HEX2DEC( RIGHT(X$3,4)))))</f>
        <v/>
      </c>
      <c r="Y6" s="27">
        <f>_xlfn.CONCAT($W6, IF(Y$3="", "", _xlfn.UNICHAR( HEX2DEC( RIGHT(Y$3,4)))))</f>
        <v/>
      </c>
      <c r="Z6" s="27">
        <f>_xlfn.CONCAT($W6, IF(Z$3="", "", _xlfn.UNICHAR( HEX2DEC( RIGHT(Z$3,4)))))</f>
        <v/>
      </c>
      <c r="AA6" s="27">
        <f>_xlfn.CONCAT($W6, IF(AA$3="", "", _xlfn.UNICHAR( HEX2DEC( RIGHT(AA$3,4)))))</f>
        <v/>
      </c>
      <c r="AB6" s="27">
        <f>_xlfn.CONCAT($W6, IF(AB$3="", "", _xlfn.UNICHAR( HEX2DEC( RIGHT(AB$3,4)))))</f>
        <v/>
      </c>
      <c r="AC6" s="27">
        <f>_xlfn.CONCAT($W6, IF(AC$3="", "", _xlfn.UNICHAR( HEX2DEC( RIGHT(AC$3,4)))))</f>
        <v/>
      </c>
      <c r="AD6" s="27">
        <f>_xlfn.CONCAT($W6, IF(AD$3="", "", _xlfn.UNICHAR( HEX2DEC( RIGHT(AD$3,4)))))</f>
        <v/>
      </c>
      <c r="AE6" s="27">
        <f>_xlfn.CONCAT($W6, IF(AE$3="", "", _xlfn.UNICHAR( HEX2DEC( RIGHT(AE$3,4)))))</f>
        <v/>
      </c>
      <c r="AF6" s="27">
        <f>_xlfn.CONCAT($W6, IF(AF$3="", "", _xlfn.UNICHAR( HEX2DEC( RIGHT(AF$3,4)))))</f>
        <v/>
      </c>
      <c r="AG6" s="27">
        <f>_xlfn.CONCAT($W6, IF(AG$3="", "", _xlfn.UNICHAR( HEX2DEC( RIGHT(AG$3,4)))))</f>
        <v/>
      </c>
      <c r="AI6" s="28">
        <f>_xlfn.CONCAT("    - xform/》", $W6, X$2, "/", X6, "/")</f>
        <v/>
      </c>
      <c r="AJ6" s="28">
        <f>_xlfn.CONCAT("    - xform/》", $W6, Y$2, "/", Y6, "/")</f>
        <v/>
      </c>
      <c r="AK6" s="28">
        <f>_xlfn.CONCAT("    - xform/》", $W6, Z$2, "/", Z6, "/")</f>
        <v/>
      </c>
      <c r="AL6" s="28">
        <f>_xlfn.CONCAT("    - xform/》", $W6, AA$2, "/", AA6, "/")</f>
        <v/>
      </c>
      <c r="AM6" s="28">
        <f>_xlfn.CONCAT("    - xform/》", $W6, AB$2, "/", AB6, "/")</f>
        <v/>
      </c>
      <c r="AN6" s="28">
        <f>_xlfn.CONCAT("    - xform/》", $W6, AC$2, "/", AC6, "/")</f>
        <v/>
      </c>
      <c r="AO6" s="28">
        <f>_xlfn.CONCAT("    - xform/》", $W6, AD$2, "/", AD6, "/")</f>
        <v/>
      </c>
      <c r="AP6" s="28">
        <f>_xlfn.CONCAT("    - xform/》", $W6, AE$2, "/", AE6, "/")</f>
        <v/>
      </c>
      <c r="AQ6" s="28">
        <f>_xlfn.CONCAT("    - xform/》", $W6, AF$2, "/", AF6, "/")</f>
        <v/>
      </c>
      <c r="AR6" s="28">
        <f>_xlfn.CONCAT("    - xform/》", $W6, AG$2, "/", AG6, "/")</f>
        <v/>
      </c>
      <c r="AS6" s="27" t="n"/>
      <c r="AT6" s="27" t="n"/>
      <c r="AU6" s="7" t="n"/>
    </row>
    <row r="7" ht="30.75" customHeight="1" s="69" thickBot="1">
      <c r="A7" s="19" t="n">
        <v>49</v>
      </c>
      <c r="B7" s="20" t="inlineStr">
        <is>
          <t>iũʔ</t>
        </is>
      </c>
      <c r="C7" s="21" t="inlineStr">
        <is>
          <t>iunnh</t>
        </is>
      </c>
      <c r="D7" s="21" t="inlineStr">
        <is>
          <t>Liuh</t>
        </is>
      </c>
      <c r="E7" s="31" t="inlineStr">
        <is>
          <t>iunnh</t>
        </is>
      </c>
      <c r="F7" s="31" t="inlineStr">
        <is>
          <t>iunnh</t>
        </is>
      </c>
      <c r="G7" s="31" t="inlineStr">
        <is>
          <t>niuh</t>
        </is>
      </c>
      <c r="H7" s="31" t="inlineStr">
        <is>
          <t>iuⁿh</t>
        </is>
      </c>
      <c r="I7" s="32" t="inlineStr">
        <is>
          <t>牛促</t>
        </is>
      </c>
      <c r="J7" s="33" t="inlineStr">
        <is>
          <t>ㄧㆫㆷ</t>
        </is>
      </c>
      <c r="K7" s="19" t="inlineStr">
        <is>
          <t>⁰ㄧㄨㄏ</t>
        </is>
      </c>
      <c r="L7" s="29" t="inlineStr">
        <is>
          <t>韻-鼻</t>
        </is>
      </c>
      <c r="M7" s="23">
        <f>LEN(C7)</f>
        <v/>
      </c>
      <c r="N7" s="24" t="n"/>
      <c r="O7" s="53">
        <f>D7</f>
        <v/>
      </c>
      <c r="P7" s="19">
        <f>J7</f>
        <v/>
      </c>
      <c r="R7" s="3">
        <f>_xlfn.CONCAT(O7)</f>
        <v/>
      </c>
      <c r="S7" s="3">
        <f>IFERROR( _xlfn.CONCAT(P7, ""), "" )</f>
        <v/>
      </c>
      <c r="T7" s="25" t="n"/>
      <c r="U7" s="26">
        <f>IF(AND(P7&lt;&gt;"", O7&lt;&gt;""), "    - xform/》" &amp; R7 &amp; "/" &amp; S7 &amp; "》/", "")</f>
        <v/>
      </c>
      <c r="W7" s="7" t="inlineStr">
        <is>
          <t>e</t>
        </is>
      </c>
      <c r="X7" s="27">
        <f>_xlfn.CONCAT($W7, IF(X$3="", "", _xlfn.UNICHAR( HEX2DEC( RIGHT(X$3,4)))))</f>
        <v/>
      </c>
      <c r="Y7" s="27">
        <f>_xlfn.CONCAT($W7, IF(Y$3="", "", _xlfn.UNICHAR( HEX2DEC( RIGHT(Y$3,4)))))</f>
        <v/>
      </c>
      <c r="Z7" s="27">
        <f>_xlfn.CONCAT($W7, IF(Z$3="", "", _xlfn.UNICHAR( HEX2DEC( RIGHT(Z$3,4)))))</f>
        <v/>
      </c>
      <c r="AA7" s="27">
        <f>_xlfn.CONCAT($W7, IF(AA$3="", "", _xlfn.UNICHAR( HEX2DEC( RIGHT(AA$3,4)))))</f>
        <v/>
      </c>
      <c r="AB7" s="27">
        <f>_xlfn.CONCAT($W7, IF(AB$3="", "", _xlfn.UNICHAR( HEX2DEC( RIGHT(AB$3,4)))))</f>
        <v/>
      </c>
      <c r="AC7" s="27">
        <f>_xlfn.CONCAT($W7, IF(AC$3="", "", _xlfn.UNICHAR( HEX2DEC( RIGHT(AC$3,4)))))</f>
        <v/>
      </c>
      <c r="AD7" s="27">
        <f>_xlfn.CONCAT($W7, IF(AD$3="", "", _xlfn.UNICHAR( HEX2DEC( RIGHT(AD$3,4)))))</f>
        <v/>
      </c>
      <c r="AE7" s="27">
        <f>_xlfn.CONCAT($W7, IF(AE$3="", "", _xlfn.UNICHAR( HEX2DEC( RIGHT(AE$3,4)))))</f>
        <v/>
      </c>
      <c r="AF7" s="27">
        <f>_xlfn.CONCAT($W7, IF(AF$3="", "", _xlfn.UNICHAR( HEX2DEC( RIGHT(AF$3,4)))))</f>
        <v/>
      </c>
      <c r="AG7" s="27">
        <f>_xlfn.CONCAT($W7, IF(AG$3="", "", _xlfn.UNICHAR( HEX2DEC( RIGHT(AG$3,4)))))</f>
        <v/>
      </c>
      <c r="AI7" s="28">
        <f>_xlfn.CONCAT("    - xform/》", $W7, X$2, "/", X7, "/")</f>
        <v/>
      </c>
      <c r="AJ7" s="28">
        <f>_xlfn.CONCAT("    - xform/》", $W7, Y$2, "/", Y7, "/")</f>
        <v/>
      </c>
      <c r="AK7" s="28">
        <f>_xlfn.CONCAT("    - xform/》", $W7, Z$2, "/", Z7, "/")</f>
        <v/>
      </c>
      <c r="AL7" s="28">
        <f>_xlfn.CONCAT("    - xform/》", $W7, AA$2, "/", AA7, "/")</f>
        <v/>
      </c>
      <c r="AM7" s="28">
        <f>_xlfn.CONCAT("    - xform/》", $W7, AB$2, "/", AB7, "/")</f>
        <v/>
      </c>
      <c r="AN7" s="28">
        <f>_xlfn.CONCAT("    - xform/》", $W7, AC$2, "/", AC7, "/")</f>
        <v/>
      </c>
      <c r="AO7" s="28">
        <f>_xlfn.CONCAT("    - xform/》", $W7, AD$2, "/", AD7, "/")</f>
        <v/>
      </c>
      <c r="AP7" s="28">
        <f>_xlfn.CONCAT("    - xform/》", $W7, AE$2, "/", AE7, "/")</f>
        <v/>
      </c>
      <c r="AQ7" s="28">
        <f>_xlfn.CONCAT("    - xform/》", $W7, AF$2, "/", AF7, "/")</f>
        <v/>
      </c>
      <c r="AR7" s="28">
        <f>_xlfn.CONCAT("    - xform/》", $W7, AG$2, "/", AG7, "/")</f>
        <v/>
      </c>
      <c r="AS7" s="27" t="n"/>
      <c r="AT7" s="27" t="n"/>
      <c r="AU7" s="7" t="n"/>
    </row>
    <row r="8" ht="27.75" customHeight="1" s="69" thickBot="1">
      <c r="A8" s="19" t="n">
        <v>71</v>
      </c>
      <c r="B8" s="20" t="inlineStr">
        <is>
          <t>uãi</t>
        </is>
      </c>
      <c r="C8" s="21" t="inlineStr">
        <is>
          <t>uainn</t>
        </is>
      </c>
      <c r="D8" s="21" t="inlineStr">
        <is>
          <t>Luai</t>
        </is>
      </c>
      <c r="E8" s="19" t="inlineStr">
        <is>
          <t>uainn</t>
        </is>
      </c>
      <c r="F8" s="19" t="inlineStr">
        <is>
          <t>uainn</t>
        </is>
      </c>
      <c r="G8" s="19" t="inlineStr">
        <is>
          <t>nuai</t>
        </is>
      </c>
      <c r="H8" s="22" t="inlineStr">
        <is>
          <t>oaiⁿ</t>
        </is>
      </c>
      <c r="I8" s="23" t="inlineStr">
        <is>
          <t>閂舒</t>
        </is>
      </c>
      <c r="J8" s="19" t="inlineStr">
        <is>
          <t>ㄨㆮ</t>
        </is>
      </c>
      <c r="K8" s="19" t="inlineStr">
        <is>
          <t>⁰ㄨㄞ</t>
        </is>
      </c>
      <c r="L8" s="29" t="inlineStr">
        <is>
          <t>韻-鼻</t>
        </is>
      </c>
      <c r="M8" s="23">
        <f>LEN(C8)</f>
        <v/>
      </c>
      <c r="N8" s="24" t="n"/>
      <c r="O8" s="53">
        <f>D8</f>
        <v/>
      </c>
      <c r="P8" s="19">
        <f>J8</f>
        <v/>
      </c>
      <c r="R8" s="3">
        <f>_xlfn.CONCAT(O8)</f>
        <v/>
      </c>
      <c r="S8" s="3">
        <f>IFERROR( _xlfn.CONCAT(P8, ""), "" )</f>
        <v/>
      </c>
      <c r="T8" s="25" t="n"/>
      <c r="U8" s="26">
        <f>IF(AND(P8&lt;&gt;"", O8&lt;&gt;""), "    - xform/》" &amp; R8 &amp; "/" &amp; S8 &amp; "》/", "")</f>
        <v/>
      </c>
      <c r="W8" s="7" t="inlineStr">
        <is>
          <t>o</t>
        </is>
      </c>
      <c r="X8" s="27">
        <f>_xlfn.CONCAT($W8, IF(X$3="", "", _xlfn.UNICHAR( HEX2DEC( RIGHT(X$3,4)))))</f>
        <v/>
      </c>
      <c r="Y8" s="27">
        <f>_xlfn.CONCAT($W8, IF(Y$3="", "", _xlfn.UNICHAR( HEX2DEC( RIGHT(Y$3,4)))))</f>
        <v/>
      </c>
      <c r="Z8" s="27">
        <f>_xlfn.CONCAT($W8, IF(Z$3="", "", _xlfn.UNICHAR( HEX2DEC( RIGHT(Z$3,4)))))</f>
        <v/>
      </c>
      <c r="AA8" s="27">
        <f>_xlfn.CONCAT($W8, IF(AA$3="", "", _xlfn.UNICHAR( HEX2DEC( RIGHT(AA$3,4)))))</f>
        <v/>
      </c>
      <c r="AB8" s="27">
        <f>_xlfn.CONCAT($W8, IF(AB$3="", "", _xlfn.UNICHAR( HEX2DEC( RIGHT(AB$3,4)))))</f>
        <v/>
      </c>
      <c r="AC8" s="27">
        <f>_xlfn.CONCAT($W8, IF(AC$3="", "", _xlfn.UNICHAR( HEX2DEC( RIGHT(AC$3,4)))))</f>
        <v/>
      </c>
      <c r="AD8" s="27">
        <f>_xlfn.CONCAT($W8, IF(AD$3="", "", _xlfn.UNICHAR( HEX2DEC( RIGHT(AD$3,4)))))</f>
        <v/>
      </c>
      <c r="AE8" s="27">
        <f>_xlfn.CONCAT($W8, IF(AE$3="", "", _xlfn.UNICHAR( HEX2DEC( RIGHT(AE$3,4)))))</f>
        <v/>
      </c>
      <c r="AF8" s="27">
        <f>_xlfn.CONCAT($W8, IF(AF$3="", "", _xlfn.UNICHAR( HEX2DEC( RIGHT(AF$3,4)))))</f>
        <v/>
      </c>
      <c r="AG8" s="27">
        <f>_xlfn.CONCAT($W8, IF(AG$3="", "", _xlfn.UNICHAR( HEX2DEC( RIGHT(AG$3,4)))))</f>
        <v/>
      </c>
      <c r="AI8" s="28">
        <f>_xlfn.CONCAT("    - xform/》", $W8, X$2, "/", X8, "/")</f>
        <v/>
      </c>
      <c r="AJ8" s="28">
        <f>_xlfn.CONCAT("    - xform/》", $W8, Y$2, "/", Y8, "/")</f>
        <v/>
      </c>
      <c r="AK8" s="28">
        <f>_xlfn.CONCAT("    - xform/》", $W8, Z$2, "/", Z8, "/")</f>
        <v/>
      </c>
      <c r="AL8" s="28">
        <f>_xlfn.CONCAT("    - xform/》", $W8, AA$2, "/", AA8, "/")</f>
        <v/>
      </c>
      <c r="AM8" s="28">
        <f>_xlfn.CONCAT("    - xform/》", $W8, AB$2, "/", AB8, "/")</f>
        <v/>
      </c>
      <c r="AN8" s="28">
        <f>_xlfn.CONCAT("    - xform/》", $W8, AC$2, "/", AC8, "/")</f>
        <v/>
      </c>
      <c r="AO8" s="28">
        <f>_xlfn.CONCAT("    - xform/》", $W8, AD$2, "/", AD8, "/")</f>
        <v/>
      </c>
      <c r="AP8" s="28">
        <f>_xlfn.CONCAT("    - xform/》", $W8, AE$2, "/", AE8, "/")</f>
        <v/>
      </c>
      <c r="AQ8" s="28">
        <f>_xlfn.CONCAT("    - xform/》", $W8, AF$2, "/", AF8, "/")</f>
        <v/>
      </c>
      <c r="AR8" s="28">
        <f>_xlfn.CONCAT("    - xform/》", $W8, AG$2, "/", AG8, "/")</f>
        <v/>
      </c>
      <c r="AS8" s="27" t="n"/>
      <c r="AT8" s="27" t="n"/>
      <c r="AU8" s="7" t="n"/>
    </row>
    <row r="9" ht="27.75" customHeight="1" s="69" thickBot="1">
      <c r="A9" s="19" t="n">
        <v>4</v>
      </c>
      <c r="B9" s="20" t="inlineStr">
        <is>
          <t>ãʔ</t>
        </is>
      </c>
      <c r="C9" s="21" t="inlineStr">
        <is>
          <t>annh</t>
        </is>
      </c>
      <c r="D9" s="21" t="inlineStr">
        <is>
          <t>Lah</t>
        </is>
      </c>
      <c r="E9" s="19" t="inlineStr">
        <is>
          <t>ahnn</t>
        </is>
      </c>
      <c r="F9" s="19" t="inlineStr">
        <is>
          <t>annh</t>
        </is>
      </c>
      <c r="G9" s="31" t="inlineStr">
        <is>
          <t>nah</t>
        </is>
      </c>
      <c r="H9" s="22" t="inlineStr">
        <is>
          <t>ahⁿ</t>
        </is>
      </c>
      <c r="I9" s="23" t="inlineStr">
        <is>
          <t>監促</t>
        </is>
      </c>
      <c r="J9" s="19" t="inlineStr">
        <is>
          <t>ㆩㆷ</t>
        </is>
      </c>
      <c r="K9" s="19" t="inlineStr">
        <is>
          <t>⁰ㄚㄏ</t>
        </is>
      </c>
      <c r="L9" s="29" t="inlineStr">
        <is>
          <t>韻-鼻</t>
        </is>
      </c>
      <c r="M9" s="23">
        <f>LEN(C9)</f>
        <v/>
      </c>
      <c r="N9" s="24" t="n"/>
      <c r="O9" s="53">
        <f>D9</f>
        <v/>
      </c>
      <c r="P9" s="19">
        <f>J9</f>
        <v/>
      </c>
      <c r="R9" s="3">
        <f>_xlfn.CONCAT(O9)</f>
        <v/>
      </c>
      <c r="S9" s="3">
        <f>IFERROR( _xlfn.CONCAT(P9, ""), "" )</f>
        <v/>
      </c>
      <c r="T9" s="25" t="n"/>
      <c r="U9" s="26">
        <f>IF(AND(P9&lt;&gt;"", O9&lt;&gt;""), "    - xform/》" &amp; R9 &amp; "/" &amp; S9 &amp; "》/", "")</f>
        <v/>
      </c>
      <c r="W9" s="7" t="inlineStr">
        <is>
          <t>m</t>
        </is>
      </c>
      <c r="X9" s="27">
        <f>_xlfn.CONCAT($W9, IF(X$3="", "", _xlfn.UNICHAR( HEX2DEC( RIGHT(X$3,4)))))</f>
        <v/>
      </c>
      <c r="Y9" s="27">
        <f>_xlfn.CONCAT($W9, IF(Y$3="", "", _xlfn.UNICHAR( HEX2DEC( RIGHT(Y$3,4)))))</f>
        <v/>
      </c>
      <c r="Z9" s="27">
        <f>_xlfn.CONCAT($W9, IF(Z$3="", "", _xlfn.UNICHAR( HEX2DEC( RIGHT(Z$3,4)))))</f>
        <v/>
      </c>
      <c r="AA9" s="27">
        <f>_xlfn.CONCAT($W9, IF(AA$3="", "", _xlfn.UNICHAR( HEX2DEC( RIGHT(AA$3,4)))))</f>
        <v/>
      </c>
      <c r="AB9" s="27">
        <f>_xlfn.CONCAT($W9, IF(AB$3="", "", _xlfn.UNICHAR( HEX2DEC( RIGHT(AB$3,4)))))</f>
        <v/>
      </c>
      <c r="AC9" s="27">
        <f>_xlfn.CONCAT($W9, IF(AC$3="", "", _xlfn.UNICHAR( HEX2DEC( RIGHT(AC$3,4)))))</f>
        <v/>
      </c>
      <c r="AD9" s="27">
        <f>_xlfn.CONCAT($W9, IF(AD$3="", "", _xlfn.UNICHAR( HEX2DEC( RIGHT(AD$3,4)))))</f>
        <v/>
      </c>
      <c r="AE9" s="27">
        <f>_xlfn.CONCAT($W9, IF(AE$3="", "", _xlfn.UNICHAR( HEX2DEC( RIGHT(AE$3,4)))))</f>
        <v/>
      </c>
      <c r="AF9" s="27">
        <f>_xlfn.CONCAT($W9, IF(AF$3="", "", _xlfn.UNICHAR( HEX2DEC( RIGHT(AF$3,4)))))</f>
        <v/>
      </c>
      <c r="AG9" s="27">
        <f>_xlfn.CONCAT($W9, IF(AG$3="", "", _xlfn.UNICHAR( HEX2DEC( RIGHT(AG$3,4)))))</f>
        <v/>
      </c>
      <c r="AI9" s="28">
        <f>_xlfn.CONCAT("    - xform/》", $W9, X$2, "/", X9, "/")</f>
        <v/>
      </c>
      <c r="AJ9" s="28">
        <f>_xlfn.CONCAT("    - xform/》", $W9, Y$2, "/", Y9, "/")</f>
        <v/>
      </c>
      <c r="AK9" s="28">
        <f>_xlfn.CONCAT("    - xform/》", $W9, Z$2, "/", Z9, "/")</f>
        <v/>
      </c>
      <c r="AL9" s="28">
        <f>_xlfn.CONCAT("    - xform/》", $W9, AA$2, "/", AA9, "/")</f>
        <v/>
      </c>
      <c r="AM9" s="28">
        <f>_xlfn.CONCAT("    - xform/》", $W9, AB$2, "/", AB9, "/")</f>
        <v/>
      </c>
      <c r="AN9" s="28">
        <f>_xlfn.CONCAT("    - xform/》", $W9, AC$2, "/", AC9, "/")</f>
        <v/>
      </c>
      <c r="AO9" s="28">
        <f>_xlfn.CONCAT("    - xform/》", $W9, AD$2, "/", AD9, "/")</f>
        <v/>
      </c>
      <c r="AP9" s="28">
        <f>_xlfn.CONCAT("    - xform/》", $W9, AE$2, "/", AE9, "/")</f>
        <v/>
      </c>
      <c r="AQ9" s="28">
        <f>_xlfn.CONCAT("    - xform/》", $W9, AF$2, "/", AF9, "/")</f>
        <v/>
      </c>
      <c r="AR9" s="28">
        <f>_xlfn.CONCAT("    - xform/》", $W9, AG$2, "/", AG9, "/")</f>
        <v/>
      </c>
      <c r="AS9" s="27" t="n"/>
      <c r="AT9" s="27" t="n"/>
      <c r="AU9" s="7" t="n"/>
    </row>
    <row r="10" ht="27.75" customHeight="1" s="69" thickBot="1">
      <c r="A10" s="19" t="n">
        <v>12</v>
      </c>
      <c r="B10" s="20" t="inlineStr">
        <is>
          <t>ãɪ</t>
        </is>
      </c>
      <c r="C10" s="21" t="inlineStr">
        <is>
          <t>ainn</t>
        </is>
      </c>
      <c r="D10" s="21" t="inlineStr">
        <is>
          <t>Lai</t>
        </is>
      </c>
      <c r="E10" s="19" t="inlineStr">
        <is>
          <t>ainn</t>
        </is>
      </c>
      <c r="F10" s="19" t="inlineStr">
        <is>
          <t>ainn</t>
        </is>
      </c>
      <c r="G10" s="19" t="inlineStr">
        <is>
          <t>nai</t>
        </is>
      </c>
      <c r="H10" s="22" t="inlineStr">
        <is>
          <t>aiⁿ</t>
        </is>
      </c>
      <c r="I10" s="23" t="inlineStr">
        <is>
          <t>閒舒</t>
        </is>
      </c>
      <c r="J10" s="19" t="inlineStr">
        <is>
          <t>ㆮ</t>
        </is>
      </c>
      <c r="K10" s="19" t="inlineStr">
        <is>
          <t>⁰ㄞ</t>
        </is>
      </c>
      <c r="L10" s="29" t="inlineStr">
        <is>
          <t>韻-鼻</t>
        </is>
      </c>
      <c r="M10" s="23">
        <f>LEN(C10)</f>
        <v/>
      </c>
      <c r="N10" s="24" t="n"/>
      <c r="O10" s="53">
        <f>D10</f>
        <v/>
      </c>
      <c r="P10" s="19">
        <f>J10</f>
        <v/>
      </c>
      <c r="R10" s="3">
        <f>_xlfn.CONCAT(O10)</f>
        <v/>
      </c>
      <c r="S10" s="3">
        <f>IFERROR( _xlfn.CONCAT(P10, ""), "" )</f>
        <v/>
      </c>
      <c r="T10" s="25" t="n"/>
      <c r="U10" s="26">
        <f>IF(AND(P10&lt;&gt;"", O10&lt;&gt;""), "    - xform/》" &amp; R10 &amp; "/" &amp; S10 &amp; "》/", "")</f>
        <v/>
      </c>
      <c r="W10" s="7" t="inlineStr">
        <is>
          <t>n</t>
        </is>
      </c>
      <c r="X10" s="27">
        <f>_xlfn.CONCAT($W10, IF(X$3="", "", _xlfn.UNICHAR( HEX2DEC( RIGHT(X$3,4)))))</f>
        <v/>
      </c>
      <c r="Y10" s="27">
        <f>_xlfn.CONCAT($W10, IF(Y$3="", "", _xlfn.UNICHAR( HEX2DEC( RIGHT(Y$3,4)))))</f>
        <v/>
      </c>
      <c r="Z10" s="27">
        <f>_xlfn.CONCAT($W10, IF(Z$3="", "", _xlfn.UNICHAR( HEX2DEC( RIGHT(Z$3,4)))))</f>
        <v/>
      </c>
      <c r="AA10" s="27">
        <f>_xlfn.CONCAT($W10, IF(AA$3="", "", _xlfn.UNICHAR( HEX2DEC( RIGHT(AA$3,4)))))</f>
        <v/>
      </c>
      <c r="AB10" s="27">
        <f>_xlfn.CONCAT($W10, IF(AB$3="", "", _xlfn.UNICHAR( HEX2DEC( RIGHT(AB$3,4)))))</f>
        <v/>
      </c>
      <c r="AC10" s="27">
        <f>_xlfn.CONCAT($W10, IF(AC$3="", "", _xlfn.UNICHAR( HEX2DEC( RIGHT(AC$3,4)))))</f>
        <v/>
      </c>
      <c r="AD10" s="27">
        <f>_xlfn.CONCAT($W10, IF(AD$3="", "", _xlfn.UNICHAR( HEX2DEC( RIGHT(AD$3,4)))))</f>
        <v/>
      </c>
      <c r="AE10" s="27">
        <f>_xlfn.CONCAT($W10, IF(AE$3="", "", _xlfn.UNICHAR( HEX2DEC( RIGHT(AE$3,4)))))</f>
        <v/>
      </c>
      <c r="AF10" s="27">
        <f>_xlfn.CONCAT($W10, IF(AF$3="", "", _xlfn.UNICHAR( HEX2DEC( RIGHT(AF$3,4)))))</f>
        <v/>
      </c>
      <c r="AG10" s="27">
        <f>_xlfn.CONCAT($W10, IF(AG$3="", "", _xlfn.UNICHAR( HEX2DEC( RIGHT(AG$3,4)))))</f>
        <v/>
      </c>
      <c r="AI10" s="28">
        <f>_xlfn.CONCAT("    - xform/》", $W10, X$2, "/", X10, "/")</f>
        <v/>
      </c>
      <c r="AJ10" s="28">
        <f>_xlfn.CONCAT("    - xform/》", $W10, Y$2, "/", Y10, "/")</f>
        <v/>
      </c>
      <c r="AK10" s="28">
        <f>_xlfn.CONCAT("    - xform/》", $W10, Z$2, "/", Z10, "/")</f>
        <v/>
      </c>
      <c r="AL10" s="28">
        <f>_xlfn.CONCAT("    - xform/》", $W10, AA$2, "/", AA10, "/")</f>
        <v/>
      </c>
      <c r="AM10" s="28">
        <f>_xlfn.CONCAT("    - xform/》", $W10, AB$2, "/", AB10, "/")</f>
        <v/>
      </c>
      <c r="AN10" s="28">
        <f>_xlfn.CONCAT("    - xform/》", $W10, AC$2, "/", AC10, "/")</f>
        <v/>
      </c>
      <c r="AO10" s="28">
        <f>_xlfn.CONCAT("    - xform/》", $W10, AD$2, "/", AD10, "/")</f>
        <v/>
      </c>
      <c r="AP10" s="28">
        <f>_xlfn.CONCAT("    - xform/》", $W10, AE$2, "/", AE10, "/")</f>
        <v/>
      </c>
      <c r="AQ10" s="28">
        <f>_xlfn.CONCAT("    - xform/》", $W10, AF$2, "/", AF10, "/")</f>
        <v/>
      </c>
      <c r="AR10" s="28">
        <f>_xlfn.CONCAT("    - xform/》", $W10, AG$2, "/", AG10, "/")</f>
        <v/>
      </c>
      <c r="AS10" s="27" t="n"/>
      <c r="AT10" s="27" t="n"/>
      <c r="AU10" s="7" t="n"/>
    </row>
    <row r="11" ht="30.75" customHeight="1" s="69" thickBot="1">
      <c r="A11" s="19" t="n">
        <v>19</v>
      </c>
      <c r="B11" s="20" t="inlineStr">
        <is>
          <t>ẽʔ</t>
        </is>
      </c>
      <c r="C11" s="21" t="inlineStr">
        <is>
          <t>ennh</t>
        </is>
      </c>
      <c r="D11" s="21" t="inlineStr">
        <is>
          <t>Leh</t>
        </is>
      </c>
      <c r="E11" s="31" t="inlineStr">
        <is>
          <t>ennh</t>
        </is>
      </c>
      <c r="F11" s="31" t="inlineStr">
        <is>
          <t>ennh</t>
        </is>
      </c>
      <c r="G11" s="31" t="inlineStr">
        <is>
          <t>ennh</t>
        </is>
      </c>
      <c r="H11" s="31" t="inlineStr">
        <is>
          <t>ennh</t>
        </is>
      </c>
      <c r="I11" s="32" t="inlineStr">
        <is>
          <t>更促</t>
        </is>
      </c>
      <c r="J11" s="34" t="inlineStr">
        <is>
          <t>ㆥㆷ</t>
        </is>
      </c>
      <c r="K11" s="19" t="inlineStr">
        <is>
          <t>⁰ㄝㄏ</t>
        </is>
      </c>
      <c r="L11" s="29" t="inlineStr">
        <is>
          <t>韻-鼻</t>
        </is>
      </c>
      <c r="M11" s="23">
        <f>LEN(C11)</f>
        <v/>
      </c>
      <c r="N11" s="24" t="n"/>
      <c r="O11" s="53">
        <f>D11</f>
        <v/>
      </c>
      <c r="P11" s="19">
        <f>J11</f>
        <v/>
      </c>
      <c r="R11" s="3">
        <f>_xlfn.CONCAT(O11)</f>
        <v/>
      </c>
      <c r="S11" s="3">
        <f>IFERROR( _xlfn.CONCAT(P11, ""), "" )</f>
        <v/>
      </c>
      <c r="T11" s="25" t="n"/>
      <c r="U11" s="26">
        <f>IF(AND(P11&lt;&gt;"", O11&lt;&gt;""), "    - xform/》" &amp; R11 &amp; "/" &amp; S11 &amp; "》/", "")</f>
        <v/>
      </c>
    </row>
    <row r="12" ht="27.75" customHeight="1" s="69" thickBot="1">
      <c r="A12" s="19" t="n">
        <v>30</v>
      </c>
      <c r="B12" s="20" t="inlineStr">
        <is>
          <t>iã</t>
        </is>
      </c>
      <c r="C12" s="21" t="inlineStr">
        <is>
          <t>iann</t>
        </is>
      </c>
      <c r="D12" s="21" t="inlineStr">
        <is>
          <t>Lia</t>
        </is>
      </c>
      <c r="E12" s="19" t="inlineStr">
        <is>
          <t>iann</t>
        </is>
      </c>
      <c r="F12" s="19" t="inlineStr">
        <is>
          <t>iann</t>
        </is>
      </c>
      <c r="G12" s="19" t="inlineStr">
        <is>
          <t>nia</t>
        </is>
      </c>
      <c r="H12" s="22" t="inlineStr">
        <is>
          <t>iaⁿ</t>
        </is>
      </c>
      <c r="I12" s="23" t="inlineStr">
        <is>
          <t>驚舒</t>
        </is>
      </c>
      <c r="J12" s="19" t="inlineStr">
        <is>
          <t>ㄧㆩ</t>
        </is>
      </c>
      <c r="K12" s="19" t="inlineStr">
        <is>
          <t>⁰ㄧㄚ</t>
        </is>
      </c>
      <c r="L12" s="29" t="inlineStr">
        <is>
          <t>韻-鼻</t>
        </is>
      </c>
      <c r="M12" s="23">
        <f>LEN(C12)</f>
        <v/>
      </c>
      <c r="N12" s="24" t="n"/>
      <c r="O12" s="53">
        <f>D12</f>
        <v/>
      </c>
      <c r="P12" s="19">
        <f>J12</f>
        <v/>
      </c>
      <c r="R12" s="3">
        <f>_xlfn.CONCAT(O12)</f>
        <v/>
      </c>
      <c r="S12" s="3">
        <f>IFERROR( _xlfn.CONCAT(P12, ""), "" )</f>
        <v/>
      </c>
      <c r="T12" s="25" t="n"/>
      <c r="U12" s="26">
        <f>IF(AND(P12&lt;&gt;"", O12&lt;&gt;""), "    - xform/》" &amp; R12 &amp; "/" &amp; S12 &amp; "》/", "")</f>
        <v/>
      </c>
    </row>
    <row r="13" ht="27.75" customHeight="1" s="69" thickBot="1">
      <c r="A13" s="19" t="n">
        <v>43</v>
      </c>
      <c r="B13" s="20" t="inlineStr">
        <is>
          <t>ɪɔ̃</t>
        </is>
      </c>
      <c r="C13" s="21" t="inlineStr">
        <is>
          <t>ionn</t>
        </is>
      </c>
      <c r="D13" s="21" t="inlineStr">
        <is>
          <t>Lio</t>
        </is>
      </c>
      <c r="E13" s="19" t="inlineStr">
        <is>
          <t>ionn</t>
        </is>
      </c>
      <c r="F13" s="19" t="inlineStr">
        <is>
          <t>ioonn</t>
        </is>
      </c>
      <c r="G13" s="19" t="inlineStr">
        <is>
          <t>nioo</t>
        </is>
      </c>
      <c r="H13" s="22" t="inlineStr">
        <is>
          <t>ioⁿ</t>
        </is>
      </c>
      <c r="I13" s="23" t="inlineStr">
        <is>
          <t>薑舒</t>
        </is>
      </c>
      <c r="J13" s="19" t="inlineStr">
        <is>
          <t>ㄧㆧ</t>
        </is>
      </c>
      <c r="K13" s="19" t="inlineStr">
        <is>
          <t>⁰ㄧㄛ</t>
        </is>
      </c>
      <c r="L13" s="29" t="inlineStr">
        <is>
          <t>韻-鼻</t>
        </is>
      </c>
      <c r="M13" s="23">
        <f>LEN(C13)</f>
        <v/>
      </c>
      <c r="N13" s="24" t="n"/>
      <c r="O13" s="53">
        <f>D13</f>
        <v/>
      </c>
      <c r="P13" s="19">
        <f>J13</f>
        <v/>
      </c>
      <c r="R13" s="3">
        <f>_xlfn.CONCAT(O13)</f>
        <v/>
      </c>
      <c r="S13" s="3">
        <f>IFERROR( _xlfn.CONCAT(P13, ""), "" )</f>
        <v/>
      </c>
      <c r="T13" s="25" t="n"/>
      <c r="U13" s="26">
        <f>IF(AND(P13&lt;&gt;"", O13&lt;&gt;""), "    - xform/》" &amp; R13 &amp; "/" &amp; S13 &amp; "》/", "")</f>
        <v/>
      </c>
    </row>
    <row r="14" ht="27.75" customHeight="1" s="69" thickBot="1">
      <c r="A14" s="19" t="n">
        <v>48</v>
      </c>
      <c r="B14" s="20" t="inlineStr">
        <is>
          <t>iũ</t>
        </is>
      </c>
      <c r="C14" s="21" t="inlineStr">
        <is>
          <t>iunn</t>
        </is>
      </c>
      <c r="D14" s="21" t="inlineStr">
        <is>
          <t>Liu</t>
        </is>
      </c>
      <c r="E14" s="19" t="inlineStr">
        <is>
          <t>iunn</t>
        </is>
      </c>
      <c r="F14" s="19" t="inlineStr">
        <is>
          <t>iunn</t>
        </is>
      </c>
      <c r="G14" s="19" t="inlineStr">
        <is>
          <t>niu</t>
        </is>
      </c>
      <c r="H14" s="22" t="inlineStr">
        <is>
          <t>iuⁿ</t>
        </is>
      </c>
      <c r="I14" s="23" t="inlineStr">
        <is>
          <t>牛舒</t>
        </is>
      </c>
      <c r="J14" s="19" t="inlineStr">
        <is>
          <t>ㄧㆫ</t>
        </is>
      </c>
      <c r="K14" s="19" t="inlineStr">
        <is>
          <t>⁰ㄧㆫ</t>
        </is>
      </c>
      <c r="L14" s="29" t="inlineStr">
        <is>
          <t>韻-鼻</t>
        </is>
      </c>
      <c r="M14" s="23">
        <f>LEN(C14)</f>
        <v/>
      </c>
      <c r="N14" s="24" t="n"/>
      <c r="O14" s="53">
        <f>D14</f>
        <v/>
      </c>
      <c r="P14" s="19">
        <f>J14</f>
        <v/>
      </c>
      <c r="R14" s="3">
        <f>_xlfn.CONCAT(O14)</f>
        <v/>
      </c>
      <c r="S14" s="3">
        <f>IFERROR( _xlfn.CONCAT(P14, ""), "" )</f>
        <v/>
      </c>
      <c r="T14" s="25" t="n"/>
      <c r="U14" s="26">
        <f>IF(AND(P14&lt;&gt;"", O14&lt;&gt;""), "    - xform/》" &amp; R14 &amp; "/" &amp; S14 &amp; "》/", "")</f>
        <v/>
      </c>
    </row>
    <row r="15" ht="27.75" customHeight="1" s="69" thickBot="1">
      <c r="A15" s="19" t="n">
        <v>55</v>
      </c>
      <c r="B15" s="20" t="inlineStr">
        <is>
          <t>ɔ̃ʔ</t>
        </is>
      </c>
      <c r="C15" s="21" t="inlineStr">
        <is>
          <t>onnh</t>
        </is>
      </c>
      <c r="D15" s="21" t="inlineStr">
        <is>
          <t>Loh</t>
        </is>
      </c>
      <c r="E15" s="19" t="inlineStr">
        <is>
          <t>ohnn</t>
        </is>
      </c>
      <c r="F15" s="19" t="inlineStr">
        <is>
          <t>onnh</t>
        </is>
      </c>
      <c r="G15" s="19" t="inlineStr">
        <is>
          <t>niuh</t>
        </is>
      </c>
      <c r="H15" s="22" t="inlineStr">
        <is>
          <t>ohⁿ</t>
        </is>
      </c>
      <c r="I15" s="23" t="inlineStr">
        <is>
          <t>扛促</t>
        </is>
      </c>
      <c r="J15" s="19" t="inlineStr">
        <is>
          <t>ㆧㆷ</t>
        </is>
      </c>
      <c r="K15" s="19" t="inlineStr">
        <is>
          <t>⁰ㄛㄏ</t>
        </is>
      </c>
      <c r="L15" s="29" t="inlineStr">
        <is>
          <t>韻-鼻</t>
        </is>
      </c>
      <c r="M15" s="23">
        <f>LEN(C15)</f>
        <v/>
      </c>
      <c r="N15" s="24" t="n"/>
      <c r="O15" s="53">
        <f>D15</f>
        <v/>
      </c>
      <c r="P15" s="19">
        <f>J15</f>
        <v/>
      </c>
      <c r="R15" s="3">
        <f>_xlfn.CONCAT(O15)</f>
        <v/>
      </c>
      <c r="S15" s="3">
        <f>IFERROR( _xlfn.CONCAT(P15, ""), "" )</f>
        <v/>
      </c>
      <c r="T15" s="25" t="n"/>
      <c r="U15" s="26">
        <f>IF(AND(P15&lt;&gt;"", O15&lt;&gt;""), "    - xform/》" &amp; R15 &amp; "/" &amp; S15 &amp; "》/", "")</f>
        <v/>
      </c>
    </row>
    <row r="16" ht="27.75" customHeight="1" s="69" thickBot="1">
      <c r="A16" s="19" t="n">
        <v>65</v>
      </c>
      <c r="B16" s="20" t="inlineStr">
        <is>
          <t>uã</t>
        </is>
      </c>
      <c r="C16" s="21" t="inlineStr">
        <is>
          <t>uann</t>
        </is>
      </c>
      <c r="D16" s="21" t="inlineStr">
        <is>
          <t>Lua</t>
        </is>
      </c>
      <c r="E16" s="19" t="inlineStr">
        <is>
          <t>uann</t>
        </is>
      </c>
      <c r="F16" s="19" t="inlineStr">
        <is>
          <t>uann</t>
        </is>
      </c>
      <c r="G16" s="19" t="inlineStr">
        <is>
          <t>nua</t>
        </is>
      </c>
      <c r="H16" s="22" t="inlineStr">
        <is>
          <t>oaⁿ</t>
        </is>
      </c>
      <c r="I16" s="23" t="inlineStr">
        <is>
          <t>官舒</t>
        </is>
      </c>
      <c r="J16" s="19" t="inlineStr">
        <is>
          <t>ㄨㆩ</t>
        </is>
      </c>
      <c r="K16" s="19" t="inlineStr">
        <is>
          <t>⁰ㄨㄚ</t>
        </is>
      </c>
      <c r="L16" s="29" t="inlineStr">
        <is>
          <t>韻-鼻</t>
        </is>
      </c>
      <c r="M16" s="23">
        <f>LEN(C16)</f>
        <v/>
      </c>
      <c r="N16" s="24" t="n"/>
      <c r="O16" s="53">
        <f>D16</f>
        <v/>
      </c>
      <c r="P16" s="19">
        <f>J16</f>
        <v/>
      </c>
      <c r="R16" s="3">
        <f>_xlfn.CONCAT(O16)</f>
        <v/>
      </c>
      <c r="S16" s="3">
        <f>IFERROR( _xlfn.CONCAT(P16, ""), "" )</f>
        <v/>
      </c>
      <c r="T16" s="25" t="n"/>
      <c r="U16" s="26">
        <f>IF(AND(P16&lt;&gt;"", O16&lt;&gt;""), "    - xform/》" &amp; R16 &amp; "/" &amp; S16 &amp; "》/", "")</f>
        <v/>
      </c>
    </row>
    <row r="17" ht="27.75" customHeight="1" s="69" thickBot="1">
      <c r="A17" s="19" t="n">
        <v>77</v>
      </c>
      <c r="B17" s="20" t="inlineStr">
        <is>
          <t>uĩ</t>
        </is>
      </c>
      <c r="C17" s="21" t="inlineStr">
        <is>
          <t>uinn</t>
        </is>
      </c>
      <c r="D17" s="21" t="inlineStr">
        <is>
          <t>Lui</t>
        </is>
      </c>
      <c r="E17" s="19" t="inlineStr">
        <is>
          <t>Lui</t>
        </is>
      </c>
      <c r="F17" s="19" t="inlineStr">
        <is>
          <t>uinn</t>
        </is>
      </c>
      <c r="G17" s="19" t="inlineStr">
        <is>
          <t>nui</t>
        </is>
      </c>
      <c r="H17" s="22" t="inlineStr">
        <is>
          <t>uiⁿ</t>
        </is>
      </c>
      <c r="I17" s="23" t="inlineStr">
        <is>
          <t>褌舒</t>
        </is>
      </c>
      <c r="J17" s="19" t="inlineStr">
        <is>
          <t>ㄨㆪ</t>
        </is>
      </c>
      <c r="K17" s="19" t="inlineStr">
        <is>
          <t>⁰ㄨㄧ</t>
        </is>
      </c>
      <c r="L17" s="29" t="inlineStr">
        <is>
          <t>韻-鼻</t>
        </is>
      </c>
      <c r="M17" s="23">
        <f>LEN(C17)</f>
        <v/>
      </c>
      <c r="N17" s="24" t="n"/>
      <c r="O17" s="53">
        <f>D17</f>
        <v/>
      </c>
      <c r="P17" s="19">
        <f>J17</f>
        <v/>
      </c>
      <c r="R17" s="3">
        <f>_xlfn.CONCAT(O17)</f>
        <v/>
      </c>
      <c r="S17" s="3">
        <f>IFERROR( _xlfn.CONCAT(P17, ""), "" )</f>
        <v/>
      </c>
      <c r="T17" s="25" t="n"/>
      <c r="U17" s="26">
        <f>IF(AND(P17&lt;&gt;"", O17&lt;&gt;""), "    - xform/》" &amp; R17 &amp; "/" &amp; S17 &amp; "》/", "")</f>
        <v/>
      </c>
    </row>
    <row r="18" ht="27.75" customHeight="1" s="69" thickBot="1">
      <c r="A18" s="19" t="n">
        <v>2</v>
      </c>
      <c r="B18" s="20" t="inlineStr">
        <is>
          <t>ã</t>
        </is>
      </c>
      <c r="C18" s="21" t="inlineStr">
        <is>
          <t>ann</t>
        </is>
      </c>
      <c r="D18" s="21" t="inlineStr">
        <is>
          <t>La</t>
        </is>
      </c>
      <c r="E18" s="19" t="inlineStr">
        <is>
          <t>ann</t>
        </is>
      </c>
      <c r="F18" s="19" t="inlineStr">
        <is>
          <t>ann</t>
        </is>
      </c>
      <c r="G18" s="19" t="inlineStr">
        <is>
          <t>na</t>
        </is>
      </c>
      <c r="H18" s="22" t="inlineStr">
        <is>
          <t>aⁿ</t>
        </is>
      </c>
      <c r="I18" s="23" t="inlineStr">
        <is>
          <t>監舒</t>
        </is>
      </c>
      <c r="J18" s="19" t="inlineStr">
        <is>
          <t>ㆩ</t>
        </is>
      </c>
      <c r="K18" s="19" t="inlineStr">
        <is>
          <t>⁰ㄚ</t>
        </is>
      </c>
      <c r="L18" s="29" t="inlineStr">
        <is>
          <t>韻-鼻</t>
        </is>
      </c>
      <c r="M18" s="23">
        <f>LEN(C18)</f>
        <v/>
      </c>
      <c r="N18" s="24" t="n"/>
      <c r="O18" s="53">
        <f>D18</f>
        <v/>
      </c>
      <c r="P18" s="19">
        <f>J18</f>
        <v/>
      </c>
      <c r="R18" s="3">
        <f>_xlfn.CONCAT(O18)</f>
        <v/>
      </c>
      <c r="S18" s="3">
        <f>IFERROR( _xlfn.CONCAT(P18, ""), "" )</f>
        <v/>
      </c>
      <c r="T18" s="25" t="n"/>
      <c r="U18" s="26">
        <f>IF(AND(P18&lt;&gt;"", O18&lt;&gt;""), "    - xform/》" &amp; R18 &amp; "/" &amp; S18 &amp; "》/", "")</f>
        <v/>
      </c>
    </row>
    <row r="19" ht="27.75" customHeight="1" s="69" thickBot="1">
      <c r="A19" s="19" t="n">
        <v>17</v>
      </c>
      <c r="B19" s="20" t="inlineStr">
        <is>
          <t>ẽ</t>
        </is>
      </c>
      <c r="C19" s="21" t="inlineStr">
        <is>
          <t>enn</t>
        </is>
      </c>
      <c r="D19" s="21" t="inlineStr">
        <is>
          <t>Le</t>
        </is>
      </c>
      <c r="E19" s="19" t="inlineStr">
        <is>
          <t>enn</t>
        </is>
      </c>
      <c r="F19" s="19" t="inlineStr">
        <is>
          <t>enn</t>
        </is>
      </c>
      <c r="G19" s="19" t="inlineStr">
        <is>
          <t>ne</t>
        </is>
      </c>
      <c r="H19" s="22" t="inlineStr">
        <is>
          <t>eⁿ</t>
        </is>
      </c>
      <c r="I19" s="23" t="inlineStr">
        <is>
          <t>更舒</t>
        </is>
      </c>
      <c r="J19" s="19" t="inlineStr">
        <is>
          <t>ㆥ</t>
        </is>
      </c>
      <c r="K19" s="19" t="inlineStr">
        <is>
          <t>⁰ㄝ</t>
        </is>
      </c>
      <c r="L19" s="29" t="inlineStr">
        <is>
          <t>韻-鼻</t>
        </is>
      </c>
      <c r="M19" s="23">
        <f>LEN(C19)</f>
        <v/>
      </c>
      <c r="N19" s="24" t="n"/>
      <c r="O19" s="53">
        <f>D19</f>
        <v/>
      </c>
      <c r="P19" s="19">
        <f>J19</f>
        <v/>
      </c>
      <c r="R19" s="3">
        <f>_xlfn.CONCAT(O19)</f>
        <v/>
      </c>
      <c r="S19" s="3">
        <f>IFERROR( _xlfn.CONCAT(P19, ""), "" )</f>
        <v/>
      </c>
      <c r="T19" s="25" t="n"/>
      <c r="U19" s="26">
        <f>IF(AND(P19&lt;&gt;"", O19&lt;&gt;""), "    - xform/》" &amp; R19 &amp; "/" &amp; S19 &amp; "》/", "")</f>
        <v/>
      </c>
    </row>
    <row r="20" ht="27.75" customHeight="1" s="69" thickBot="1">
      <c r="A20" s="19" t="n">
        <v>21</v>
      </c>
      <c r="B20" s="20" t="inlineStr">
        <is>
          <t>ĩ</t>
        </is>
      </c>
      <c r="C20" s="21" t="inlineStr">
        <is>
          <t>inn</t>
        </is>
      </c>
      <c r="D20" s="21" t="inlineStr">
        <is>
          <t>Li</t>
        </is>
      </c>
      <c r="E20" s="19" t="inlineStr">
        <is>
          <t>inn</t>
        </is>
      </c>
      <c r="F20" s="19" t="inlineStr">
        <is>
          <t>inn</t>
        </is>
      </c>
      <c r="G20" s="19" t="inlineStr">
        <is>
          <t>ni</t>
        </is>
      </c>
      <c r="H20" s="22" t="inlineStr">
        <is>
          <t>iⁿ</t>
        </is>
      </c>
      <c r="I20" s="23" t="inlineStr">
        <is>
          <t>梔舒</t>
        </is>
      </c>
      <c r="J20" s="19" t="inlineStr">
        <is>
          <t>ㆪ</t>
        </is>
      </c>
      <c r="K20" s="19" t="inlineStr">
        <is>
          <t>⁰ㄧ</t>
        </is>
      </c>
      <c r="L20" s="29" t="inlineStr">
        <is>
          <t>韻-鼻</t>
        </is>
      </c>
      <c r="M20" s="23">
        <f>LEN(C20)</f>
        <v/>
      </c>
      <c r="N20" s="24" t="n"/>
      <c r="O20" s="53">
        <f>D20</f>
        <v/>
      </c>
      <c r="P20" s="19">
        <f>J20</f>
        <v/>
      </c>
      <c r="R20" s="3">
        <f>_xlfn.CONCAT(O20)</f>
        <v/>
      </c>
      <c r="S20" s="3">
        <f>IFERROR( _xlfn.CONCAT(P20, ""), "" )</f>
        <v/>
      </c>
      <c r="T20" s="25" t="n"/>
      <c r="U20" s="26">
        <f>IF(AND(P20&lt;&gt;"", O20&lt;&gt;""), "    - xform/》" &amp; R20 &amp; "/" &amp; S20 &amp; "》/", "")</f>
        <v/>
      </c>
    </row>
    <row r="21" ht="27.75" customHeight="1" s="69" thickBot="1">
      <c r="A21" s="19" t="n">
        <v>52</v>
      </c>
      <c r="B21" s="20" t="inlineStr">
        <is>
          <t>ɔ̃</t>
        </is>
      </c>
      <c r="C21" s="21" t="inlineStr">
        <is>
          <t>onn</t>
        </is>
      </c>
      <c r="D21" s="21" t="inlineStr">
        <is>
          <t>Lo</t>
        </is>
      </c>
      <c r="E21" s="19" t="inlineStr">
        <is>
          <t>onn</t>
        </is>
      </c>
      <c r="F21" s="19" t="inlineStr">
        <is>
          <t>oonn</t>
        </is>
      </c>
      <c r="G21" s="19" t="inlineStr">
        <is>
          <t>noo</t>
        </is>
      </c>
      <c r="H21" s="22" t="inlineStr">
        <is>
          <t>oⁿ</t>
        </is>
      </c>
      <c r="I21" s="23" t="inlineStr">
        <is>
          <t>姑舒</t>
        </is>
      </c>
      <c r="J21" s="19" t="inlineStr">
        <is>
          <t>ㆧ</t>
        </is>
      </c>
      <c r="K21" s="19" t="inlineStr">
        <is>
          <t>⁰ㄛ</t>
        </is>
      </c>
      <c r="L21" s="29" t="inlineStr">
        <is>
          <t>韻-鼻</t>
        </is>
      </c>
      <c r="M21" s="23">
        <f>LEN(C21)</f>
        <v/>
      </c>
      <c r="N21" s="24" t="n"/>
      <c r="O21" s="53">
        <f>D21</f>
        <v/>
      </c>
      <c r="P21" s="19">
        <f>J21</f>
        <v/>
      </c>
      <c r="R21" s="3">
        <f>_xlfn.CONCAT(O21)</f>
        <v/>
      </c>
      <c r="S21" s="3">
        <f>IFERROR( _xlfn.CONCAT(P21, ""), "" )</f>
        <v/>
      </c>
      <c r="T21" s="25" t="n"/>
      <c r="U21" s="26">
        <f>IF(AND(P21&lt;&gt;"", O21&lt;&gt;""), "    - xform/》" &amp; R21 &amp; "/" &amp; S21 &amp; "》/", "")</f>
        <v/>
      </c>
    </row>
    <row r="22" ht="27.75" customHeight="1" s="69" thickBot="1">
      <c r="A22" s="19" t="n">
        <v>35</v>
      </c>
      <c r="B22" s="20" t="inlineStr">
        <is>
          <t>ɪaŋ</t>
        </is>
      </c>
      <c r="C22" s="21" t="inlineStr">
        <is>
          <t>iang</t>
        </is>
      </c>
      <c r="D22" s="21" t="inlineStr">
        <is>
          <t>iang</t>
        </is>
      </c>
      <c r="E22" s="19" t="inlineStr">
        <is>
          <t>iang</t>
        </is>
      </c>
      <c r="F22" s="19" t="inlineStr">
        <is>
          <t>iang</t>
        </is>
      </c>
      <c r="G22" s="19" t="inlineStr">
        <is>
          <t>iang</t>
        </is>
      </c>
      <c r="H22" s="22" t="inlineStr">
        <is>
          <t>iang</t>
        </is>
      </c>
      <c r="I22" s="23" t="inlineStr">
        <is>
          <t>姜舒</t>
        </is>
      </c>
      <c r="J22" s="19" t="inlineStr">
        <is>
          <t>ㄧㄤ</t>
        </is>
      </c>
      <c r="K22" s="19" t="inlineStr">
        <is>
          <t>ㄧㄤ</t>
        </is>
      </c>
      <c r="L22" s="19" t="n"/>
      <c r="M22" s="23">
        <f>LEN(C22)</f>
        <v/>
      </c>
      <c r="N22" s="24" t="n"/>
      <c r="O22" s="53">
        <f>D22</f>
        <v/>
      </c>
      <c r="P22" s="19">
        <f>J22</f>
        <v/>
      </c>
      <c r="R22" s="3">
        <f>_xlfn.CONCAT(O22)</f>
        <v/>
      </c>
      <c r="S22" s="3">
        <f>IFERROR( _xlfn.CONCAT(P22, ""), "" )</f>
        <v/>
      </c>
      <c r="T22" s="25" t="n"/>
      <c r="U22" s="26">
        <f>IF(AND(P22&lt;&gt;"", O22&lt;&gt;""), "    - xform/》" &amp; R22 &amp; "/" &amp; S22 &amp; "》/", "")</f>
        <v/>
      </c>
    </row>
    <row r="23" ht="27.75" customHeight="1" s="69" thickBot="1">
      <c r="A23" s="19" t="n">
        <v>41</v>
      </c>
      <c r="B23" s="20" t="inlineStr">
        <is>
          <t>ɪauʔ</t>
        </is>
      </c>
      <c r="C23" s="21" t="inlineStr">
        <is>
          <t>iauh</t>
        </is>
      </c>
      <c r="D23" s="21" t="inlineStr">
        <is>
          <t>iauh</t>
        </is>
      </c>
      <c r="E23" s="19" t="inlineStr">
        <is>
          <t>iauh</t>
        </is>
      </c>
      <c r="F23" s="19" t="inlineStr">
        <is>
          <t>iauh</t>
        </is>
      </c>
      <c r="G23" s="19" t="inlineStr">
        <is>
          <t>iaoh</t>
        </is>
      </c>
      <c r="H23" s="22" t="inlineStr">
        <is>
          <t>iauh</t>
        </is>
      </c>
      <c r="I23" s="23" t="inlineStr">
        <is>
          <t>嬌促</t>
        </is>
      </c>
      <c r="J23" s="19" t="inlineStr">
        <is>
          <t>ㄧㄠㆷ</t>
        </is>
      </c>
      <c r="K23" s="19" t="inlineStr">
        <is>
          <t>ㄧㄠㄏ</t>
        </is>
      </c>
      <c r="L23" s="19" t="n"/>
      <c r="M23" s="23">
        <f>LEN(C23)</f>
        <v/>
      </c>
      <c r="N23" s="24" t="n"/>
      <c r="O23" s="53">
        <f>D23</f>
        <v/>
      </c>
      <c r="P23" s="19">
        <f>J23</f>
        <v/>
      </c>
      <c r="R23" s="3">
        <f>_xlfn.CONCAT(O23)</f>
        <v/>
      </c>
      <c r="S23" s="3">
        <f>IFERROR( _xlfn.CONCAT(P23, ""), "" )</f>
        <v/>
      </c>
      <c r="T23" s="25" t="n"/>
      <c r="U23" s="26">
        <f>IF(AND(P23&lt;&gt;"", O23&lt;&gt;""), "    - xform/》" &amp; R23 &amp; "/" &amp; S23 &amp; "》/", "")</f>
        <v/>
      </c>
    </row>
    <row r="24" ht="27.75" customHeight="1" s="69" thickBot="1">
      <c r="A24" s="19" t="n">
        <v>45</v>
      </c>
      <c r="B24" s="20" t="inlineStr">
        <is>
          <t>ɪɔŋ</t>
        </is>
      </c>
      <c r="C24" s="21" t="inlineStr">
        <is>
          <t>iong</t>
        </is>
      </c>
      <c r="D24" s="21" t="inlineStr">
        <is>
          <t>iong</t>
        </is>
      </c>
      <c r="E24" s="19" t="inlineStr">
        <is>
          <t>iong</t>
        </is>
      </c>
      <c r="F24" s="19" t="inlineStr">
        <is>
          <t>iong</t>
        </is>
      </c>
      <c r="G24" s="19" t="inlineStr">
        <is>
          <t>iong</t>
        </is>
      </c>
      <c r="H24" s="22" t="inlineStr">
        <is>
          <t>iong</t>
        </is>
      </c>
      <c r="I24" s="23" t="inlineStr">
        <is>
          <t>恭舒</t>
        </is>
      </c>
      <c r="J24" s="19" t="inlineStr">
        <is>
          <t>ㄧㆲ</t>
        </is>
      </c>
      <c r="K24" s="19" t="inlineStr">
        <is>
          <t>ㄧㄛㄥ</t>
        </is>
      </c>
      <c r="L24" s="19" t="n"/>
      <c r="M24" s="23">
        <f>LEN(C24)</f>
        <v/>
      </c>
      <c r="N24" s="24" t="n"/>
      <c r="O24" s="53">
        <f>D24</f>
        <v/>
      </c>
      <c r="P24" s="19">
        <f>J24</f>
        <v/>
      </c>
      <c r="R24" s="3">
        <f>_xlfn.CONCAT(O24)</f>
        <v/>
      </c>
      <c r="S24" s="3">
        <f>IFERROR( _xlfn.CONCAT(P24, ""), "" )</f>
        <v/>
      </c>
      <c r="T24" s="25" t="n"/>
      <c r="U24" s="26">
        <f>IF(AND(P24&lt;&gt;"", O24&lt;&gt;""), "    - xform/》" &amp; R24 &amp; "/" &amp; S24 &amp; "》/", "")</f>
        <v/>
      </c>
    </row>
    <row r="25" ht="27.75" customHeight="1" s="69" thickBot="1">
      <c r="A25" s="19" t="n">
        <v>68</v>
      </c>
      <c r="B25" s="20" t="inlineStr">
        <is>
          <t>uaŋ</t>
        </is>
      </c>
      <c r="C25" s="21" t="inlineStr">
        <is>
          <t>uang</t>
        </is>
      </c>
      <c r="D25" s="21" t="inlineStr">
        <is>
          <t>uang</t>
        </is>
      </c>
      <c r="E25" s="19" t="inlineStr">
        <is>
          <t>uang</t>
        </is>
      </c>
      <c r="F25" s="19" t="inlineStr">
        <is>
          <t>uang</t>
        </is>
      </c>
      <c r="G25" s="19" t="inlineStr">
        <is>
          <t>uang</t>
        </is>
      </c>
      <c r="H25" s="22" t="inlineStr">
        <is>
          <t>oang</t>
        </is>
      </c>
      <c r="I25" s="23" t="inlineStr">
        <is>
          <t>光舒</t>
        </is>
      </c>
      <c r="J25" s="19" t="inlineStr">
        <is>
          <t>ㄨㄤ</t>
        </is>
      </c>
      <c r="K25" s="19" t="inlineStr">
        <is>
          <t>ㄨㄤ</t>
        </is>
      </c>
      <c r="L25" s="19" t="n"/>
      <c r="M25" s="23">
        <f>LEN(C25)</f>
        <v/>
      </c>
      <c r="N25" s="24" t="n"/>
      <c r="O25" s="53">
        <f>D25</f>
        <v/>
      </c>
      <c r="P25" s="19">
        <f>J25</f>
        <v/>
      </c>
      <c r="R25" s="3">
        <f>_xlfn.CONCAT(O25)</f>
        <v/>
      </c>
      <c r="S25" s="3">
        <f>IFERROR( _xlfn.CONCAT(P25, ""), "" )</f>
        <v/>
      </c>
      <c r="T25" s="25" t="n"/>
      <c r="U25" s="26">
        <f>IF(AND(P25&lt;&gt;"", O25&lt;&gt;""), "    - xform/》" &amp; R25 &amp; "/" &amp; S25 &amp; "》/", "")</f>
        <v/>
      </c>
    </row>
    <row r="26" ht="27.75" customHeight="1" s="69" thickBot="1">
      <c r="A26" s="19" t="n">
        <v>72</v>
      </c>
      <c r="B26" s="20" t="inlineStr">
        <is>
          <t>uaiʔ</t>
        </is>
      </c>
      <c r="C26" s="21" t="inlineStr">
        <is>
          <t>uaih</t>
        </is>
      </c>
      <c r="D26" s="21" t="inlineStr">
        <is>
          <t>uaih</t>
        </is>
      </c>
      <c r="E26" s="19" t="inlineStr">
        <is>
          <t>uaih</t>
        </is>
      </c>
      <c r="F26" s="19" t="inlineStr">
        <is>
          <t>uaih</t>
        </is>
      </c>
      <c r="G26" s="19" t="inlineStr">
        <is>
          <t>uaih</t>
        </is>
      </c>
      <c r="H26" s="22" t="inlineStr">
        <is>
          <t>oaih</t>
        </is>
      </c>
      <c r="I26" s="23" t="inlineStr">
        <is>
          <t>乖促</t>
        </is>
      </c>
      <c r="J26" s="19" t="inlineStr">
        <is>
          <t>ㄨㄞㆷ</t>
        </is>
      </c>
      <c r="K26" s="19" t="inlineStr">
        <is>
          <t>ㄨㄞㄏ</t>
        </is>
      </c>
      <c r="L26" s="19" t="n"/>
      <c r="M26" s="23">
        <f>LEN(C26)</f>
        <v/>
      </c>
      <c r="N26" s="24" t="n"/>
      <c r="O26" s="53">
        <f>D26</f>
        <v/>
      </c>
      <c r="P26" s="19">
        <f>J26</f>
        <v/>
      </c>
      <c r="R26" s="3">
        <f>_xlfn.CONCAT(O26)</f>
        <v/>
      </c>
      <c r="S26" s="3">
        <f>IFERROR( _xlfn.CONCAT(P26, ""), "" )</f>
        <v/>
      </c>
      <c r="T26" s="25" t="n"/>
      <c r="U26" s="26">
        <f>IF(AND(P26&lt;&gt;"", O26&lt;&gt;""), "    - xform/》" &amp; R26 &amp; "/" &amp; S26 &amp; "》/", "")</f>
        <v/>
      </c>
    </row>
    <row r="27" ht="27.75" customHeight="1" s="69" thickBot="1">
      <c r="A27" s="19" t="n">
        <v>78</v>
      </c>
      <c r="B27" s="20" t="inlineStr">
        <is>
          <t>uiʔ</t>
        </is>
      </c>
      <c r="C27" s="21" t="inlineStr">
        <is>
          <t>uih</t>
        </is>
      </c>
      <c r="D27" s="21" t="inlineStr">
        <is>
          <t>uih</t>
        </is>
      </c>
      <c r="E27" s="31" t="inlineStr">
        <is>
          <t>uih</t>
        </is>
      </c>
      <c r="F27" s="31" t="inlineStr">
        <is>
          <t>uih</t>
        </is>
      </c>
      <c r="G27" s="31" t="inlineStr">
        <is>
          <t>uih</t>
        </is>
      </c>
      <c r="H27" s="31" t="inlineStr">
        <is>
          <t>uih</t>
        </is>
      </c>
      <c r="I27" s="35" t="inlineStr">
        <is>
          <t>褌促</t>
        </is>
      </c>
      <c r="J27" s="33" t="inlineStr">
        <is>
          <t>ㄨㄧㆷ</t>
        </is>
      </c>
      <c r="K27" s="54" t="inlineStr">
        <is>
          <t>ㄨㄧㄏ</t>
        </is>
      </c>
      <c r="L27" s="29" t="n"/>
      <c r="M27" s="23">
        <f>LEN(C27)</f>
        <v/>
      </c>
      <c r="N27" s="24" t="n"/>
      <c r="O27" s="53">
        <f>D27</f>
        <v/>
      </c>
      <c r="P27" s="19">
        <f>J27</f>
        <v/>
      </c>
      <c r="R27" s="3">
        <f>_xlfn.CONCAT(O27)</f>
        <v/>
      </c>
      <c r="S27" s="3">
        <f>IFERROR( _xlfn.CONCAT(P27, ""), "" )</f>
        <v/>
      </c>
      <c r="T27" s="25" t="n"/>
      <c r="U27" s="26">
        <f>IF(AND(P27&lt;&gt;"", O27&lt;&gt;""), "    - xform/》" &amp; R27 &amp; "/" &amp; S27 &amp; "》/", "")</f>
        <v/>
      </c>
    </row>
    <row r="28" ht="27.75" customHeight="1" s="69" thickBot="1">
      <c r="A28" s="19" t="n">
        <v>7</v>
      </c>
      <c r="B28" s="20" t="inlineStr">
        <is>
          <t>aŋ</t>
        </is>
      </c>
      <c r="C28" s="21" t="inlineStr">
        <is>
          <t>ang</t>
        </is>
      </c>
      <c r="D28" s="21" t="inlineStr">
        <is>
          <t>ang</t>
        </is>
      </c>
      <c r="E28" s="19" t="inlineStr">
        <is>
          <t>ang</t>
        </is>
      </c>
      <c r="F28" s="19" t="inlineStr">
        <is>
          <t>ang</t>
        </is>
      </c>
      <c r="G28" s="19" t="inlineStr">
        <is>
          <t>ang</t>
        </is>
      </c>
      <c r="H28" s="22" t="inlineStr">
        <is>
          <t>ang</t>
        </is>
      </c>
      <c r="I28" s="23" t="inlineStr">
        <is>
          <t>江舒</t>
        </is>
      </c>
      <c r="J28" s="19" t="inlineStr">
        <is>
          <t>ㄤ</t>
        </is>
      </c>
      <c r="K28" s="19" t="inlineStr">
        <is>
          <t>ㄤ</t>
        </is>
      </c>
      <c r="L28" s="19" t="n"/>
      <c r="M28" s="23">
        <f>LEN(C28)</f>
        <v/>
      </c>
      <c r="N28" s="24" t="n"/>
      <c r="O28" s="53">
        <f>D28</f>
        <v/>
      </c>
      <c r="P28" s="19">
        <f>J28</f>
        <v/>
      </c>
      <c r="R28" s="3">
        <f>_xlfn.CONCAT(O28)</f>
        <v/>
      </c>
      <c r="S28" s="3">
        <f>IFERROR( _xlfn.CONCAT(P28, ""), "" )</f>
        <v/>
      </c>
      <c r="T28" s="25" t="n"/>
      <c r="U28" s="26">
        <f>IF(AND(P28&lt;&gt;"", O28&lt;&gt;""), "    - xform/》" &amp; R28 &amp; "/" &amp; S28 &amp; "》/", "")</f>
        <v/>
      </c>
    </row>
    <row r="29" ht="30.75" customHeight="1" s="69" thickBot="1">
      <c r="A29" s="19" t="n">
        <v>13</v>
      </c>
      <c r="B29" s="20" t="inlineStr">
        <is>
          <t>aɪʔ</t>
        </is>
      </c>
      <c r="C29" s="21" t="inlineStr">
        <is>
          <t>aih</t>
        </is>
      </c>
      <c r="D29" s="21" t="inlineStr">
        <is>
          <t>aih</t>
        </is>
      </c>
      <c r="E29" s="31" t="inlineStr">
        <is>
          <t>aih</t>
        </is>
      </c>
      <c r="F29" s="31" t="inlineStr">
        <is>
          <t>aih</t>
        </is>
      </c>
      <c r="G29" s="31" t="inlineStr">
        <is>
          <t>aih</t>
        </is>
      </c>
      <c r="H29" s="31" t="inlineStr">
        <is>
          <t>aih</t>
        </is>
      </c>
      <c r="I29" s="32" t="inlineStr">
        <is>
          <t>皆促</t>
        </is>
      </c>
      <c r="J29" s="33" t="inlineStr">
        <is>
          <t>ㄞㆷ</t>
        </is>
      </c>
      <c r="K29" s="54" t="inlineStr">
        <is>
          <t>ㄞㄏ</t>
        </is>
      </c>
      <c r="L29" s="19" t="n"/>
      <c r="M29" s="23">
        <f>LEN(C29)</f>
        <v/>
      </c>
      <c r="N29" s="24" t="n"/>
      <c r="O29" s="53">
        <f>D29</f>
        <v/>
      </c>
      <c r="P29" s="19">
        <f>J29</f>
        <v/>
      </c>
      <c r="R29" s="3">
        <f>_xlfn.CONCAT(O29)</f>
        <v/>
      </c>
      <c r="S29" s="3">
        <f>IFERROR( _xlfn.CONCAT(P29, ""), "" )</f>
        <v/>
      </c>
      <c r="T29" s="25" t="n"/>
      <c r="U29" s="26">
        <f>IF(AND(P29&lt;&gt;"", O29&lt;&gt;""), "    - xform/》" &amp; R29 &amp; "/" &amp; S29 &amp; "》/", "")</f>
        <v/>
      </c>
    </row>
    <row r="30" ht="27.75" customHeight="1" s="69" thickBot="1">
      <c r="A30" s="19" t="n">
        <v>15</v>
      </c>
      <c r="B30" s="20" t="inlineStr">
        <is>
          <t>auʔ</t>
        </is>
      </c>
      <c r="C30" s="21" t="inlineStr">
        <is>
          <t>auh</t>
        </is>
      </c>
      <c r="D30" s="21" t="inlineStr">
        <is>
          <t>auh</t>
        </is>
      </c>
      <c r="E30" s="19" t="inlineStr">
        <is>
          <t>auh</t>
        </is>
      </c>
      <c r="F30" s="19" t="inlineStr">
        <is>
          <t>auh</t>
        </is>
      </c>
      <c r="G30" s="19" t="inlineStr">
        <is>
          <t>aoh</t>
        </is>
      </c>
      <c r="H30" s="22" t="inlineStr">
        <is>
          <t>auh</t>
        </is>
      </c>
      <c r="I30" s="23" t="inlineStr">
        <is>
          <t>交促</t>
        </is>
      </c>
      <c r="J30" s="19" t="inlineStr">
        <is>
          <t>ㄠㆷ</t>
        </is>
      </c>
      <c r="K30" s="19" t="inlineStr">
        <is>
          <t>ㄠㄏ</t>
        </is>
      </c>
      <c r="L30" s="19" t="n"/>
      <c r="M30" s="23">
        <f>LEN(C30)</f>
        <v/>
      </c>
      <c r="N30" s="24" t="n"/>
      <c r="O30" s="53">
        <f>D30</f>
        <v/>
      </c>
      <c r="P30" s="19">
        <f>J30</f>
        <v/>
      </c>
      <c r="R30" s="3">
        <f>_xlfn.CONCAT(O30)</f>
        <v/>
      </c>
      <c r="S30" s="3">
        <f>IFERROR( _xlfn.CONCAT(P30, ""), "" )</f>
        <v/>
      </c>
      <c r="T30" s="25" t="n"/>
      <c r="U30" s="26">
        <f>IF(AND(P30&lt;&gt;"", O30&lt;&gt;""), "    - xform/》" &amp; R30 &amp; "/" &amp; S30 &amp; "》/", "")</f>
        <v/>
      </c>
    </row>
    <row r="31" ht="27.75" customHeight="1" s="69" thickBot="1">
      <c r="A31" s="19" t="n">
        <v>25</v>
      </c>
      <c r="B31" s="20" t="inlineStr">
        <is>
          <t>iŋ</t>
        </is>
      </c>
      <c r="C31" s="21" t="inlineStr">
        <is>
          <t>ing</t>
        </is>
      </c>
      <c r="D31" s="21" t="inlineStr">
        <is>
          <t>ing</t>
        </is>
      </c>
      <c r="E31" s="19" t="inlineStr">
        <is>
          <t>ing</t>
        </is>
      </c>
      <c r="F31" s="19" t="inlineStr">
        <is>
          <t>ing</t>
        </is>
      </c>
      <c r="G31" s="19" t="inlineStr">
        <is>
          <t>ing</t>
        </is>
      </c>
      <c r="H31" s="22" t="inlineStr">
        <is>
          <t>eng</t>
        </is>
      </c>
      <c r="I31" s="23" t="inlineStr">
        <is>
          <t>經舒</t>
        </is>
      </c>
      <c r="J31" s="19" t="inlineStr">
        <is>
          <t>ㄧㄥ</t>
        </is>
      </c>
      <c r="K31" s="19" t="inlineStr">
        <is>
          <t>ㄧㄥ</t>
        </is>
      </c>
      <c r="L31" s="19" t="n"/>
      <c r="M31" s="23">
        <f>LEN(C31)</f>
        <v/>
      </c>
      <c r="N31" s="24" t="n"/>
      <c r="O31" s="53">
        <f>D31</f>
        <v/>
      </c>
      <c r="P31" s="19">
        <f>J31</f>
        <v/>
      </c>
      <c r="R31" s="3">
        <f>_xlfn.CONCAT(O31)</f>
        <v/>
      </c>
      <c r="S31" s="3">
        <f>IFERROR( _xlfn.CONCAT(P31, ""), "" )</f>
        <v/>
      </c>
      <c r="T31" s="25" t="n"/>
      <c r="U31" s="26">
        <f>IF(AND(P31&lt;&gt;"", O31&lt;&gt;""), "    - xform/》" &amp; R31 &amp; "/" &amp; S31 &amp; "》/", "")</f>
        <v/>
      </c>
    </row>
    <row r="32" ht="27.75" customHeight="1" s="69" thickBot="1">
      <c r="A32" s="19" t="n">
        <v>31</v>
      </c>
      <c r="B32" s="20" t="inlineStr">
        <is>
          <t>ɪaʔ</t>
        </is>
      </c>
      <c r="C32" s="21" t="inlineStr">
        <is>
          <t>iah</t>
        </is>
      </c>
      <c r="D32" s="21" t="inlineStr">
        <is>
          <t>iah</t>
        </is>
      </c>
      <c r="E32" s="19" t="inlineStr">
        <is>
          <t>iah</t>
        </is>
      </c>
      <c r="F32" s="19" t="inlineStr">
        <is>
          <t>iah</t>
        </is>
      </c>
      <c r="G32" s="19" t="inlineStr">
        <is>
          <t>iah</t>
        </is>
      </c>
      <c r="H32" s="22" t="inlineStr">
        <is>
          <t>iah</t>
        </is>
      </c>
      <c r="I32" s="23" t="inlineStr">
        <is>
          <t>迦促</t>
        </is>
      </c>
      <c r="J32" s="19" t="inlineStr">
        <is>
          <t>ㄧㄚㆷ</t>
        </is>
      </c>
      <c r="K32" s="19" t="inlineStr">
        <is>
          <t>ㄧㄚㄏ</t>
        </is>
      </c>
      <c r="L32" s="19" t="n"/>
      <c r="M32" s="23">
        <f>LEN(C32)</f>
        <v/>
      </c>
      <c r="N32" s="24" t="n"/>
      <c r="O32" s="53">
        <f>D32</f>
        <v/>
      </c>
      <c r="P32" s="19">
        <f>J32</f>
        <v/>
      </c>
      <c r="R32" s="3">
        <f>_xlfn.CONCAT(O32)</f>
        <v/>
      </c>
      <c r="S32" s="3">
        <f>IFERROR( _xlfn.CONCAT(P32, ""), "" )</f>
        <v/>
      </c>
      <c r="T32" s="25" t="n"/>
      <c r="U32" s="26">
        <f>IF(AND(P32&lt;&gt;"", O32&lt;&gt;""), "    - xform/》" &amp; R32 &amp; "/" &amp; S32 &amp; "》/", "")</f>
        <v/>
      </c>
    </row>
    <row r="33" ht="27.75" customHeight="1" s="69" thickBot="1">
      <c r="A33" s="19" t="n">
        <v>33</v>
      </c>
      <c r="B33" s="20" t="inlineStr">
        <is>
          <t>ɪam</t>
        </is>
      </c>
      <c r="C33" s="21" t="inlineStr">
        <is>
          <t>iam</t>
        </is>
      </c>
      <c r="D33" s="21" t="inlineStr">
        <is>
          <t>iam</t>
        </is>
      </c>
      <c r="E33" s="19" t="inlineStr">
        <is>
          <t>iam</t>
        </is>
      </c>
      <c r="F33" s="19" t="inlineStr">
        <is>
          <t>iam</t>
        </is>
      </c>
      <c r="G33" s="19" t="inlineStr">
        <is>
          <t>iam</t>
        </is>
      </c>
      <c r="H33" s="22" t="inlineStr">
        <is>
          <t>iam</t>
        </is>
      </c>
      <c r="I33" s="23" t="inlineStr">
        <is>
          <t>兼舒</t>
        </is>
      </c>
      <c r="J33" s="19" t="inlineStr">
        <is>
          <t>ㄧㆰ</t>
        </is>
      </c>
      <c r="K33" s="19" t="inlineStr">
        <is>
          <t>ㄧㄚㄇ</t>
        </is>
      </c>
      <c r="L33" s="19" t="n"/>
      <c r="M33" s="23">
        <f>LEN(C33)</f>
        <v/>
      </c>
      <c r="N33" s="24" t="n"/>
      <c r="O33" s="53">
        <f>D33</f>
        <v/>
      </c>
      <c r="P33" s="19">
        <f>J33</f>
        <v/>
      </c>
      <c r="R33" s="3">
        <f>_xlfn.CONCAT(O33)</f>
        <v/>
      </c>
      <c r="S33" s="3">
        <f>IFERROR( _xlfn.CONCAT(P33, ""), "" )</f>
        <v/>
      </c>
      <c r="T33" s="25" t="n"/>
      <c r="U33" s="26">
        <f>IF(AND(P33&lt;&gt;"", O33&lt;&gt;""), "    - xform/》" &amp; R33 &amp; "/" &amp; S33 &amp; "》/", "")</f>
        <v/>
      </c>
    </row>
    <row r="34" ht="27.75" customHeight="1" s="69" thickBot="1">
      <c r="A34" s="19" t="n">
        <v>34</v>
      </c>
      <c r="B34" s="20" t="inlineStr">
        <is>
          <t>ɪan/en</t>
        </is>
      </c>
      <c r="C34" s="21" t="inlineStr">
        <is>
          <t>ian</t>
        </is>
      </c>
      <c r="D34" s="21" t="inlineStr">
        <is>
          <t>ian</t>
        </is>
      </c>
      <c r="E34" s="19" t="inlineStr">
        <is>
          <t>ian</t>
        </is>
      </c>
      <c r="F34" s="19" t="inlineStr">
        <is>
          <t>ian</t>
        </is>
      </c>
      <c r="G34" s="19" t="inlineStr">
        <is>
          <t>ian</t>
        </is>
      </c>
      <c r="H34" s="22" t="inlineStr">
        <is>
          <t>ian</t>
        </is>
      </c>
      <c r="I34" s="23" t="inlineStr">
        <is>
          <t>堅舒</t>
        </is>
      </c>
      <c r="J34" s="19" t="inlineStr">
        <is>
          <t>ㄧㄢ</t>
        </is>
      </c>
      <c r="K34" s="19" t="inlineStr">
        <is>
          <t>ㄧㄢ</t>
        </is>
      </c>
      <c r="L34" s="19" t="n"/>
      <c r="M34" s="23">
        <f>LEN(C34)</f>
        <v/>
      </c>
      <c r="N34" s="24" t="n"/>
      <c r="O34" s="53">
        <f>D34</f>
        <v/>
      </c>
      <c r="P34" s="19">
        <f>J34</f>
        <v/>
      </c>
      <c r="R34" s="3">
        <f>_xlfn.CONCAT(O34)</f>
        <v/>
      </c>
      <c r="S34" s="3">
        <f>IFERROR( _xlfn.CONCAT(P34, ""), "" )</f>
        <v/>
      </c>
      <c r="T34" s="25" t="n"/>
      <c r="U34" s="26">
        <f>IF(AND(P34&lt;&gt;"", O34&lt;&gt;""), "    - xform/》" &amp; R34 &amp; "/" &amp; S34 &amp; "》/", "")</f>
        <v/>
      </c>
    </row>
    <row r="35" ht="27.75" customHeight="1" s="69" thickBot="1">
      <c r="A35" s="19" t="n">
        <v>36</v>
      </c>
      <c r="B35" s="20" t="inlineStr">
        <is>
          <t>ɪap̚</t>
        </is>
      </c>
      <c r="C35" s="21" t="inlineStr">
        <is>
          <t>iap</t>
        </is>
      </c>
      <c r="D35" s="21" t="inlineStr">
        <is>
          <t>iap</t>
        </is>
      </c>
      <c r="E35" s="19" t="inlineStr">
        <is>
          <t>iap</t>
        </is>
      </c>
      <c r="F35" s="19" t="inlineStr">
        <is>
          <t>iap</t>
        </is>
      </c>
      <c r="G35" s="19" t="inlineStr">
        <is>
          <t>iap</t>
        </is>
      </c>
      <c r="H35" s="22" t="inlineStr">
        <is>
          <t>iap</t>
        </is>
      </c>
      <c r="I35" s="23" t="inlineStr">
        <is>
          <t>兼促</t>
        </is>
      </c>
      <c r="J35" s="19" t="inlineStr">
        <is>
          <t>ㄧㄚㆴ</t>
        </is>
      </c>
      <c r="K35" s="19" t="inlineStr">
        <is>
          <t>ㄧㄚㄅ</t>
        </is>
      </c>
      <c r="L35" s="19" t="n"/>
      <c r="M35" s="23">
        <f>LEN(C35)</f>
        <v/>
      </c>
      <c r="N35" s="24" t="n"/>
      <c r="O35" s="53">
        <f>D35</f>
        <v/>
      </c>
      <c r="P35" s="19">
        <f>J35</f>
        <v/>
      </c>
      <c r="R35" s="3">
        <f>_xlfn.CONCAT(O35)</f>
        <v/>
      </c>
      <c r="S35" s="3">
        <f>IFERROR( _xlfn.CONCAT(P35, ""), "" )</f>
        <v/>
      </c>
      <c r="T35" s="25" t="n"/>
      <c r="U35" s="26">
        <f>IF(AND(P35&lt;&gt;"", O35&lt;&gt;""), "    - xform/》" &amp; R35 &amp; "/" &amp; S35 &amp; "》/", "")</f>
        <v/>
      </c>
    </row>
    <row r="36" ht="27.75" customHeight="1" s="69" thickBot="1">
      <c r="A36" s="19" t="n">
        <v>37</v>
      </c>
      <c r="B36" s="20" t="inlineStr">
        <is>
          <t>ɪat̚/ɪet̚</t>
        </is>
      </c>
      <c r="C36" s="21" t="inlineStr">
        <is>
          <t>iat</t>
        </is>
      </c>
      <c r="D36" s="21" t="inlineStr">
        <is>
          <t>iat</t>
        </is>
      </c>
      <c r="E36" s="19" t="inlineStr">
        <is>
          <t>iat</t>
        </is>
      </c>
      <c r="F36" s="19" t="inlineStr">
        <is>
          <t>iat</t>
        </is>
      </c>
      <c r="G36" s="19" t="inlineStr">
        <is>
          <t>iat</t>
        </is>
      </c>
      <c r="H36" s="22" t="inlineStr">
        <is>
          <t>iat</t>
        </is>
      </c>
      <c r="I36" s="23" t="inlineStr">
        <is>
          <t>堅促</t>
        </is>
      </c>
      <c r="J36" s="19" t="inlineStr">
        <is>
          <t>ㄧㄚㆵ</t>
        </is>
      </c>
      <c r="K36" s="19" t="inlineStr">
        <is>
          <t>ㄧㄚㄉ</t>
        </is>
      </c>
      <c r="L36" s="19" t="n"/>
      <c r="M36" s="23">
        <f>LEN(C36)</f>
        <v/>
      </c>
      <c r="N36" s="24" t="n"/>
      <c r="O36" s="53">
        <f>D36</f>
        <v/>
      </c>
      <c r="P36" s="19">
        <f>J36</f>
        <v/>
      </c>
      <c r="R36" s="3">
        <f>_xlfn.CONCAT(O36)</f>
        <v/>
      </c>
      <c r="S36" s="3">
        <f>IFERROR( _xlfn.CONCAT(P36, ""), "" )</f>
        <v/>
      </c>
      <c r="T36" s="25" t="n"/>
      <c r="U36" s="26">
        <f>IF(AND(P36&lt;&gt;"", O36&lt;&gt;""), "    - xform/》" &amp; R36 &amp; "/" &amp; S36 &amp; "》/", "")</f>
        <v/>
      </c>
    </row>
    <row r="37" ht="27.75" customHeight="1" s="69" thickBot="1">
      <c r="A37" s="19" t="n">
        <v>38</v>
      </c>
      <c r="B37" s="20" t="inlineStr">
        <is>
          <t>ɪak̚</t>
        </is>
      </c>
      <c r="C37" s="21" t="inlineStr">
        <is>
          <t>iak</t>
        </is>
      </c>
      <c r="D37" s="21" t="inlineStr">
        <is>
          <t>iak</t>
        </is>
      </c>
      <c r="E37" s="19" t="inlineStr">
        <is>
          <t>iak</t>
        </is>
      </c>
      <c r="F37" s="19" t="inlineStr">
        <is>
          <t>iak</t>
        </is>
      </c>
      <c r="G37" s="19" t="inlineStr">
        <is>
          <t>iak</t>
        </is>
      </c>
      <c r="H37" s="22" t="inlineStr">
        <is>
          <t>iak</t>
        </is>
      </c>
      <c r="I37" s="23" t="inlineStr">
        <is>
          <t>姜促</t>
        </is>
      </c>
      <c r="J37" s="19" t="inlineStr">
        <is>
          <t>ㄧㄚㆻ</t>
        </is>
      </c>
      <c r="K37" s="19" t="inlineStr">
        <is>
          <t>ㄧㄚㄍ</t>
        </is>
      </c>
      <c r="L37" s="19" t="n"/>
      <c r="M37" s="23">
        <f>LEN(C37)</f>
        <v/>
      </c>
      <c r="N37" s="24" t="n"/>
      <c r="O37" s="53">
        <f>D37</f>
        <v/>
      </c>
      <c r="P37" s="19">
        <f>J37</f>
        <v/>
      </c>
      <c r="R37" s="3">
        <f>_xlfn.CONCAT(O37)</f>
        <v/>
      </c>
      <c r="S37" s="3">
        <f>IFERROR( _xlfn.CONCAT(P37, ""), "" )</f>
        <v/>
      </c>
      <c r="T37" s="25" t="n"/>
      <c r="U37" s="26">
        <f>IF(AND(P37&lt;&gt;"", O37&lt;&gt;""), "    - xform/》" &amp; R37 &amp; "/" &amp; S37 &amp; "》/", "")</f>
        <v/>
      </c>
    </row>
    <row r="38" ht="27.75" customHeight="1" s="69" thickBot="1">
      <c r="A38" s="19" t="n">
        <v>39</v>
      </c>
      <c r="B38" s="20" t="inlineStr">
        <is>
          <t>ɪau</t>
        </is>
      </c>
      <c r="C38" s="21" t="inlineStr">
        <is>
          <t>iau</t>
        </is>
      </c>
      <c r="D38" s="21" t="inlineStr">
        <is>
          <t>iau</t>
        </is>
      </c>
      <c r="E38" s="19" t="inlineStr">
        <is>
          <t>iau</t>
        </is>
      </c>
      <c r="F38" s="19" t="inlineStr">
        <is>
          <t>iau</t>
        </is>
      </c>
      <c r="G38" s="19" t="inlineStr">
        <is>
          <t>iao</t>
        </is>
      </c>
      <c r="H38" s="22" t="inlineStr">
        <is>
          <t>iau</t>
        </is>
      </c>
      <c r="I38" s="23" t="inlineStr">
        <is>
          <t>嬌舒</t>
        </is>
      </c>
      <c r="J38" s="19" t="inlineStr">
        <is>
          <t>ㄧㄠ</t>
        </is>
      </c>
      <c r="K38" s="19" t="inlineStr">
        <is>
          <t>ㄧㄠ</t>
        </is>
      </c>
      <c r="L38" s="19" t="n"/>
      <c r="M38" s="23">
        <f>LEN(C38)</f>
        <v/>
      </c>
      <c r="N38" s="24" t="n"/>
      <c r="O38" s="53">
        <f>D38</f>
        <v/>
      </c>
      <c r="P38" s="19">
        <f>J38</f>
        <v/>
      </c>
      <c r="R38" s="3">
        <f>_xlfn.CONCAT(O38)</f>
        <v/>
      </c>
      <c r="S38" s="3">
        <f>IFERROR( _xlfn.CONCAT(P38, ""), "" )</f>
        <v/>
      </c>
      <c r="T38" s="25" t="n"/>
      <c r="U38" s="26">
        <f>IF(AND(P38&lt;&gt;"", O38&lt;&gt;""), "    - xform/》" &amp; R38 &amp; "/" &amp; S38 &amp; "》/", "")</f>
        <v/>
      </c>
    </row>
    <row r="39" ht="27.75" customHeight="1" s="69" thickBot="1">
      <c r="A39" s="19" t="n">
        <v>44</v>
      </c>
      <c r="B39" s="20" t="inlineStr">
        <is>
          <t>ɪəʔ/ɪoʔ</t>
        </is>
      </c>
      <c r="C39" s="21" t="inlineStr">
        <is>
          <t>ioh</t>
        </is>
      </c>
      <c r="D39" s="21" t="inlineStr">
        <is>
          <t>ioh</t>
        </is>
      </c>
      <c r="E39" s="19" t="inlineStr">
        <is>
          <t>ioh</t>
        </is>
      </c>
      <c r="F39" s="19" t="inlineStr">
        <is>
          <t>iorh</t>
        </is>
      </c>
      <c r="G39" s="19" t="inlineStr">
        <is>
          <t>ioh</t>
        </is>
      </c>
      <c r="H39" s="22" t="inlineStr">
        <is>
          <t>ioh</t>
        </is>
      </c>
      <c r="I39" s="23" t="inlineStr">
        <is>
          <t>茄促</t>
        </is>
      </c>
      <c r="J39" s="19" t="inlineStr">
        <is>
          <t>ㄧㄜㆷ</t>
        </is>
      </c>
      <c r="K39" s="19" t="inlineStr">
        <is>
          <t>ㄧㄜㄏ</t>
        </is>
      </c>
      <c r="L39" s="19" t="n"/>
      <c r="M39" s="23">
        <f>LEN(C39)</f>
        <v/>
      </c>
      <c r="N39" s="24" t="n"/>
      <c r="O39" s="53">
        <f>D39</f>
        <v/>
      </c>
      <c r="P39" s="19">
        <f>J39</f>
        <v/>
      </c>
      <c r="R39" s="3">
        <f>_xlfn.CONCAT(O39)</f>
        <v/>
      </c>
      <c r="S39" s="3">
        <f>IFERROR( _xlfn.CONCAT(P39, ""), "" )</f>
        <v/>
      </c>
      <c r="T39" s="25" t="n"/>
      <c r="U39" s="26">
        <f>IF(AND(P39&lt;&gt;"", O39&lt;&gt;""), "    - xform/》" &amp; R39 &amp; "/" &amp; S39 &amp; "》/", "")</f>
        <v/>
      </c>
    </row>
    <row r="40" ht="27.75" customHeight="1" s="69" thickBot="1">
      <c r="A40" s="19" t="n">
        <v>46</v>
      </c>
      <c r="B40" s="20" t="inlineStr">
        <is>
          <t>ɪɔk̚</t>
        </is>
      </c>
      <c r="C40" s="21" t="inlineStr">
        <is>
          <t>iok</t>
        </is>
      </c>
      <c r="D40" s="21" t="inlineStr">
        <is>
          <t>iok</t>
        </is>
      </c>
      <c r="E40" s="19" t="inlineStr">
        <is>
          <t>iok</t>
        </is>
      </c>
      <c r="F40" s="19" t="inlineStr">
        <is>
          <t>iook</t>
        </is>
      </c>
      <c r="G40" s="19" t="inlineStr">
        <is>
          <t>iok</t>
        </is>
      </c>
      <c r="H40" s="22" t="inlineStr">
        <is>
          <t>iok</t>
        </is>
      </c>
      <c r="I40" s="23" t="inlineStr">
        <is>
          <t>恭促</t>
        </is>
      </c>
      <c r="J40" s="19" t="inlineStr">
        <is>
          <t>ㄧㆦㆻ</t>
        </is>
      </c>
      <c r="K40" s="19" t="inlineStr">
        <is>
          <t>ㄧㄛㄍ</t>
        </is>
      </c>
      <c r="L40" s="19" t="n"/>
      <c r="M40" s="23">
        <f>LEN(C40)</f>
        <v/>
      </c>
      <c r="N40" s="24" t="n"/>
      <c r="O40" s="53">
        <f>D40</f>
        <v/>
      </c>
      <c r="P40" s="19">
        <f>J40</f>
        <v/>
      </c>
      <c r="R40" s="3">
        <f>_xlfn.CONCAT(O40)</f>
        <v/>
      </c>
      <c r="S40" s="3">
        <f>IFERROR( _xlfn.CONCAT(P40, ""), "" )</f>
        <v/>
      </c>
      <c r="T40" s="25" t="n"/>
      <c r="U40" s="26">
        <f>IF(AND(P40&lt;&gt;"", O40&lt;&gt;""), "    - xform/》" &amp; R40 &amp; "/" &amp; S40 &amp; "》/", "")</f>
        <v/>
      </c>
    </row>
    <row r="41" ht="30.75" customHeight="1" s="69" thickBot="1">
      <c r="A41" s="19" t="n">
        <v>54</v>
      </c>
      <c r="B41" s="20" t="inlineStr">
        <is>
          <t>ɔʔ</t>
        </is>
      </c>
      <c r="C41" s="21" t="inlineStr">
        <is>
          <t>ooh</t>
        </is>
      </c>
      <c r="D41" s="21" t="inlineStr">
        <is>
          <t>ooh</t>
        </is>
      </c>
      <c r="E41" s="31" t="inlineStr">
        <is>
          <t>ooh</t>
        </is>
      </c>
      <c r="F41" s="31" t="inlineStr">
        <is>
          <t>ooh</t>
        </is>
      </c>
      <c r="G41" s="31" t="inlineStr">
        <is>
          <t>ooh</t>
        </is>
      </c>
      <c r="H41" s="31" t="inlineStr">
        <is>
          <t>o͘h</t>
        </is>
      </c>
      <c r="I41" s="32" t="inlineStr">
        <is>
          <t>沽促</t>
        </is>
      </c>
      <c r="J41" s="34" t="inlineStr">
        <is>
          <t>ㆦㆷ</t>
        </is>
      </c>
      <c r="K41" s="55" t="inlineStr">
        <is>
          <t>ㄛㄏ</t>
        </is>
      </c>
      <c r="L41" s="19" t="n"/>
      <c r="M41" s="23">
        <f>LEN(C41)</f>
        <v/>
      </c>
      <c r="N41" s="24" t="n"/>
      <c r="O41" s="53">
        <f>D41</f>
        <v/>
      </c>
      <c r="P41" s="19">
        <f>J41</f>
        <v/>
      </c>
      <c r="R41" s="3">
        <f>_xlfn.CONCAT(O41)</f>
        <v/>
      </c>
      <c r="S41" s="3">
        <f>IFERROR( _xlfn.CONCAT(P41, ""), "" )</f>
        <v/>
      </c>
      <c r="T41" s="25" t="n"/>
      <c r="U41" s="26">
        <f>IF(AND(P41&lt;&gt;"", O41&lt;&gt;""), "    - xform/》" &amp; R41 &amp; "/" &amp; S41 &amp; "》/", "")</f>
        <v/>
      </c>
    </row>
    <row r="42" ht="27.75" customHeight="1" s="69" thickBot="1">
      <c r="A42" s="19" t="n">
        <v>57</v>
      </c>
      <c r="B42" s="20" t="inlineStr">
        <is>
          <t>ɔŋ</t>
        </is>
      </c>
      <c r="C42" s="21" t="inlineStr">
        <is>
          <t>ong</t>
        </is>
      </c>
      <c r="D42" s="21" t="inlineStr">
        <is>
          <t>ong</t>
        </is>
      </c>
      <c r="E42" s="19" t="inlineStr">
        <is>
          <t>ong</t>
        </is>
      </c>
      <c r="F42" s="19" t="inlineStr">
        <is>
          <t>ong</t>
        </is>
      </c>
      <c r="G42" s="19" t="inlineStr">
        <is>
          <t>ong</t>
        </is>
      </c>
      <c r="H42" s="22" t="inlineStr">
        <is>
          <t>ong</t>
        </is>
      </c>
      <c r="I42" s="23" t="inlineStr">
        <is>
          <t>公舒</t>
        </is>
      </c>
      <c r="J42" s="19" t="inlineStr">
        <is>
          <t>ㆲ</t>
        </is>
      </c>
      <c r="K42" s="19" t="inlineStr">
        <is>
          <t>ㄛㄥ</t>
        </is>
      </c>
      <c r="L42" s="19" t="n"/>
      <c r="M42" s="23">
        <f>LEN(C42)</f>
        <v/>
      </c>
      <c r="N42" s="24" t="n"/>
      <c r="O42" s="53">
        <f>D42</f>
        <v/>
      </c>
      <c r="P42" s="19">
        <f>J42</f>
        <v/>
      </c>
      <c r="R42" s="3">
        <f>_xlfn.CONCAT(O42)</f>
        <v/>
      </c>
      <c r="S42" s="3">
        <f>IFERROR( _xlfn.CONCAT(P42, ""), "" )</f>
        <v/>
      </c>
      <c r="T42" s="25" t="n"/>
      <c r="U42" s="26">
        <f>IF(AND(P42&lt;&gt;"", O42&lt;&gt;""), "    - xform/》" &amp; R42 &amp; "/" &amp; S42 &amp; "》/", "")</f>
        <v/>
      </c>
    </row>
    <row r="43" ht="27.75" customHeight="1" s="69" thickBot="1">
      <c r="A43" s="19" t="n">
        <v>66</v>
      </c>
      <c r="B43" s="20" t="inlineStr">
        <is>
          <t>uaʔ</t>
        </is>
      </c>
      <c r="C43" s="21" t="inlineStr">
        <is>
          <t>uah</t>
        </is>
      </c>
      <c r="D43" s="21" t="inlineStr">
        <is>
          <t>uah</t>
        </is>
      </c>
      <c r="E43" s="19" t="inlineStr">
        <is>
          <t>uah</t>
        </is>
      </c>
      <c r="F43" s="19" t="inlineStr">
        <is>
          <t>uah</t>
        </is>
      </c>
      <c r="G43" s="19" t="inlineStr">
        <is>
          <t>uah</t>
        </is>
      </c>
      <c r="H43" s="22" t="inlineStr">
        <is>
          <t>oah</t>
        </is>
      </c>
      <c r="I43" s="23" t="inlineStr">
        <is>
          <t>瓜促</t>
        </is>
      </c>
      <c r="J43" s="19" t="inlineStr">
        <is>
          <t>ㄨㄚㆷ</t>
        </is>
      </c>
      <c r="K43" s="19" t="inlineStr">
        <is>
          <t>ㄨㄚㄏ</t>
        </is>
      </c>
      <c r="L43" s="19" t="n"/>
      <c r="M43" s="23">
        <f>LEN(C43)</f>
        <v/>
      </c>
      <c r="N43" s="24" t="n"/>
      <c r="O43" s="53">
        <f>D43</f>
        <v/>
      </c>
      <c r="P43" s="19">
        <f>J43</f>
        <v/>
      </c>
      <c r="R43" s="3">
        <f>_xlfn.CONCAT(O43)</f>
        <v/>
      </c>
      <c r="S43" s="3">
        <f>IFERROR( _xlfn.CONCAT(P43, ""), "" )</f>
        <v/>
      </c>
      <c r="T43" s="25" t="n"/>
      <c r="U43" s="26">
        <f>IF(AND(P43&lt;&gt;"", O43&lt;&gt;""), "    - xform/》" &amp; R43 &amp; "/" &amp; S43 &amp; "》/", "")</f>
        <v/>
      </c>
    </row>
    <row r="44" ht="27.75" customHeight="1" s="69" thickBot="1">
      <c r="A44" s="19" t="n">
        <v>67</v>
      </c>
      <c r="B44" s="20" t="inlineStr">
        <is>
          <t>uan</t>
        </is>
      </c>
      <c r="C44" s="21" t="inlineStr">
        <is>
          <t>uan</t>
        </is>
      </c>
      <c r="D44" s="21" t="inlineStr">
        <is>
          <t>uan</t>
        </is>
      </c>
      <c r="E44" s="19" t="inlineStr">
        <is>
          <t>uan</t>
        </is>
      </c>
      <c r="F44" s="19" t="inlineStr">
        <is>
          <t>uan</t>
        </is>
      </c>
      <c r="G44" s="19" t="inlineStr">
        <is>
          <t>uan</t>
        </is>
      </c>
      <c r="H44" s="22" t="inlineStr">
        <is>
          <t>oan</t>
        </is>
      </c>
      <c r="I44" s="23" t="inlineStr">
        <is>
          <t>觀舒</t>
        </is>
      </c>
      <c r="J44" s="19" t="inlineStr">
        <is>
          <t>ㄨㄢ</t>
        </is>
      </c>
      <c r="K44" s="19" t="inlineStr">
        <is>
          <t>ㄨㄢ</t>
        </is>
      </c>
      <c r="L44" s="19" t="n"/>
      <c r="M44" s="23">
        <f>LEN(C44)</f>
        <v/>
      </c>
      <c r="N44" s="24" t="n"/>
      <c r="O44" s="53">
        <f>D44</f>
        <v/>
      </c>
      <c r="P44" s="19">
        <f>J44</f>
        <v/>
      </c>
      <c r="R44" s="3">
        <f>_xlfn.CONCAT(O44)</f>
        <v/>
      </c>
      <c r="S44" s="3">
        <f>IFERROR( _xlfn.CONCAT(P44, ""), "" )</f>
        <v/>
      </c>
      <c r="T44" s="25" t="n"/>
      <c r="U44" s="26">
        <f>IF(AND(P44&lt;&gt;"", O44&lt;&gt;""), "    - xform/》" &amp; R44 &amp; "/" &amp; S44 &amp; "》/", "")</f>
        <v/>
      </c>
    </row>
    <row r="45" ht="27.75" customHeight="1" s="69" thickBot="1">
      <c r="A45" s="19" t="n">
        <v>69</v>
      </c>
      <c r="B45" s="20" t="inlineStr">
        <is>
          <t>uat̚</t>
        </is>
      </c>
      <c r="C45" s="21" t="inlineStr">
        <is>
          <t>uat</t>
        </is>
      </c>
      <c r="D45" s="21" t="inlineStr">
        <is>
          <t>uat</t>
        </is>
      </c>
      <c r="E45" s="19" t="inlineStr">
        <is>
          <t>uat</t>
        </is>
      </c>
      <c r="F45" s="19" t="inlineStr">
        <is>
          <t>uat</t>
        </is>
      </c>
      <c r="G45" s="19" t="inlineStr">
        <is>
          <t>uat</t>
        </is>
      </c>
      <c r="H45" s="22" t="inlineStr">
        <is>
          <t>oat</t>
        </is>
      </c>
      <c r="I45" s="23" t="inlineStr">
        <is>
          <t>觀促</t>
        </is>
      </c>
      <c r="J45" s="19" t="inlineStr">
        <is>
          <t>ㄨㄚㆵ</t>
        </is>
      </c>
      <c r="K45" s="19" t="inlineStr">
        <is>
          <t>ㄨㄚㄉ</t>
        </is>
      </c>
      <c r="L45" s="19" t="n"/>
      <c r="M45" s="23">
        <f>LEN(C45)</f>
        <v/>
      </c>
      <c r="N45" s="24" t="n"/>
      <c r="O45" s="53">
        <f>D45</f>
        <v/>
      </c>
      <c r="P45" s="19">
        <f>J45</f>
        <v/>
      </c>
      <c r="R45" s="3">
        <f>_xlfn.CONCAT(O45)</f>
        <v/>
      </c>
      <c r="S45" s="3">
        <f>IFERROR( _xlfn.CONCAT(P45, ""), "" )</f>
        <v/>
      </c>
      <c r="T45" s="25" t="n"/>
      <c r="U45" s="26">
        <f>IF(AND(P45&lt;&gt;"", O45&lt;&gt;""), "    - xform/》" &amp; R45 &amp; "/" &amp; S45 &amp; "》/", "")</f>
        <v/>
      </c>
    </row>
    <row r="46" ht="27.75" customHeight="1" s="69" thickBot="1">
      <c r="A46" s="19" t="n">
        <v>70</v>
      </c>
      <c r="B46" s="20" t="inlineStr">
        <is>
          <t>uai</t>
        </is>
      </c>
      <c r="C46" s="21" t="inlineStr">
        <is>
          <t>uai</t>
        </is>
      </c>
      <c r="D46" s="21" t="inlineStr">
        <is>
          <t>uai</t>
        </is>
      </c>
      <c r="E46" s="19" t="inlineStr">
        <is>
          <t>uai</t>
        </is>
      </c>
      <c r="F46" s="19" t="inlineStr">
        <is>
          <t>uai</t>
        </is>
      </c>
      <c r="G46" s="19" t="inlineStr">
        <is>
          <t>uai</t>
        </is>
      </c>
      <c r="H46" s="22" t="inlineStr">
        <is>
          <t>oai</t>
        </is>
      </c>
      <c r="I46" s="23" t="inlineStr">
        <is>
          <t>乖舒</t>
        </is>
      </c>
      <c r="J46" s="19" t="inlineStr">
        <is>
          <t>ㄨㄞ</t>
        </is>
      </c>
      <c r="K46" s="19" t="inlineStr">
        <is>
          <t>ㄨㄞ</t>
        </is>
      </c>
      <c r="L46" s="19" t="n"/>
      <c r="M46" s="23">
        <f>LEN(C46)</f>
        <v/>
      </c>
      <c r="N46" s="24" t="n"/>
      <c r="O46" s="53">
        <f>D46</f>
        <v/>
      </c>
      <c r="P46" s="19">
        <f>J46</f>
        <v/>
      </c>
      <c r="R46" s="3">
        <f>_xlfn.CONCAT(O46)</f>
        <v/>
      </c>
      <c r="S46" s="3">
        <f>IFERROR( _xlfn.CONCAT(P46, ""), "" )</f>
        <v/>
      </c>
      <c r="T46" s="25" t="n"/>
      <c r="U46" s="26">
        <f>IF(AND(P46&lt;&gt;"", O46&lt;&gt;""), "    - xform/》" &amp; R46 &amp; "/" &amp; S46 &amp; "》/", "")</f>
        <v/>
      </c>
    </row>
    <row r="47" ht="27.75" customHeight="1" s="69" thickBot="1">
      <c r="A47" s="19" t="n">
        <v>75</v>
      </c>
      <c r="B47" s="20" t="inlineStr">
        <is>
          <t>ueʔ</t>
        </is>
      </c>
      <c r="C47" s="21" t="inlineStr">
        <is>
          <t>ueh</t>
        </is>
      </c>
      <c r="D47" s="21" t="inlineStr">
        <is>
          <t>ueh</t>
        </is>
      </c>
      <c r="E47" s="19" t="inlineStr">
        <is>
          <t>ueh</t>
        </is>
      </c>
      <c r="F47" s="19" t="inlineStr">
        <is>
          <t>ueh</t>
        </is>
      </c>
      <c r="G47" s="19" t="inlineStr">
        <is>
          <t>ueh</t>
        </is>
      </c>
      <c r="H47" s="22" t="inlineStr">
        <is>
          <t>oeh</t>
        </is>
      </c>
      <c r="I47" s="23" t="inlineStr">
        <is>
          <t>檜促</t>
        </is>
      </c>
      <c r="J47" s="19" t="inlineStr">
        <is>
          <t>ㄨㆤㆷ</t>
        </is>
      </c>
      <c r="K47" s="19" t="inlineStr">
        <is>
          <t>ㄨㄝㄏ</t>
        </is>
      </c>
      <c r="L47" s="19" t="n"/>
      <c r="M47" s="23">
        <f>LEN(C47)</f>
        <v/>
      </c>
      <c r="N47" s="24" t="n"/>
      <c r="O47" s="53">
        <f>D47</f>
        <v/>
      </c>
      <c r="P47" s="19">
        <f>J47</f>
        <v/>
      </c>
      <c r="R47" s="3">
        <f>_xlfn.CONCAT(O47)</f>
        <v/>
      </c>
      <c r="S47" s="3">
        <f>IFERROR( _xlfn.CONCAT(P47, ""), "" )</f>
        <v/>
      </c>
      <c r="T47" s="25" t="n"/>
      <c r="U47" s="26">
        <f>IF(AND(P47&lt;&gt;"", O47&lt;&gt;""), "    - xform/》" &amp; R47 &amp; "/" &amp; S47 &amp; "》/", "")</f>
        <v/>
      </c>
    </row>
    <row r="48" ht="30.75" customHeight="1" s="69" thickBot="1">
      <c r="A48" s="19" t="n">
        <v>82</v>
      </c>
      <c r="B48" s="20" t="inlineStr">
        <is>
          <t>ŋ̍ʔ</t>
        </is>
      </c>
      <c r="C48" s="21" t="inlineStr">
        <is>
          <t>ngh</t>
        </is>
      </c>
      <c r="D48" s="21" t="inlineStr">
        <is>
          <t>ngh</t>
        </is>
      </c>
      <c r="E48" s="31" t="inlineStr">
        <is>
          <t>ngh</t>
        </is>
      </c>
      <c r="F48" s="31" t="inlineStr">
        <is>
          <t>ngh</t>
        </is>
      </c>
      <c r="G48" s="31" t="inlineStr">
        <is>
          <t>ngh</t>
        </is>
      </c>
      <c r="H48" s="31" t="inlineStr">
        <is>
          <t>ngh</t>
        </is>
      </c>
      <c r="I48" s="35" t="inlineStr">
        <is>
          <t>鋼促</t>
        </is>
      </c>
      <c r="J48" s="34" t="inlineStr">
        <is>
          <t>ㆭㆷ</t>
        </is>
      </c>
      <c r="K48" s="55" t="inlineStr">
        <is>
          <t>ㄥㄏ</t>
        </is>
      </c>
      <c r="L48" s="19" t="n"/>
      <c r="M48" s="23">
        <f>LEN(C48)</f>
        <v/>
      </c>
      <c r="N48" s="24" t="n"/>
      <c r="O48" s="53">
        <f>D48</f>
        <v/>
      </c>
      <c r="P48" s="19">
        <f>J48</f>
        <v/>
      </c>
      <c r="R48" s="3">
        <f>_xlfn.CONCAT(O48)</f>
        <v/>
      </c>
      <c r="S48" s="3">
        <f>IFERROR( _xlfn.CONCAT(P48, ""), "" )</f>
        <v/>
      </c>
      <c r="T48" s="25" t="n"/>
      <c r="U48" s="26">
        <f>IF(AND(P48&lt;&gt;"", O48&lt;&gt;""), "    - xform/》" &amp; R48 &amp; "/" &amp; S48 &amp; "》/", "")</f>
        <v/>
      </c>
    </row>
    <row r="49" ht="27.75" customHeight="1" s="69" thickBot="1">
      <c r="A49" s="19" t="n">
        <v>3</v>
      </c>
      <c r="B49" s="20" t="inlineStr">
        <is>
          <t>aʔ</t>
        </is>
      </c>
      <c r="C49" s="21" t="inlineStr">
        <is>
          <t>ah</t>
        </is>
      </c>
      <c r="D49" s="21" t="inlineStr">
        <is>
          <t>ah</t>
        </is>
      </c>
      <c r="E49" s="19" t="inlineStr">
        <is>
          <t>ah</t>
        </is>
      </c>
      <c r="F49" s="19" t="inlineStr">
        <is>
          <t>ah</t>
        </is>
      </c>
      <c r="G49" s="19" t="inlineStr">
        <is>
          <t>ah</t>
        </is>
      </c>
      <c r="H49" s="22" t="inlineStr">
        <is>
          <t>ah</t>
        </is>
      </c>
      <c r="I49" s="23" t="inlineStr">
        <is>
          <t>膠促</t>
        </is>
      </c>
      <c r="J49" s="19" t="inlineStr">
        <is>
          <t>ㄚㆷ</t>
        </is>
      </c>
      <c r="K49" s="19" t="inlineStr">
        <is>
          <t>ㄚㄏ</t>
        </is>
      </c>
      <c r="L49" s="19" t="n"/>
      <c r="M49" s="23">
        <f>LEN(C49)</f>
        <v/>
      </c>
      <c r="N49" s="24" t="n"/>
      <c r="O49" s="53">
        <f>D49</f>
        <v/>
      </c>
      <c r="P49" s="19">
        <f>J49</f>
        <v/>
      </c>
      <c r="R49" s="3">
        <f>_xlfn.CONCAT(O49)</f>
        <v/>
      </c>
      <c r="S49" s="3">
        <f>IFERROR( _xlfn.CONCAT(P49, ""), "" )</f>
        <v/>
      </c>
      <c r="T49" s="25" t="n"/>
      <c r="U49" s="26">
        <f>IF(AND(P49&lt;&gt;"", O49&lt;&gt;""), "    - xform/》" &amp; R49 &amp; "/" &amp; S49 &amp; "》/", "")</f>
        <v/>
      </c>
    </row>
    <row r="50" ht="27.75" customHeight="1" s="69" thickBot="1">
      <c r="A50" s="19" t="n">
        <v>5</v>
      </c>
      <c r="B50" s="20" t="inlineStr">
        <is>
          <t>am</t>
        </is>
      </c>
      <c r="C50" s="21" t="inlineStr">
        <is>
          <t>am</t>
        </is>
      </c>
      <c r="D50" s="21" t="inlineStr">
        <is>
          <t>am</t>
        </is>
      </c>
      <c r="E50" s="19" t="inlineStr">
        <is>
          <t>am</t>
        </is>
      </c>
      <c r="F50" s="19" t="inlineStr">
        <is>
          <t>am</t>
        </is>
      </c>
      <c r="G50" s="19" t="inlineStr">
        <is>
          <t>am</t>
        </is>
      </c>
      <c r="H50" s="22" t="inlineStr">
        <is>
          <t>am</t>
        </is>
      </c>
      <c r="I50" s="23" t="inlineStr">
        <is>
          <t>甘舒</t>
        </is>
      </c>
      <c r="J50" s="19" t="inlineStr">
        <is>
          <t>ㆰ</t>
        </is>
      </c>
      <c r="K50" s="19" t="inlineStr">
        <is>
          <t>ㄚㄇ</t>
        </is>
      </c>
      <c r="L50" s="19" t="n"/>
      <c r="M50" s="23">
        <f>LEN(C50)</f>
        <v/>
      </c>
      <c r="N50" s="24" t="n"/>
      <c r="O50" s="53">
        <f>D50</f>
        <v/>
      </c>
      <c r="P50" s="19">
        <f>J50</f>
        <v/>
      </c>
      <c r="R50" s="3">
        <f>_xlfn.CONCAT(O50)</f>
        <v/>
      </c>
      <c r="S50" s="3">
        <f>IFERROR( _xlfn.CONCAT(P50, ""), "" )</f>
        <v/>
      </c>
      <c r="T50" s="25" t="n"/>
      <c r="U50" s="26">
        <f>IF(AND(P50&lt;&gt;"", O50&lt;&gt;""), "    - xform/》" &amp; R50 &amp; "/" &amp; S50 &amp; "》/", "")</f>
        <v/>
      </c>
    </row>
    <row r="51" ht="27.75" customHeight="1" s="69" thickBot="1">
      <c r="A51" s="19" t="n">
        <v>6</v>
      </c>
      <c r="B51" s="20" t="inlineStr">
        <is>
          <t>an</t>
        </is>
      </c>
      <c r="C51" s="21" t="inlineStr">
        <is>
          <t>an</t>
        </is>
      </c>
      <c r="D51" s="21" t="inlineStr">
        <is>
          <t>an</t>
        </is>
      </c>
      <c r="E51" s="19" t="inlineStr">
        <is>
          <t>an</t>
        </is>
      </c>
      <c r="F51" s="19" t="inlineStr">
        <is>
          <t>an</t>
        </is>
      </c>
      <c r="G51" s="19" t="inlineStr">
        <is>
          <t>an</t>
        </is>
      </c>
      <c r="H51" s="22" t="inlineStr">
        <is>
          <t>an</t>
        </is>
      </c>
      <c r="I51" s="23" t="inlineStr">
        <is>
          <t>干舒</t>
        </is>
      </c>
      <c r="J51" s="19" t="inlineStr">
        <is>
          <t>ㄢ</t>
        </is>
      </c>
      <c r="K51" s="19" t="inlineStr">
        <is>
          <t>ㄢ</t>
        </is>
      </c>
      <c r="L51" s="19" t="n"/>
      <c r="M51" s="23">
        <f>LEN(C51)</f>
        <v/>
      </c>
      <c r="N51" s="24" t="n"/>
      <c r="O51" s="53">
        <f>D51</f>
        <v/>
      </c>
      <c r="P51" s="19">
        <f>J51</f>
        <v/>
      </c>
      <c r="R51" s="3">
        <f>_xlfn.CONCAT(O51)</f>
        <v/>
      </c>
      <c r="S51" s="3">
        <f>IFERROR( _xlfn.CONCAT(P51, ""), "" )</f>
        <v/>
      </c>
      <c r="T51" s="25" t="n"/>
      <c r="U51" s="26">
        <f>IF(AND(P51&lt;&gt;"", O51&lt;&gt;""), "    - xform/》" &amp; R51 &amp; "/" &amp; S51 &amp; "》/", "")</f>
        <v/>
      </c>
    </row>
    <row r="52" ht="27.75" customHeight="1" s="69" thickBot="1">
      <c r="A52" s="19" t="n">
        <v>8</v>
      </c>
      <c r="B52" s="20" t="inlineStr">
        <is>
          <t>ap̚</t>
        </is>
      </c>
      <c r="C52" s="21" t="inlineStr">
        <is>
          <t>ap</t>
        </is>
      </c>
      <c r="D52" s="21" t="inlineStr">
        <is>
          <t>ap</t>
        </is>
      </c>
      <c r="E52" s="19" t="inlineStr">
        <is>
          <t>ap</t>
        </is>
      </c>
      <c r="F52" s="19" t="inlineStr">
        <is>
          <t>ap</t>
        </is>
      </c>
      <c r="G52" s="19" t="inlineStr">
        <is>
          <t>ap</t>
        </is>
      </c>
      <c r="H52" s="22" t="inlineStr">
        <is>
          <t>ap</t>
        </is>
      </c>
      <c r="I52" s="23" t="inlineStr">
        <is>
          <t>甘促</t>
        </is>
      </c>
      <c r="J52" s="19" t="inlineStr">
        <is>
          <t>ㄚㆴ</t>
        </is>
      </c>
      <c r="K52" s="19" t="inlineStr">
        <is>
          <t>ㄚㄅ</t>
        </is>
      </c>
      <c r="L52" s="19" t="n"/>
      <c r="M52" s="23">
        <f>LEN(C52)</f>
        <v/>
      </c>
      <c r="N52" s="24" t="n"/>
      <c r="O52" s="53">
        <f>D52</f>
        <v/>
      </c>
      <c r="P52" s="19">
        <f>J52</f>
        <v/>
      </c>
      <c r="R52" s="3">
        <f>_xlfn.CONCAT(O52)</f>
        <v/>
      </c>
      <c r="S52" s="3">
        <f>IFERROR( _xlfn.CONCAT(P52, ""), "" )</f>
        <v/>
      </c>
      <c r="T52" s="25" t="n"/>
      <c r="U52" s="26">
        <f>IF(AND(P52&lt;&gt;"", O52&lt;&gt;""), "    - xform/》" &amp; R52 &amp; "/" &amp; S52 &amp; "》/", "")</f>
        <v/>
      </c>
    </row>
    <row r="53" ht="27.75" customHeight="1" s="69" thickBot="1">
      <c r="A53" s="19" t="n">
        <v>9</v>
      </c>
      <c r="B53" s="20" t="inlineStr">
        <is>
          <t>at̚</t>
        </is>
      </c>
      <c r="C53" s="21" t="inlineStr">
        <is>
          <t>at</t>
        </is>
      </c>
      <c r="D53" s="21" t="inlineStr">
        <is>
          <t>at</t>
        </is>
      </c>
      <c r="E53" s="19" t="inlineStr">
        <is>
          <t>at</t>
        </is>
      </c>
      <c r="F53" s="19" t="inlineStr">
        <is>
          <t>at</t>
        </is>
      </c>
      <c r="G53" s="19" t="inlineStr">
        <is>
          <t>at</t>
        </is>
      </c>
      <c r="H53" s="22" t="inlineStr">
        <is>
          <t>at</t>
        </is>
      </c>
      <c r="I53" s="23" t="inlineStr">
        <is>
          <t>干促</t>
        </is>
      </c>
      <c r="J53" s="19" t="inlineStr">
        <is>
          <t>ㄚㆵ</t>
        </is>
      </c>
      <c r="K53" s="19" t="inlineStr">
        <is>
          <t>ㄚㄉ</t>
        </is>
      </c>
      <c r="L53" s="19" t="n"/>
      <c r="M53" s="23">
        <f>LEN(C53)</f>
        <v/>
      </c>
      <c r="N53" s="24" t="n"/>
      <c r="O53" s="53">
        <f>D53</f>
        <v/>
      </c>
      <c r="P53" s="19">
        <f>J53</f>
        <v/>
      </c>
      <c r="R53" s="3">
        <f>_xlfn.CONCAT(O53)</f>
        <v/>
      </c>
      <c r="S53" s="3">
        <f>IFERROR( _xlfn.CONCAT(P53, ""), "" )</f>
        <v/>
      </c>
      <c r="T53" s="25" t="n"/>
      <c r="U53" s="26">
        <f>IF(AND(P53&lt;&gt;"", O53&lt;&gt;""), "    - xform/》" &amp; R53 &amp; "/" &amp; S53 &amp; "》/", "")</f>
        <v/>
      </c>
    </row>
    <row r="54" ht="27.75" customHeight="1" s="69" thickBot="1">
      <c r="A54" s="19" t="n">
        <v>10</v>
      </c>
      <c r="B54" s="20" t="inlineStr">
        <is>
          <t>ak̚</t>
        </is>
      </c>
      <c r="C54" s="21" t="inlineStr">
        <is>
          <t>ak</t>
        </is>
      </c>
      <c r="D54" s="21" t="inlineStr">
        <is>
          <t>ak</t>
        </is>
      </c>
      <c r="E54" s="19" t="inlineStr">
        <is>
          <t>ak</t>
        </is>
      </c>
      <c r="F54" s="19" t="inlineStr">
        <is>
          <t>ak</t>
        </is>
      </c>
      <c r="G54" s="19" t="inlineStr">
        <is>
          <t>ak</t>
        </is>
      </c>
      <c r="H54" s="22" t="inlineStr">
        <is>
          <t>ak</t>
        </is>
      </c>
      <c r="I54" s="23" t="inlineStr">
        <is>
          <t>江促</t>
        </is>
      </c>
      <c r="J54" s="19" t="inlineStr">
        <is>
          <t>ㄚㆻ</t>
        </is>
      </c>
      <c r="K54" s="19" t="inlineStr">
        <is>
          <t>ㄚㄍ</t>
        </is>
      </c>
      <c r="L54" s="19" t="n"/>
      <c r="M54" s="23">
        <f>LEN(C54)</f>
        <v/>
      </c>
      <c r="N54" s="24" t="n"/>
      <c r="O54" s="53">
        <f>D54</f>
        <v/>
      </c>
      <c r="P54" s="19">
        <f>J54</f>
        <v/>
      </c>
      <c r="R54" s="3">
        <f>_xlfn.CONCAT(O54)</f>
        <v/>
      </c>
      <c r="S54" s="3">
        <f>IFERROR( _xlfn.CONCAT(P54, ""), "" )</f>
        <v/>
      </c>
      <c r="T54" s="25" t="n"/>
      <c r="U54" s="26">
        <f>IF(AND(P54&lt;&gt;"", O54&lt;&gt;""), "    - xform/》" &amp; R54 &amp; "/" &amp; S54 &amp; "》/", "")</f>
        <v/>
      </c>
    </row>
    <row r="55" ht="27.75" customHeight="1" s="69" thickBot="1">
      <c r="A55" s="19" t="n">
        <v>11</v>
      </c>
      <c r="B55" s="20" t="inlineStr">
        <is>
          <t>aɪ</t>
        </is>
      </c>
      <c r="C55" s="21" t="inlineStr">
        <is>
          <t>ai</t>
        </is>
      </c>
      <c r="D55" s="21" t="inlineStr">
        <is>
          <t>ai</t>
        </is>
      </c>
      <c r="E55" s="19" t="inlineStr">
        <is>
          <t>ai</t>
        </is>
      </c>
      <c r="F55" s="19" t="inlineStr">
        <is>
          <t>ai</t>
        </is>
      </c>
      <c r="G55" s="19" t="inlineStr">
        <is>
          <t>ai</t>
        </is>
      </c>
      <c r="H55" s="22" t="inlineStr">
        <is>
          <t>ai</t>
        </is>
      </c>
      <c r="I55" s="23" t="inlineStr">
        <is>
          <t>皆舒</t>
        </is>
      </c>
      <c r="J55" s="19" t="inlineStr">
        <is>
          <t>ㄞ</t>
        </is>
      </c>
      <c r="K55" s="19" t="inlineStr">
        <is>
          <t>ㄞ</t>
        </is>
      </c>
      <c r="L55" s="19" t="n"/>
      <c r="M55" s="23">
        <f>LEN(C55)</f>
        <v/>
      </c>
      <c r="N55" s="24" t="n"/>
      <c r="O55" s="53">
        <f>D55</f>
        <v/>
      </c>
      <c r="P55" s="19">
        <f>J55</f>
        <v/>
      </c>
      <c r="R55" s="3">
        <f>_xlfn.CONCAT(O55)</f>
        <v/>
      </c>
      <c r="S55" s="3">
        <f>IFERROR( _xlfn.CONCAT(P55, ""), "" )</f>
        <v/>
      </c>
      <c r="T55" s="25" t="n"/>
      <c r="U55" s="26">
        <f>IF(AND(P55&lt;&gt;"", O55&lt;&gt;""), "    - xform/》" &amp; R55 &amp; "/" &amp; S55 &amp; "》/", "")</f>
        <v/>
      </c>
    </row>
    <row r="56" ht="27.75" customHeight="1" s="69" thickBot="1">
      <c r="A56" s="19" t="n">
        <v>14</v>
      </c>
      <c r="B56" s="20" t="inlineStr">
        <is>
          <t>au</t>
        </is>
      </c>
      <c r="C56" s="21" t="inlineStr">
        <is>
          <t>au</t>
        </is>
      </c>
      <c r="D56" s="21" t="inlineStr">
        <is>
          <t>au</t>
        </is>
      </c>
      <c r="E56" s="19" t="inlineStr">
        <is>
          <t>au</t>
        </is>
      </c>
      <c r="F56" s="19" t="inlineStr">
        <is>
          <t>au</t>
        </is>
      </c>
      <c r="G56" s="19" t="inlineStr">
        <is>
          <t>ao</t>
        </is>
      </c>
      <c r="H56" s="22" t="inlineStr">
        <is>
          <t>au</t>
        </is>
      </c>
      <c r="I56" s="23" t="inlineStr">
        <is>
          <t>交舒</t>
        </is>
      </c>
      <c r="J56" s="19" t="inlineStr">
        <is>
          <t>ㄠ</t>
        </is>
      </c>
      <c r="K56" s="19" t="inlineStr">
        <is>
          <t>ㄠ</t>
        </is>
      </c>
      <c r="L56" s="19" t="n"/>
      <c r="M56" s="23">
        <f>LEN(C56)</f>
        <v/>
      </c>
      <c r="N56" s="24" t="n"/>
      <c r="O56" s="53">
        <f>D56</f>
        <v/>
      </c>
      <c r="P56" s="19">
        <f>J56</f>
        <v/>
      </c>
      <c r="R56" s="3">
        <f>_xlfn.CONCAT(O56)</f>
        <v/>
      </c>
      <c r="S56" s="3">
        <f>IFERROR( _xlfn.CONCAT(P56, ""), "" )</f>
        <v/>
      </c>
      <c r="T56" s="25" t="n"/>
      <c r="U56" s="26">
        <f>IF(AND(P56&lt;&gt;"", O56&lt;&gt;""), "    - xform/》" &amp; R56 &amp; "/" &amp; S56 &amp; "》/", "")</f>
        <v/>
      </c>
    </row>
    <row r="57" ht="27.75" customHeight="1" s="69" thickBot="1">
      <c r="A57" s="19" t="n">
        <v>18</v>
      </c>
      <c r="B57" s="20" t="inlineStr">
        <is>
          <t>eʔ</t>
        </is>
      </c>
      <c r="C57" s="21" t="inlineStr">
        <is>
          <t>eh</t>
        </is>
      </c>
      <c r="D57" s="21" t="inlineStr">
        <is>
          <t>eh</t>
        </is>
      </c>
      <c r="E57" s="19" t="inlineStr">
        <is>
          <t>eh</t>
        </is>
      </c>
      <c r="F57" s="19" t="inlineStr">
        <is>
          <t>eh</t>
        </is>
      </c>
      <c r="G57" s="19" t="inlineStr">
        <is>
          <t>eh</t>
        </is>
      </c>
      <c r="H57" s="22" t="inlineStr">
        <is>
          <t>eh</t>
        </is>
      </c>
      <c r="I57" s="23" t="inlineStr">
        <is>
          <t>伽促</t>
        </is>
      </c>
      <c r="J57" s="19" t="inlineStr">
        <is>
          <t>ㆤㆷ</t>
        </is>
      </c>
      <c r="K57" s="19" t="inlineStr">
        <is>
          <t>ㄝㄏ</t>
        </is>
      </c>
      <c r="L57" s="19" t="n"/>
      <c r="M57" s="23">
        <f>LEN(C57)</f>
        <v/>
      </c>
      <c r="N57" s="24" t="n"/>
      <c r="O57" s="53">
        <f>D57</f>
        <v/>
      </c>
      <c r="P57" s="19">
        <f>J57</f>
        <v/>
      </c>
      <c r="R57" s="3">
        <f>_xlfn.CONCAT(O57)</f>
        <v/>
      </c>
      <c r="S57" s="3">
        <f>IFERROR( _xlfn.CONCAT(P57, ""), "" )</f>
        <v/>
      </c>
      <c r="T57" s="25" t="n"/>
      <c r="U57" s="26">
        <f>IF(AND(P57&lt;&gt;"", O57&lt;&gt;""), "    - xform/》" &amp; R57 &amp; "/" &amp; S57 &amp; "》/", "")</f>
        <v/>
      </c>
    </row>
    <row r="58" ht="27.75" customHeight="1" s="69" thickBot="1">
      <c r="A58" s="19" t="n">
        <v>22</v>
      </c>
      <c r="B58" s="20" t="inlineStr">
        <is>
          <t>iʔ</t>
        </is>
      </c>
      <c r="C58" s="21" t="inlineStr">
        <is>
          <t>ih</t>
        </is>
      </c>
      <c r="D58" s="21" t="inlineStr">
        <is>
          <t>ih</t>
        </is>
      </c>
      <c r="E58" s="19" t="inlineStr">
        <is>
          <t>ih</t>
        </is>
      </c>
      <c r="F58" s="19" t="inlineStr">
        <is>
          <t>ih</t>
        </is>
      </c>
      <c r="G58" s="19" t="inlineStr">
        <is>
          <t>ih</t>
        </is>
      </c>
      <c r="H58" s="22" t="inlineStr">
        <is>
          <t>ih</t>
        </is>
      </c>
      <c r="I58" s="23" t="inlineStr">
        <is>
          <t>居促</t>
        </is>
      </c>
      <c r="J58" s="19" t="inlineStr">
        <is>
          <t>ㄧㆷ</t>
        </is>
      </c>
      <c r="K58" s="19" t="inlineStr">
        <is>
          <t>ㄧㄏ</t>
        </is>
      </c>
      <c r="L58" s="19" t="n"/>
      <c r="M58" s="23">
        <f>LEN(C58)</f>
        <v/>
      </c>
      <c r="N58" s="24" t="n"/>
      <c r="O58" s="53">
        <f>D58</f>
        <v/>
      </c>
      <c r="P58" s="19">
        <f>J58</f>
        <v/>
      </c>
      <c r="R58" s="3">
        <f>_xlfn.CONCAT(O58)</f>
        <v/>
      </c>
      <c r="S58" s="3">
        <f>IFERROR( _xlfn.CONCAT(P58, ""), "" )</f>
        <v/>
      </c>
      <c r="T58" s="25" t="n"/>
      <c r="U58" s="26">
        <f>IF(AND(P58&lt;&gt;"", O58&lt;&gt;""), "    - xform/》" &amp; R58 &amp; "/" &amp; S58 &amp; "》/", "")</f>
        <v/>
      </c>
    </row>
    <row r="59" ht="27.75" customHeight="1" s="69" thickBot="1">
      <c r="A59" s="19" t="n">
        <v>23</v>
      </c>
      <c r="B59" s="20" t="inlineStr">
        <is>
          <t>im</t>
        </is>
      </c>
      <c r="C59" s="21" t="inlineStr">
        <is>
          <t>im</t>
        </is>
      </c>
      <c r="D59" s="21" t="inlineStr">
        <is>
          <t>im</t>
        </is>
      </c>
      <c r="E59" s="19" t="inlineStr">
        <is>
          <t>im</t>
        </is>
      </c>
      <c r="F59" s="19" t="inlineStr">
        <is>
          <t>im</t>
        </is>
      </c>
      <c r="G59" s="19" t="inlineStr">
        <is>
          <t>im</t>
        </is>
      </c>
      <c r="H59" s="22" t="inlineStr">
        <is>
          <t>im</t>
        </is>
      </c>
      <c r="I59" s="23" t="inlineStr">
        <is>
          <t>金舒</t>
        </is>
      </c>
      <c r="J59" s="19" t="inlineStr">
        <is>
          <t>ㄧㆬ</t>
        </is>
      </c>
      <c r="K59" s="19" t="inlineStr">
        <is>
          <t>ㄧㄇ</t>
        </is>
      </c>
      <c r="L59" s="19" t="n"/>
      <c r="M59" s="23">
        <f>LEN(C59)</f>
        <v/>
      </c>
      <c r="N59" s="24" t="n"/>
      <c r="O59" s="53">
        <f>D59</f>
        <v/>
      </c>
      <c r="P59" s="19">
        <f>J59</f>
        <v/>
      </c>
      <c r="R59" s="3">
        <f>_xlfn.CONCAT(O59)</f>
        <v/>
      </c>
      <c r="S59" s="3">
        <f>IFERROR( _xlfn.CONCAT(P59, ""), "" )</f>
        <v/>
      </c>
      <c r="T59" s="25" t="n"/>
      <c r="U59" s="26">
        <f>IF(AND(P59&lt;&gt;"", O59&lt;&gt;""), "    - xform/》" &amp; R59 &amp; "/" &amp; S59 &amp; "》/", "")</f>
        <v/>
      </c>
    </row>
    <row r="60" ht="27.75" customHeight="1" s="69" thickBot="1">
      <c r="A60" s="19" t="n">
        <v>24</v>
      </c>
      <c r="B60" s="20" t="inlineStr">
        <is>
          <t>in</t>
        </is>
      </c>
      <c r="C60" s="21" t="inlineStr">
        <is>
          <t>in</t>
        </is>
      </c>
      <c r="D60" s="21" t="inlineStr">
        <is>
          <t>in</t>
        </is>
      </c>
      <c r="E60" s="19" t="inlineStr">
        <is>
          <t>in</t>
        </is>
      </c>
      <c r="F60" s="19" t="inlineStr">
        <is>
          <t>in</t>
        </is>
      </c>
      <c r="G60" s="19" t="inlineStr">
        <is>
          <t>in</t>
        </is>
      </c>
      <c r="H60" s="22" t="inlineStr">
        <is>
          <t>in</t>
        </is>
      </c>
      <c r="I60" s="23" t="inlineStr">
        <is>
          <t>巾舒</t>
        </is>
      </c>
      <c r="J60" s="19" t="inlineStr">
        <is>
          <t>ㄧㄣ</t>
        </is>
      </c>
      <c r="K60" s="19" t="inlineStr">
        <is>
          <t>ㄧㄣ</t>
        </is>
      </c>
      <c r="L60" s="19" t="n"/>
      <c r="M60" s="23">
        <f>LEN(C60)</f>
        <v/>
      </c>
      <c r="N60" s="24" t="n"/>
      <c r="O60" s="53">
        <f>D60</f>
        <v/>
      </c>
      <c r="P60" s="19">
        <f>J60</f>
        <v/>
      </c>
      <c r="R60" s="3">
        <f>_xlfn.CONCAT(O60)</f>
        <v/>
      </c>
      <c r="S60" s="3">
        <f>IFERROR( _xlfn.CONCAT(P60, ""), "" )</f>
        <v/>
      </c>
      <c r="T60" s="25" t="n"/>
      <c r="U60" s="26">
        <f>IF(AND(P60&lt;&gt;"", O60&lt;&gt;""), "    - xform/》" &amp; R60 &amp; "/" &amp; S60 &amp; "》/", "")</f>
        <v/>
      </c>
    </row>
    <row r="61" ht="27.75" customHeight="1" s="69" thickBot="1">
      <c r="A61" s="19" t="n">
        <v>26</v>
      </c>
      <c r="B61" s="20" t="inlineStr">
        <is>
          <t>ip̚</t>
        </is>
      </c>
      <c r="C61" s="21" t="inlineStr">
        <is>
          <t>ip</t>
        </is>
      </c>
      <c r="D61" s="21" t="inlineStr">
        <is>
          <t>ip</t>
        </is>
      </c>
      <c r="E61" s="19" t="inlineStr">
        <is>
          <t>ip</t>
        </is>
      </c>
      <c r="F61" s="19" t="inlineStr">
        <is>
          <t>ip</t>
        </is>
      </c>
      <c r="G61" s="19" t="inlineStr">
        <is>
          <t>ip</t>
        </is>
      </c>
      <c r="H61" s="22" t="inlineStr">
        <is>
          <t>ip</t>
        </is>
      </c>
      <c r="I61" s="23" t="inlineStr">
        <is>
          <t>金促</t>
        </is>
      </c>
      <c r="J61" s="19" t="inlineStr">
        <is>
          <t>一ㆴ</t>
        </is>
      </c>
      <c r="K61" s="19" t="inlineStr">
        <is>
          <t>ㄧㄅ</t>
        </is>
      </c>
      <c r="L61" s="19" t="n"/>
      <c r="M61" s="23">
        <f>LEN(C61)</f>
        <v/>
      </c>
      <c r="N61" s="24" t="n"/>
      <c r="O61" s="53">
        <f>D61</f>
        <v/>
      </c>
      <c r="P61" s="19">
        <f>J61</f>
        <v/>
      </c>
      <c r="R61" s="3">
        <f>_xlfn.CONCAT(O61)</f>
        <v/>
      </c>
      <c r="S61" s="3">
        <f>IFERROR( _xlfn.CONCAT(P61, ""), "" )</f>
        <v/>
      </c>
      <c r="T61" s="25" t="n"/>
      <c r="U61" s="26">
        <f>IF(AND(P61&lt;&gt;"", O61&lt;&gt;""), "    - xform/》" &amp; R61 &amp; "/" &amp; S61 &amp; "》/", "")</f>
        <v/>
      </c>
    </row>
    <row r="62" ht="27.75" customHeight="1" s="69" thickBot="1">
      <c r="A62" s="19" t="n">
        <v>27</v>
      </c>
      <c r="B62" s="20" t="inlineStr">
        <is>
          <t>it̚</t>
        </is>
      </c>
      <c r="C62" s="21" t="inlineStr">
        <is>
          <t>it</t>
        </is>
      </c>
      <c r="D62" s="21" t="inlineStr">
        <is>
          <t>it</t>
        </is>
      </c>
      <c r="E62" s="19" t="inlineStr">
        <is>
          <t>it</t>
        </is>
      </c>
      <c r="F62" s="19" t="inlineStr">
        <is>
          <t>it</t>
        </is>
      </c>
      <c r="G62" s="19" t="inlineStr">
        <is>
          <t>it</t>
        </is>
      </c>
      <c r="H62" s="22" t="inlineStr">
        <is>
          <t>it</t>
        </is>
      </c>
      <c r="I62" s="23" t="inlineStr">
        <is>
          <t>巾促</t>
        </is>
      </c>
      <c r="J62" s="19" t="inlineStr">
        <is>
          <t>ㄧㆵ</t>
        </is>
      </c>
      <c r="K62" s="19" t="inlineStr">
        <is>
          <t>ㄧㄉ</t>
        </is>
      </c>
      <c r="L62" s="19" t="n"/>
      <c r="M62" s="23">
        <f>LEN(C62)</f>
        <v/>
      </c>
      <c r="N62" s="24" t="n"/>
      <c r="O62" s="53">
        <f>D62</f>
        <v/>
      </c>
      <c r="P62" s="19">
        <f>J62</f>
        <v/>
      </c>
      <c r="R62" s="3">
        <f>_xlfn.CONCAT(O62)</f>
        <v/>
      </c>
      <c r="S62" s="3">
        <f>IFERROR( _xlfn.CONCAT(P62, ""), "" )</f>
        <v/>
      </c>
      <c r="T62" s="25" t="n"/>
      <c r="U62" s="26">
        <f>IF(AND(P62&lt;&gt;"", O62&lt;&gt;""), "    - xform/》" &amp; R62 &amp; "/" &amp; S62 &amp; "》/", "")</f>
        <v/>
      </c>
    </row>
    <row r="63" ht="27.75" customHeight="1" s="69" thickBot="1">
      <c r="A63" s="19" t="n">
        <v>28</v>
      </c>
      <c r="B63" s="20" t="inlineStr">
        <is>
          <t>ik̚/ɪək̚</t>
        </is>
      </c>
      <c r="C63" s="21" t="inlineStr">
        <is>
          <t>ik</t>
        </is>
      </c>
      <c r="D63" s="21" t="inlineStr">
        <is>
          <t>ik</t>
        </is>
      </c>
      <c r="E63" s="19" t="inlineStr">
        <is>
          <t>ik</t>
        </is>
      </c>
      <c r="F63" s="19" t="inlineStr">
        <is>
          <t>ik</t>
        </is>
      </c>
      <c r="G63" s="19" t="inlineStr">
        <is>
          <t>ik</t>
        </is>
      </c>
      <c r="H63" s="22" t="inlineStr">
        <is>
          <t>ek</t>
        </is>
      </c>
      <c r="I63" s="23" t="inlineStr">
        <is>
          <t>經促</t>
        </is>
      </c>
      <c r="J63" s="19" t="inlineStr">
        <is>
          <t>ㄧㆻ</t>
        </is>
      </c>
      <c r="K63" s="19" t="inlineStr">
        <is>
          <t>ㄧㄍ</t>
        </is>
      </c>
      <c r="L63" s="19" t="n"/>
      <c r="M63" s="23">
        <f>LEN(C63)</f>
        <v/>
      </c>
      <c r="N63" s="24" t="n"/>
      <c r="O63" s="53">
        <f>D63</f>
        <v/>
      </c>
      <c r="P63" s="19">
        <f>J63</f>
        <v/>
      </c>
      <c r="R63" s="3">
        <f>_xlfn.CONCAT(O63)</f>
        <v/>
      </c>
      <c r="S63" s="3">
        <f>IFERROR( _xlfn.CONCAT(P63, ""), "" )</f>
        <v/>
      </c>
      <c r="T63" s="25" t="n"/>
      <c r="U63" s="26">
        <f>IF(AND(P63&lt;&gt;"", O63&lt;&gt;""), "    - xform/》" &amp; R63 &amp; "/" &amp; S63 &amp; "》/", "")</f>
        <v/>
      </c>
    </row>
    <row r="64" ht="27.75" customHeight="1" s="69" thickBot="1">
      <c r="A64" s="19" t="n">
        <v>29</v>
      </c>
      <c r="B64" s="20" t="inlineStr">
        <is>
          <t>ɪa</t>
        </is>
      </c>
      <c r="C64" s="21" t="inlineStr">
        <is>
          <t>ia</t>
        </is>
      </c>
      <c r="D64" s="21" t="inlineStr">
        <is>
          <t>ia</t>
        </is>
      </c>
      <c r="E64" s="19" t="inlineStr">
        <is>
          <t>ia</t>
        </is>
      </c>
      <c r="F64" s="19" t="inlineStr">
        <is>
          <t>ia</t>
        </is>
      </c>
      <c r="G64" s="19" t="inlineStr">
        <is>
          <t>ia</t>
        </is>
      </c>
      <c r="H64" s="22" t="inlineStr">
        <is>
          <t>ia</t>
        </is>
      </c>
      <c r="I64" s="23" t="inlineStr">
        <is>
          <t>迦舒</t>
        </is>
      </c>
      <c r="J64" s="19" t="inlineStr">
        <is>
          <t>ㄧㄚ</t>
        </is>
      </c>
      <c r="K64" s="19" t="inlineStr">
        <is>
          <t>ㄧㄚ</t>
        </is>
      </c>
      <c r="L64" s="19" t="n"/>
      <c r="M64" s="23">
        <f>LEN(C64)</f>
        <v/>
      </c>
      <c r="N64" s="24" t="n"/>
      <c r="O64" s="53">
        <f>D64</f>
        <v/>
      </c>
      <c r="P64" s="19">
        <f>J64</f>
        <v/>
      </c>
      <c r="R64" s="3">
        <f>_xlfn.CONCAT(O64)</f>
        <v/>
      </c>
      <c r="S64" s="3">
        <f>IFERROR( _xlfn.CONCAT(P64, ""), "" )</f>
        <v/>
      </c>
      <c r="T64" s="25" t="n"/>
      <c r="U64" s="26">
        <f>IF(AND(P64&lt;&gt;"", O64&lt;&gt;""), "    - xform/》" &amp; R64 &amp; "/" &amp; S64 &amp; "》/", "")</f>
        <v/>
      </c>
    </row>
    <row r="65" ht="27.75" customHeight="1" s="69" thickBot="1">
      <c r="A65" s="19" t="n">
        <v>42</v>
      </c>
      <c r="B65" s="20" t="inlineStr">
        <is>
          <t>ɪə/ɪo</t>
        </is>
      </c>
      <c r="C65" s="21" t="inlineStr">
        <is>
          <t>io</t>
        </is>
      </c>
      <c r="D65" s="21" t="inlineStr">
        <is>
          <t>io</t>
        </is>
      </c>
      <c r="E65" s="19" t="inlineStr">
        <is>
          <t>io</t>
        </is>
      </c>
      <c r="F65" s="19" t="inlineStr">
        <is>
          <t>ior</t>
        </is>
      </c>
      <c r="G65" s="19" t="inlineStr">
        <is>
          <t>io</t>
        </is>
      </c>
      <c r="H65" s="22" t="inlineStr">
        <is>
          <t>io</t>
        </is>
      </c>
      <c r="I65" s="23" t="inlineStr">
        <is>
          <t>茄舒</t>
        </is>
      </c>
      <c r="J65" s="19" t="inlineStr">
        <is>
          <t>ㄧㄜ</t>
        </is>
      </c>
      <c r="K65" s="19" t="inlineStr">
        <is>
          <t>ㄧㄜ</t>
        </is>
      </c>
      <c r="L65" s="19" t="n"/>
      <c r="M65" s="23">
        <f>LEN(C65)</f>
        <v/>
      </c>
      <c r="N65" s="24" t="n"/>
      <c r="O65" s="53">
        <f>D65</f>
        <v/>
      </c>
      <c r="P65" s="19">
        <f>J65</f>
        <v/>
      </c>
      <c r="R65" s="3">
        <f>_xlfn.CONCAT(O65)</f>
        <v/>
      </c>
      <c r="S65" s="3">
        <f>IFERROR( _xlfn.CONCAT(P65, ""), "" )</f>
        <v/>
      </c>
      <c r="T65" s="25" t="n"/>
      <c r="U65" s="26">
        <f>IF(AND(P65&lt;&gt;"", O65&lt;&gt;""), "    - xform/》" &amp; R65 &amp; "/" &amp; S65 &amp; "》/", "")</f>
        <v/>
      </c>
    </row>
    <row r="66" ht="27.75" customHeight="1" s="69" thickBot="1">
      <c r="A66" s="19" t="n">
        <v>47</v>
      </c>
      <c r="B66" s="20" t="inlineStr">
        <is>
          <t>iu</t>
        </is>
      </c>
      <c r="C66" s="21" t="inlineStr">
        <is>
          <t>iu</t>
        </is>
      </c>
      <c r="D66" s="21" t="inlineStr">
        <is>
          <t>iu</t>
        </is>
      </c>
      <c r="E66" s="19" t="inlineStr">
        <is>
          <t>iu</t>
        </is>
      </c>
      <c r="F66" s="19" t="inlineStr">
        <is>
          <t>iu</t>
        </is>
      </c>
      <c r="G66" s="19" t="inlineStr">
        <is>
          <t>iu</t>
        </is>
      </c>
      <c r="H66" s="22" t="inlineStr">
        <is>
          <t>iu</t>
        </is>
      </c>
      <c r="I66" s="23" t="inlineStr">
        <is>
          <t>丩舒</t>
        </is>
      </c>
      <c r="J66" s="19" t="inlineStr">
        <is>
          <t>ㄧㄨ</t>
        </is>
      </c>
      <c r="K66" s="19" t="inlineStr">
        <is>
          <t>ㄧㄨ</t>
        </is>
      </c>
      <c r="L66" s="19" t="n"/>
      <c r="M66" s="23">
        <f>LEN(C66)</f>
        <v/>
      </c>
      <c r="N66" s="24" t="n"/>
      <c r="O66" s="53">
        <f>D66</f>
        <v/>
      </c>
      <c r="P66" s="19">
        <f>J66</f>
        <v/>
      </c>
      <c r="R66" s="3">
        <f>_xlfn.CONCAT(O66)</f>
        <v/>
      </c>
      <c r="S66" s="3">
        <f>IFERROR( _xlfn.CONCAT(P66, ""), "" )</f>
        <v/>
      </c>
      <c r="T66" s="25" t="n"/>
      <c r="U66" s="26">
        <f>IF(AND(P66&lt;&gt;"", O66&lt;&gt;""), "    - xform/》" &amp; R66 &amp; "/" &amp; S66 &amp; "》/", "")</f>
        <v/>
      </c>
    </row>
    <row r="67" ht="27.75" customHeight="1" s="69" thickBot="1">
      <c r="A67" s="19" t="n">
        <v>51</v>
      </c>
      <c r="B67" s="20" t="inlineStr">
        <is>
          <t>ɔ</t>
        </is>
      </c>
      <c r="C67" s="21" t="inlineStr">
        <is>
          <t>oo</t>
        </is>
      </c>
      <c r="D67" s="21" t="inlineStr">
        <is>
          <t>oo</t>
        </is>
      </c>
      <c r="E67" s="19" t="inlineStr">
        <is>
          <t>oo</t>
        </is>
      </c>
      <c r="F67" s="19" t="inlineStr">
        <is>
          <t>oo</t>
        </is>
      </c>
      <c r="G67" s="19" t="inlineStr">
        <is>
          <t>oo</t>
        </is>
      </c>
      <c r="H67" s="22" t="inlineStr">
        <is>
          <t>o͘</t>
        </is>
      </c>
      <c r="I67" s="23" t="inlineStr">
        <is>
          <t>沽舒</t>
        </is>
      </c>
      <c r="J67" s="19" t="inlineStr">
        <is>
          <t>ㆦ</t>
        </is>
      </c>
      <c r="K67" s="19" t="inlineStr">
        <is>
          <t>ㄛ</t>
        </is>
      </c>
      <c r="L67" s="19" t="n"/>
      <c r="M67" s="23">
        <f>LEN(C67)</f>
        <v/>
      </c>
      <c r="N67" s="24" t="n"/>
      <c r="O67" s="53">
        <f>D67</f>
        <v/>
      </c>
      <c r="P67" s="19">
        <f>J67</f>
        <v/>
      </c>
      <c r="R67" s="3">
        <f>_xlfn.CONCAT(O67)</f>
        <v/>
      </c>
      <c r="S67" s="3">
        <f>IFERROR( _xlfn.CONCAT(P67, ""), "" )</f>
        <v/>
      </c>
      <c r="T67" s="25" t="n"/>
      <c r="U67" s="26">
        <f>IF(AND(P67&lt;&gt;"", O67&lt;&gt;""), "    - xform/》" &amp; R67 &amp; "/" &amp; S67 &amp; "》/", "")</f>
        <v/>
      </c>
    </row>
    <row r="68" ht="27.75" customHeight="1" s="69" thickBot="1">
      <c r="A68" s="19" t="n">
        <v>53</v>
      </c>
      <c r="B68" s="20" t="inlineStr">
        <is>
          <t>əʔ/oʔ</t>
        </is>
      </c>
      <c r="C68" s="21" t="inlineStr">
        <is>
          <t>oh</t>
        </is>
      </c>
      <c r="D68" s="21" t="inlineStr">
        <is>
          <t>oh</t>
        </is>
      </c>
      <c r="E68" s="19" t="inlineStr">
        <is>
          <t>oh</t>
        </is>
      </c>
      <c r="F68" s="19" t="inlineStr">
        <is>
          <t>orh</t>
        </is>
      </c>
      <c r="G68" s="19" t="inlineStr">
        <is>
          <t>oh</t>
        </is>
      </c>
      <c r="H68" s="22" t="inlineStr">
        <is>
          <t>oh</t>
        </is>
      </c>
      <c r="I68" s="23" t="inlineStr">
        <is>
          <t>高促</t>
        </is>
      </c>
      <c r="J68" s="19" t="inlineStr">
        <is>
          <t>ㄜㆷ</t>
        </is>
      </c>
      <c r="K68" s="19" t="inlineStr">
        <is>
          <t>ㄜㄏ</t>
        </is>
      </c>
      <c r="L68" s="19" t="n"/>
      <c r="M68" s="23">
        <f>LEN(C68)</f>
        <v/>
      </c>
      <c r="N68" s="24" t="n"/>
      <c r="O68" s="53">
        <f>D68</f>
        <v/>
      </c>
      <c r="P68" s="19">
        <f>J68</f>
        <v/>
      </c>
      <c r="R68" s="3">
        <f>_xlfn.CONCAT(O68)</f>
        <v/>
      </c>
      <c r="S68" s="3">
        <f>IFERROR( _xlfn.CONCAT(P68, ""), "" )</f>
        <v/>
      </c>
      <c r="T68" s="25" t="n"/>
      <c r="U68" s="26">
        <f>IF(AND(P68&lt;&gt;"", O68&lt;&gt;""), "    - xform/》" &amp; R68 &amp; "/" &amp; S68 &amp; "》/", "")</f>
        <v/>
      </c>
    </row>
    <row r="69" ht="27.75" customHeight="1" s="69" thickBot="1">
      <c r="A69" s="19" t="n">
        <v>56</v>
      </c>
      <c r="B69" s="20" t="inlineStr">
        <is>
          <t>ɔm</t>
        </is>
      </c>
      <c r="C69" s="21" t="inlineStr">
        <is>
          <t>om</t>
        </is>
      </c>
      <c r="D69" s="21" t="inlineStr">
        <is>
          <t>om</t>
        </is>
      </c>
      <c r="E69" s="19" t="inlineStr">
        <is>
          <t>om</t>
        </is>
      </c>
      <c r="F69" s="19" t="inlineStr">
        <is>
          <t>oom</t>
        </is>
      </c>
      <c r="G69" s="19" t="inlineStr">
        <is>
          <t>om</t>
        </is>
      </c>
      <c r="H69" s="22" t="inlineStr">
        <is>
          <t>om</t>
        </is>
      </c>
      <c r="I69" s="23" t="inlineStr">
        <is>
          <t>箴舒</t>
        </is>
      </c>
      <c r="J69" s="19" t="inlineStr">
        <is>
          <t>ㆱ</t>
        </is>
      </c>
      <c r="K69" s="19" t="inlineStr">
        <is>
          <t>ㄛㄇ</t>
        </is>
      </c>
      <c r="L69" s="19" t="n"/>
      <c r="M69" s="23">
        <f>LEN(C69)</f>
        <v/>
      </c>
      <c r="N69" s="24" t="n"/>
      <c r="O69" s="53">
        <f>D69</f>
        <v/>
      </c>
      <c r="P69" s="19">
        <f>J69</f>
        <v/>
      </c>
      <c r="R69" s="3">
        <f>_xlfn.CONCAT(O69)</f>
        <v/>
      </c>
      <c r="S69" s="3">
        <f>IFERROR( _xlfn.CONCAT(P69, ""), "" )</f>
        <v/>
      </c>
      <c r="T69" s="25" t="n"/>
      <c r="U69" s="26">
        <f>IF(AND(P69&lt;&gt;"", O69&lt;&gt;""), "    - xform/》" &amp; R69 &amp;  "/"  &amp; S69 &amp;  "》/", "")</f>
        <v/>
      </c>
    </row>
    <row r="70" ht="27.75" customHeight="1" s="69" thickBot="1">
      <c r="A70" s="19" t="n">
        <v>58</v>
      </c>
      <c r="B70" s="20" t="inlineStr">
        <is>
          <t>ɔp̚</t>
        </is>
      </c>
      <c r="C70" s="21" t="inlineStr">
        <is>
          <t>op</t>
        </is>
      </c>
      <c r="D70" s="21" t="inlineStr">
        <is>
          <t>op</t>
        </is>
      </c>
      <c r="E70" s="19" t="inlineStr">
        <is>
          <t>op</t>
        </is>
      </c>
      <c r="F70" s="19" t="inlineStr">
        <is>
          <t>oop</t>
        </is>
      </c>
      <c r="G70" s="19" t="inlineStr">
        <is>
          <t>op</t>
        </is>
      </c>
      <c r="H70" s="22" t="inlineStr">
        <is>
          <t>op</t>
        </is>
      </c>
      <c r="I70" s="23" t="inlineStr">
        <is>
          <t>箴促</t>
        </is>
      </c>
      <c r="J70" s="19" t="inlineStr">
        <is>
          <t>ㆦㆴ</t>
        </is>
      </c>
      <c r="K70" s="19" t="inlineStr">
        <is>
          <t>ㄛㄅ</t>
        </is>
      </c>
      <c r="L70" s="19" t="n"/>
      <c r="M70" s="23">
        <f>LEN(C70)</f>
        <v/>
      </c>
      <c r="N70" s="24" t="n"/>
      <c r="O70" s="53">
        <f>D70</f>
        <v/>
      </c>
      <c r="P70" s="19">
        <f>J70</f>
        <v/>
      </c>
      <c r="R70" s="3">
        <f>_xlfn.CONCAT(O70)</f>
        <v/>
      </c>
      <c r="S70" s="3">
        <f>IFERROR( _xlfn.CONCAT(P70, ""), "" )</f>
        <v/>
      </c>
      <c r="T70" s="25" t="n"/>
      <c r="U70" s="26">
        <f>IF(AND(P70&lt;&gt;"", O70&lt;&gt;""), "    - xform/》" &amp; R70 &amp; "/" &amp; S70 &amp; "》/", "")</f>
        <v/>
      </c>
    </row>
    <row r="71" ht="27.75" customHeight="1" s="69" thickBot="1">
      <c r="A71" s="19" t="n">
        <v>59</v>
      </c>
      <c r="B71" s="20" t="inlineStr">
        <is>
          <t>ɔk̚</t>
        </is>
      </c>
      <c r="C71" s="21" t="inlineStr">
        <is>
          <t>ok</t>
        </is>
      </c>
      <c r="D71" s="21" t="inlineStr">
        <is>
          <t>ok</t>
        </is>
      </c>
      <c r="E71" s="19" t="inlineStr">
        <is>
          <t>ok</t>
        </is>
      </c>
      <c r="F71" s="19" t="inlineStr">
        <is>
          <t>ok</t>
        </is>
      </c>
      <c r="G71" s="19" t="inlineStr">
        <is>
          <t>ok</t>
        </is>
      </c>
      <c r="H71" s="22" t="inlineStr">
        <is>
          <t>ok</t>
        </is>
      </c>
      <c r="I71" s="23" t="inlineStr">
        <is>
          <t>公促</t>
        </is>
      </c>
      <c r="J71" s="19" t="inlineStr">
        <is>
          <t>ㆦㆻ</t>
        </is>
      </c>
      <c r="K71" s="19" t="inlineStr">
        <is>
          <t>ㄛㄍ</t>
        </is>
      </c>
      <c r="L71" s="19" t="n"/>
      <c r="M71" s="23">
        <f>LEN(C71)</f>
        <v/>
      </c>
      <c r="N71" s="24" t="n"/>
      <c r="O71" s="53">
        <f>D71</f>
        <v/>
      </c>
      <c r="P71" s="19">
        <f>J71</f>
        <v/>
      </c>
      <c r="R71" s="3">
        <f>_xlfn.CONCAT(O71)</f>
        <v/>
      </c>
      <c r="S71" s="3">
        <f>IFERROR( _xlfn.CONCAT(P71, ""), "" )</f>
        <v/>
      </c>
      <c r="T71" s="25" t="n"/>
      <c r="U71" s="26">
        <f>IF(AND(P71&lt;&gt;"", O71&lt;&gt;""), "    - xform/》" &amp; R71 &amp; "/" &amp; S71 &amp; "》/", "")</f>
        <v/>
      </c>
    </row>
    <row r="72" ht="27.75" customHeight="1" s="69" thickBot="1">
      <c r="A72" s="19" t="n">
        <v>61</v>
      </c>
      <c r="B72" s="20" t="inlineStr">
        <is>
          <t>uʔ</t>
        </is>
      </c>
      <c r="C72" s="21" t="inlineStr">
        <is>
          <t>uh</t>
        </is>
      </c>
      <c r="D72" s="21" t="inlineStr">
        <is>
          <t>uh</t>
        </is>
      </c>
      <c r="E72" s="19" t="inlineStr">
        <is>
          <t>uh</t>
        </is>
      </c>
      <c r="F72" s="19" t="inlineStr">
        <is>
          <t>uh</t>
        </is>
      </c>
      <c r="G72" s="19" t="inlineStr">
        <is>
          <t>uh</t>
        </is>
      </c>
      <c r="H72" s="22" t="inlineStr">
        <is>
          <t>uh</t>
        </is>
      </c>
      <c r="I72" s="23" t="inlineStr">
        <is>
          <t>艍促</t>
        </is>
      </c>
      <c r="J72" s="19" t="inlineStr">
        <is>
          <t>ㄨㆷ</t>
        </is>
      </c>
      <c r="K72" s="19" t="inlineStr">
        <is>
          <t>ㄨㄏ</t>
        </is>
      </c>
      <c r="L72" s="19" t="n"/>
      <c r="M72" s="23">
        <f>LEN(C72)</f>
        <v/>
      </c>
      <c r="N72" s="24" t="n"/>
      <c r="O72" s="53">
        <f>D72</f>
        <v/>
      </c>
      <c r="P72" s="19">
        <f>J72</f>
        <v/>
      </c>
      <c r="R72" s="3">
        <f>_xlfn.CONCAT(O72)</f>
        <v/>
      </c>
      <c r="S72" s="3">
        <f>IFERROR( _xlfn.CONCAT(P72, ""), "" )</f>
        <v/>
      </c>
      <c r="T72" s="25" t="n"/>
      <c r="U72" s="26">
        <f>IF(AND(P72&lt;&gt;"", O72&lt;&gt;""), "    - xform/》" &amp; R72 &amp; "/" &amp; S72 &amp; "》/", "")</f>
        <v/>
      </c>
    </row>
    <row r="73" ht="27.75" customHeight="1" s="69" thickBot="1">
      <c r="A73" s="19" t="n">
        <v>62</v>
      </c>
      <c r="B73" s="20" t="inlineStr">
        <is>
          <t>un</t>
        </is>
      </c>
      <c r="C73" s="21" t="inlineStr">
        <is>
          <t>un</t>
        </is>
      </c>
      <c r="D73" s="21" t="inlineStr">
        <is>
          <t>un</t>
        </is>
      </c>
      <c r="E73" s="19" t="inlineStr">
        <is>
          <t>un</t>
        </is>
      </c>
      <c r="F73" s="19" t="inlineStr">
        <is>
          <t>un</t>
        </is>
      </c>
      <c r="G73" s="19" t="inlineStr">
        <is>
          <t>un</t>
        </is>
      </c>
      <c r="H73" s="22" t="inlineStr">
        <is>
          <t>un</t>
        </is>
      </c>
      <c r="I73" s="23" t="inlineStr">
        <is>
          <t>君舒</t>
        </is>
      </c>
      <c r="J73" s="19" t="inlineStr">
        <is>
          <t>ㄨㄣ</t>
        </is>
      </c>
      <c r="K73" s="19" t="inlineStr">
        <is>
          <t>ㄨㄣ</t>
        </is>
      </c>
      <c r="L73" s="19" t="n"/>
      <c r="M73" s="23">
        <f>LEN(C73)</f>
        <v/>
      </c>
      <c r="N73" s="24" t="n"/>
      <c r="O73" s="53">
        <f>D73</f>
        <v/>
      </c>
      <c r="P73" s="19">
        <f>J73</f>
        <v/>
      </c>
      <c r="R73" s="3">
        <f>_xlfn.CONCAT(O73)</f>
        <v/>
      </c>
      <c r="S73" s="3">
        <f>IFERROR( _xlfn.CONCAT(P73, ""), "" )</f>
        <v/>
      </c>
      <c r="T73" s="25" t="n"/>
      <c r="U73" s="26">
        <f>IF(AND(P73&lt;&gt;"", O73&lt;&gt;""), "    - xform/》" &amp; R73 &amp; "/" &amp; S73 &amp; "》/", "")</f>
        <v/>
      </c>
    </row>
    <row r="74" ht="27.75" customHeight="1" s="69" thickBot="1">
      <c r="A74" s="19" t="n">
        <v>63</v>
      </c>
      <c r="B74" s="20" t="inlineStr">
        <is>
          <t>ut̚</t>
        </is>
      </c>
      <c r="C74" s="21" t="inlineStr">
        <is>
          <t>ut</t>
        </is>
      </c>
      <c r="D74" s="21" t="inlineStr">
        <is>
          <t>ut</t>
        </is>
      </c>
      <c r="E74" s="19" t="inlineStr">
        <is>
          <t>ut</t>
        </is>
      </c>
      <c r="F74" s="19" t="inlineStr">
        <is>
          <t>ut</t>
        </is>
      </c>
      <c r="G74" s="19" t="inlineStr">
        <is>
          <t>ut</t>
        </is>
      </c>
      <c r="H74" s="22" t="inlineStr">
        <is>
          <t>ut</t>
        </is>
      </c>
      <c r="I74" s="23" t="inlineStr">
        <is>
          <t>君促</t>
        </is>
      </c>
      <c r="J74" s="19" t="inlineStr">
        <is>
          <t>ㄨㆵ</t>
        </is>
      </c>
      <c r="K74" s="19" t="inlineStr">
        <is>
          <t>ㄨㄉ</t>
        </is>
      </c>
      <c r="L74" s="19" t="n"/>
      <c r="M74" s="23">
        <f>LEN(C74)</f>
        <v/>
      </c>
      <c r="N74" s="24" t="n"/>
      <c r="O74" s="53">
        <f>D74</f>
        <v/>
      </c>
      <c r="P74" s="19">
        <f>J74</f>
        <v/>
      </c>
      <c r="R74" s="3">
        <f>_xlfn.CONCAT(O74)</f>
        <v/>
      </c>
      <c r="S74" s="3">
        <f>IFERROR( _xlfn.CONCAT(P74, ""), "" )</f>
        <v/>
      </c>
      <c r="T74" s="25" t="n"/>
      <c r="U74" s="26">
        <f>IF(AND(P74&lt;&gt;"", O74&lt;&gt;""), "    - xform/》" &amp; R74 &amp; "/" &amp; S74 &amp; "》/", "")</f>
        <v/>
      </c>
    </row>
    <row r="75" ht="27.75" customHeight="1" s="69" thickBot="1">
      <c r="A75" s="19" t="n">
        <v>64</v>
      </c>
      <c r="B75" s="20" t="inlineStr">
        <is>
          <t>ua</t>
        </is>
      </c>
      <c r="C75" s="21" t="inlineStr">
        <is>
          <t>ua</t>
        </is>
      </c>
      <c r="D75" s="21" t="inlineStr">
        <is>
          <t>ua</t>
        </is>
      </c>
      <c r="E75" s="19" t="inlineStr">
        <is>
          <t>ua</t>
        </is>
      </c>
      <c r="F75" s="19" t="inlineStr">
        <is>
          <t>ua</t>
        </is>
      </c>
      <c r="G75" s="19" t="inlineStr">
        <is>
          <t>ua</t>
        </is>
      </c>
      <c r="H75" s="22" t="inlineStr">
        <is>
          <t>oa</t>
        </is>
      </c>
      <c r="I75" s="23" t="inlineStr">
        <is>
          <t>瓜舒</t>
        </is>
      </c>
      <c r="J75" s="19" t="inlineStr">
        <is>
          <t>ㄨㄚ</t>
        </is>
      </c>
      <c r="K75" s="19" t="inlineStr">
        <is>
          <t>ㄨㄚ</t>
        </is>
      </c>
      <c r="L75" s="19" t="n"/>
      <c r="M75" s="23">
        <f>LEN(C75)</f>
        <v/>
      </c>
      <c r="N75" s="24" t="n"/>
      <c r="O75" s="53">
        <f>D75</f>
        <v/>
      </c>
      <c r="P75" s="19">
        <f>J75</f>
        <v/>
      </c>
      <c r="R75" s="3">
        <f>_xlfn.CONCAT(O75)</f>
        <v/>
      </c>
      <c r="S75" s="3">
        <f>IFERROR( _xlfn.CONCAT(P75, ""), "" )</f>
        <v/>
      </c>
      <c r="T75" s="25" t="n"/>
      <c r="U75" s="26">
        <f>IF(AND(P75&lt;&gt;"", O75&lt;&gt;""), "    - xform/》" &amp; R75 &amp; "/" &amp; S75 &amp; "》/", "")</f>
        <v/>
      </c>
    </row>
    <row r="76" ht="27.75" customHeight="1" s="69" thickBot="1">
      <c r="A76" s="19" t="n">
        <v>74</v>
      </c>
      <c r="B76" s="20" t="inlineStr">
        <is>
          <t>ue</t>
        </is>
      </c>
      <c r="C76" s="21" t="inlineStr">
        <is>
          <t>ue</t>
        </is>
      </c>
      <c r="D76" s="21" t="inlineStr">
        <is>
          <t>ue</t>
        </is>
      </c>
      <c r="E76" s="19" t="inlineStr">
        <is>
          <t>ue</t>
        </is>
      </c>
      <c r="F76" s="19" t="inlineStr">
        <is>
          <t>ue</t>
        </is>
      </c>
      <c r="G76" s="19" t="inlineStr">
        <is>
          <t>ue</t>
        </is>
      </c>
      <c r="H76" s="22" t="inlineStr">
        <is>
          <t>oe</t>
        </is>
      </c>
      <c r="I76" s="23" t="inlineStr">
        <is>
          <t>檜舒</t>
        </is>
      </c>
      <c r="J76" s="19" t="inlineStr">
        <is>
          <t>ㄨㆤ</t>
        </is>
      </c>
      <c r="K76" s="19" t="inlineStr">
        <is>
          <t>ㄨㄝ</t>
        </is>
      </c>
      <c r="L76" s="19" t="n"/>
      <c r="M76" s="23">
        <f>LEN(C76)</f>
        <v/>
      </c>
      <c r="N76" s="24" t="n"/>
      <c r="O76" s="53">
        <f>D76</f>
        <v/>
      </c>
      <c r="P76" s="19">
        <f>J76</f>
        <v/>
      </c>
      <c r="R76" s="3">
        <f>_xlfn.CONCAT(O76)</f>
        <v/>
      </c>
      <c r="S76" s="3">
        <f>IFERROR( _xlfn.CONCAT(P76, ""), "" )</f>
        <v/>
      </c>
      <c r="T76" s="25" t="n"/>
      <c r="U76" s="26">
        <f>IF(AND(P76&lt;&gt;"", O76&lt;&gt;""), "    - xform/》" &amp; R76 &amp; "/" &amp; S76 &amp; "》/", "")</f>
        <v/>
      </c>
    </row>
    <row r="77" ht="27.75" customHeight="1" s="69" thickBot="1">
      <c r="A77" s="19" t="n">
        <v>76</v>
      </c>
      <c r="B77" s="20" t="inlineStr">
        <is>
          <t>ui</t>
        </is>
      </c>
      <c r="C77" s="21" t="inlineStr">
        <is>
          <t>ui</t>
        </is>
      </c>
      <c r="D77" s="21" t="inlineStr">
        <is>
          <t>ui</t>
        </is>
      </c>
      <c r="E77" s="19" t="inlineStr">
        <is>
          <t>ui</t>
        </is>
      </c>
      <c r="F77" s="19" t="inlineStr">
        <is>
          <t>ui</t>
        </is>
      </c>
      <c r="G77" s="19" t="inlineStr">
        <is>
          <t>ui</t>
        </is>
      </c>
      <c r="H77" s="22" t="inlineStr">
        <is>
          <t>ui</t>
        </is>
      </c>
      <c r="I77" s="23" t="inlineStr">
        <is>
          <t>規舒</t>
        </is>
      </c>
      <c r="J77" s="19" t="inlineStr">
        <is>
          <t>ㄨㄧ</t>
        </is>
      </c>
      <c r="K77" s="19" t="inlineStr">
        <is>
          <t>ㄨㄧ</t>
        </is>
      </c>
      <c r="L77" s="19" t="n"/>
      <c r="M77" s="23">
        <f>LEN(C77)</f>
        <v/>
      </c>
      <c r="N77" s="24" t="n"/>
      <c r="O77" s="53">
        <f>D77</f>
        <v/>
      </c>
      <c r="P77" s="19">
        <f>J77</f>
        <v/>
      </c>
      <c r="R77" s="3">
        <f>_xlfn.CONCAT(O77)</f>
        <v/>
      </c>
      <c r="S77" s="3">
        <f>IFERROR( _xlfn.CONCAT(P77, ""), "" )</f>
        <v/>
      </c>
      <c r="T77" s="25" t="n"/>
      <c r="U77" s="26">
        <f>IF(AND(P77&lt;&gt;"", O77&lt;&gt;""), "    - xform/》" &amp; R77 &amp; "/" &amp; S77 &amp; "》/", "")</f>
        <v/>
      </c>
    </row>
    <row r="78" ht="27.75" customHeight="1" s="69" thickBot="1">
      <c r="A78" s="19" t="n">
        <v>80</v>
      </c>
      <c r="B78" s="20" t="inlineStr">
        <is>
          <t>m̩ʔ</t>
        </is>
      </c>
      <c r="C78" s="21" t="inlineStr">
        <is>
          <t>mh</t>
        </is>
      </c>
      <c r="D78" s="21" t="inlineStr">
        <is>
          <t>mh</t>
        </is>
      </c>
      <c r="E78" s="31" t="inlineStr">
        <is>
          <t>mh</t>
        </is>
      </c>
      <c r="F78" s="31" t="inlineStr">
        <is>
          <t>mh</t>
        </is>
      </c>
      <c r="G78" s="31" t="inlineStr">
        <is>
          <t>mh</t>
        </is>
      </c>
      <c r="H78" s="31" t="inlineStr">
        <is>
          <t>mh</t>
        </is>
      </c>
      <c r="I78" s="35" t="inlineStr">
        <is>
          <t>姆促</t>
        </is>
      </c>
      <c r="J78" s="34" t="inlineStr">
        <is>
          <t>ㆬㆷ</t>
        </is>
      </c>
      <c r="K78" s="54" t="inlineStr">
        <is>
          <t>ㄇㄏ</t>
        </is>
      </c>
      <c r="L78" s="19" t="n"/>
      <c r="M78" s="23">
        <f>LEN(C78)</f>
        <v/>
      </c>
      <c r="N78" s="24" t="n"/>
      <c r="O78" s="53">
        <f>D78</f>
        <v/>
      </c>
      <c r="P78" s="19">
        <f>J78</f>
        <v/>
      </c>
      <c r="R78" s="3">
        <f>_xlfn.CONCAT(O78)</f>
        <v/>
      </c>
      <c r="S78" s="3">
        <f>IFERROR( _xlfn.CONCAT(P78, ""), "" )</f>
        <v/>
      </c>
      <c r="T78" s="25" t="n"/>
      <c r="U78" s="26">
        <f>IF(AND(P78&lt;&gt;"", O78&lt;&gt;""), "    - xform/》" &amp; R78 &amp; "/" &amp; S78 &amp; "》/", "")</f>
        <v/>
      </c>
    </row>
    <row r="79" ht="27.75" customHeight="1" s="69" thickBot="1">
      <c r="A79" s="19" t="n">
        <v>81</v>
      </c>
      <c r="B79" s="20" t="inlineStr">
        <is>
          <t>ŋ̍</t>
        </is>
      </c>
      <c r="C79" s="21" t="inlineStr">
        <is>
          <t>ng</t>
        </is>
      </c>
      <c r="D79" s="21" t="inlineStr">
        <is>
          <t>ng</t>
        </is>
      </c>
      <c r="E79" s="19" t="inlineStr">
        <is>
          <t>ng</t>
        </is>
      </c>
      <c r="F79" s="19" t="inlineStr">
        <is>
          <t>ng</t>
        </is>
      </c>
      <c r="G79" s="19" t="inlineStr">
        <is>
          <t>ng</t>
        </is>
      </c>
      <c r="H79" s="22" t="inlineStr">
        <is>
          <t>ng</t>
        </is>
      </c>
      <c r="I79" s="23" t="inlineStr">
        <is>
          <t>鋼舒</t>
        </is>
      </c>
      <c r="J79" s="19" t="inlineStr">
        <is>
          <t>ㆭ</t>
        </is>
      </c>
      <c r="K79" s="19" t="inlineStr">
        <is>
          <t>ㄥ</t>
        </is>
      </c>
      <c r="L79" s="19" t="n"/>
      <c r="M79" s="23">
        <f>LEN(C79)</f>
        <v/>
      </c>
      <c r="N79" s="24" t="n"/>
      <c r="O79" s="53">
        <f>D79</f>
        <v/>
      </c>
      <c r="P79" s="19">
        <f>J79</f>
        <v/>
      </c>
      <c r="R79" s="3">
        <f>_xlfn.CONCAT(O79)</f>
        <v/>
      </c>
      <c r="S79" s="3">
        <f>IFERROR( _xlfn.CONCAT(P79, ""), "" )</f>
        <v/>
      </c>
      <c r="T79" s="25" t="n"/>
      <c r="U79" s="26">
        <f>IF(AND(P79&lt;&gt;"", O79&lt;&gt;""), "    - xform/》" &amp; R79 &amp; "/" &amp; S79 &amp; "》/", "")</f>
        <v/>
      </c>
    </row>
    <row r="80" ht="27.75" customHeight="1" s="69" thickBot="1">
      <c r="A80" s="19" t="n">
        <v>1</v>
      </c>
      <c r="B80" s="20" t="inlineStr">
        <is>
          <t>a</t>
        </is>
      </c>
      <c r="C80" s="21" t="inlineStr">
        <is>
          <t>a</t>
        </is>
      </c>
      <c r="D80" s="21" t="inlineStr">
        <is>
          <t>a</t>
        </is>
      </c>
      <c r="E80" s="19" t="inlineStr">
        <is>
          <t>a</t>
        </is>
      </c>
      <c r="F80" s="19" t="inlineStr">
        <is>
          <t>a</t>
        </is>
      </c>
      <c r="G80" s="19" t="inlineStr">
        <is>
          <t>a</t>
        </is>
      </c>
      <c r="H80" s="22" t="inlineStr">
        <is>
          <t>a</t>
        </is>
      </c>
      <c r="I80" s="23" t="inlineStr">
        <is>
          <t>膠舒</t>
        </is>
      </c>
      <c r="J80" s="19" t="inlineStr">
        <is>
          <t>ㄚ</t>
        </is>
      </c>
      <c r="K80" s="19" t="inlineStr">
        <is>
          <t>ㄚ</t>
        </is>
      </c>
      <c r="L80" s="19" t="n"/>
      <c r="M80" s="23">
        <f>LEN(C80)</f>
        <v/>
      </c>
      <c r="N80" s="24" t="n"/>
      <c r="O80" s="53">
        <f>D80</f>
        <v/>
      </c>
      <c r="P80" s="19">
        <f>J80</f>
        <v/>
      </c>
      <c r="R80" s="3">
        <f>_xlfn.CONCAT(O80)</f>
        <v/>
      </c>
      <c r="S80" s="3">
        <f>IFERROR( _xlfn.CONCAT(P80, ""), "" )</f>
        <v/>
      </c>
      <c r="T80" s="25" t="n"/>
      <c r="U80" s="26">
        <f>IF(AND(P80&lt;&gt;"", O80&lt;&gt;""), "    - xform/》" &amp; R80 &amp; "/" &amp; S80 &amp; "》/", "")</f>
        <v/>
      </c>
    </row>
    <row r="81" ht="27.75" customHeight="1" s="69" thickBot="1">
      <c r="A81" s="19" t="n">
        <v>16</v>
      </c>
      <c r="B81" s="20" t="inlineStr">
        <is>
          <t>e</t>
        </is>
      </c>
      <c r="C81" s="21" t="inlineStr">
        <is>
          <t>e</t>
        </is>
      </c>
      <c r="D81" s="21" t="inlineStr">
        <is>
          <t>e</t>
        </is>
      </c>
      <c r="E81" s="19" t="inlineStr">
        <is>
          <t>ei</t>
        </is>
      </c>
      <c r="F81" s="19" t="inlineStr">
        <is>
          <t>e</t>
        </is>
      </c>
      <c r="G81" s="19" t="inlineStr">
        <is>
          <t>e</t>
        </is>
      </c>
      <c r="H81" s="22" t="n">
        <v>0</v>
      </c>
      <c r="I81" s="23" t="inlineStr">
        <is>
          <t>稽舒</t>
        </is>
      </c>
      <c r="J81" s="19" t="inlineStr">
        <is>
          <t>ㆤ</t>
        </is>
      </c>
      <c r="K81" s="19" t="inlineStr">
        <is>
          <t>ㄝ</t>
        </is>
      </c>
      <c r="L81" s="19" t="n"/>
      <c r="M81" s="23">
        <f>LEN(C81)</f>
        <v/>
      </c>
      <c r="N81" s="24" t="n"/>
      <c r="O81" s="53">
        <f>D81</f>
        <v/>
      </c>
      <c r="P81" s="19">
        <f>J81</f>
        <v/>
      </c>
      <c r="R81" s="3">
        <f>_xlfn.CONCAT(O81)</f>
        <v/>
      </c>
      <c r="S81" s="3">
        <f>IFERROR( _xlfn.CONCAT(P81, ""), "" )</f>
        <v/>
      </c>
      <c r="T81" s="25" t="n"/>
      <c r="U81" s="26">
        <f>IF(AND(P81&lt;&gt;"", O81&lt;&gt;""), "    - xform/》" &amp; R81 &amp; "/" &amp; S81 &amp; "》/", "")</f>
        <v/>
      </c>
    </row>
    <row r="82" ht="27.75" customHeight="1" s="69" thickBot="1">
      <c r="A82" s="19" t="n">
        <v>20</v>
      </c>
      <c r="B82" s="20" t="inlineStr">
        <is>
          <t>i</t>
        </is>
      </c>
      <c r="C82" s="21" t="inlineStr">
        <is>
          <t>i</t>
        </is>
      </c>
      <c r="D82" s="21" t="inlineStr">
        <is>
          <t>i</t>
        </is>
      </c>
      <c r="E82" s="19" t="inlineStr">
        <is>
          <t>i</t>
        </is>
      </c>
      <c r="F82" s="19" t="inlineStr">
        <is>
          <t>i</t>
        </is>
      </c>
      <c r="G82" s="19" t="inlineStr">
        <is>
          <t>i</t>
        </is>
      </c>
      <c r="H82" s="22" t="inlineStr">
        <is>
          <t>i</t>
        </is>
      </c>
      <c r="I82" s="23" t="inlineStr">
        <is>
          <t>居舒</t>
        </is>
      </c>
      <c r="J82" s="19" t="inlineStr">
        <is>
          <t>ㄧ</t>
        </is>
      </c>
      <c r="K82" s="19" t="inlineStr">
        <is>
          <t>ㄧ</t>
        </is>
      </c>
      <c r="L82" s="19" t="n"/>
      <c r="M82" s="23">
        <f>LEN(C82)</f>
        <v/>
      </c>
      <c r="N82" s="24" t="n"/>
      <c r="O82" s="53">
        <f>D82</f>
        <v/>
      </c>
      <c r="P82" s="19">
        <f>J82</f>
        <v/>
      </c>
      <c r="R82" s="3">
        <f>_xlfn.CONCAT(O82)</f>
        <v/>
      </c>
      <c r="S82" s="3">
        <f>IFERROR( _xlfn.CONCAT(P82, ""), "" )</f>
        <v/>
      </c>
      <c r="T82" s="25" t="n"/>
      <c r="U82" s="26">
        <f>IF(AND(P82&lt;&gt;"", O82&lt;&gt;""), "    - xform/》" &amp; R82 &amp; "/" &amp; S82 &amp; "》/", "")</f>
        <v/>
      </c>
    </row>
    <row r="83" ht="27.75" customHeight="1" s="69" thickBot="1">
      <c r="A83" s="19" t="n">
        <v>50</v>
      </c>
      <c r="B83" s="20" t="inlineStr">
        <is>
          <t>ə/o</t>
        </is>
      </c>
      <c r="C83" s="21" t="inlineStr">
        <is>
          <t>o</t>
        </is>
      </c>
      <c r="D83" s="21" t="inlineStr">
        <is>
          <t>o</t>
        </is>
      </c>
      <c r="E83" s="19" t="inlineStr">
        <is>
          <t>o</t>
        </is>
      </c>
      <c r="F83" s="19" t="inlineStr">
        <is>
          <t>or</t>
        </is>
      </c>
      <c r="G83" s="19" t="inlineStr">
        <is>
          <t>o</t>
        </is>
      </c>
      <c r="H83" s="22" t="inlineStr">
        <is>
          <t>o</t>
        </is>
      </c>
      <c r="I83" s="23" t="inlineStr">
        <is>
          <t>高舒</t>
        </is>
      </c>
      <c r="J83" s="19" t="inlineStr">
        <is>
          <t>ㄜ</t>
        </is>
      </c>
      <c r="K83" s="19" t="inlineStr">
        <is>
          <t>ㄜ</t>
        </is>
      </c>
      <c r="L83" s="19" t="n"/>
      <c r="M83" s="23">
        <f>LEN(C83)</f>
        <v/>
      </c>
      <c r="N83" s="24" t="n"/>
      <c r="O83" s="53">
        <f>D83</f>
        <v/>
      </c>
      <c r="P83" s="19">
        <f>J83</f>
        <v/>
      </c>
      <c r="R83" s="3">
        <f>_xlfn.CONCAT(O83)</f>
        <v/>
      </c>
      <c r="S83" s="3">
        <f>IFERROR( _xlfn.CONCAT(P83, ""), "" )</f>
        <v/>
      </c>
      <c r="T83" s="25" t="n"/>
      <c r="U83" s="26">
        <f>IF(AND(P83&lt;&gt;"", O83&lt;&gt;""), "    - xform/》" &amp; R83 &amp; "/" &amp; S83 &amp; "》/", "")</f>
        <v/>
      </c>
    </row>
    <row r="84" ht="27.75" customHeight="1" s="69" thickBot="1">
      <c r="A84" s="19" t="n">
        <v>60</v>
      </c>
      <c r="B84" s="20" t="inlineStr">
        <is>
          <t>u</t>
        </is>
      </c>
      <c r="C84" s="21" t="inlineStr">
        <is>
          <t>u</t>
        </is>
      </c>
      <c r="D84" s="21" t="inlineStr">
        <is>
          <t>u</t>
        </is>
      </c>
      <c r="E84" s="19" t="inlineStr">
        <is>
          <t>u</t>
        </is>
      </c>
      <c r="F84" s="19" t="inlineStr">
        <is>
          <t>u</t>
        </is>
      </c>
      <c r="G84" s="19" t="inlineStr">
        <is>
          <t>u</t>
        </is>
      </c>
      <c r="H84" s="22" t="inlineStr">
        <is>
          <t>u</t>
        </is>
      </c>
      <c r="I84" s="23" t="inlineStr">
        <is>
          <t>艍舒</t>
        </is>
      </c>
      <c r="J84" s="19" t="inlineStr">
        <is>
          <t>ㄨ</t>
        </is>
      </c>
      <c r="K84" s="19" t="inlineStr">
        <is>
          <t>ㄨ</t>
        </is>
      </c>
      <c r="L84" s="19" t="n"/>
      <c r="M84" s="23">
        <f>LEN(C84)</f>
        <v/>
      </c>
      <c r="N84" s="24" t="n"/>
      <c r="O84" s="53">
        <f>D84</f>
        <v/>
      </c>
      <c r="P84" s="19">
        <f>J84</f>
        <v/>
      </c>
      <c r="R84" s="3">
        <f>_xlfn.CONCAT(O84)</f>
        <v/>
      </c>
      <c r="S84" s="3">
        <f>IFERROR( _xlfn.CONCAT(P84, ""), "" )</f>
        <v/>
      </c>
      <c r="T84" s="25" t="n"/>
      <c r="U84" s="26">
        <f>IF(AND(P84&lt;&gt;"", O84&lt;&gt;""), "    - xform/》" &amp; R84 &amp; "/" &amp; S84 &amp; "》/", "")</f>
        <v/>
      </c>
    </row>
    <row r="85" ht="27.75" customHeight="1" s="69" thickBot="1">
      <c r="A85" s="19" t="n">
        <v>79</v>
      </c>
      <c r="B85" s="20" t="inlineStr">
        <is>
          <t>m̩</t>
        </is>
      </c>
      <c r="C85" s="21" t="inlineStr">
        <is>
          <t>m</t>
        </is>
      </c>
      <c r="D85" s="21" t="inlineStr">
        <is>
          <t>m</t>
        </is>
      </c>
      <c r="E85" s="19" t="inlineStr">
        <is>
          <t>m</t>
        </is>
      </c>
      <c r="F85" s="19" t="inlineStr">
        <is>
          <t>m</t>
        </is>
      </c>
      <c r="G85" s="19" t="inlineStr">
        <is>
          <t>m</t>
        </is>
      </c>
      <c r="H85" s="22" t="inlineStr">
        <is>
          <t>m</t>
        </is>
      </c>
      <c r="I85" s="23" t="inlineStr">
        <is>
          <t>姆舒</t>
        </is>
      </c>
      <c r="J85" s="19" t="inlineStr">
        <is>
          <t>ㆬ</t>
        </is>
      </c>
      <c r="K85" s="19" t="inlineStr">
        <is>
          <t>ㄇ</t>
        </is>
      </c>
      <c r="L85" s="19" t="n"/>
      <c r="M85" s="23">
        <f>LEN(C85)</f>
        <v/>
      </c>
      <c r="N85" s="24" t="n"/>
      <c r="O85" s="53">
        <f>D85</f>
        <v/>
      </c>
      <c r="P85" s="19">
        <f>J85</f>
        <v/>
      </c>
      <c r="R85" s="3">
        <f>_xlfn.CONCAT(O85)</f>
        <v/>
      </c>
      <c r="S85" s="3">
        <f>IFERROR( _xlfn.CONCAT(P85, ""), "" )</f>
        <v/>
      </c>
      <c r="T85" s="25" t="n"/>
      <c r="U85" s="26">
        <f>IF(AND(P85&lt;&gt;"", O85&lt;&gt;""), "    - xform/》" &amp; R85 &amp; "/" &amp; S85 &amp; "》/", "")</f>
        <v/>
      </c>
    </row>
    <row r="86" ht="27" customHeight="1" s="69" thickBot="1"/>
    <row r="87" ht="48.75" customHeight="1" s="69" thickBot="1">
      <c r="B87" s="11" t="inlineStr">
        <is>
          <t>Unicode 編碼</t>
        </is>
      </c>
      <c r="C87" s="11" t="inlineStr">
        <is>
          <t>實例</t>
        </is>
      </c>
      <c r="D87" s="11" t="n"/>
      <c r="E87" s="11" t="inlineStr">
        <is>
          <t>實例</t>
        </is>
      </c>
    </row>
    <row r="88" ht="27.75" customHeight="1" s="69" thickBot="1">
      <c r="B88" s="19" t="inlineStr">
        <is>
          <t>U+0303</t>
        </is>
      </c>
      <c r="C88" s="19">
        <f>HEX2DEC(VALUE(RIGHT(B88,4)))</f>
        <v/>
      </c>
      <c r="D88" s="19" t="n"/>
      <c r="E88" s="19">
        <f>_xlfn.CONCAT("a", _xlfn.UNICHAR(HEX2DEC(RIGHT(B88,4))))</f>
        <v/>
      </c>
    </row>
    <row r="89" ht="27.75" customHeight="1" s="69" thickBot="1">
      <c r="B89" s="19" t="inlineStr">
        <is>
          <t>U+0294</t>
        </is>
      </c>
      <c r="C89" s="19">
        <f>HEX2DEC(VALUE(RIGHT(B89,4)))</f>
        <v/>
      </c>
      <c r="D89" s="19" t="n"/>
      <c r="E89" s="19">
        <f>_xlfn.CONCAT("a", _xlfn.UNICHAR(HEX2DEC(RIGHT(B89,4))))</f>
        <v/>
      </c>
    </row>
    <row r="90" ht="27" customHeight="1" s="69" thickBot="1"/>
    <row r="91" ht="27" customHeight="1" s="69" thickBot="1">
      <c r="B91" s="11" t="inlineStr">
        <is>
          <t>U+0856</t>
        </is>
      </c>
      <c r="C91" s="11">
        <f>HEX2DEC(VALUE(RIGHT(B91,4)))</f>
        <v/>
      </c>
      <c r="D91" s="11" t="n"/>
      <c r="E91" s="11">
        <f>_xlfn.CONCAT("o", _xlfn.UNICHAR( RIGHT(B91,4)))</f>
        <v/>
      </c>
    </row>
    <row r="92" ht="27" customHeight="1" s="69" thickBot="1">
      <c r="B92" s="11" t="inlineStr">
        <is>
          <t>o͘</t>
        </is>
      </c>
      <c r="C92" s="11">
        <f>_xlfn.UNICODE( RIGHT(B92,1) )</f>
        <v/>
      </c>
      <c r="D92" s="11" t="n"/>
      <c r="E92" s="11">
        <f>_xlfn.CONCAT("o", _xlfn.UNICHAR(C92))</f>
        <v/>
      </c>
    </row>
    <row r="93" ht="27" customHeight="1" s="69" thickBot="1"/>
    <row r="94" ht="27" customHeight="1" s="69" thickBot="1">
      <c r="B94" s="11" t="inlineStr">
        <is>
          <t>[əŋ]</t>
        </is>
      </c>
      <c r="C94" s="11" t="inlineStr">
        <is>
          <t>ㄥ</t>
        </is>
      </c>
      <c r="D94" s="50" t="n"/>
    </row>
    <row r="95" ht="27" customHeight="1" s="69" thickBot="1">
      <c r="B95" s="11" t="inlineStr">
        <is>
          <t>[ŋ̍]</t>
        </is>
      </c>
      <c r="C95" s="11" t="inlineStr">
        <is>
          <t>ㆭ</t>
        </is>
      </c>
      <c r="D95" s="50" t="n"/>
    </row>
    <row r="97">
      <c r="A97" s="1">
        <f>"(""" &amp; _xlfn.TEXTJOIN(""",""",TRUE,G4:G85) &amp; """)"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97"/>
  <sheetViews>
    <sheetView showGridLines="0" workbookViewId="0">
      <pane ySplit="3" topLeftCell="A4" activePane="bottomLeft" state="frozen"/>
      <selection pane="bottomLeft" activeCell="G4" sqref="G4:G85"/>
    </sheetView>
  </sheetViews>
  <sheetFormatPr baseColWidth="8" defaultRowHeight="26.25"/>
  <cols>
    <col width="8.375" customWidth="1" style="2" min="1" max="1"/>
    <col width="15.375" customWidth="1" style="2" min="2" max="4"/>
    <col outlineLevel="1" width="15.375" customWidth="1" style="2" min="5" max="8"/>
    <col width="15.375" customWidth="1" style="2" min="9" max="10"/>
    <col width="7.75" customWidth="1" style="2" min="11" max="11"/>
    <col width="5.25" customWidth="1" style="2" min="12" max="12"/>
    <col width="15.125" customWidth="1" style="2" min="13" max="14"/>
    <col width="2.875" customWidth="1" style="2" min="15" max="15"/>
    <col width="13.75" bestFit="1" customWidth="1" style="3" min="16" max="16"/>
    <col outlineLevel="1" width="9" customWidth="1" style="5" min="17" max="17"/>
    <col outlineLevel="1" width="9.25" customWidth="1" style="5" min="18" max="18"/>
    <col width="16.75" customWidth="1" style="3" min="19" max="19"/>
    <col width="4.5" customWidth="1" style="2" min="20" max="20"/>
    <col width="51.75" customWidth="1" style="6" min="21" max="21"/>
    <col width="9" customWidth="1" style="2" min="22" max="22"/>
    <col width="7.5" customWidth="1" style="7" min="23" max="34"/>
    <col width="19.375" bestFit="1" customWidth="1" style="8" min="35" max="40"/>
    <col width="19.875" customWidth="1" style="8" min="41" max="43"/>
    <col width="19.875" customWidth="1" style="2" min="44" max="44"/>
    <col width="9" customWidth="1" style="2" min="45" max="45"/>
    <col width="9" customWidth="1" style="2" min="46" max="16384"/>
  </cols>
  <sheetData>
    <row r="1" ht="46.5" customHeight="1" s="69">
      <c r="A1" s="1" t="n"/>
      <c r="C1" s="1" t="n"/>
      <c r="D1" s="1" t="n"/>
      <c r="H1" s="1" t="n"/>
      <c r="I1" s="1" t="n"/>
      <c r="J1" s="1" t="n"/>
      <c r="K1" s="1" t="n"/>
      <c r="Q1" s="4" t="n"/>
    </row>
    <row r="2" ht="27" customHeight="1" s="69" thickBot="1">
      <c r="A2" s="9" t="inlineStr">
        <is>
          <t>響度優先次第： a &gt; oo &gt; (e = o) &gt; (i = u)〈低元音 &gt; 高元音 &gt; 無擦通音 &gt; 擦音 &gt; 塞音〉</t>
        </is>
      </c>
      <c r="C2" s="1" t="n"/>
      <c r="D2" s="1" t="n"/>
      <c r="H2" s="1" t="n"/>
      <c r="I2" s="1" t="n"/>
      <c r="J2" s="1" t="n"/>
      <c r="K2" s="1" t="n"/>
      <c r="U2" s="10" t="n"/>
      <c r="X2" s="7" t="n">
        <v>1</v>
      </c>
      <c r="Y2" s="7" t="n">
        <v>2</v>
      </c>
      <c r="Z2" s="7" t="n">
        <v>3</v>
      </c>
      <c r="AA2" s="7" t="n">
        <v>4</v>
      </c>
      <c r="AB2" s="7" t="n">
        <v>5</v>
      </c>
      <c r="AC2" s="7" t="n">
        <v>6</v>
      </c>
      <c r="AD2" s="7" t="n">
        <v>7</v>
      </c>
      <c r="AE2" s="7" t="n">
        <v>8</v>
      </c>
      <c r="AF2" s="7" t="n">
        <v>9</v>
      </c>
      <c r="AG2" s="7" t="n">
        <v>9</v>
      </c>
    </row>
    <row r="3" ht="54.75" customHeight="1" s="69" thickBot="1">
      <c r="A3" s="11" t="inlineStr">
        <is>
          <t>序號</t>
        </is>
      </c>
      <c r="B3" s="12" t="inlineStr">
        <is>
          <t>國際音標</t>
        </is>
      </c>
      <c r="C3" s="12" t="inlineStr">
        <is>
          <t>台羅拼音</t>
        </is>
      </c>
      <c r="D3" s="11" t="inlineStr">
        <is>
          <t>台語音標</t>
        </is>
      </c>
      <c r="E3" s="11" t="inlineStr">
        <is>
          <t>台語注音二式</t>
        </is>
      </c>
      <c r="F3" s="11" t="inlineStr">
        <is>
          <t>閩拼方案</t>
        </is>
      </c>
      <c r="G3" s="11" t="inlineStr">
        <is>
          <t>白話字</t>
        </is>
      </c>
      <c r="H3" s="11" t="inlineStr">
        <is>
          <t>十五音</t>
        </is>
      </c>
      <c r="I3" s="11" t="inlineStr">
        <is>
          <t>方音符號</t>
        </is>
      </c>
      <c r="J3" s="11" t="inlineStr">
        <is>
          <t>聲韻調類</t>
        </is>
      </c>
      <c r="K3" s="11" t="inlineStr">
        <is>
          <t>字長</t>
        </is>
      </c>
      <c r="L3" s="13" t="n"/>
      <c r="M3" s="11">
        <f>E3</f>
        <v/>
      </c>
      <c r="N3" s="11">
        <f>I3</f>
        <v/>
      </c>
      <c r="P3" s="11" t="inlineStr">
        <is>
          <t>台羅拼音</t>
        </is>
      </c>
      <c r="Q3" s="14" t="inlineStr">
        <is>
          <t>標調字母</t>
        </is>
      </c>
      <c r="R3" s="15" t="inlineStr">
        <is>
          <t>search()</t>
        </is>
      </c>
      <c r="S3" s="11" t="inlineStr">
        <is>
          <t>台語音標</t>
        </is>
      </c>
      <c r="U3" s="14" t="n"/>
      <c r="W3" s="16" t="n"/>
      <c r="Y3" s="17" t="inlineStr">
        <is>
          <t>U+0301</t>
        </is>
      </c>
      <c r="Z3" s="17" t="inlineStr">
        <is>
          <t>U+0300</t>
        </is>
      </c>
      <c r="AA3" s="17" t="n"/>
      <c r="AB3" s="17" t="inlineStr">
        <is>
          <t>U+030C</t>
        </is>
      </c>
      <c r="AC3" s="17" t="inlineStr">
        <is>
          <t>U+0301</t>
        </is>
      </c>
      <c r="AD3" s="17" t="inlineStr">
        <is>
          <t>U+0304</t>
        </is>
      </c>
      <c r="AE3" s="17" t="inlineStr">
        <is>
          <t>U+030D</t>
        </is>
      </c>
      <c r="AF3" s="17" t="inlineStr">
        <is>
          <t>U+030B</t>
        </is>
      </c>
      <c r="AG3" s="17" t="inlineStr">
        <is>
          <t>U+030A</t>
        </is>
      </c>
      <c r="AH3" s="18" t="n"/>
    </row>
    <row r="4" ht="27.75" customHeight="1" s="69" thickBot="1">
      <c r="A4" s="19" t="n">
        <v>1</v>
      </c>
      <c r="B4" s="20" t="inlineStr">
        <is>
          <t>a</t>
        </is>
      </c>
      <c r="C4" s="21" t="inlineStr">
        <is>
          <t>a</t>
        </is>
      </c>
      <c r="D4" s="19" t="inlineStr">
        <is>
          <t>a</t>
        </is>
      </c>
      <c r="E4" s="19" t="inlineStr">
        <is>
          <t>a</t>
        </is>
      </c>
      <c r="F4" s="19" t="inlineStr">
        <is>
          <t>a</t>
        </is>
      </c>
      <c r="G4" s="22" t="inlineStr">
        <is>
          <t>a</t>
        </is>
      </c>
      <c r="H4" s="23" t="inlineStr">
        <is>
          <t>膠舒</t>
        </is>
      </c>
      <c r="I4" s="19" t="inlineStr">
        <is>
          <t>ㄚ</t>
        </is>
      </c>
      <c r="J4" s="19" t="n"/>
      <c r="K4" s="23">
        <f>LEN(C4)</f>
        <v/>
      </c>
      <c r="L4" s="24" t="n"/>
      <c r="M4" s="19">
        <f>E4</f>
        <v/>
      </c>
      <c r="N4" s="19">
        <f>I4</f>
        <v/>
      </c>
      <c r="P4" s="3">
        <f>_xlfn.CONCAT(M4, "(\d)")</f>
        <v/>
      </c>
      <c r="Q4" s="5" t="inlineStr">
        <is>
          <t>a</t>
        </is>
      </c>
      <c r="R4" s="5">
        <f>IFERROR( IF(Q4="", "", SEARCH(Q4, $M4)), "")</f>
        <v/>
      </c>
      <c r="S4" s="3">
        <f>IFERROR( _xlfn.CONCAT(LEFT(M4,R4-1), "》", MID(M4,R4,1), "${1}", RIGHT(M4, LEN(M4)-R4)), "" )</f>
        <v/>
      </c>
      <c r="T4" s="25" t="n"/>
      <c r="U4" s="26">
        <f>IF(AND(N4&lt;&gt;"", M4&lt;&gt;""), "    - xform/》" &amp; P4 &amp;  "/"  &amp; S4 &amp;  "/", "")</f>
        <v/>
      </c>
      <c r="W4" s="7" t="inlineStr">
        <is>
          <t>a</t>
        </is>
      </c>
      <c r="X4" s="27">
        <f>_xlfn.CONCAT($W4, IF(X$3="", "", _xlfn.UNICHAR( HEX2DEC( RIGHT(X$3,4)))))</f>
        <v/>
      </c>
      <c r="Y4" s="27">
        <f>_xlfn.CONCAT($W4, IF(Y$3="", "", _xlfn.UNICHAR( HEX2DEC( RIGHT(Y$3,4)))))</f>
        <v/>
      </c>
      <c r="Z4" s="27">
        <f>_xlfn.CONCAT($W4, IF(Z$3="", "", _xlfn.UNICHAR( HEX2DEC( RIGHT(Z$3,4)))))</f>
        <v/>
      </c>
      <c r="AA4" s="27">
        <f>_xlfn.CONCAT($W4, IF(AA$3="", "", _xlfn.UNICHAR( HEX2DEC( RIGHT(AA$3,4)))))</f>
        <v/>
      </c>
      <c r="AB4" s="27">
        <f>_xlfn.CONCAT($W4, IF(AB$3="", "", _xlfn.UNICHAR( HEX2DEC( RIGHT(AB$3,4)))))</f>
        <v/>
      </c>
      <c r="AC4" s="27">
        <f>_xlfn.CONCAT($W4, IF(AC$3="", "", _xlfn.UNICHAR( HEX2DEC( RIGHT(AC$3,4)))))</f>
        <v/>
      </c>
      <c r="AD4" s="27">
        <f>_xlfn.CONCAT($W4, IF(AD$3="", "", _xlfn.UNICHAR( HEX2DEC( RIGHT(AD$3,4)))))</f>
        <v/>
      </c>
      <c r="AE4" s="27">
        <f>_xlfn.CONCAT($W4, IF(AE$3="", "", _xlfn.UNICHAR( HEX2DEC( RIGHT(AE$3,4)))))</f>
        <v/>
      </c>
      <c r="AF4" s="27">
        <f>_xlfn.CONCAT($W4, IF(AF$3="", "", _xlfn.UNICHAR( HEX2DEC( RIGHT(AF$3,4)))))</f>
        <v/>
      </c>
      <c r="AG4" s="27">
        <f>_xlfn.CONCAT($W4, IF(AG$3="", "", _xlfn.UNICHAR( HEX2DEC( RIGHT(AG$3,4)))))</f>
        <v/>
      </c>
      <c r="AI4" s="28">
        <f>_xlfn.CONCAT("    - xform/》", $W4, X$2, "/", X4, "/")</f>
        <v/>
      </c>
      <c r="AJ4" s="28">
        <f>_xlfn.CONCAT("    - xform/》", $W4, Y$2, "/", Y4, "/")</f>
        <v/>
      </c>
      <c r="AK4" s="28">
        <f>_xlfn.CONCAT("    - xform/》", $W4, Z$2, "/", Z4, "/")</f>
        <v/>
      </c>
      <c r="AL4" s="28">
        <f>_xlfn.CONCAT("    - xform/》", $W4, AA$2, "/", AA4, "/")</f>
        <v/>
      </c>
      <c r="AM4" s="28">
        <f>_xlfn.CONCAT("    - xform/》", $W4, AB$2, "/", AB4, "/")</f>
        <v/>
      </c>
      <c r="AN4" s="28">
        <f>_xlfn.CONCAT("    - xform/》", $W4, AC$2, "/", AC4, "/")</f>
        <v/>
      </c>
      <c r="AO4" s="28">
        <f>_xlfn.CONCAT("    - xform/》", $W4, AD$2, "/", AD4, "/")</f>
        <v/>
      </c>
      <c r="AP4" s="28">
        <f>_xlfn.CONCAT("    - xform/》", $W4, AE$2, "/", AE4, "/")</f>
        <v/>
      </c>
      <c r="AQ4" s="28">
        <f>_xlfn.CONCAT("    - xform/》", $W4, AF$2, "/", AF4, "/")</f>
        <v/>
      </c>
      <c r="AR4" s="28">
        <f>_xlfn.CONCAT("    - xform/》", $W4, AG$2, "/", AG4, "/")</f>
        <v/>
      </c>
      <c r="AS4" s="27" t="n"/>
      <c r="AT4" s="27" t="n"/>
      <c r="AU4" s="7" t="n"/>
    </row>
    <row r="5" ht="27.75" customHeight="1" s="69" thickBot="1">
      <c r="A5" s="19" t="n">
        <v>2</v>
      </c>
      <c r="B5" s="20" t="inlineStr">
        <is>
          <t>ã</t>
        </is>
      </c>
      <c r="C5" s="21" t="inlineStr">
        <is>
          <t>ann</t>
        </is>
      </c>
      <c r="D5" s="19" t="inlineStr">
        <is>
          <t>ann</t>
        </is>
      </c>
      <c r="E5" s="19" t="inlineStr">
        <is>
          <t>ann</t>
        </is>
      </c>
      <c r="F5" s="19" t="inlineStr">
        <is>
          <t>na</t>
        </is>
      </c>
      <c r="G5" s="22" t="inlineStr">
        <is>
          <t>aⁿ</t>
        </is>
      </c>
      <c r="H5" s="23" t="inlineStr">
        <is>
          <t>監舒</t>
        </is>
      </c>
      <c r="I5" s="19" t="inlineStr">
        <is>
          <t>ㆩ</t>
        </is>
      </c>
      <c r="J5" s="29" t="inlineStr">
        <is>
          <t>韻-鼻</t>
        </is>
      </c>
      <c r="K5" s="23">
        <f>LEN(C5)</f>
        <v/>
      </c>
      <c r="L5" s="24" t="n"/>
      <c r="M5" s="19">
        <f>E5</f>
        <v/>
      </c>
      <c r="N5" s="19">
        <f>I5</f>
        <v/>
      </c>
      <c r="P5" s="3">
        <f>_xlfn.CONCAT(M5, "(\d)")</f>
        <v/>
      </c>
      <c r="Q5" s="30" t="inlineStr">
        <is>
          <t>a</t>
        </is>
      </c>
      <c r="R5" s="5">
        <f>IFERROR( IF(Q5="", "", SEARCH(Q5, $M5)), "")</f>
        <v/>
      </c>
      <c r="S5" s="3">
        <f>IFERROR( _xlfn.CONCAT(LEFT(M5,R5-1), "》", MID(M5,R5,1), "${1}", RIGHT(M5, LEN(M5)-R5)), "" )</f>
        <v/>
      </c>
      <c r="T5" s="25" t="n"/>
      <c r="U5" s="26">
        <f>IF(AND(N5&lt;&gt;"", M5&lt;&gt;""), "    - xform/》" &amp; P5 &amp;  "/"  &amp; S5 &amp;  "/", "")</f>
        <v/>
      </c>
      <c r="W5" s="7" t="inlineStr">
        <is>
          <t>i</t>
        </is>
      </c>
      <c r="X5" s="27">
        <f>_xlfn.CONCAT($W5, IF(X$3="", "", _xlfn.UNICHAR( HEX2DEC( RIGHT(X$3,4)))))</f>
        <v/>
      </c>
      <c r="Y5" s="27">
        <f>_xlfn.CONCAT($W5, IF(Y$3="", "", _xlfn.UNICHAR( HEX2DEC( RIGHT(Y$3,4)))))</f>
        <v/>
      </c>
      <c r="Z5" s="27">
        <f>_xlfn.CONCAT($W5, IF(Z$3="", "", _xlfn.UNICHAR( HEX2DEC( RIGHT(Z$3,4)))))</f>
        <v/>
      </c>
      <c r="AA5" s="27">
        <f>_xlfn.CONCAT($W5, IF(AA$3="", "", _xlfn.UNICHAR( HEX2DEC( RIGHT(AA$3,4)))))</f>
        <v/>
      </c>
      <c r="AB5" s="27">
        <f>_xlfn.CONCAT($W5, IF(AB$3="", "", _xlfn.UNICHAR( HEX2DEC( RIGHT(AB$3,4)))))</f>
        <v/>
      </c>
      <c r="AC5" s="27">
        <f>_xlfn.CONCAT($W5, IF(AC$3="", "", _xlfn.UNICHAR( HEX2DEC( RIGHT(AC$3,4)))))</f>
        <v/>
      </c>
      <c r="AD5" s="27">
        <f>_xlfn.CONCAT($W5, IF(AD$3="", "", _xlfn.UNICHAR( HEX2DEC( RIGHT(AD$3,4)))))</f>
        <v/>
      </c>
      <c r="AE5" s="27">
        <f>_xlfn.CONCAT($W5, IF(AE$3="", "", _xlfn.UNICHAR( HEX2DEC( RIGHT(AE$3,4)))))</f>
        <v/>
      </c>
      <c r="AF5" s="27">
        <f>_xlfn.CONCAT($W5, IF(AF$3="", "", _xlfn.UNICHAR( HEX2DEC( RIGHT(AF$3,4)))))</f>
        <v/>
      </c>
      <c r="AG5" s="27">
        <f>_xlfn.CONCAT($W5, IF(AG$3="", "", _xlfn.UNICHAR( HEX2DEC( RIGHT(AG$3,4)))))</f>
        <v/>
      </c>
      <c r="AI5" s="28">
        <f>_xlfn.CONCAT("    - xform/》", $W5, X$2, "/", X5, "/")</f>
        <v/>
      </c>
      <c r="AJ5" s="28">
        <f>_xlfn.CONCAT("    - xform/》", $W5, Y$2, "/", Y5, "/")</f>
        <v/>
      </c>
      <c r="AK5" s="28">
        <f>_xlfn.CONCAT("    - xform/》", $W5, Z$2, "/", Z5, "/")</f>
        <v/>
      </c>
      <c r="AL5" s="28">
        <f>_xlfn.CONCAT("    - xform/》", $W5, AA$2, "/", AA5, "/")</f>
        <v/>
      </c>
      <c r="AM5" s="28">
        <f>_xlfn.CONCAT("    - xform/》", $W5, AB$2, "/", AB5, "/")</f>
        <v/>
      </c>
      <c r="AN5" s="28">
        <f>_xlfn.CONCAT("    - xform/》", $W5, AC$2, "/", AC5, "/")</f>
        <v/>
      </c>
      <c r="AO5" s="28">
        <f>_xlfn.CONCAT("    - xform/》", $W5, AD$2, "/", AD5, "/")</f>
        <v/>
      </c>
      <c r="AP5" s="28">
        <f>_xlfn.CONCAT("    - xform/》", $W5, AE$2, "/", AE5, "/")</f>
        <v/>
      </c>
      <c r="AQ5" s="28">
        <f>_xlfn.CONCAT("    - xform/》", $W5, AF$2, "/", AF5, "/")</f>
        <v/>
      </c>
      <c r="AR5" s="28">
        <f>_xlfn.CONCAT("    - xform/》", $W5, AG$2, "/", AG5, "/")</f>
        <v/>
      </c>
      <c r="AS5" s="27" t="n"/>
      <c r="AT5" s="27" t="n"/>
      <c r="AU5" s="7" t="n"/>
    </row>
    <row r="6" ht="27.75" customHeight="1" s="69" thickBot="1">
      <c r="A6" s="19" t="n">
        <v>3</v>
      </c>
      <c r="B6" s="20" t="inlineStr">
        <is>
          <t>aʔ</t>
        </is>
      </c>
      <c r="C6" s="21" t="inlineStr">
        <is>
          <t>ah</t>
        </is>
      </c>
      <c r="D6" s="19" t="inlineStr">
        <is>
          <t>ah</t>
        </is>
      </c>
      <c r="E6" s="19" t="inlineStr">
        <is>
          <t>ah</t>
        </is>
      </c>
      <c r="F6" s="19" t="inlineStr">
        <is>
          <t>ah</t>
        </is>
      </c>
      <c r="G6" s="22" t="inlineStr">
        <is>
          <t>ah</t>
        </is>
      </c>
      <c r="H6" s="23" t="inlineStr">
        <is>
          <t>膠促</t>
        </is>
      </c>
      <c r="I6" s="19" t="inlineStr">
        <is>
          <t>ㄚㆷ</t>
        </is>
      </c>
      <c r="J6" s="19" t="n"/>
      <c r="K6" s="23">
        <f>LEN(C6)</f>
        <v/>
      </c>
      <c r="L6" s="24" t="n"/>
      <c r="M6" s="19">
        <f>E6</f>
        <v/>
      </c>
      <c r="N6" s="19">
        <f>I6</f>
        <v/>
      </c>
      <c r="P6" s="3">
        <f>_xlfn.CONCAT(M6, "(\d)")</f>
        <v/>
      </c>
      <c r="Q6" s="5" t="inlineStr">
        <is>
          <t>a</t>
        </is>
      </c>
      <c r="R6" s="5">
        <f>IFERROR( IF(Q6="", "", SEARCH(Q6, $M6)), "")</f>
        <v/>
      </c>
      <c r="S6" s="3">
        <f>IFERROR( _xlfn.CONCAT(LEFT(M6,R6-1), "》", MID(M6,R6,1), "${1}", RIGHT(M6, LEN(M6)-R6)), "" )</f>
        <v/>
      </c>
      <c r="T6" s="25" t="n"/>
      <c r="U6" s="26">
        <f>IF(AND(N6&lt;&gt;"", M6&lt;&gt;""), "    - xform/》" &amp; P6 &amp; "/" &amp; S6 &amp; "/", "")</f>
        <v/>
      </c>
      <c r="W6" s="7" t="inlineStr">
        <is>
          <t>u</t>
        </is>
      </c>
      <c r="X6" s="27">
        <f>_xlfn.CONCAT($W6, IF(X$3="", "", _xlfn.UNICHAR( HEX2DEC( RIGHT(X$3,4)))))</f>
        <v/>
      </c>
      <c r="Y6" s="27">
        <f>_xlfn.CONCAT($W6, IF(Y$3="", "", _xlfn.UNICHAR( HEX2DEC( RIGHT(Y$3,4)))))</f>
        <v/>
      </c>
      <c r="Z6" s="27">
        <f>_xlfn.CONCAT($W6, IF(Z$3="", "", _xlfn.UNICHAR( HEX2DEC( RIGHT(Z$3,4)))))</f>
        <v/>
      </c>
      <c r="AA6" s="27">
        <f>_xlfn.CONCAT($W6, IF(AA$3="", "", _xlfn.UNICHAR( HEX2DEC( RIGHT(AA$3,4)))))</f>
        <v/>
      </c>
      <c r="AB6" s="27">
        <f>_xlfn.CONCAT($W6, IF(AB$3="", "", _xlfn.UNICHAR( HEX2DEC( RIGHT(AB$3,4)))))</f>
        <v/>
      </c>
      <c r="AC6" s="27">
        <f>_xlfn.CONCAT($W6, IF(AC$3="", "", _xlfn.UNICHAR( HEX2DEC( RIGHT(AC$3,4)))))</f>
        <v/>
      </c>
      <c r="AD6" s="27">
        <f>_xlfn.CONCAT($W6, IF(AD$3="", "", _xlfn.UNICHAR( HEX2DEC( RIGHT(AD$3,4)))))</f>
        <v/>
      </c>
      <c r="AE6" s="27">
        <f>_xlfn.CONCAT($W6, IF(AE$3="", "", _xlfn.UNICHAR( HEX2DEC( RIGHT(AE$3,4)))))</f>
        <v/>
      </c>
      <c r="AF6" s="27">
        <f>_xlfn.CONCAT($W6, IF(AF$3="", "", _xlfn.UNICHAR( HEX2DEC( RIGHT(AF$3,4)))))</f>
        <v/>
      </c>
      <c r="AG6" s="27">
        <f>_xlfn.CONCAT($W6, IF(AG$3="", "", _xlfn.UNICHAR( HEX2DEC( RIGHT(AG$3,4)))))</f>
        <v/>
      </c>
      <c r="AI6" s="28">
        <f>_xlfn.CONCAT("    - xform/》", $W6, X$2, "/", X6, "/")</f>
        <v/>
      </c>
      <c r="AJ6" s="28">
        <f>_xlfn.CONCAT("    - xform/》", $W6, Y$2, "/", Y6, "/")</f>
        <v/>
      </c>
      <c r="AK6" s="28">
        <f>_xlfn.CONCAT("    - xform/》", $W6, Z$2, "/", Z6, "/")</f>
        <v/>
      </c>
      <c r="AL6" s="28">
        <f>_xlfn.CONCAT("    - xform/》", $W6, AA$2, "/", AA6, "/")</f>
        <v/>
      </c>
      <c r="AM6" s="28">
        <f>_xlfn.CONCAT("    - xform/》", $W6, AB$2, "/", AB6, "/")</f>
        <v/>
      </c>
      <c r="AN6" s="28">
        <f>_xlfn.CONCAT("    - xform/》", $W6, AC$2, "/", AC6, "/")</f>
        <v/>
      </c>
      <c r="AO6" s="28">
        <f>_xlfn.CONCAT("    - xform/》", $W6, AD$2, "/", AD6, "/")</f>
        <v/>
      </c>
      <c r="AP6" s="28">
        <f>_xlfn.CONCAT("    - xform/》", $W6, AE$2, "/", AE6, "/")</f>
        <v/>
      </c>
      <c r="AQ6" s="28">
        <f>_xlfn.CONCAT("    - xform/》", $W6, AF$2, "/", AF6, "/")</f>
        <v/>
      </c>
      <c r="AR6" s="28">
        <f>_xlfn.CONCAT("    - xform/》", $W6, AG$2, "/", AG6, "/")</f>
        <v/>
      </c>
      <c r="AS6" s="27" t="n"/>
      <c r="AT6" s="27" t="n"/>
      <c r="AU6" s="7" t="n"/>
    </row>
    <row r="7" ht="27.75" customHeight="1" s="69" thickBot="1">
      <c r="A7" s="19" t="n">
        <v>4</v>
      </c>
      <c r="B7" s="20" t="inlineStr">
        <is>
          <t>ãʔ</t>
        </is>
      </c>
      <c r="C7" s="21" t="inlineStr">
        <is>
          <t>annh</t>
        </is>
      </c>
      <c r="D7" s="19" t="inlineStr">
        <is>
          <t>ahnn</t>
        </is>
      </c>
      <c r="E7" s="19" t="inlineStr">
        <is>
          <t>annh</t>
        </is>
      </c>
      <c r="F7" s="31" t="inlineStr">
        <is>
          <t>nah</t>
        </is>
      </c>
      <c r="G7" s="22" t="inlineStr">
        <is>
          <t>ahⁿ</t>
        </is>
      </c>
      <c r="H7" s="23" t="inlineStr">
        <is>
          <t>監促</t>
        </is>
      </c>
      <c r="I7" s="19" t="inlineStr">
        <is>
          <t>ㆩㆷ</t>
        </is>
      </c>
      <c r="J7" s="29" t="inlineStr">
        <is>
          <t>韻-鼻</t>
        </is>
      </c>
      <c r="K7" s="23">
        <f>LEN(C7)</f>
        <v/>
      </c>
      <c r="L7" s="24" t="n"/>
      <c r="M7" s="19">
        <f>E7</f>
        <v/>
      </c>
      <c r="N7" s="19">
        <f>I7</f>
        <v/>
      </c>
      <c r="P7" s="3">
        <f>_xlfn.CONCAT(M7, "(\d)")</f>
        <v/>
      </c>
      <c r="Q7" s="5" t="inlineStr">
        <is>
          <t>a</t>
        </is>
      </c>
      <c r="R7" s="5">
        <f>IFERROR( IF(Q7="", "", SEARCH(Q7, $M7)), "")</f>
        <v/>
      </c>
      <c r="S7" s="3">
        <f>IFERROR( _xlfn.CONCAT(LEFT(M7,R7-1), "》", MID(M7,R7,1), "${1}", RIGHT(M7, LEN(M7)-R7)), "" )</f>
        <v/>
      </c>
      <c r="T7" s="25" t="n"/>
      <c r="U7" s="26">
        <f>IF(AND(N7&lt;&gt;"", M7&lt;&gt;""), "    - xform/》" &amp; P7 &amp; "/" &amp; S7 &amp; "/", "")</f>
        <v/>
      </c>
      <c r="W7" s="7" t="inlineStr">
        <is>
          <t>e</t>
        </is>
      </c>
      <c r="X7" s="27">
        <f>_xlfn.CONCAT($W7, IF(X$3="", "", _xlfn.UNICHAR( HEX2DEC( RIGHT(X$3,4)))))</f>
        <v/>
      </c>
      <c r="Y7" s="27">
        <f>_xlfn.CONCAT($W7, IF(Y$3="", "", _xlfn.UNICHAR( HEX2DEC( RIGHT(Y$3,4)))))</f>
        <v/>
      </c>
      <c r="Z7" s="27">
        <f>_xlfn.CONCAT($W7, IF(Z$3="", "", _xlfn.UNICHAR( HEX2DEC( RIGHT(Z$3,4)))))</f>
        <v/>
      </c>
      <c r="AA7" s="27">
        <f>_xlfn.CONCAT($W7, IF(AA$3="", "", _xlfn.UNICHAR( HEX2DEC( RIGHT(AA$3,4)))))</f>
        <v/>
      </c>
      <c r="AB7" s="27">
        <f>_xlfn.CONCAT($W7, IF(AB$3="", "", _xlfn.UNICHAR( HEX2DEC( RIGHT(AB$3,4)))))</f>
        <v/>
      </c>
      <c r="AC7" s="27">
        <f>_xlfn.CONCAT($W7, IF(AC$3="", "", _xlfn.UNICHAR( HEX2DEC( RIGHT(AC$3,4)))))</f>
        <v/>
      </c>
      <c r="AD7" s="27">
        <f>_xlfn.CONCAT($W7, IF(AD$3="", "", _xlfn.UNICHAR( HEX2DEC( RIGHT(AD$3,4)))))</f>
        <v/>
      </c>
      <c r="AE7" s="27">
        <f>_xlfn.CONCAT($W7, IF(AE$3="", "", _xlfn.UNICHAR( HEX2DEC( RIGHT(AE$3,4)))))</f>
        <v/>
      </c>
      <c r="AF7" s="27">
        <f>_xlfn.CONCAT($W7, IF(AF$3="", "", _xlfn.UNICHAR( HEX2DEC( RIGHT(AF$3,4)))))</f>
        <v/>
      </c>
      <c r="AG7" s="27">
        <f>_xlfn.CONCAT($W7, IF(AG$3="", "", _xlfn.UNICHAR( HEX2DEC( RIGHT(AG$3,4)))))</f>
        <v/>
      </c>
      <c r="AI7" s="28">
        <f>_xlfn.CONCAT("    - xform/》", $W7, X$2, "/", X7, "/")</f>
        <v/>
      </c>
      <c r="AJ7" s="28">
        <f>_xlfn.CONCAT("    - xform/》", $W7, Y$2, "/", Y7, "/")</f>
        <v/>
      </c>
      <c r="AK7" s="28">
        <f>_xlfn.CONCAT("    - xform/》", $W7, Z$2, "/", Z7, "/")</f>
        <v/>
      </c>
      <c r="AL7" s="28">
        <f>_xlfn.CONCAT("    - xform/》", $W7, AA$2, "/", AA7, "/")</f>
        <v/>
      </c>
      <c r="AM7" s="28">
        <f>_xlfn.CONCAT("    - xform/》", $W7, AB$2, "/", AB7, "/")</f>
        <v/>
      </c>
      <c r="AN7" s="28">
        <f>_xlfn.CONCAT("    - xform/》", $W7, AC$2, "/", AC7, "/")</f>
        <v/>
      </c>
      <c r="AO7" s="28">
        <f>_xlfn.CONCAT("    - xform/》", $W7, AD$2, "/", AD7, "/")</f>
        <v/>
      </c>
      <c r="AP7" s="28">
        <f>_xlfn.CONCAT("    - xform/》", $W7, AE$2, "/", AE7, "/")</f>
        <v/>
      </c>
      <c r="AQ7" s="28">
        <f>_xlfn.CONCAT("    - xform/》", $W7, AF$2, "/", AF7, "/")</f>
        <v/>
      </c>
      <c r="AR7" s="28">
        <f>_xlfn.CONCAT("    - xform/》", $W7, AG$2, "/", AG7, "/")</f>
        <v/>
      </c>
      <c r="AS7" s="27" t="n"/>
      <c r="AT7" s="27" t="n"/>
      <c r="AU7" s="7" t="n"/>
    </row>
    <row r="8" ht="27.75" customHeight="1" s="69" thickBot="1">
      <c r="A8" s="19" t="n">
        <v>5</v>
      </c>
      <c r="B8" s="20" t="inlineStr">
        <is>
          <t>am</t>
        </is>
      </c>
      <c r="C8" s="21" t="inlineStr">
        <is>
          <t>am</t>
        </is>
      </c>
      <c r="D8" s="19" t="inlineStr">
        <is>
          <t>am</t>
        </is>
      </c>
      <c r="E8" s="19" t="inlineStr">
        <is>
          <t>am</t>
        </is>
      </c>
      <c r="F8" s="19" t="inlineStr">
        <is>
          <t>am</t>
        </is>
      </c>
      <c r="G8" s="22" t="inlineStr">
        <is>
          <t>am</t>
        </is>
      </c>
      <c r="H8" s="23" t="inlineStr">
        <is>
          <t>甘舒</t>
        </is>
      </c>
      <c r="I8" s="19" t="inlineStr">
        <is>
          <t>ㆰ</t>
        </is>
      </c>
      <c r="J8" s="19" t="n"/>
      <c r="K8" s="23">
        <f>LEN(C8)</f>
        <v/>
      </c>
      <c r="L8" s="24" t="n"/>
      <c r="M8" s="19">
        <f>E8</f>
        <v/>
      </c>
      <c r="N8" s="19">
        <f>I8</f>
        <v/>
      </c>
      <c r="P8" s="3">
        <f>_xlfn.CONCAT(M8, "(\d)")</f>
        <v/>
      </c>
      <c r="Q8" s="5" t="inlineStr">
        <is>
          <t>a</t>
        </is>
      </c>
      <c r="R8" s="5">
        <f>IFERROR( IF(Q8="", "", SEARCH(Q8, $M8)), "")</f>
        <v/>
      </c>
      <c r="S8" s="3">
        <f>IFERROR( _xlfn.CONCAT(LEFT(M8,R8-1), "》", MID(M8,R8,1), "${1}", RIGHT(M8, LEN(M8)-R8)), "" )</f>
        <v/>
      </c>
      <c r="T8" s="25" t="n"/>
      <c r="U8" s="26">
        <f>IF(AND(N8&lt;&gt;"", M8&lt;&gt;""), "    - xform/》" &amp; P8 &amp; "/" &amp; S8 &amp; "/", "")</f>
        <v/>
      </c>
      <c r="W8" s="7" t="inlineStr">
        <is>
          <t>o</t>
        </is>
      </c>
      <c r="X8" s="27">
        <f>_xlfn.CONCAT($W8, IF(X$3="", "", _xlfn.UNICHAR( HEX2DEC( RIGHT(X$3,4)))))</f>
        <v/>
      </c>
      <c r="Y8" s="27">
        <f>_xlfn.CONCAT($W8, IF(Y$3="", "", _xlfn.UNICHAR( HEX2DEC( RIGHT(Y$3,4)))))</f>
        <v/>
      </c>
      <c r="Z8" s="27">
        <f>_xlfn.CONCAT($W8, IF(Z$3="", "", _xlfn.UNICHAR( HEX2DEC( RIGHT(Z$3,4)))))</f>
        <v/>
      </c>
      <c r="AA8" s="27">
        <f>_xlfn.CONCAT($W8, IF(AA$3="", "", _xlfn.UNICHAR( HEX2DEC( RIGHT(AA$3,4)))))</f>
        <v/>
      </c>
      <c r="AB8" s="27">
        <f>_xlfn.CONCAT($W8, IF(AB$3="", "", _xlfn.UNICHAR( HEX2DEC( RIGHT(AB$3,4)))))</f>
        <v/>
      </c>
      <c r="AC8" s="27">
        <f>_xlfn.CONCAT($W8, IF(AC$3="", "", _xlfn.UNICHAR( HEX2DEC( RIGHT(AC$3,4)))))</f>
        <v/>
      </c>
      <c r="AD8" s="27">
        <f>_xlfn.CONCAT($W8, IF(AD$3="", "", _xlfn.UNICHAR( HEX2DEC( RIGHT(AD$3,4)))))</f>
        <v/>
      </c>
      <c r="AE8" s="27">
        <f>_xlfn.CONCAT($W8, IF(AE$3="", "", _xlfn.UNICHAR( HEX2DEC( RIGHT(AE$3,4)))))</f>
        <v/>
      </c>
      <c r="AF8" s="27">
        <f>_xlfn.CONCAT($W8, IF(AF$3="", "", _xlfn.UNICHAR( HEX2DEC( RIGHT(AF$3,4)))))</f>
        <v/>
      </c>
      <c r="AG8" s="27">
        <f>_xlfn.CONCAT($W8, IF(AG$3="", "", _xlfn.UNICHAR( HEX2DEC( RIGHT(AG$3,4)))))</f>
        <v/>
      </c>
      <c r="AI8" s="28">
        <f>_xlfn.CONCAT("    - xform/》", $W8, X$2, "/", X8, "/")</f>
        <v/>
      </c>
      <c r="AJ8" s="28">
        <f>_xlfn.CONCAT("    - xform/》", $W8, Y$2, "/", Y8, "/")</f>
        <v/>
      </c>
      <c r="AK8" s="28">
        <f>_xlfn.CONCAT("    - xform/》", $W8, Z$2, "/", Z8, "/")</f>
        <v/>
      </c>
      <c r="AL8" s="28">
        <f>_xlfn.CONCAT("    - xform/》", $W8, AA$2, "/", AA8, "/")</f>
        <v/>
      </c>
      <c r="AM8" s="28">
        <f>_xlfn.CONCAT("    - xform/》", $W8, AB$2, "/", AB8, "/")</f>
        <v/>
      </c>
      <c r="AN8" s="28">
        <f>_xlfn.CONCAT("    - xform/》", $W8, AC$2, "/", AC8, "/")</f>
        <v/>
      </c>
      <c r="AO8" s="28">
        <f>_xlfn.CONCAT("    - xform/》", $W8, AD$2, "/", AD8, "/")</f>
        <v/>
      </c>
      <c r="AP8" s="28">
        <f>_xlfn.CONCAT("    - xform/》", $W8, AE$2, "/", AE8, "/")</f>
        <v/>
      </c>
      <c r="AQ8" s="28">
        <f>_xlfn.CONCAT("    - xform/》", $W8, AF$2, "/", AF8, "/")</f>
        <v/>
      </c>
      <c r="AR8" s="28">
        <f>_xlfn.CONCAT("    - xform/》", $W8, AG$2, "/", AG8, "/")</f>
        <v/>
      </c>
      <c r="AS8" s="27" t="n"/>
      <c r="AT8" s="27" t="n"/>
      <c r="AU8" s="7" t="n"/>
    </row>
    <row r="9" ht="27.75" customHeight="1" s="69" thickBot="1">
      <c r="A9" s="19" t="n">
        <v>6</v>
      </c>
      <c r="B9" s="20" t="inlineStr">
        <is>
          <t>an</t>
        </is>
      </c>
      <c r="C9" s="21" t="inlineStr">
        <is>
          <t>an</t>
        </is>
      </c>
      <c r="D9" s="19" t="inlineStr">
        <is>
          <t>an</t>
        </is>
      </c>
      <c r="E9" s="19" t="inlineStr">
        <is>
          <t>an</t>
        </is>
      </c>
      <c r="F9" s="19" t="inlineStr">
        <is>
          <t>an</t>
        </is>
      </c>
      <c r="G9" s="22" t="inlineStr">
        <is>
          <t>an</t>
        </is>
      </c>
      <c r="H9" s="23" t="inlineStr">
        <is>
          <t>干舒</t>
        </is>
      </c>
      <c r="I9" s="19" t="inlineStr">
        <is>
          <t>ㄢ</t>
        </is>
      </c>
      <c r="J9" s="19" t="n"/>
      <c r="K9" s="23">
        <f>LEN(C9)</f>
        <v/>
      </c>
      <c r="L9" s="24" t="n"/>
      <c r="M9" s="19">
        <f>E9</f>
        <v/>
      </c>
      <c r="N9" s="19">
        <f>I9</f>
        <v/>
      </c>
      <c r="P9" s="3">
        <f>_xlfn.CONCAT(M9, "(\d)")</f>
        <v/>
      </c>
      <c r="Q9" s="5" t="inlineStr">
        <is>
          <t>a</t>
        </is>
      </c>
      <c r="R9" s="5">
        <f>IFERROR( IF(Q9="", "", SEARCH(Q9, $M9)), "")</f>
        <v/>
      </c>
      <c r="S9" s="3">
        <f>IFERROR( _xlfn.CONCAT(LEFT(M9,R9-1), "》", MID(M9,R9,1), "${1}", RIGHT(M9, LEN(M9)-R9)), "" )</f>
        <v/>
      </c>
      <c r="T9" s="25" t="n"/>
      <c r="U9" s="26">
        <f>IF(AND(N9&lt;&gt;"", M9&lt;&gt;""), "    - xform/》" &amp; P9 &amp; "/" &amp; S9 &amp; "/", "")</f>
        <v/>
      </c>
      <c r="W9" s="7" t="inlineStr">
        <is>
          <t>m</t>
        </is>
      </c>
      <c r="X9" s="27">
        <f>_xlfn.CONCAT($W9, IF(X$3="", "", _xlfn.UNICHAR( HEX2DEC( RIGHT(X$3,4)))))</f>
        <v/>
      </c>
      <c r="Y9" s="27">
        <f>_xlfn.CONCAT($W9, IF(Y$3="", "", _xlfn.UNICHAR( HEX2DEC( RIGHT(Y$3,4)))))</f>
        <v/>
      </c>
      <c r="Z9" s="27">
        <f>_xlfn.CONCAT($W9, IF(Z$3="", "", _xlfn.UNICHAR( HEX2DEC( RIGHT(Z$3,4)))))</f>
        <v/>
      </c>
      <c r="AA9" s="27">
        <f>_xlfn.CONCAT($W9, IF(AA$3="", "", _xlfn.UNICHAR( HEX2DEC( RIGHT(AA$3,4)))))</f>
        <v/>
      </c>
      <c r="AB9" s="27">
        <f>_xlfn.CONCAT($W9, IF(AB$3="", "", _xlfn.UNICHAR( HEX2DEC( RIGHT(AB$3,4)))))</f>
        <v/>
      </c>
      <c r="AC9" s="27">
        <f>_xlfn.CONCAT($W9, IF(AC$3="", "", _xlfn.UNICHAR( HEX2DEC( RIGHT(AC$3,4)))))</f>
        <v/>
      </c>
      <c r="AD9" s="27">
        <f>_xlfn.CONCAT($W9, IF(AD$3="", "", _xlfn.UNICHAR( HEX2DEC( RIGHT(AD$3,4)))))</f>
        <v/>
      </c>
      <c r="AE9" s="27">
        <f>_xlfn.CONCAT($W9, IF(AE$3="", "", _xlfn.UNICHAR( HEX2DEC( RIGHT(AE$3,4)))))</f>
        <v/>
      </c>
      <c r="AF9" s="27">
        <f>_xlfn.CONCAT($W9, IF(AF$3="", "", _xlfn.UNICHAR( HEX2DEC( RIGHT(AF$3,4)))))</f>
        <v/>
      </c>
      <c r="AG9" s="27">
        <f>_xlfn.CONCAT($W9, IF(AG$3="", "", _xlfn.UNICHAR( HEX2DEC( RIGHT(AG$3,4)))))</f>
        <v/>
      </c>
      <c r="AI9" s="28">
        <f>_xlfn.CONCAT("    - xform/》", $W9, X$2, "/", X9, "/")</f>
        <v/>
      </c>
      <c r="AJ9" s="28">
        <f>_xlfn.CONCAT("    - xform/》", $W9, Y$2, "/", Y9, "/")</f>
        <v/>
      </c>
      <c r="AK9" s="28">
        <f>_xlfn.CONCAT("    - xform/》", $W9, Z$2, "/", Z9, "/")</f>
        <v/>
      </c>
      <c r="AL9" s="28">
        <f>_xlfn.CONCAT("    - xform/》", $W9, AA$2, "/", AA9, "/")</f>
        <v/>
      </c>
      <c r="AM9" s="28">
        <f>_xlfn.CONCAT("    - xform/》", $W9, AB$2, "/", AB9, "/")</f>
        <v/>
      </c>
      <c r="AN9" s="28">
        <f>_xlfn.CONCAT("    - xform/》", $W9, AC$2, "/", AC9, "/")</f>
        <v/>
      </c>
      <c r="AO9" s="28">
        <f>_xlfn.CONCAT("    - xform/》", $W9, AD$2, "/", AD9, "/")</f>
        <v/>
      </c>
      <c r="AP9" s="28">
        <f>_xlfn.CONCAT("    - xform/》", $W9, AE$2, "/", AE9, "/")</f>
        <v/>
      </c>
      <c r="AQ9" s="28">
        <f>_xlfn.CONCAT("    - xform/》", $W9, AF$2, "/", AF9, "/")</f>
        <v/>
      </c>
      <c r="AR9" s="28">
        <f>_xlfn.CONCAT("    - xform/》", $W9, AG$2, "/", AG9, "/")</f>
        <v/>
      </c>
      <c r="AS9" s="27" t="n"/>
      <c r="AT9" s="27" t="n"/>
      <c r="AU9" s="7" t="n"/>
    </row>
    <row r="10" ht="27.75" customHeight="1" s="69" thickBot="1">
      <c r="A10" s="19" t="n">
        <v>7</v>
      </c>
      <c r="B10" s="20" t="inlineStr">
        <is>
          <t>aŋ</t>
        </is>
      </c>
      <c r="C10" s="21" t="inlineStr">
        <is>
          <t>ang</t>
        </is>
      </c>
      <c r="D10" s="19" t="inlineStr">
        <is>
          <t>ang</t>
        </is>
      </c>
      <c r="E10" s="19" t="inlineStr">
        <is>
          <t>ang</t>
        </is>
      </c>
      <c r="F10" s="19" t="inlineStr">
        <is>
          <t>ang</t>
        </is>
      </c>
      <c r="G10" s="22" t="inlineStr">
        <is>
          <t>ang</t>
        </is>
      </c>
      <c r="H10" s="23" t="inlineStr">
        <is>
          <t>江舒</t>
        </is>
      </c>
      <c r="I10" s="19" t="inlineStr">
        <is>
          <t>ㄤ</t>
        </is>
      </c>
      <c r="J10" s="19" t="n"/>
      <c r="K10" s="23">
        <f>LEN(C10)</f>
        <v/>
      </c>
      <c r="L10" s="24" t="n"/>
      <c r="M10" s="19">
        <f>E10</f>
        <v/>
      </c>
      <c r="N10" s="19">
        <f>I10</f>
        <v/>
      </c>
      <c r="P10" s="3">
        <f>_xlfn.CONCAT(M10, "(\d)")</f>
        <v/>
      </c>
      <c r="Q10" s="5" t="inlineStr">
        <is>
          <t>a</t>
        </is>
      </c>
      <c r="R10" s="5">
        <f>IFERROR( IF(Q10="", "", SEARCH(Q10, $M10)), "")</f>
        <v/>
      </c>
      <c r="S10" s="3">
        <f>IFERROR( _xlfn.CONCAT(LEFT(M10,R10-1), "》", MID(M10,R10,1), "${1}", RIGHT(M10, LEN(M10)-R10)), "" )</f>
        <v/>
      </c>
      <c r="T10" s="25" t="n"/>
      <c r="U10" s="26">
        <f>IF(AND(N10&lt;&gt;"", M10&lt;&gt;""), "    - xform/》" &amp; P10 &amp; "/" &amp; S10 &amp; "/", "")</f>
        <v/>
      </c>
      <c r="W10" s="7" t="inlineStr">
        <is>
          <t>n</t>
        </is>
      </c>
      <c r="X10" s="27">
        <f>_xlfn.CONCAT($W10, IF(X$3="", "", _xlfn.UNICHAR( HEX2DEC( RIGHT(X$3,4)))))</f>
        <v/>
      </c>
      <c r="Y10" s="27">
        <f>_xlfn.CONCAT($W10, IF(Y$3="", "", _xlfn.UNICHAR( HEX2DEC( RIGHT(Y$3,4)))))</f>
        <v/>
      </c>
      <c r="Z10" s="27">
        <f>_xlfn.CONCAT($W10, IF(Z$3="", "", _xlfn.UNICHAR( HEX2DEC( RIGHT(Z$3,4)))))</f>
        <v/>
      </c>
      <c r="AA10" s="27">
        <f>_xlfn.CONCAT($W10, IF(AA$3="", "", _xlfn.UNICHAR( HEX2DEC( RIGHT(AA$3,4)))))</f>
        <v/>
      </c>
      <c r="AB10" s="27">
        <f>_xlfn.CONCAT($W10, IF(AB$3="", "", _xlfn.UNICHAR( HEX2DEC( RIGHT(AB$3,4)))))</f>
        <v/>
      </c>
      <c r="AC10" s="27">
        <f>_xlfn.CONCAT($W10, IF(AC$3="", "", _xlfn.UNICHAR( HEX2DEC( RIGHT(AC$3,4)))))</f>
        <v/>
      </c>
      <c r="AD10" s="27">
        <f>_xlfn.CONCAT($W10, IF(AD$3="", "", _xlfn.UNICHAR( HEX2DEC( RIGHT(AD$3,4)))))</f>
        <v/>
      </c>
      <c r="AE10" s="27">
        <f>_xlfn.CONCAT($W10, IF(AE$3="", "", _xlfn.UNICHAR( HEX2DEC( RIGHT(AE$3,4)))))</f>
        <v/>
      </c>
      <c r="AF10" s="27">
        <f>_xlfn.CONCAT($W10, IF(AF$3="", "", _xlfn.UNICHAR( HEX2DEC( RIGHT(AF$3,4)))))</f>
        <v/>
      </c>
      <c r="AG10" s="27">
        <f>_xlfn.CONCAT($W10, IF(AG$3="", "", _xlfn.UNICHAR( HEX2DEC( RIGHT(AG$3,4)))))</f>
        <v/>
      </c>
      <c r="AI10" s="28">
        <f>_xlfn.CONCAT("    - xform/》", $W10, X$2, "/", X10, "/")</f>
        <v/>
      </c>
      <c r="AJ10" s="28">
        <f>_xlfn.CONCAT("    - xform/》", $W10, Y$2, "/", Y10, "/")</f>
        <v/>
      </c>
      <c r="AK10" s="28">
        <f>_xlfn.CONCAT("    - xform/》", $W10, Z$2, "/", Z10, "/")</f>
        <v/>
      </c>
      <c r="AL10" s="28">
        <f>_xlfn.CONCAT("    - xform/》", $W10, AA$2, "/", AA10, "/")</f>
        <v/>
      </c>
      <c r="AM10" s="28">
        <f>_xlfn.CONCAT("    - xform/》", $W10, AB$2, "/", AB10, "/")</f>
        <v/>
      </c>
      <c r="AN10" s="28">
        <f>_xlfn.CONCAT("    - xform/》", $W10, AC$2, "/", AC10, "/")</f>
        <v/>
      </c>
      <c r="AO10" s="28">
        <f>_xlfn.CONCAT("    - xform/》", $W10, AD$2, "/", AD10, "/")</f>
        <v/>
      </c>
      <c r="AP10" s="28">
        <f>_xlfn.CONCAT("    - xform/》", $W10, AE$2, "/", AE10, "/")</f>
        <v/>
      </c>
      <c r="AQ10" s="28">
        <f>_xlfn.CONCAT("    - xform/》", $W10, AF$2, "/", AF10, "/")</f>
        <v/>
      </c>
      <c r="AR10" s="28">
        <f>_xlfn.CONCAT("    - xform/》", $W10, AG$2, "/", AG10, "/")</f>
        <v/>
      </c>
      <c r="AS10" s="27" t="n"/>
      <c r="AT10" s="27" t="n"/>
      <c r="AU10" s="7" t="n"/>
    </row>
    <row r="11" ht="27.75" customHeight="1" s="69" thickBot="1">
      <c r="A11" s="19" t="n">
        <v>8</v>
      </c>
      <c r="B11" s="20" t="inlineStr">
        <is>
          <t>ap̚</t>
        </is>
      </c>
      <c r="C11" s="21" t="inlineStr">
        <is>
          <t>ap</t>
        </is>
      </c>
      <c r="D11" s="19" t="inlineStr">
        <is>
          <t>ap</t>
        </is>
      </c>
      <c r="E11" s="19" t="inlineStr">
        <is>
          <t>ap</t>
        </is>
      </c>
      <c r="F11" s="19" t="inlineStr">
        <is>
          <t>ap</t>
        </is>
      </c>
      <c r="G11" s="22" t="inlineStr">
        <is>
          <t>ap</t>
        </is>
      </c>
      <c r="H11" s="23" t="inlineStr">
        <is>
          <t>甘促</t>
        </is>
      </c>
      <c r="I11" s="19" t="inlineStr">
        <is>
          <t>ㄚㆴ</t>
        </is>
      </c>
      <c r="J11" s="19" t="n"/>
      <c r="K11" s="23">
        <f>LEN(C11)</f>
        <v/>
      </c>
      <c r="L11" s="24" t="n"/>
      <c r="M11" s="19">
        <f>E11</f>
        <v/>
      </c>
      <c r="N11" s="19">
        <f>I11</f>
        <v/>
      </c>
      <c r="P11" s="3">
        <f>_xlfn.CONCAT(M11, "(\d)")</f>
        <v/>
      </c>
      <c r="Q11" s="5" t="inlineStr">
        <is>
          <t>a</t>
        </is>
      </c>
      <c r="R11" s="5">
        <f>IFERROR( IF(Q11="", "", SEARCH(Q11, $M11)), "")</f>
        <v/>
      </c>
      <c r="S11" s="3">
        <f>IFERROR( _xlfn.CONCAT(LEFT(M11,R11-1), "》", MID(M11,R11,1), "${1}", RIGHT(M11, LEN(M11)-R11)), "" )</f>
        <v/>
      </c>
      <c r="T11" s="25" t="n"/>
      <c r="U11" s="26">
        <f>IF(AND(N11&lt;&gt;"", M11&lt;&gt;""), "    - xform/》" &amp; P11 &amp; "/" &amp; S11 &amp; "/", "")</f>
        <v/>
      </c>
    </row>
    <row r="12" ht="27.75" customHeight="1" s="69" thickBot="1">
      <c r="A12" s="19" t="n">
        <v>9</v>
      </c>
      <c r="B12" s="20" t="inlineStr">
        <is>
          <t>at̚</t>
        </is>
      </c>
      <c r="C12" s="21" t="inlineStr">
        <is>
          <t>at</t>
        </is>
      </c>
      <c r="D12" s="19" t="inlineStr">
        <is>
          <t>at</t>
        </is>
      </c>
      <c r="E12" s="19" t="inlineStr">
        <is>
          <t>at</t>
        </is>
      </c>
      <c r="F12" s="19" t="inlineStr">
        <is>
          <t>at</t>
        </is>
      </c>
      <c r="G12" s="22" t="inlineStr">
        <is>
          <t>at</t>
        </is>
      </c>
      <c r="H12" s="23" t="inlineStr">
        <is>
          <t>干促</t>
        </is>
      </c>
      <c r="I12" s="19" t="inlineStr">
        <is>
          <t>ㄚㆵ</t>
        </is>
      </c>
      <c r="J12" s="19" t="n"/>
      <c r="K12" s="23">
        <f>LEN(C12)</f>
        <v/>
      </c>
      <c r="L12" s="24" t="n"/>
      <c r="M12" s="19">
        <f>E12</f>
        <v/>
      </c>
      <c r="N12" s="19">
        <f>I12</f>
        <v/>
      </c>
      <c r="P12" s="3">
        <f>_xlfn.CONCAT(M12, "(\d)")</f>
        <v/>
      </c>
      <c r="Q12" s="5" t="inlineStr">
        <is>
          <t>o</t>
        </is>
      </c>
      <c r="R12" s="5">
        <f>IFERROR( IF(Q12="", "", SEARCH(Q12, $M12)), "")</f>
        <v/>
      </c>
      <c r="S12" s="3">
        <f>IFERROR( _xlfn.CONCAT(LEFT(M12,R12-1), "》", MID(M12,R12,1), "${1}", RIGHT(M12, LEN(M12)-R12)), "" )</f>
        <v/>
      </c>
      <c r="T12" s="25" t="n"/>
      <c r="U12" s="26">
        <f>IF(AND(N12&lt;&gt;"", M12&lt;&gt;""), "    - xform/》" &amp; P12 &amp; "/" &amp; S12 &amp; "/", "")</f>
        <v/>
      </c>
    </row>
    <row r="13" ht="27.75" customHeight="1" s="69" thickBot="1">
      <c r="A13" s="19" t="n">
        <v>10</v>
      </c>
      <c r="B13" s="20" t="inlineStr">
        <is>
          <t>ak̚</t>
        </is>
      </c>
      <c r="C13" s="21" t="inlineStr">
        <is>
          <t>ak</t>
        </is>
      </c>
      <c r="D13" s="19" t="inlineStr">
        <is>
          <t>ak</t>
        </is>
      </c>
      <c r="E13" s="19" t="inlineStr">
        <is>
          <t>ak</t>
        </is>
      </c>
      <c r="F13" s="19" t="inlineStr">
        <is>
          <t>ak</t>
        </is>
      </c>
      <c r="G13" s="22" t="inlineStr">
        <is>
          <t>ak</t>
        </is>
      </c>
      <c r="H13" s="23" t="inlineStr">
        <is>
          <t>江促</t>
        </is>
      </c>
      <c r="I13" s="19" t="inlineStr">
        <is>
          <t>ㄚㆻ</t>
        </is>
      </c>
      <c r="J13" s="19" t="n"/>
      <c r="K13" s="23">
        <f>LEN(C13)</f>
        <v/>
      </c>
      <c r="L13" s="24" t="n"/>
      <c r="M13" s="19">
        <f>E13</f>
        <v/>
      </c>
      <c r="N13" s="19">
        <f>I13</f>
        <v/>
      </c>
      <c r="P13" s="3">
        <f>_xlfn.CONCAT(M13, "(\d)")</f>
        <v/>
      </c>
      <c r="Q13" s="5" t="inlineStr">
        <is>
          <t>e</t>
        </is>
      </c>
      <c r="R13" s="5">
        <f>IFERROR( IF(Q13="", "", SEARCH(Q13, $M13)), "")</f>
        <v/>
      </c>
      <c r="S13" s="3">
        <f>IFERROR( _xlfn.CONCAT(LEFT(M13,R13-1), "》", MID(M13,R13,1), "${1}", RIGHT(M13, LEN(M13)-R13)), "" )</f>
        <v/>
      </c>
      <c r="T13" s="25" t="n"/>
      <c r="U13" s="26">
        <f>IF(AND(N13&lt;&gt;"", M13&lt;&gt;""), "    - xform/》" &amp; P13 &amp; "/" &amp; S13 &amp; "/", "")</f>
        <v/>
      </c>
    </row>
    <row r="14" ht="27.75" customHeight="1" s="69" thickBot="1">
      <c r="A14" s="19" t="n">
        <v>11</v>
      </c>
      <c r="B14" s="20" t="inlineStr">
        <is>
          <t>aɪ</t>
        </is>
      </c>
      <c r="C14" s="21" t="inlineStr">
        <is>
          <t>ai</t>
        </is>
      </c>
      <c r="D14" s="19" t="inlineStr">
        <is>
          <t>ai</t>
        </is>
      </c>
      <c r="E14" s="19" t="inlineStr">
        <is>
          <t>ai</t>
        </is>
      </c>
      <c r="F14" s="19" t="inlineStr">
        <is>
          <t>ai</t>
        </is>
      </c>
      <c r="G14" s="22" t="inlineStr">
        <is>
          <t>ai</t>
        </is>
      </c>
      <c r="H14" s="23" t="inlineStr">
        <is>
          <t>皆舒</t>
        </is>
      </c>
      <c r="I14" s="19" t="inlineStr">
        <is>
          <t>ㄞ</t>
        </is>
      </c>
      <c r="J14" s="19" t="n"/>
      <c r="K14" s="23">
        <f>LEN(C14)</f>
        <v/>
      </c>
      <c r="L14" s="24" t="n"/>
      <c r="M14" s="19">
        <f>E14</f>
        <v/>
      </c>
      <c r="N14" s="19">
        <f>I14</f>
        <v/>
      </c>
      <c r="P14" s="3">
        <f>_xlfn.CONCAT(M14, "(\d)")</f>
        <v/>
      </c>
      <c r="Q14" s="5" t="inlineStr">
        <is>
          <t>o</t>
        </is>
      </c>
      <c r="R14" s="5">
        <f>IFERROR( IF(Q14="", "", SEARCH(Q14, $M14)), "")</f>
        <v/>
      </c>
      <c r="S14" s="3">
        <f>IFERROR( _xlfn.CONCAT(LEFT(M14,R14-1), "》", MID(M14,R14,1), "${1}", RIGHT(M14, LEN(M14)-R14)), "" )</f>
        <v/>
      </c>
      <c r="T14" s="25" t="n"/>
      <c r="U14" s="26">
        <f>IF(AND(N14&lt;&gt;"", M14&lt;&gt;""), "    - xform/》" &amp; P14 &amp; "/" &amp; S14 &amp; "/", "")</f>
        <v/>
      </c>
    </row>
    <row r="15" ht="27.75" customHeight="1" s="69" thickBot="1">
      <c r="A15" s="19" t="n">
        <v>12</v>
      </c>
      <c r="B15" s="20" t="inlineStr">
        <is>
          <t>ãɪ</t>
        </is>
      </c>
      <c r="C15" s="21" t="inlineStr">
        <is>
          <t>ainn</t>
        </is>
      </c>
      <c r="D15" s="19" t="inlineStr">
        <is>
          <t>ainn</t>
        </is>
      </c>
      <c r="E15" s="19" t="inlineStr">
        <is>
          <t>ainn</t>
        </is>
      </c>
      <c r="F15" s="19" t="inlineStr">
        <is>
          <t>nai</t>
        </is>
      </c>
      <c r="G15" s="22" t="inlineStr">
        <is>
          <t>aiⁿ</t>
        </is>
      </c>
      <c r="H15" s="23" t="inlineStr">
        <is>
          <t>閒舒</t>
        </is>
      </c>
      <c r="I15" s="19" t="inlineStr">
        <is>
          <t>ㆮ</t>
        </is>
      </c>
      <c r="J15" s="29" t="inlineStr">
        <is>
          <t>韻-鼻</t>
        </is>
      </c>
      <c r="K15" s="23">
        <f>LEN(C15)</f>
        <v/>
      </c>
      <c r="L15" s="24" t="n"/>
      <c r="M15" s="19">
        <f>E15</f>
        <v/>
      </c>
      <c r="N15" s="19">
        <f>I15</f>
        <v/>
      </c>
      <c r="P15" s="3">
        <f>_xlfn.CONCAT(M15, "(\d)")</f>
        <v/>
      </c>
      <c r="Q15" s="5" t="inlineStr">
        <is>
          <t>a</t>
        </is>
      </c>
      <c r="R15" s="5">
        <f>IFERROR( IF(Q15="", "", SEARCH(Q15, $M15)), "")</f>
        <v/>
      </c>
      <c r="S15" s="3">
        <f>IFERROR( _xlfn.CONCAT(LEFT(M15,R15-1), "》", MID(M15,R15,1), "${1}", RIGHT(M15, LEN(M15)-R15)), "" )</f>
        <v/>
      </c>
      <c r="T15" s="25" t="n"/>
      <c r="U15" s="26">
        <f>IF(AND(N15&lt;&gt;"", M15&lt;&gt;""), "    - xform/》" &amp; P15 &amp; "/" &amp; S15 &amp; "/", "")</f>
        <v/>
      </c>
    </row>
    <row r="16" ht="30.75" customHeight="1" s="69" thickBot="1">
      <c r="A16" s="19" t="n">
        <v>13</v>
      </c>
      <c r="B16" s="20" t="inlineStr">
        <is>
          <t>aɪʔ</t>
        </is>
      </c>
      <c r="C16" s="21" t="inlineStr">
        <is>
          <t>aih</t>
        </is>
      </c>
      <c r="D16" s="31" t="inlineStr">
        <is>
          <t>aih</t>
        </is>
      </c>
      <c r="E16" s="31" t="inlineStr">
        <is>
          <t>aih</t>
        </is>
      </c>
      <c r="F16" s="31" t="inlineStr">
        <is>
          <t>aih</t>
        </is>
      </c>
      <c r="G16" s="31" t="inlineStr">
        <is>
          <t>aih</t>
        </is>
      </c>
      <c r="H16" s="32" t="inlineStr">
        <is>
          <t>皆促</t>
        </is>
      </c>
      <c r="I16" s="33" t="inlineStr">
        <is>
          <t>ㄞㆷ</t>
        </is>
      </c>
      <c r="J16" s="19" t="n"/>
      <c r="K16" s="23">
        <f>LEN(C16)</f>
        <v/>
      </c>
      <c r="L16" s="24" t="n"/>
      <c r="M16" s="19">
        <f>E16</f>
        <v/>
      </c>
      <c r="N16" s="19">
        <f>I16</f>
        <v/>
      </c>
      <c r="P16" s="3">
        <f>_xlfn.CONCAT(M16, "(\d)")</f>
        <v/>
      </c>
      <c r="Q16" s="5" t="inlineStr">
        <is>
          <t>a</t>
        </is>
      </c>
      <c r="R16" s="5">
        <f>IFERROR( IF(Q16="", "", SEARCH(Q16, $M16)), "")</f>
        <v/>
      </c>
      <c r="S16" s="3">
        <f>IFERROR( _xlfn.CONCAT(LEFT(M16,R16-1), "》", MID(M16,R16,1), "${1}", RIGHT(M16, LEN(M16)-R16)), "" )</f>
        <v/>
      </c>
      <c r="T16" s="25" t="n"/>
      <c r="U16" s="26">
        <f>IF(AND(N16&lt;&gt;"", M16&lt;&gt;""), "    - xform/》" &amp; P16 &amp; "/" &amp; S16 &amp; "/", "")</f>
        <v/>
      </c>
    </row>
    <row r="17" ht="27.75" customHeight="1" s="69" thickBot="1">
      <c r="A17" s="19" t="n">
        <v>14</v>
      </c>
      <c r="B17" s="20" t="inlineStr">
        <is>
          <t>au</t>
        </is>
      </c>
      <c r="C17" s="21" t="inlineStr">
        <is>
          <t>au</t>
        </is>
      </c>
      <c r="D17" s="19" t="inlineStr">
        <is>
          <t>au</t>
        </is>
      </c>
      <c r="E17" s="19" t="inlineStr">
        <is>
          <t>au</t>
        </is>
      </c>
      <c r="F17" s="19" t="inlineStr">
        <is>
          <t>ao</t>
        </is>
      </c>
      <c r="G17" s="22" t="inlineStr">
        <is>
          <t>au</t>
        </is>
      </c>
      <c r="H17" s="23" t="inlineStr">
        <is>
          <t>交舒</t>
        </is>
      </c>
      <c r="I17" s="19" t="inlineStr">
        <is>
          <t>ㄠ</t>
        </is>
      </c>
      <c r="J17" s="19" t="n"/>
      <c r="K17" s="23">
        <f>LEN(C17)</f>
        <v/>
      </c>
      <c r="L17" s="24" t="n"/>
      <c r="M17" s="19">
        <f>E17</f>
        <v/>
      </c>
      <c r="N17" s="19">
        <f>I17</f>
        <v/>
      </c>
      <c r="P17" s="3">
        <f>_xlfn.CONCAT(M17, "(\d)")</f>
        <v/>
      </c>
      <c r="Q17" s="5" t="inlineStr">
        <is>
          <t>a</t>
        </is>
      </c>
      <c r="R17" s="5">
        <f>IFERROR( IF(Q17="", "", SEARCH(Q17, $M17)), "")</f>
        <v/>
      </c>
      <c r="S17" s="3">
        <f>IFERROR( _xlfn.CONCAT(LEFT(M17,R17-1), "》", MID(M17,R17,1), "${1}", RIGHT(M17, LEN(M17)-R17)), "" )</f>
        <v/>
      </c>
      <c r="T17" s="25" t="n"/>
      <c r="U17" s="26">
        <f>IF(AND(N17&lt;&gt;"", M17&lt;&gt;""), "    - xform/》" &amp; P17 &amp; "/" &amp; S17 &amp; "/", "")</f>
        <v/>
      </c>
    </row>
    <row r="18" ht="27.75" customHeight="1" s="69" thickBot="1">
      <c r="A18" s="19" t="n">
        <v>15</v>
      </c>
      <c r="B18" s="20" t="inlineStr">
        <is>
          <t>auʔ</t>
        </is>
      </c>
      <c r="C18" s="21" t="inlineStr">
        <is>
          <t>auh</t>
        </is>
      </c>
      <c r="D18" s="19" t="inlineStr">
        <is>
          <t>auh</t>
        </is>
      </c>
      <c r="E18" s="19" t="inlineStr">
        <is>
          <t>auh</t>
        </is>
      </c>
      <c r="F18" s="19" t="inlineStr">
        <is>
          <t>aoh</t>
        </is>
      </c>
      <c r="G18" s="22" t="inlineStr">
        <is>
          <t>auh</t>
        </is>
      </c>
      <c r="H18" s="23" t="inlineStr">
        <is>
          <t>交促</t>
        </is>
      </c>
      <c r="I18" s="19" t="inlineStr">
        <is>
          <t>ㄠㆷ</t>
        </is>
      </c>
      <c r="J18" s="19" t="n"/>
      <c r="K18" s="23">
        <f>LEN(C18)</f>
        <v/>
      </c>
      <c r="L18" s="24" t="n"/>
      <c r="M18" s="19">
        <f>E18</f>
        <v/>
      </c>
      <c r="N18" s="19">
        <f>I18</f>
        <v/>
      </c>
      <c r="P18" s="3">
        <f>_xlfn.CONCAT(M18, "(\d)")</f>
        <v/>
      </c>
      <c r="Q18" s="5" t="inlineStr">
        <is>
          <t>a</t>
        </is>
      </c>
      <c r="R18" s="5">
        <f>IFERROR( IF(Q18="", "", SEARCH(Q18, $M18)), "")</f>
        <v/>
      </c>
      <c r="S18" s="3">
        <f>IFERROR( _xlfn.CONCAT(LEFT(M18,R18-1), "》", MID(M18,R18,1), "${1}", RIGHT(M18, LEN(M18)-R18)), "" )</f>
        <v/>
      </c>
      <c r="T18" s="25" t="n"/>
      <c r="U18" s="26">
        <f>IF(AND(N18&lt;&gt;"", M18&lt;&gt;""), "    - xform/》" &amp; P18 &amp; "/" &amp; S18 &amp; "/", "")</f>
        <v/>
      </c>
    </row>
    <row r="19" ht="27.75" customHeight="1" s="69" thickBot="1">
      <c r="A19" s="19" t="n">
        <v>16</v>
      </c>
      <c r="B19" s="20" t="inlineStr">
        <is>
          <t>e</t>
        </is>
      </c>
      <c r="C19" s="21" t="inlineStr">
        <is>
          <t>e</t>
        </is>
      </c>
      <c r="D19" s="19" t="inlineStr">
        <is>
          <t>ei</t>
        </is>
      </c>
      <c r="E19" s="19" t="inlineStr">
        <is>
          <t>e</t>
        </is>
      </c>
      <c r="F19" s="19" t="inlineStr">
        <is>
          <t>e</t>
        </is>
      </c>
      <c r="G19" s="22" t="n">
        <v>0</v>
      </c>
      <c r="H19" s="23" t="inlineStr">
        <is>
          <t>稽舒</t>
        </is>
      </c>
      <c r="I19" s="19" t="inlineStr">
        <is>
          <t>ㆤ</t>
        </is>
      </c>
      <c r="J19" s="19" t="n"/>
      <c r="K19" s="23">
        <f>LEN(C19)</f>
        <v/>
      </c>
      <c r="L19" s="24" t="n"/>
      <c r="M19" s="19">
        <f>E19</f>
        <v/>
      </c>
      <c r="N19" s="19">
        <f>I19</f>
        <v/>
      </c>
      <c r="P19" s="3">
        <f>_xlfn.CONCAT(M19, "(\d)")</f>
        <v/>
      </c>
      <c r="Q19" s="5" t="inlineStr">
        <is>
          <t>i</t>
        </is>
      </c>
      <c r="R19" s="5">
        <f>IFERROR( IF(Q19="", "", SEARCH(Q19, $M19)), "")</f>
        <v/>
      </c>
      <c r="S19" s="3">
        <f>IFERROR( _xlfn.CONCAT(LEFT(M19,R19-1), "》", MID(M19,R19,1), "${1}", RIGHT(M19, LEN(M19)-R19)), "" )</f>
        <v/>
      </c>
      <c r="T19" s="25" t="n"/>
      <c r="U19" s="26">
        <f>IF(AND(N19&lt;&gt;"", M19&lt;&gt;""), "    - xform/》" &amp; P19 &amp; "/" &amp; S19 &amp; "/", "")</f>
        <v/>
      </c>
    </row>
    <row r="20" ht="27.75" customHeight="1" s="69" thickBot="1">
      <c r="A20" s="19" t="n">
        <v>17</v>
      </c>
      <c r="B20" s="20" t="inlineStr">
        <is>
          <t>ẽ</t>
        </is>
      </c>
      <c r="C20" s="21" t="inlineStr">
        <is>
          <t>enn</t>
        </is>
      </c>
      <c r="D20" s="19" t="inlineStr">
        <is>
          <t>enn</t>
        </is>
      </c>
      <c r="E20" s="19" t="inlineStr">
        <is>
          <t>enn</t>
        </is>
      </c>
      <c r="F20" s="19" t="inlineStr">
        <is>
          <t>ne</t>
        </is>
      </c>
      <c r="G20" s="22" t="inlineStr">
        <is>
          <t>eⁿ</t>
        </is>
      </c>
      <c r="H20" s="23" t="inlineStr">
        <is>
          <t>更舒</t>
        </is>
      </c>
      <c r="I20" s="19" t="inlineStr">
        <is>
          <t>ㆥ</t>
        </is>
      </c>
      <c r="J20" s="29" t="inlineStr">
        <is>
          <t>韻-鼻</t>
        </is>
      </c>
      <c r="K20" s="23">
        <f>LEN(C20)</f>
        <v/>
      </c>
      <c r="L20" s="24" t="n"/>
      <c r="M20" s="19">
        <f>E20</f>
        <v/>
      </c>
      <c r="N20" s="19">
        <f>I20</f>
        <v/>
      </c>
      <c r="P20" s="3">
        <f>_xlfn.CONCAT(M20, "(\d)")</f>
        <v/>
      </c>
      <c r="Q20" s="5" t="inlineStr">
        <is>
          <t>i</t>
        </is>
      </c>
      <c r="R20" s="5">
        <f>IFERROR( IF(Q20="", "", SEARCH(Q20, $M20)), "")</f>
        <v/>
      </c>
      <c r="S20" s="3">
        <f>IFERROR( _xlfn.CONCAT(LEFT(M20,R20-1), "》", MID(M20,R20,1), "${1}", RIGHT(M20, LEN(M20)-R20)), "" )</f>
        <v/>
      </c>
      <c r="T20" s="25" t="n"/>
      <c r="U20" s="26">
        <f>IF(AND(N20&lt;&gt;"", M20&lt;&gt;""), "    - xform/》" &amp; P20 &amp; "/" &amp; S20 &amp; "/", "")</f>
        <v/>
      </c>
    </row>
    <row r="21" ht="27.75" customHeight="1" s="69" thickBot="1">
      <c r="A21" s="19" t="n">
        <v>18</v>
      </c>
      <c r="B21" s="20" t="inlineStr">
        <is>
          <t>eʔ</t>
        </is>
      </c>
      <c r="C21" s="21" t="inlineStr">
        <is>
          <t>eh</t>
        </is>
      </c>
      <c r="D21" s="19" t="inlineStr">
        <is>
          <t>eh</t>
        </is>
      </c>
      <c r="E21" s="19" t="inlineStr">
        <is>
          <t>eh</t>
        </is>
      </c>
      <c r="F21" s="19" t="inlineStr">
        <is>
          <t>eh</t>
        </is>
      </c>
      <c r="G21" s="22" t="inlineStr">
        <is>
          <t>eh</t>
        </is>
      </c>
      <c r="H21" s="23" t="inlineStr">
        <is>
          <t>伽促</t>
        </is>
      </c>
      <c r="I21" s="19" t="inlineStr">
        <is>
          <t>ㆤㆷ</t>
        </is>
      </c>
      <c r="J21" s="19" t="n"/>
      <c r="K21" s="23">
        <f>LEN(C21)</f>
        <v/>
      </c>
      <c r="L21" s="24" t="n"/>
      <c r="M21" s="19">
        <f>E21</f>
        <v/>
      </c>
      <c r="N21" s="19">
        <f>I21</f>
        <v/>
      </c>
      <c r="P21" s="3">
        <f>_xlfn.CONCAT(M21, "(\d)")</f>
        <v/>
      </c>
      <c r="Q21" s="5" t="inlineStr">
        <is>
          <t>a</t>
        </is>
      </c>
      <c r="R21" s="5">
        <f>IFERROR( IF(Q21="", "", SEARCH(Q21, $M21)), "")</f>
        <v/>
      </c>
      <c r="S21" s="3">
        <f>IFERROR( _xlfn.CONCAT(LEFT(M21,R21-1), "》", MID(M21,R21,1), "${1}", RIGHT(M21, LEN(M21)-R21)), "" )</f>
        <v/>
      </c>
      <c r="T21" s="25" t="n"/>
      <c r="U21" s="26">
        <f>IF(AND(N21&lt;&gt;"", M21&lt;&gt;""), "    - xform/》" &amp; P21 &amp; "/" &amp; S21 &amp; "/", "")</f>
        <v/>
      </c>
    </row>
    <row r="22" ht="30.75" customHeight="1" s="69" thickBot="1">
      <c r="A22" s="19" t="n">
        <v>19</v>
      </c>
      <c r="B22" s="20" t="inlineStr">
        <is>
          <t>ẽʔ</t>
        </is>
      </c>
      <c r="C22" s="21" t="inlineStr">
        <is>
          <t>ennh</t>
        </is>
      </c>
      <c r="D22" s="31" t="inlineStr">
        <is>
          <t>ennh</t>
        </is>
      </c>
      <c r="E22" s="31" t="inlineStr">
        <is>
          <t>ennh</t>
        </is>
      </c>
      <c r="F22" s="31" t="inlineStr">
        <is>
          <t>ennh</t>
        </is>
      </c>
      <c r="G22" s="31" t="inlineStr">
        <is>
          <t>ennh</t>
        </is>
      </c>
      <c r="H22" s="32" t="inlineStr">
        <is>
          <t>更促</t>
        </is>
      </c>
      <c r="I22" s="34" t="inlineStr">
        <is>
          <t>ㆥㆷ</t>
        </is>
      </c>
      <c r="J22" s="29" t="inlineStr">
        <is>
          <t>韻-鼻</t>
        </is>
      </c>
      <c r="K22" s="23">
        <f>LEN(C22)</f>
        <v/>
      </c>
      <c r="L22" s="24" t="n"/>
      <c r="M22" s="19">
        <f>E22</f>
        <v/>
      </c>
      <c r="N22" s="19">
        <f>I22</f>
        <v/>
      </c>
      <c r="P22" s="3">
        <f>_xlfn.CONCAT(M22, "(\d)")</f>
        <v/>
      </c>
      <c r="Q22" s="5" t="inlineStr">
        <is>
          <t>i</t>
        </is>
      </c>
      <c r="R22" s="5">
        <f>IFERROR( IF(Q22="", "", SEARCH(Q22, $M22)), "")</f>
        <v/>
      </c>
      <c r="S22" s="3">
        <f>IFERROR( _xlfn.CONCAT(LEFT(M22,R22-1), "》", MID(M22,R22,1), "${1}", RIGHT(M22, LEN(M22)-R22)), "" )</f>
        <v/>
      </c>
      <c r="T22" s="25" t="n"/>
      <c r="U22" s="26">
        <f>IF(AND(N22&lt;&gt;"", M22&lt;&gt;""), "    - xform/》" &amp; P22 &amp; "/" &amp; S22 &amp; "/", "")</f>
        <v/>
      </c>
    </row>
    <row r="23" ht="27.75" customHeight="1" s="69" thickBot="1">
      <c r="A23" s="19" t="n">
        <v>20</v>
      </c>
      <c r="B23" s="20" t="inlineStr">
        <is>
          <t>i</t>
        </is>
      </c>
      <c r="C23" s="21" t="inlineStr">
        <is>
          <t>i</t>
        </is>
      </c>
      <c r="D23" s="19" t="inlineStr">
        <is>
          <t>i</t>
        </is>
      </c>
      <c r="E23" s="19" t="inlineStr">
        <is>
          <t>i</t>
        </is>
      </c>
      <c r="F23" s="19" t="inlineStr">
        <is>
          <t>i</t>
        </is>
      </c>
      <c r="G23" s="22" t="inlineStr">
        <is>
          <t>i</t>
        </is>
      </c>
      <c r="H23" s="23" t="inlineStr">
        <is>
          <t>居舒</t>
        </is>
      </c>
      <c r="I23" s="19" t="inlineStr">
        <is>
          <t>ㄧ</t>
        </is>
      </c>
      <c r="J23" s="19" t="n"/>
      <c r="K23" s="23">
        <f>LEN(C23)</f>
        <v/>
      </c>
      <c r="L23" s="24" t="n"/>
      <c r="M23" s="19">
        <f>E23</f>
        <v/>
      </c>
      <c r="N23" s="19">
        <f>I23</f>
        <v/>
      </c>
      <c r="P23" s="3">
        <f>_xlfn.CONCAT(M23, "(\d)")</f>
        <v/>
      </c>
      <c r="Q23" s="5" t="inlineStr">
        <is>
          <t>o</t>
        </is>
      </c>
      <c r="R23" s="5">
        <f>IFERROR( IF(Q23="", "", SEARCH(Q23, $M23)), "")</f>
        <v/>
      </c>
      <c r="S23" s="3">
        <f>IFERROR( _xlfn.CONCAT(LEFT(M23,R23-1), "》", MID(M23,R23,1), "${1}", RIGHT(M23, LEN(M23)-R23)), "" )</f>
        <v/>
      </c>
      <c r="T23" s="25" t="n"/>
      <c r="U23" s="26">
        <f>IF(AND(N23&lt;&gt;"", M23&lt;&gt;""), "    - xform/》" &amp; P23 &amp; "/" &amp; S23 &amp; "/", "")</f>
        <v/>
      </c>
    </row>
    <row r="24" ht="27.75" customHeight="1" s="69" thickBot="1">
      <c r="A24" s="19" t="n">
        <v>21</v>
      </c>
      <c r="B24" s="20" t="inlineStr">
        <is>
          <t>ĩ</t>
        </is>
      </c>
      <c r="C24" s="21" t="inlineStr">
        <is>
          <t>inn</t>
        </is>
      </c>
      <c r="D24" s="19" t="inlineStr">
        <is>
          <t>inn</t>
        </is>
      </c>
      <c r="E24" s="19" t="inlineStr">
        <is>
          <t>inn</t>
        </is>
      </c>
      <c r="F24" s="19" t="inlineStr">
        <is>
          <t>ni</t>
        </is>
      </c>
      <c r="G24" s="22" t="inlineStr">
        <is>
          <t>iⁿ</t>
        </is>
      </c>
      <c r="H24" s="23" t="inlineStr">
        <is>
          <t>梔舒</t>
        </is>
      </c>
      <c r="I24" s="19" t="inlineStr">
        <is>
          <t>ㆪ</t>
        </is>
      </c>
      <c r="J24" s="29" t="inlineStr">
        <is>
          <t>韻-鼻</t>
        </is>
      </c>
      <c r="K24" s="23">
        <f>LEN(C24)</f>
        <v/>
      </c>
      <c r="L24" s="24" t="n"/>
      <c r="M24" s="19">
        <f>E24</f>
        <v/>
      </c>
      <c r="N24" s="19">
        <f>I24</f>
        <v/>
      </c>
      <c r="P24" s="3">
        <f>_xlfn.CONCAT(M24, "(\d)")</f>
        <v/>
      </c>
      <c r="Q24" s="5" t="inlineStr">
        <is>
          <t>o</t>
        </is>
      </c>
      <c r="R24" s="5">
        <f>IFERROR( IF(Q24="", "", SEARCH(Q24, $M24)), "")</f>
        <v/>
      </c>
      <c r="S24" s="3">
        <f>IFERROR( _xlfn.CONCAT(LEFT(M24,R24-1), "》", MID(M24,R24,1), "${1}", RIGHT(M24, LEN(M24)-R24)), "" )</f>
        <v/>
      </c>
      <c r="T24" s="25" t="n"/>
      <c r="U24" s="26">
        <f>IF(AND(N24&lt;&gt;"", M24&lt;&gt;""), "    - xform/》" &amp; P24 &amp; "/" &amp; S24 &amp; "/", "")</f>
        <v/>
      </c>
    </row>
    <row r="25" ht="27.75" customHeight="1" s="69" thickBot="1">
      <c r="A25" s="19" t="n">
        <v>22</v>
      </c>
      <c r="B25" s="20" t="inlineStr">
        <is>
          <t>iʔ</t>
        </is>
      </c>
      <c r="C25" s="21" t="inlineStr">
        <is>
          <t>ih</t>
        </is>
      </c>
      <c r="D25" s="19" t="inlineStr">
        <is>
          <t>ih</t>
        </is>
      </c>
      <c r="E25" s="19" t="inlineStr">
        <is>
          <t>ih</t>
        </is>
      </c>
      <c r="F25" s="19" t="inlineStr">
        <is>
          <t>ih</t>
        </is>
      </c>
      <c r="G25" s="22" t="inlineStr">
        <is>
          <t>ih</t>
        </is>
      </c>
      <c r="H25" s="23" t="inlineStr">
        <is>
          <t>居促</t>
        </is>
      </c>
      <c r="I25" s="19" t="inlineStr">
        <is>
          <t>ㄧㆷ</t>
        </is>
      </c>
      <c r="J25" s="19" t="n"/>
      <c r="K25" s="23">
        <f>LEN(C25)</f>
        <v/>
      </c>
      <c r="L25" s="24" t="n"/>
      <c r="M25" s="19">
        <f>E25</f>
        <v/>
      </c>
      <c r="N25" s="19">
        <f>I25</f>
        <v/>
      </c>
      <c r="P25" s="3">
        <f>_xlfn.CONCAT(M25, "(\d)")</f>
        <v/>
      </c>
      <c r="Q25" s="5" t="inlineStr">
        <is>
          <t>a</t>
        </is>
      </c>
      <c r="R25" s="5">
        <f>IFERROR( IF(Q25="", "", SEARCH(Q25, $M25)), "")</f>
        <v/>
      </c>
      <c r="S25" s="3">
        <f>IFERROR( _xlfn.CONCAT(LEFT(M25,R25-1), "》", MID(M25,R25,1), "${1}", RIGHT(M25, LEN(M25)-R25)), "" )</f>
        <v/>
      </c>
      <c r="T25" s="25" t="n"/>
      <c r="U25" s="26">
        <f>IF(AND(N25&lt;&gt;"", M25&lt;&gt;""), "    - xform/》" &amp; P25 &amp; "/" &amp; S25 &amp; "/", "")</f>
        <v/>
      </c>
    </row>
    <row r="26" ht="27.75" customHeight="1" s="69" thickBot="1">
      <c r="A26" s="19" t="n">
        <v>23</v>
      </c>
      <c r="B26" s="20" t="inlineStr">
        <is>
          <t>im</t>
        </is>
      </c>
      <c r="C26" s="21" t="inlineStr">
        <is>
          <t>im</t>
        </is>
      </c>
      <c r="D26" s="19" t="inlineStr">
        <is>
          <t>im</t>
        </is>
      </c>
      <c r="E26" s="19" t="inlineStr">
        <is>
          <t>im</t>
        </is>
      </c>
      <c r="F26" s="19" t="inlineStr">
        <is>
          <t>im</t>
        </is>
      </c>
      <c r="G26" s="22" t="inlineStr">
        <is>
          <t>im</t>
        </is>
      </c>
      <c r="H26" s="23" t="inlineStr">
        <is>
          <t>金舒</t>
        </is>
      </c>
      <c r="I26" s="19" t="inlineStr">
        <is>
          <t>ㄧㆬ</t>
        </is>
      </c>
      <c r="J26" s="19" t="n"/>
      <c r="K26" s="23">
        <f>LEN(C26)</f>
        <v/>
      </c>
      <c r="L26" s="24" t="n"/>
      <c r="M26" s="19">
        <f>E26</f>
        <v/>
      </c>
      <c r="N26" s="19">
        <f>I26</f>
        <v/>
      </c>
      <c r="P26" s="3">
        <f>_xlfn.CONCAT(M26, "(\d)")</f>
        <v/>
      </c>
      <c r="Q26" s="5" t="inlineStr">
        <is>
          <t>e</t>
        </is>
      </c>
      <c r="R26" s="5">
        <f>IFERROR( IF(Q26="", "", SEARCH(Q26, $M26)), "")</f>
        <v/>
      </c>
      <c r="S26" s="3">
        <f>IFERROR( _xlfn.CONCAT(LEFT(M26,R26-1), "》", MID(M26,R26,1), "${1}", RIGHT(M26, LEN(M26)-R26)), "" )</f>
        <v/>
      </c>
      <c r="T26" s="25" t="n"/>
      <c r="U26" s="26">
        <f>IF(AND(N26&lt;&gt;"", M26&lt;&gt;""), "    - xform/》" &amp; P26 &amp; "/" &amp; S26 &amp; "/", "")</f>
        <v/>
      </c>
    </row>
    <row r="27" ht="27.75" customHeight="1" s="69" thickBot="1">
      <c r="A27" s="19" t="n">
        <v>24</v>
      </c>
      <c r="B27" s="20" t="inlineStr">
        <is>
          <t>in</t>
        </is>
      </c>
      <c r="C27" s="21" t="inlineStr">
        <is>
          <t>in</t>
        </is>
      </c>
      <c r="D27" s="19" t="inlineStr">
        <is>
          <t>in</t>
        </is>
      </c>
      <c r="E27" s="19" t="inlineStr">
        <is>
          <t>in</t>
        </is>
      </c>
      <c r="F27" s="19" t="inlineStr">
        <is>
          <t>in</t>
        </is>
      </c>
      <c r="G27" s="22" t="inlineStr">
        <is>
          <t>in</t>
        </is>
      </c>
      <c r="H27" s="23" t="inlineStr">
        <is>
          <t>巾舒</t>
        </is>
      </c>
      <c r="I27" s="19" t="inlineStr">
        <is>
          <t>ㄧㄣ</t>
        </is>
      </c>
      <c r="J27" s="19" t="n"/>
      <c r="K27" s="23">
        <f>LEN(C27)</f>
        <v/>
      </c>
      <c r="L27" s="24" t="n"/>
      <c r="M27" s="19">
        <f>E27</f>
        <v/>
      </c>
      <c r="N27" s="19">
        <f>I27</f>
        <v/>
      </c>
      <c r="P27" s="3">
        <f>_xlfn.CONCAT(M27, "(\d)")</f>
        <v/>
      </c>
      <c r="Q27" s="5" t="inlineStr">
        <is>
          <t>a</t>
        </is>
      </c>
      <c r="R27" s="5">
        <f>IFERROR( IF(Q27="", "", SEARCH(Q27, $M27)), "")</f>
        <v/>
      </c>
      <c r="S27" s="3">
        <f>IFERROR( _xlfn.CONCAT(LEFT(M27,R27-1), "》", MID(M27,R27,1), "${1}", RIGHT(M27, LEN(M27)-R27)), "" )</f>
        <v/>
      </c>
      <c r="T27" s="25" t="n"/>
      <c r="U27" s="26">
        <f>IF(AND(N27&lt;&gt;"", M27&lt;&gt;""), "    - xform/》" &amp; P27 &amp; "/" &amp; S27 &amp; "/", "")</f>
        <v/>
      </c>
    </row>
    <row r="28" ht="27.75" customHeight="1" s="69" thickBot="1">
      <c r="A28" s="19" t="n">
        <v>25</v>
      </c>
      <c r="B28" s="20" t="inlineStr">
        <is>
          <t>iŋ</t>
        </is>
      </c>
      <c r="C28" s="21" t="inlineStr">
        <is>
          <t>ing</t>
        </is>
      </c>
      <c r="D28" s="19" t="inlineStr">
        <is>
          <t>ing</t>
        </is>
      </c>
      <c r="E28" s="19" t="inlineStr">
        <is>
          <t>ing</t>
        </is>
      </c>
      <c r="F28" s="19" t="inlineStr">
        <is>
          <t>ing</t>
        </is>
      </c>
      <c r="G28" s="22" t="inlineStr">
        <is>
          <t>eng</t>
        </is>
      </c>
      <c r="H28" s="23" t="inlineStr">
        <is>
          <t>經舒</t>
        </is>
      </c>
      <c r="I28" s="19" t="inlineStr">
        <is>
          <t>ㄧㄥ</t>
        </is>
      </c>
      <c r="J28" s="19" t="n"/>
      <c r="K28" s="23">
        <f>LEN(C28)</f>
        <v/>
      </c>
      <c r="L28" s="24" t="n"/>
      <c r="M28" s="19">
        <f>E28</f>
        <v/>
      </c>
      <c r="N28" s="19">
        <f>I28</f>
        <v/>
      </c>
      <c r="P28" s="3">
        <f>_xlfn.CONCAT(M28, "(\d)")</f>
        <v/>
      </c>
      <c r="Q28" s="5" t="inlineStr">
        <is>
          <t>a</t>
        </is>
      </c>
      <c r="R28" s="5">
        <f>IFERROR( IF(Q28="", "", SEARCH(Q28, $M28)), "")</f>
        <v/>
      </c>
      <c r="S28" s="3">
        <f>IFERROR( _xlfn.CONCAT(LEFT(M28,R28-1), "》", MID(M28,R28,1), "${1}", RIGHT(M28, LEN(M28)-R28)), "" )</f>
        <v/>
      </c>
      <c r="T28" s="25" t="n"/>
      <c r="U28" s="26">
        <f>IF(AND(N28&lt;&gt;"", M28&lt;&gt;""), "    - xform/》" &amp; P28 &amp; "/" &amp; S28 &amp; "/", "")</f>
        <v/>
      </c>
    </row>
    <row r="29" ht="27.75" customHeight="1" s="69" thickBot="1">
      <c r="A29" s="19" t="n">
        <v>26</v>
      </c>
      <c r="B29" s="20" t="inlineStr">
        <is>
          <t>ip̚</t>
        </is>
      </c>
      <c r="C29" s="21" t="inlineStr">
        <is>
          <t>ip</t>
        </is>
      </c>
      <c r="D29" s="19" t="inlineStr">
        <is>
          <t>ip</t>
        </is>
      </c>
      <c r="E29" s="19" t="inlineStr">
        <is>
          <t>ip</t>
        </is>
      </c>
      <c r="F29" s="19" t="inlineStr">
        <is>
          <t>ip</t>
        </is>
      </c>
      <c r="G29" s="22" t="inlineStr">
        <is>
          <t>ip</t>
        </is>
      </c>
      <c r="H29" s="23" t="inlineStr">
        <is>
          <t>金促</t>
        </is>
      </c>
      <c r="I29" s="19" t="inlineStr">
        <is>
          <t>一ㆴ</t>
        </is>
      </c>
      <c r="J29" s="19" t="n"/>
      <c r="K29" s="23">
        <f>LEN(C29)</f>
        <v/>
      </c>
      <c r="L29" s="24" t="n"/>
      <c r="M29" s="19">
        <f>E29</f>
        <v/>
      </c>
      <c r="N29" s="19">
        <f>I29</f>
        <v/>
      </c>
      <c r="P29" s="3">
        <f>_xlfn.CONCAT(M29, "(\d)")</f>
        <v/>
      </c>
      <c r="Q29" s="5" t="inlineStr">
        <is>
          <t>a</t>
        </is>
      </c>
      <c r="R29" s="5">
        <f>IFERROR( IF(Q29="", "", SEARCH(Q29, $M29)), "")</f>
        <v/>
      </c>
      <c r="S29" s="3">
        <f>IFERROR( _xlfn.CONCAT(LEFT(M29,R29-1), "》", MID(M29,R29,1), "${1}", RIGHT(M29, LEN(M29)-R29)), "" )</f>
        <v/>
      </c>
      <c r="T29" s="25" t="n"/>
      <c r="U29" s="26">
        <f>IF(AND(N29&lt;&gt;"", M29&lt;&gt;""), "    - xform/》" &amp; P29 &amp; "/" &amp; S29 &amp; "/", "")</f>
        <v/>
      </c>
    </row>
    <row r="30" ht="27.75" customHeight="1" s="69" thickBot="1">
      <c r="A30" s="19" t="n">
        <v>27</v>
      </c>
      <c r="B30" s="20" t="inlineStr">
        <is>
          <t>it̚</t>
        </is>
      </c>
      <c r="C30" s="21" t="inlineStr">
        <is>
          <t>it</t>
        </is>
      </c>
      <c r="D30" s="19" t="inlineStr">
        <is>
          <t>it</t>
        </is>
      </c>
      <c r="E30" s="19" t="inlineStr">
        <is>
          <t>it</t>
        </is>
      </c>
      <c r="F30" s="19" t="inlineStr">
        <is>
          <t>it</t>
        </is>
      </c>
      <c r="G30" s="22" t="inlineStr">
        <is>
          <t>it</t>
        </is>
      </c>
      <c r="H30" s="23" t="inlineStr">
        <is>
          <t>巾促</t>
        </is>
      </c>
      <c r="I30" s="19" t="inlineStr">
        <is>
          <t>ㄧㆵ</t>
        </is>
      </c>
      <c r="J30" s="19" t="n"/>
      <c r="K30" s="23">
        <f>LEN(C30)</f>
        <v/>
      </c>
      <c r="L30" s="24" t="n"/>
      <c r="M30" s="19">
        <f>E30</f>
        <v/>
      </c>
      <c r="N30" s="19">
        <f>I30</f>
        <v/>
      </c>
      <c r="P30" s="3">
        <f>_xlfn.CONCAT(M30, "(\d)")</f>
        <v/>
      </c>
      <c r="Q30" s="5" t="inlineStr">
        <is>
          <t>a</t>
        </is>
      </c>
      <c r="R30" s="5">
        <f>IFERROR( IF(Q30="", "", SEARCH(Q30, $M30)), "")</f>
        <v/>
      </c>
      <c r="S30" s="3">
        <f>IFERROR( _xlfn.CONCAT(LEFT(M30,R30-1), "》", MID(M30,R30,1), "${1}", RIGHT(M30, LEN(M30)-R30)), "" )</f>
        <v/>
      </c>
      <c r="T30" s="25" t="n"/>
      <c r="U30" s="26">
        <f>IF(AND(N30&lt;&gt;"", M30&lt;&gt;""), "    - xform/》" &amp; P30 &amp; "/" &amp; S30 &amp; "/", "")</f>
        <v/>
      </c>
    </row>
    <row r="31" ht="27.75" customHeight="1" s="69" thickBot="1">
      <c r="A31" s="19" t="n">
        <v>28</v>
      </c>
      <c r="B31" s="20" t="inlineStr">
        <is>
          <t>ik̚/ɪək̚</t>
        </is>
      </c>
      <c r="C31" s="21" t="inlineStr">
        <is>
          <t>ik</t>
        </is>
      </c>
      <c r="D31" s="19" t="inlineStr">
        <is>
          <t>ik</t>
        </is>
      </c>
      <c r="E31" s="19" t="inlineStr">
        <is>
          <t>ik</t>
        </is>
      </c>
      <c r="F31" s="19" t="inlineStr">
        <is>
          <t>ik</t>
        </is>
      </c>
      <c r="G31" s="22" t="inlineStr">
        <is>
          <t>ek</t>
        </is>
      </c>
      <c r="H31" s="23" t="inlineStr">
        <is>
          <t>經促</t>
        </is>
      </c>
      <c r="I31" s="19" t="inlineStr">
        <is>
          <t>ㄧㆻ</t>
        </is>
      </c>
      <c r="J31" s="19" t="n"/>
      <c r="K31" s="23">
        <f>LEN(C31)</f>
        <v/>
      </c>
      <c r="L31" s="24" t="n"/>
      <c r="M31" s="19">
        <f>E31</f>
        <v/>
      </c>
      <c r="N31" s="19">
        <f>I31</f>
        <v/>
      </c>
      <c r="P31" s="3">
        <f>_xlfn.CONCAT(M31, "(\d)")</f>
        <v/>
      </c>
      <c r="Q31" s="5" t="inlineStr">
        <is>
          <t>a</t>
        </is>
      </c>
      <c r="R31" s="5">
        <f>IFERROR( IF(Q31="", "", SEARCH(Q31, $M31)), "")</f>
        <v/>
      </c>
      <c r="S31" s="3">
        <f>IFERROR( _xlfn.CONCAT(LEFT(M31,R31-1), "》", MID(M31,R31,1), "${1}", RIGHT(M31, LEN(M31)-R31)), "" )</f>
        <v/>
      </c>
      <c r="T31" s="25" t="n"/>
      <c r="U31" s="26">
        <f>IF(AND(N31&lt;&gt;"", M31&lt;&gt;""), "    - xform/》" &amp; P31 &amp; "/" &amp; S31 &amp; "/", "")</f>
        <v/>
      </c>
    </row>
    <row r="32" ht="27.75" customHeight="1" s="69" thickBot="1">
      <c r="A32" s="19" t="n">
        <v>29</v>
      </c>
      <c r="B32" s="20" t="inlineStr">
        <is>
          <t>ɪa</t>
        </is>
      </c>
      <c r="C32" s="21" t="inlineStr">
        <is>
          <t>ia</t>
        </is>
      </c>
      <c r="D32" s="19" t="inlineStr">
        <is>
          <t>ia</t>
        </is>
      </c>
      <c r="E32" s="19" t="inlineStr">
        <is>
          <t>ia</t>
        </is>
      </c>
      <c r="F32" s="19" t="inlineStr">
        <is>
          <t>ia</t>
        </is>
      </c>
      <c r="G32" s="22" t="inlineStr">
        <is>
          <t>ia</t>
        </is>
      </c>
      <c r="H32" s="23" t="inlineStr">
        <is>
          <t>迦舒</t>
        </is>
      </c>
      <c r="I32" s="19" t="inlineStr">
        <is>
          <t>ㄧㄚ</t>
        </is>
      </c>
      <c r="J32" s="19" t="n"/>
      <c r="K32" s="23">
        <f>LEN(C32)</f>
        <v/>
      </c>
      <c r="L32" s="24" t="n"/>
      <c r="M32" s="19">
        <f>E32</f>
        <v/>
      </c>
      <c r="N32" s="19">
        <f>I32</f>
        <v/>
      </c>
      <c r="P32" s="3">
        <f>_xlfn.CONCAT(M32, "(\d)")</f>
        <v/>
      </c>
      <c r="Q32" s="5" t="inlineStr">
        <is>
          <t>a</t>
        </is>
      </c>
      <c r="R32" s="5">
        <f>IFERROR( IF(Q32="", "", SEARCH(Q32, $M32)), "")</f>
        <v/>
      </c>
      <c r="S32" s="3">
        <f>IFERROR( _xlfn.CONCAT(LEFT(M32,R32-1), "》", MID(M32,R32,1), "${1}", RIGHT(M32, LEN(M32)-R32)), "" )</f>
        <v/>
      </c>
      <c r="T32" s="25" t="n"/>
      <c r="U32" s="26">
        <f>IF(AND(N32&lt;&gt;"", M32&lt;&gt;""), "    - xform/》" &amp; P32 &amp; "/" &amp; S32 &amp; "/", "")</f>
        <v/>
      </c>
    </row>
    <row r="33" ht="27.75" customHeight="1" s="69" thickBot="1">
      <c r="A33" s="19" t="n">
        <v>30</v>
      </c>
      <c r="B33" s="20" t="inlineStr">
        <is>
          <t>iã</t>
        </is>
      </c>
      <c r="C33" s="21" t="inlineStr">
        <is>
          <t>iann</t>
        </is>
      </c>
      <c r="D33" s="19" t="inlineStr">
        <is>
          <t>iann</t>
        </is>
      </c>
      <c r="E33" s="19" t="inlineStr">
        <is>
          <t>iann</t>
        </is>
      </c>
      <c r="F33" s="19" t="inlineStr">
        <is>
          <t>nia</t>
        </is>
      </c>
      <c r="G33" s="22" t="inlineStr">
        <is>
          <t>iaⁿ</t>
        </is>
      </c>
      <c r="H33" s="23" t="inlineStr">
        <is>
          <t>驚舒</t>
        </is>
      </c>
      <c r="I33" s="19" t="inlineStr">
        <is>
          <t>ㄧㆩ</t>
        </is>
      </c>
      <c r="J33" s="29" t="inlineStr">
        <is>
          <t>韻-鼻</t>
        </is>
      </c>
      <c r="K33" s="23">
        <f>LEN(C33)</f>
        <v/>
      </c>
      <c r="L33" s="24" t="n"/>
      <c r="M33" s="19">
        <f>E33</f>
        <v/>
      </c>
      <c r="N33" s="19">
        <f>I33</f>
        <v/>
      </c>
      <c r="P33" s="3">
        <f>_xlfn.CONCAT(M33, "(\d)")</f>
        <v/>
      </c>
      <c r="Q33" s="5" t="inlineStr">
        <is>
          <t>a</t>
        </is>
      </c>
      <c r="R33" s="5">
        <f>IFERROR( IF(Q33="", "", SEARCH(Q33, $M33)), "")</f>
        <v/>
      </c>
      <c r="S33" s="3">
        <f>IFERROR( _xlfn.CONCAT(LEFT(M33,R33-1), "》", MID(M33,R33,1), "${1}", RIGHT(M33, LEN(M33)-R33)), "" )</f>
        <v/>
      </c>
      <c r="T33" s="25" t="n"/>
      <c r="U33" s="26">
        <f>IF(AND(N33&lt;&gt;"", M33&lt;&gt;""), "    - xform/》" &amp; P33 &amp; "/" &amp; S33 &amp; "/", "")</f>
        <v/>
      </c>
    </row>
    <row r="34" ht="27.75" customHeight="1" s="69" thickBot="1">
      <c r="A34" s="19" t="n">
        <v>31</v>
      </c>
      <c r="B34" s="20" t="inlineStr">
        <is>
          <t>ɪaʔ</t>
        </is>
      </c>
      <c r="C34" s="21" t="inlineStr">
        <is>
          <t>iah</t>
        </is>
      </c>
      <c r="D34" s="19" t="inlineStr">
        <is>
          <t>iah</t>
        </is>
      </c>
      <c r="E34" s="19" t="inlineStr">
        <is>
          <t>iah</t>
        </is>
      </c>
      <c r="F34" s="19" t="inlineStr">
        <is>
          <t>iah</t>
        </is>
      </c>
      <c r="G34" s="22" t="inlineStr">
        <is>
          <t>iah</t>
        </is>
      </c>
      <c r="H34" s="23" t="inlineStr">
        <is>
          <t>迦促</t>
        </is>
      </c>
      <c r="I34" s="19" t="inlineStr">
        <is>
          <t>ㄧㄚㆷ</t>
        </is>
      </c>
      <c r="J34" s="19" t="n"/>
      <c r="K34" s="23">
        <f>LEN(C34)</f>
        <v/>
      </c>
      <c r="L34" s="24" t="n"/>
      <c r="M34" s="19">
        <f>E34</f>
        <v/>
      </c>
      <c r="N34" s="19">
        <f>I34</f>
        <v/>
      </c>
      <c r="P34" s="3">
        <f>_xlfn.CONCAT(M34, "(\d)")</f>
        <v/>
      </c>
      <c r="Q34" s="5" t="inlineStr">
        <is>
          <t>a</t>
        </is>
      </c>
      <c r="R34" s="5">
        <f>IFERROR( IF(Q34="", "", SEARCH(Q34, $M34)), "")</f>
        <v/>
      </c>
      <c r="S34" s="3">
        <f>IFERROR( _xlfn.CONCAT(LEFT(M34,R34-1), "》", MID(M34,R34,1), "${1}", RIGHT(M34, LEN(M34)-R34)), "" )</f>
        <v/>
      </c>
      <c r="T34" s="25" t="n"/>
      <c r="U34" s="26">
        <f>IF(AND(N34&lt;&gt;"", M34&lt;&gt;""), "    - xform/》" &amp; P34 &amp; "/" &amp; S34 &amp; "/", "")</f>
        <v/>
      </c>
    </row>
    <row r="35" ht="30.75" customHeight="1" s="69" thickBot="1">
      <c r="A35" s="19" t="n">
        <v>32</v>
      </c>
      <c r="B35" s="20" t="inlineStr">
        <is>
          <t>iãʔ</t>
        </is>
      </c>
      <c r="C35" s="21" t="inlineStr">
        <is>
          <t>iannh</t>
        </is>
      </c>
      <c r="D35" s="31" t="inlineStr">
        <is>
          <t>iannh</t>
        </is>
      </c>
      <c r="E35" s="31" t="inlineStr">
        <is>
          <t>iannh</t>
        </is>
      </c>
      <c r="F35" s="31" t="inlineStr">
        <is>
          <t>iannh</t>
        </is>
      </c>
      <c r="G35" s="31" t="inlineStr">
        <is>
          <t>iaⁿh</t>
        </is>
      </c>
      <c r="H35" s="32" t="inlineStr">
        <is>
          <t>迦促</t>
        </is>
      </c>
      <c r="I35" s="33" t="inlineStr">
        <is>
          <t>ㄧㆩㆷ</t>
        </is>
      </c>
      <c r="J35" s="29" t="inlineStr">
        <is>
          <t>韻-鼻</t>
        </is>
      </c>
      <c r="K35" s="23">
        <f>LEN(C35)</f>
        <v/>
      </c>
      <c r="L35" s="24" t="n"/>
      <c r="M35" s="19">
        <f>E35</f>
        <v/>
      </c>
      <c r="N35" s="19">
        <f>I35</f>
        <v/>
      </c>
      <c r="P35" s="3">
        <f>_xlfn.CONCAT(M35, "(\d)")</f>
        <v/>
      </c>
      <c r="Q35" s="5" t="inlineStr">
        <is>
          <t>a</t>
        </is>
      </c>
      <c r="R35" s="5">
        <f>IFERROR( IF(Q35="", "", SEARCH(Q35, $M35)), "")</f>
        <v/>
      </c>
      <c r="S35" s="3">
        <f>IFERROR( _xlfn.CONCAT(LEFT(M35,R35-1), "》", MID(M35,R35,1), "${1}", RIGHT(M35, LEN(M35)-R35)), "" )</f>
        <v/>
      </c>
      <c r="T35" s="25" t="n"/>
      <c r="U35" s="26">
        <f>IF(AND(N35&lt;&gt;"", M35&lt;&gt;""), "    - xform/》" &amp; P35 &amp; "/" &amp; S35 &amp; "/", "")</f>
        <v/>
      </c>
    </row>
    <row r="36" ht="27.75" customHeight="1" s="69" thickBot="1">
      <c r="A36" s="19" t="n">
        <v>33</v>
      </c>
      <c r="B36" s="20" t="inlineStr">
        <is>
          <t>ɪam</t>
        </is>
      </c>
      <c r="C36" s="21" t="inlineStr">
        <is>
          <t>iam</t>
        </is>
      </c>
      <c r="D36" s="19" t="inlineStr">
        <is>
          <t>iam</t>
        </is>
      </c>
      <c r="E36" s="19" t="inlineStr">
        <is>
          <t>iam</t>
        </is>
      </c>
      <c r="F36" s="19" t="inlineStr">
        <is>
          <t>iam</t>
        </is>
      </c>
      <c r="G36" s="22" t="inlineStr">
        <is>
          <t>iam</t>
        </is>
      </c>
      <c r="H36" s="23" t="inlineStr">
        <is>
          <t>兼舒</t>
        </is>
      </c>
      <c r="I36" s="19" t="inlineStr">
        <is>
          <t>ㄧㆰ</t>
        </is>
      </c>
      <c r="J36" s="19" t="n"/>
      <c r="K36" s="23">
        <f>LEN(C36)</f>
        <v/>
      </c>
      <c r="L36" s="24" t="n"/>
      <c r="M36" s="19">
        <f>E36</f>
        <v/>
      </c>
      <c r="N36" s="19">
        <f>I36</f>
        <v/>
      </c>
      <c r="P36" s="3">
        <f>_xlfn.CONCAT(M36, "(\d)")</f>
        <v/>
      </c>
      <c r="Q36" s="5" t="inlineStr">
        <is>
          <t>i</t>
        </is>
      </c>
      <c r="R36" s="5">
        <f>IFERROR( IF(Q36="", "", SEARCH(Q36, $M36)), "")</f>
        <v/>
      </c>
      <c r="S36" s="3">
        <f>IFERROR( _xlfn.CONCAT(LEFT(M36,R36-1), "》", MID(M36,R36,1), "${1}", RIGHT(M36, LEN(M36)-R36)), "" )</f>
        <v/>
      </c>
      <c r="T36" s="25" t="n"/>
      <c r="U36" s="26">
        <f>IF(AND(N36&lt;&gt;"", M36&lt;&gt;""), "    - xform/》" &amp; P36 &amp; "/" &amp; S36 &amp; "/", "")</f>
        <v/>
      </c>
    </row>
    <row r="37" ht="27.75" customHeight="1" s="69" thickBot="1">
      <c r="A37" s="19" t="n">
        <v>34</v>
      </c>
      <c r="B37" s="20" t="inlineStr">
        <is>
          <t>ɪan/en</t>
        </is>
      </c>
      <c r="C37" s="21" t="inlineStr">
        <is>
          <t>ian</t>
        </is>
      </c>
      <c r="D37" s="19" t="inlineStr">
        <is>
          <t>ian</t>
        </is>
      </c>
      <c r="E37" s="19" t="inlineStr">
        <is>
          <t>ian</t>
        </is>
      </c>
      <c r="F37" s="19" t="inlineStr">
        <is>
          <t>ian</t>
        </is>
      </c>
      <c r="G37" s="22" t="inlineStr">
        <is>
          <t>ian</t>
        </is>
      </c>
      <c r="H37" s="23" t="inlineStr">
        <is>
          <t>堅舒</t>
        </is>
      </c>
      <c r="I37" s="19" t="inlineStr">
        <is>
          <t>ㄧㄢ</t>
        </is>
      </c>
      <c r="J37" s="19" t="n"/>
      <c r="K37" s="23">
        <f>LEN(C37)</f>
        <v/>
      </c>
      <c r="L37" s="24" t="n"/>
      <c r="M37" s="19">
        <f>E37</f>
        <v/>
      </c>
      <c r="N37" s="19">
        <f>I37</f>
        <v/>
      </c>
      <c r="P37" s="3">
        <f>_xlfn.CONCAT(M37, "(\d)")</f>
        <v/>
      </c>
      <c r="Q37" s="5" t="inlineStr">
        <is>
          <t>i</t>
        </is>
      </c>
      <c r="R37" s="5">
        <f>IFERROR( IF(Q37="", "", SEARCH(Q37, $M37)), "")</f>
        <v/>
      </c>
      <c r="S37" s="3">
        <f>IFERROR( _xlfn.CONCAT(LEFT(M37,R37-1), "》", MID(M37,R37,1), "${1}", RIGHT(M37, LEN(M37)-R37)), "" )</f>
        <v/>
      </c>
      <c r="T37" s="25" t="n"/>
      <c r="U37" s="26">
        <f>IF(AND(N37&lt;&gt;"", M37&lt;&gt;""), "    - xform/》" &amp; P37 &amp; "/" &amp; S37 &amp; "/", "")</f>
        <v/>
      </c>
    </row>
    <row r="38" ht="27.75" customHeight="1" s="69" thickBot="1">
      <c r="A38" s="19" t="n">
        <v>35</v>
      </c>
      <c r="B38" s="20" t="inlineStr">
        <is>
          <t>ɪaŋ</t>
        </is>
      </c>
      <c r="C38" s="21" t="inlineStr">
        <is>
          <t>iang</t>
        </is>
      </c>
      <c r="D38" s="19" t="inlineStr">
        <is>
          <t>iang</t>
        </is>
      </c>
      <c r="E38" s="19" t="inlineStr">
        <is>
          <t>iang</t>
        </is>
      </c>
      <c r="F38" s="19" t="inlineStr">
        <is>
          <t>iang</t>
        </is>
      </c>
      <c r="G38" s="22" t="inlineStr">
        <is>
          <t>iang</t>
        </is>
      </c>
      <c r="H38" s="23" t="inlineStr">
        <is>
          <t>姜舒</t>
        </is>
      </c>
      <c r="I38" s="19" t="inlineStr">
        <is>
          <t>ㄧㄤ</t>
        </is>
      </c>
      <c r="J38" s="19" t="n"/>
      <c r="K38" s="23">
        <f>LEN(C38)</f>
        <v/>
      </c>
      <c r="L38" s="24" t="n"/>
      <c r="M38" s="19">
        <f>E38</f>
        <v/>
      </c>
      <c r="N38" s="19">
        <f>I38</f>
        <v/>
      </c>
      <c r="P38" s="3">
        <f>_xlfn.CONCAT(M38, "(\d)")</f>
        <v/>
      </c>
      <c r="Q38" s="5" t="inlineStr">
        <is>
          <t>i</t>
        </is>
      </c>
      <c r="R38" s="5">
        <f>IFERROR( IF(Q38="", "", SEARCH(Q38, $M38)), "")</f>
        <v/>
      </c>
      <c r="S38" s="3">
        <f>IFERROR( _xlfn.CONCAT(LEFT(M38,R38-1), "》", MID(M38,R38,1), "${1}", RIGHT(M38, LEN(M38)-R38)), "" )</f>
        <v/>
      </c>
      <c r="T38" s="25" t="n"/>
      <c r="U38" s="26">
        <f>IF(AND(N38&lt;&gt;"", M38&lt;&gt;""), "    - xform/》" &amp; P38 &amp; "/" &amp; S38 &amp; "/", "")</f>
        <v/>
      </c>
    </row>
    <row r="39" ht="27.75" customHeight="1" s="69" thickBot="1">
      <c r="A39" s="19" t="n">
        <v>36</v>
      </c>
      <c r="B39" s="20" t="inlineStr">
        <is>
          <t>ɪap̚</t>
        </is>
      </c>
      <c r="C39" s="21" t="inlineStr">
        <is>
          <t>iap</t>
        </is>
      </c>
      <c r="D39" s="19" t="inlineStr">
        <is>
          <t>iap</t>
        </is>
      </c>
      <c r="E39" s="19" t="inlineStr">
        <is>
          <t>iap</t>
        </is>
      </c>
      <c r="F39" s="19" t="inlineStr">
        <is>
          <t>iap</t>
        </is>
      </c>
      <c r="G39" s="22" t="inlineStr">
        <is>
          <t>iap</t>
        </is>
      </c>
      <c r="H39" s="23" t="inlineStr">
        <is>
          <t>兼促</t>
        </is>
      </c>
      <c r="I39" s="19" t="inlineStr">
        <is>
          <t>ㄧㄚㆴ</t>
        </is>
      </c>
      <c r="J39" s="19" t="n"/>
      <c r="K39" s="23">
        <f>LEN(C39)</f>
        <v/>
      </c>
      <c r="L39" s="24" t="n"/>
      <c r="M39" s="19">
        <f>E39</f>
        <v/>
      </c>
      <c r="N39" s="19">
        <f>I39</f>
        <v/>
      </c>
      <c r="P39" s="3">
        <f>_xlfn.CONCAT(M39, "(\d)")</f>
        <v/>
      </c>
      <c r="Q39" s="5" t="inlineStr">
        <is>
          <t>i</t>
        </is>
      </c>
      <c r="R39" s="5">
        <f>IFERROR( IF(Q39="", "", SEARCH(Q39, $M39)), "")</f>
        <v/>
      </c>
      <c r="S39" s="3">
        <f>IFERROR( _xlfn.CONCAT(LEFT(M39,R39-1), "》", MID(M39,R39,1), "${1}", RIGHT(M39, LEN(M39)-R39)), "" )</f>
        <v/>
      </c>
      <c r="T39" s="25" t="n"/>
      <c r="U39" s="26">
        <f>IF(AND(N39&lt;&gt;"", M39&lt;&gt;""), "    - xform/》" &amp; P39 &amp; "/" &amp; S39 &amp; "/", "")</f>
        <v/>
      </c>
    </row>
    <row r="40" ht="27.75" customHeight="1" s="69" thickBot="1">
      <c r="A40" s="19" t="n">
        <v>37</v>
      </c>
      <c r="B40" s="20" t="inlineStr">
        <is>
          <t>ɪat̚/ɪet̚</t>
        </is>
      </c>
      <c r="C40" s="21" t="inlineStr">
        <is>
          <t>iat</t>
        </is>
      </c>
      <c r="D40" s="19" t="inlineStr">
        <is>
          <t>iat</t>
        </is>
      </c>
      <c r="E40" s="19" t="inlineStr">
        <is>
          <t>iat</t>
        </is>
      </c>
      <c r="F40" s="19" t="inlineStr">
        <is>
          <t>iat</t>
        </is>
      </c>
      <c r="G40" s="22" t="inlineStr">
        <is>
          <t>iat</t>
        </is>
      </c>
      <c r="H40" s="23" t="inlineStr">
        <is>
          <t>堅促</t>
        </is>
      </c>
      <c r="I40" s="19" t="inlineStr">
        <is>
          <t>ㄧㄚㆵ</t>
        </is>
      </c>
      <c r="J40" s="19" t="n"/>
      <c r="K40" s="23">
        <f>LEN(C40)</f>
        <v/>
      </c>
      <c r="L40" s="24" t="n"/>
      <c r="M40" s="19">
        <f>E40</f>
        <v/>
      </c>
      <c r="N40" s="19">
        <f>I40</f>
        <v/>
      </c>
      <c r="P40" s="3">
        <f>_xlfn.CONCAT(M40, "(\d)")</f>
        <v/>
      </c>
      <c r="Q40" s="5" t="inlineStr">
        <is>
          <t>e</t>
        </is>
      </c>
      <c r="R40" s="5">
        <f>IFERROR( IF(Q40="", "", SEARCH(Q40, $M40)), "")</f>
        <v/>
      </c>
      <c r="S40" s="3">
        <f>IFERROR( _xlfn.CONCAT(LEFT(M40,R40-1), "》", MID(M40,R40,1), "${1}", RIGHT(M40, LEN(M40)-R40)), "" )</f>
        <v/>
      </c>
      <c r="T40" s="25" t="n"/>
      <c r="U40" s="26">
        <f>IF(AND(N40&lt;&gt;"", M40&lt;&gt;""), "    - xform/》" &amp; P40 &amp; "/" &amp; S40 &amp; "/", "")</f>
        <v/>
      </c>
    </row>
    <row r="41" ht="27.75" customHeight="1" s="69" thickBot="1">
      <c r="A41" s="19" t="n">
        <v>38</v>
      </c>
      <c r="B41" s="20" t="inlineStr">
        <is>
          <t>ɪak̚</t>
        </is>
      </c>
      <c r="C41" s="21" t="inlineStr">
        <is>
          <t>iak</t>
        </is>
      </c>
      <c r="D41" s="19" t="inlineStr">
        <is>
          <t>iak</t>
        </is>
      </c>
      <c r="E41" s="19" t="inlineStr">
        <is>
          <t>iak</t>
        </is>
      </c>
      <c r="F41" s="19" t="inlineStr">
        <is>
          <t>iak</t>
        </is>
      </c>
      <c r="G41" s="22" t="inlineStr">
        <is>
          <t>iak</t>
        </is>
      </c>
      <c r="H41" s="23" t="inlineStr">
        <is>
          <t>姜促</t>
        </is>
      </c>
      <c r="I41" s="19" t="inlineStr">
        <is>
          <t>ㄧㄚㆻ</t>
        </is>
      </c>
      <c r="J41" s="19" t="n"/>
      <c r="K41" s="23">
        <f>LEN(C41)</f>
        <v/>
      </c>
      <c r="L41" s="24" t="n"/>
      <c r="M41" s="19">
        <f>E41</f>
        <v/>
      </c>
      <c r="N41" s="19">
        <f>I41</f>
        <v/>
      </c>
      <c r="P41" s="3">
        <f>_xlfn.CONCAT(M41, "(\d)")</f>
        <v/>
      </c>
      <c r="Q41" s="5" t="inlineStr">
        <is>
          <t>n</t>
        </is>
      </c>
      <c r="R41" s="5">
        <f>IFERROR( IF(Q41="", "", SEARCH(Q41, $M41)), "")</f>
        <v/>
      </c>
      <c r="S41" s="3">
        <f>IFERROR( _xlfn.CONCAT(LEFT(M41,R41-1), "》", MID(M41,R41,1), "${1}", RIGHT(M41, LEN(M41)-R41)), "" )</f>
        <v/>
      </c>
      <c r="T41" s="25" t="n"/>
      <c r="U41" s="26">
        <f>IF(AND(N41&lt;&gt;"", M41&lt;&gt;""), "    - xform/》" &amp; P41 &amp; "/" &amp; S41 &amp; "/", "")</f>
        <v/>
      </c>
    </row>
    <row r="42" ht="27.75" customHeight="1" s="69" thickBot="1">
      <c r="A42" s="19" t="n">
        <v>39</v>
      </c>
      <c r="B42" s="20" t="inlineStr">
        <is>
          <t>ɪau</t>
        </is>
      </c>
      <c r="C42" s="21" t="inlineStr">
        <is>
          <t>iau</t>
        </is>
      </c>
      <c r="D42" s="19" t="inlineStr">
        <is>
          <t>iau</t>
        </is>
      </c>
      <c r="E42" s="19" t="inlineStr">
        <is>
          <t>iau</t>
        </is>
      </c>
      <c r="F42" s="19" t="inlineStr">
        <is>
          <t>iao</t>
        </is>
      </c>
      <c r="G42" s="22" t="inlineStr">
        <is>
          <t>iau</t>
        </is>
      </c>
      <c r="H42" s="23" t="inlineStr">
        <is>
          <t>嬌舒</t>
        </is>
      </c>
      <c r="I42" s="19" t="inlineStr">
        <is>
          <t>ㄧㄠ</t>
        </is>
      </c>
      <c r="J42" s="19" t="n"/>
      <c r="K42" s="23">
        <f>LEN(C42)</f>
        <v/>
      </c>
      <c r="L42" s="24" t="n"/>
      <c r="M42" s="19">
        <f>E42</f>
        <v/>
      </c>
      <c r="N42" s="19">
        <f>I42</f>
        <v/>
      </c>
      <c r="P42" s="3">
        <f>_xlfn.CONCAT(M42, "(\d)")</f>
        <v/>
      </c>
      <c r="Q42" s="5" t="inlineStr">
        <is>
          <t>o</t>
        </is>
      </c>
      <c r="R42" s="5">
        <f>IFERROR( IF(Q42="", "", SEARCH(Q42, $M42)), "")</f>
        <v/>
      </c>
      <c r="S42" s="3">
        <f>IFERROR( _xlfn.CONCAT(LEFT(M42,R42-1), "》", MID(M42,R42,1), "${1}", RIGHT(M42, LEN(M42)-R42)), "" )</f>
        <v/>
      </c>
      <c r="T42" s="25" t="n"/>
      <c r="U42" s="26">
        <f>IF(AND(N42&lt;&gt;"", M42&lt;&gt;""), "    - xform/》" &amp; P42 &amp; "/" &amp; S42 &amp; "/", "")</f>
        <v/>
      </c>
    </row>
    <row r="43" ht="27.75" customHeight="1" s="69" thickBot="1">
      <c r="A43" s="19" t="n">
        <v>40</v>
      </c>
      <c r="B43" s="20" t="inlineStr">
        <is>
          <t>ɪãu</t>
        </is>
      </c>
      <c r="C43" s="21" t="inlineStr">
        <is>
          <t>iaunn</t>
        </is>
      </c>
      <c r="D43" s="19" t="inlineStr">
        <is>
          <t>iaunn</t>
        </is>
      </c>
      <c r="E43" s="19" t="inlineStr">
        <is>
          <t>iaunn</t>
        </is>
      </c>
      <c r="F43" s="19" t="inlineStr">
        <is>
          <t>niao</t>
        </is>
      </c>
      <c r="G43" s="22" t="inlineStr">
        <is>
          <t>iauⁿ</t>
        </is>
      </c>
      <c r="H43" s="23" t="inlineStr">
        <is>
          <t>嘄舒</t>
        </is>
      </c>
      <c r="I43" s="19" t="inlineStr">
        <is>
          <t>ㄧㆯ</t>
        </is>
      </c>
      <c r="J43" s="29" t="inlineStr">
        <is>
          <t>韻-鼻</t>
        </is>
      </c>
      <c r="K43" s="23">
        <f>LEN(C43)</f>
        <v/>
      </c>
      <c r="L43" s="24" t="n"/>
      <c r="M43" s="19">
        <f>E43</f>
        <v/>
      </c>
      <c r="N43" s="19">
        <f>I43</f>
        <v/>
      </c>
      <c r="P43" s="3">
        <f>_xlfn.CONCAT(M43, "(\d)")</f>
        <v/>
      </c>
      <c r="Q43" s="5" t="inlineStr">
        <is>
          <t>o</t>
        </is>
      </c>
      <c r="R43" s="5">
        <f>IFERROR( IF(Q43="", "", SEARCH(Q43, $M43)), "")</f>
        <v/>
      </c>
      <c r="S43" s="3">
        <f>IFERROR( _xlfn.CONCAT(LEFT(M43,R43-1), "》", MID(M43,R43,1), "${1}", RIGHT(M43, LEN(M43)-R43)), "" )</f>
        <v/>
      </c>
      <c r="T43" s="25" t="n"/>
      <c r="U43" s="26">
        <f>IF(AND(N43&lt;&gt;"", M43&lt;&gt;""), "    - xform/》" &amp; P43 &amp; "/" &amp; S43 &amp; "/", "")</f>
        <v/>
      </c>
    </row>
    <row r="44" ht="27.75" customHeight="1" s="69" thickBot="1">
      <c r="A44" s="19" t="n">
        <v>41</v>
      </c>
      <c r="B44" s="20" t="inlineStr">
        <is>
          <t>ɪauʔ</t>
        </is>
      </c>
      <c r="C44" s="21" t="inlineStr">
        <is>
          <t>iauh</t>
        </is>
      </c>
      <c r="D44" s="19" t="inlineStr">
        <is>
          <t>iauh</t>
        </is>
      </c>
      <c r="E44" s="19" t="inlineStr">
        <is>
          <t>iauh</t>
        </is>
      </c>
      <c r="F44" s="19" t="inlineStr">
        <is>
          <t>iaoh</t>
        </is>
      </c>
      <c r="G44" s="22" t="inlineStr">
        <is>
          <t>iauh</t>
        </is>
      </c>
      <c r="H44" s="23" t="inlineStr">
        <is>
          <t>嬌促</t>
        </is>
      </c>
      <c r="I44" s="19" t="inlineStr">
        <is>
          <t>ㄧㄠㆷ</t>
        </is>
      </c>
      <c r="J44" s="19" t="n"/>
      <c r="K44" s="23">
        <f>LEN(C44)</f>
        <v/>
      </c>
      <c r="L44" s="24" t="n"/>
      <c r="M44" s="19">
        <f>E44</f>
        <v/>
      </c>
      <c r="N44" s="19">
        <f>I44</f>
        <v/>
      </c>
      <c r="P44" s="3">
        <f>_xlfn.CONCAT(M44, "(\d)")</f>
        <v/>
      </c>
      <c r="Q44" s="5" t="inlineStr">
        <is>
          <t>o</t>
        </is>
      </c>
      <c r="R44" s="5">
        <f>IFERROR( IF(Q44="", "", SEARCH(Q44, $M44)), "")</f>
        <v/>
      </c>
      <c r="S44" s="3">
        <f>IFERROR( _xlfn.CONCAT(LEFT(M44,R44-1), "》", MID(M44,R44,1), "${1}", RIGHT(M44, LEN(M44)-R44)), "" )</f>
        <v/>
      </c>
      <c r="T44" s="25" t="n"/>
      <c r="U44" s="26">
        <f>IF(AND(N44&lt;&gt;"", M44&lt;&gt;""), "    - xform/》" &amp; P44 &amp; "/" &amp; S44 &amp; "/", "")</f>
        <v/>
      </c>
    </row>
    <row r="45" ht="27.75" customHeight="1" s="69" thickBot="1">
      <c r="A45" s="19" t="n">
        <v>42</v>
      </c>
      <c r="B45" s="20" t="inlineStr">
        <is>
          <t>ɪə/ɪo</t>
        </is>
      </c>
      <c r="C45" s="21" t="inlineStr">
        <is>
          <t>io</t>
        </is>
      </c>
      <c r="D45" s="19" t="inlineStr">
        <is>
          <t>io</t>
        </is>
      </c>
      <c r="E45" s="19" t="inlineStr">
        <is>
          <t>ior</t>
        </is>
      </c>
      <c r="F45" s="19" t="inlineStr">
        <is>
          <t>io</t>
        </is>
      </c>
      <c r="G45" s="22" t="inlineStr">
        <is>
          <t>io</t>
        </is>
      </c>
      <c r="H45" s="23" t="inlineStr">
        <is>
          <t>茄舒</t>
        </is>
      </c>
      <c r="I45" s="19" t="inlineStr">
        <is>
          <t>ㄧㄜ</t>
        </is>
      </c>
      <c r="J45" s="19" t="n"/>
      <c r="K45" s="23">
        <f>LEN(C45)</f>
        <v/>
      </c>
      <c r="L45" s="24" t="n"/>
      <c r="M45" s="19">
        <f>E45</f>
        <v/>
      </c>
      <c r="N45" s="19">
        <f>I45</f>
        <v/>
      </c>
      <c r="P45" s="3">
        <f>_xlfn.CONCAT(M45, "(\d)")</f>
        <v/>
      </c>
      <c r="Q45" s="5" t="inlineStr">
        <is>
          <t>a</t>
        </is>
      </c>
      <c r="R45" s="5">
        <f>IFERROR( IF(Q45="", "", SEARCH(Q45, $M45)), "")</f>
        <v/>
      </c>
      <c r="S45" s="3">
        <f>IFERROR( _xlfn.CONCAT(LEFT(M45,R45-1), "》", MID(M45,R45,1), "${1}", RIGHT(M45, LEN(M45)-R45)), "" )</f>
        <v/>
      </c>
      <c r="T45" s="25" t="n"/>
      <c r="U45" s="26">
        <f>IF(AND(N45&lt;&gt;"", M45&lt;&gt;""), "    - xform/》" &amp; P45 &amp; "/" &amp; S45 &amp; "/", "")</f>
        <v/>
      </c>
    </row>
    <row r="46" ht="27.75" customHeight="1" s="69" thickBot="1">
      <c r="A46" s="19" t="n">
        <v>43</v>
      </c>
      <c r="B46" s="20" t="inlineStr">
        <is>
          <t>ɪɔ̃</t>
        </is>
      </c>
      <c r="C46" s="21" t="inlineStr">
        <is>
          <t>ionn</t>
        </is>
      </c>
      <c r="D46" s="19" t="inlineStr">
        <is>
          <t>ionn</t>
        </is>
      </c>
      <c r="E46" s="19" t="inlineStr">
        <is>
          <t>ioonn</t>
        </is>
      </c>
      <c r="F46" s="19" t="inlineStr">
        <is>
          <t>nioo</t>
        </is>
      </c>
      <c r="G46" s="22" t="inlineStr">
        <is>
          <t>ioⁿ</t>
        </is>
      </c>
      <c r="H46" s="23" t="inlineStr">
        <is>
          <t>薑舒</t>
        </is>
      </c>
      <c r="I46" s="19" t="inlineStr">
        <is>
          <t>ㄧㆧ</t>
        </is>
      </c>
      <c r="J46" s="29" t="inlineStr">
        <is>
          <t>韻-鼻</t>
        </is>
      </c>
      <c r="K46" s="23">
        <f>LEN(C46)</f>
        <v/>
      </c>
      <c r="L46" s="24" t="n"/>
      <c r="M46" s="19">
        <f>E46</f>
        <v/>
      </c>
      <c r="N46" s="19">
        <f>I46</f>
        <v/>
      </c>
      <c r="P46" s="3">
        <f>_xlfn.CONCAT(M46, "(\d)")</f>
        <v/>
      </c>
      <c r="Q46" s="5" t="inlineStr">
        <is>
          <t>a</t>
        </is>
      </c>
      <c r="R46" s="5">
        <f>IFERROR( IF(Q46="", "", SEARCH(Q46, $M46)), "")</f>
        <v/>
      </c>
      <c r="S46" s="3">
        <f>IFERROR( _xlfn.CONCAT(LEFT(M46,R46-1), "》", MID(M46,R46,1), "${1}", RIGHT(M46, LEN(M46)-R46)), "" )</f>
        <v/>
      </c>
      <c r="T46" s="25" t="n"/>
      <c r="U46" s="26">
        <f>IF(AND(N46&lt;&gt;"", M46&lt;&gt;""), "    - xform/》" &amp; P46 &amp; "/" &amp; S46 &amp; "/", "")</f>
        <v/>
      </c>
    </row>
    <row r="47" ht="27.75" customHeight="1" s="69" thickBot="1">
      <c r="A47" s="19" t="n">
        <v>44</v>
      </c>
      <c r="B47" s="20" t="inlineStr">
        <is>
          <t>ɪəʔ/ɪoʔ</t>
        </is>
      </c>
      <c r="C47" s="21" t="inlineStr">
        <is>
          <t>ioh</t>
        </is>
      </c>
      <c r="D47" s="19" t="inlineStr">
        <is>
          <t>ioh</t>
        </is>
      </c>
      <c r="E47" s="19" t="inlineStr">
        <is>
          <t>iorh</t>
        </is>
      </c>
      <c r="F47" s="19" t="inlineStr">
        <is>
          <t>ioh</t>
        </is>
      </c>
      <c r="G47" s="22" t="inlineStr">
        <is>
          <t>ioh</t>
        </is>
      </c>
      <c r="H47" s="23" t="inlineStr">
        <is>
          <t>茄促</t>
        </is>
      </c>
      <c r="I47" s="19" t="inlineStr">
        <is>
          <t>ㄧㄜㆷ</t>
        </is>
      </c>
      <c r="J47" s="19" t="n"/>
      <c r="K47" s="23">
        <f>LEN(C47)</f>
        <v/>
      </c>
      <c r="L47" s="24" t="n"/>
      <c r="M47" s="19">
        <f>E47</f>
        <v/>
      </c>
      <c r="N47" s="19">
        <f>I47</f>
        <v/>
      </c>
      <c r="P47" s="3">
        <f>_xlfn.CONCAT(M47, "(\d)")</f>
        <v/>
      </c>
      <c r="Q47" s="5" t="inlineStr">
        <is>
          <t>a</t>
        </is>
      </c>
      <c r="R47" s="5">
        <f>IFERROR( IF(Q47="", "", SEARCH(Q47, $M47)), "")</f>
        <v/>
      </c>
      <c r="S47" s="3">
        <f>IFERROR( _xlfn.CONCAT(LEFT(M47,R47-1), "》", MID(M47,R47,1), "${1}", RIGHT(M47, LEN(M47)-R47)), "" )</f>
        <v/>
      </c>
      <c r="T47" s="25" t="n"/>
      <c r="U47" s="26">
        <f>IF(AND(N47&lt;&gt;"", M47&lt;&gt;""), "    - xform/》" &amp; P47 &amp; "/" &amp; S47 &amp; "/", "")</f>
        <v/>
      </c>
    </row>
    <row r="48" ht="27.75" customHeight="1" s="69" thickBot="1">
      <c r="A48" s="19" t="n">
        <v>45</v>
      </c>
      <c r="B48" s="20" t="inlineStr">
        <is>
          <t>ɪɔŋ</t>
        </is>
      </c>
      <c r="C48" s="21" t="inlineStr">
        <is>
          <t>iong</t>
        </is>
      </c>
      <c r="D48" s="19" t="inlineStr">
        <is>
          <t>iong</t>
        </is>
      </c>
      <c r="E48" s="19" t="inlineStr">
        <is>
          <t>iong</t>
        </is>
      </c>
      <c r="F48" s="19" t="inlineStr">
        <is>
          <t>iong</t>
        </is>
      </c>
      <c r="G48" s="22" t="inlineStr">
        <is>
          <t>iong</t>
        </is>
      </c>
      <c r="H48" s="23" t="inlineStr">
        <is>
          <t>恭舒</t>
        </is>
      </c>
      <c r="I48" s="19" t="inlineStr">
        <is>
          <t>ㄧㆲ</t>
        </is>
      </c>
      <c r="J48" s="19" t="n"/>
      <c r="K48" s="23">
        <f>LEN(C48)</f>
        <v/>
      </c>
      <c r="L48" s="24" t="n"/>
      <c r="M48" s="19">
        <f>E48</f>
        <v/>
      </c>
      <c r="N48" s="19">
        <f>I48</f>
        <v/>
      </c>
      <c r="P48" s="3">
        <f>_xlfn.CONCAT(M48, "(\d)")</f>
        <v/>
      </c>
      <c r="Q48" s="5" t="inlineStr">
        <is>
          <t>a</t>
        </is>
      </c>
      <c r="R48" s="5">
        <f>IFERROR( IF(Q48="", "", SEARCH(Q48, $M48)), "")</f>
        <v/>
      </c>
      <c r="S48" s="3">
        <f>IFERROR( _xlfn.CONCAT(LEFT(M48,R48-1), "》", MID(M48,R48,1), "${1}", RIGHT(M48, LEN(M48)-R48)), "" )</f>
        <v/>
      </c>
      <c r="T48" s="25" t="n"/>
      <c r="U48" s="26">
        <f>IF(AND(N48&lt;&gt;"", M48&lt;&gt;""), "    - xform/》" &amp; P48 &amp; "/" &amp; S48 &amp; "/", "")</f>
        <v/>
      </c>
    </row>
    <row r="49" ht="27.75" customHeight="1" s="69" thickBot="1">
      <c r="A49" s="19" t="n">
        <v>46</v>
      </c>
      <c r="B49" s="20" t="inlineStr">
        <is>
          <t>ɪɔk̚</t>
        </is>
      </c>
      <c r="C49" s="21" t="inlineStr">
        <is>
          <t>iok</t>
        </is>
      </c>
      <c r="D49" s="19" t="inlineStr">
        <is>
          <t>iok</t>
        </is>
      </c>
      <c r="E49" s="19" t="inlineStr">
        <is>
          <t>iook</t>
        </is>
      </c>
      <c r="F49" s="19" t="inlineStr">
        <is>
          <t>iok</t>
        </is>
      </c>
      <c r="G49" s="22" t="inlineStr">
        <is>
          <t>iok</t>
        </is>
      </c>
      <c r="H49" s="23" t="inlineStr">
        <is>
          <t>恭促</t>
        </is>
      </c>
      <c r="I49" s="19" t="inlineStr">
        <is>
          <t>ㄧㆦㆻ</t>
        </is>
      </c>
      <c r="J49" s="19" t="n"/>
      <c r="K49" s="23">
        <f>LEN(C49)</f>
        <v/>
      </c>
      <c r="L49" s="24" t="n"/>
      <c r="M49" s="19">
        <f>E49</f>
        <v/>
      </c>
      <c r="N49" s="19">
        <f>I49</f>
        <v/>
      </c>
      <c r="P49" s="3">
        <f>_xlfn.CONCAT(M49, "(\d)")</f>
        <v/>
      </c>
      <c r="Q49" s="5" t="inlineStr">
        <is>
          <t>e</t>
        </is>
      </c>
      <c r="R49" s="5">
        <f>IFERROR( IF(Q49="", "", SEARCH(Q49, $M49)), "")</f>
        <v/>
      </c>
      <c r="S49" s="3">
        <f>IFERROR( _xlfn.CONCAT(LEFT(M49,R49-1), "》", MID(M49,R49,1), "${1}", RIGHT(M49, LEN(M49)-R49)), "" )</f>
        <v/>
      </c>
      <c r="T49" s="25" t="n"/>
      <c r="U49" s="26">
        <f>IF(AND(N49&lt;&gt;"", M49&lt;&gt;""), "    - xform/》" &amp; P49 &amp; "/" &amp; S49 &amp; "/", "")</f>
        <v/>
      </c>
    </row>
    <row r="50" ht="27.75" customHeight="1" s="69" thickBot="1">
      <c r="A50" s="19" t="n">
        <v>47</v>
      </c>
      <c r="B50" s="20" t="inlineStr">
        <is>
          <t>iu</t>
        </is>
      </c>
      <c r="C50" s="21" t="inlineStr">
        <is>
          <t>iu</t>
        </is>
      </c>
      <c r="D50" s="19" t="inlineStr">
        <is>
          <t>iu</t>
        </is>
      </c>
      <c r="E50" s="19" t="inlineStr">
        <is>
          <t>iu</t>
        </is>
      </c>
      <c r="F50" s="19" t="inlineStr">
        <is>
          <t>iu</t>
        </is>
      </c>
      <c r="G50" s="22" t="inlineStr">
        <is>
          <t>iu</t>
        </is>
      </c>
      <c r="H50" s="23" t="inlineStr">
        <is>
          <t>丩舒</t>
        </is>
      </c>
      <c r="I50" s="19" t="inlineStr">
        <is>
          <t>ㄧㄨ</t>
        </is>
      </c>
      <c r="J50" s="19" t="n"/>
      <c r="K50" s="23">
        <f>LEN(C50)</f>
        <v/>
      </c>
      <c r="L50" s="24" t="n"/>
      <c r="M50" s="19">
        <f>E50</f>
        <v/>
      </c>
      <c r="N50" s="19">
        <f>I50</f>
        <v/>
      </c>
      <c r="P50" s="3">
        <f>_xlfn.CONCAT(M50, "(\d)")</f>
        <v/>
      </c>
      <c r="Q50" s="5" t="inlineStr">
        <is>
          <t>a</t>
        </is>
      </c>
      <c r="R50" s="5">
        <f>IFERROR( IF(Q50="", "", SEARCH(Q50, $M50)), "")</f>
        <v/>
      </c>
      <c r="S50" s="3">
        <f>IFERROR( _xlfn.CONCAT(LEFT(M50,R50-1), "》", MID(M50,R50,1), "${1}", RIGHT(M50, LEN(M50)-R50)), "" )</f>
        <v/>
      </c>
      <c r="T50" s="25" t="n"/>
      <c r="U50" s="26">
        <f>IF(AND(N50&lt;&gt;"", M50&lt;&gt;""), "    - xform/》" &amp; P50 &amp; "/" &amp; S50 &amp; "/", "")</f>
        <v/>
      </c>
    </row>
    <row r="51" ht="27.75" customHeight="1" s="69" thickBot="1">
      <c r="A51" s="19" t="n">
        <v>48</v>
      </c>
      <c r="B51" s="20" t="inlineStr">
        <is>
          <t>iũ</t>
        </is>
      </c>
      <c r="C51" s="21" t="inlineStr">
        <is>
          <t>iunn</t>
        </is>
      </c>
      <c r="D51" s="19" t="inlineStr">
        <is>
          <t>iunn</t>
        </is>
      </c>
      <c r="E51" s="19" t="inlineStr">
        <is>
          <t>iunn</t>
        </is>
      </c>
      <c r="F51" s="19" t="inlineStr">
        <is>
          <t>niu</t>
        </is>
      </c>
      <c r="G51" s="22" t="inlineStr">
        <is>
          <t>iuⁿ</t>
        </is>
      </c>
      <c r="H51" s="23" t="inlineStr">
        <is>
          <t>牛舒</t>
        </is>
      </c>
      <c r="I51" s="19" t="inlineStr">
        <is>
          <t>ㄧㆫ</t>
        </is>
      </c>
      <c r="J51" s="29" t="inlineStr">
        <is>
          <t>韻-鼻</t>
        </is>
      </c>
      <c r="K51" s="23">
        <f>LEN(C51)</f>
        <v/>
      </c>
      <c r="L51" s="24" t="n"/>
      <c r="M51" s="19">
        <f>E51</f>
        <v/>
      </c>
      <c r="N51" s="19">
        <f>I51</f>
        <v/>
      </c>
      <c r="P51" s="3">
        <f>_xlfn.CONCAT(M51, "(\d)")</f>
        <v/>
      </c>
      <c r="Q51" s="5" t="inlineStr">
        <is>
          <t>i</t>
        </is>
      </c>
      <c r="R51" s="5">
        <f>IFERROR( IF(Q51="", "", SEARCH(Q51, $M51)), "")</f>
        <v/>
      </c>
      <c r="S51" s="3">
        <f>IFERROR( _xlfn.CONCAT(LEFT(M51,R51-1), "》", MID(M51,R51,1), "${1}", RIGHT(M51, LEN(M51)-R51)), "" )</f>
        <v/>
      </c>
      <c r="T51" s="25" t="n"/>
      <c r="U51" s="26">
        <f>IF(AND(N51&lt;&gt;"", M51&lt;&gt;""), "    - xform/》" &amp; P51 &amp; "/" &amp; S51 &amp; "/", "")</f>
        <v/>
      </c>
    </row>
    <row r="52" ht="30.75" customHeight="1" s="69" thickBot="1">
      <c r="A52" s="19" t="n">
        <v>49</v>
      </c>
      <c r="B52" s="20" t="inlineStr">
        <is>
          <t>iũʔ</t>
        </is>
      </c>
      <c r="C52" s="21" t="inlineStr">
        <is>
          <t>iunnh</t>
        </is>
      </c>
      <c r="D52" s="31" t="inlineStr">
        <is>
          <t>iunnh</t>
        </is>
      </c>
      <c r="E52" s="31" t="inlineStr">
        <is>
          <t>iunnh</t>
        </is>
      </c>
      <c r="F52" s="31" t="inlineStr">
        <is>
          <t>niuh</t>
        </is>
      </c>
      <c r="G52" s="31" t="inlineStr">
        <is>
          <t>iuⁿh</t>
        </is>
      </c>
      <c r="H52" s="32" t="inlineStr">
        <is>
          <t>牛促</t>
        </is>
      </c>
      <c r="I52" s="33" t="inlineStr">
        <is>
          <t>ㄧㆫㆷ</t>
        </is>
      </c>
      <c r="J52" s="29" t="inlineStr">
        <is>
          <t>韻-鼻</t>
        </is>
      </c>
      <c r="K52" s="23">
        <f>LEN(C52)</f>
        <v/>
      </c>
      <c r="L52" s="24" t="n"/>
      <c r="M52" s="19">
        <f>E52</f>
        <v/>
      </c>
      <c r="N52" s="19">
        <f>I52</f>
        <v/>
      </c>
      <c r="P52" s="3">
        <f>_xlfn.CONCAT(M52, "(\d)")</f>
        <v/>
      </c>
      <c r="Q52" s="5" t="inlineStr">
        <is>
          <t>a</t>
        </is>
      </c>
      <c r="R52" s="5">
        <f>IFERROR( IF(Q52="", "", SEARCH(Q52, $M52)), "")</f>
        <v/>
      </c>
      <c r="S52" s="3">
        <f>IFERROR( _xlfn.CONCAT(LEFT(M52,R52-1), "》", MID(M52,R52,1), "${1}", RIGHT(M52, LEN(M52)-R52)), "" )</f>
        <v/>
      </c>
      <c r="T52" s="25" t="n"/>
      <c r="U52" s="26">
        <f>IF(AND(N52&lt;&gt;"", M52&lt;&gt;""), "    - xform/》" &amp; P52 &amp; "/" &amp; S52 &amp; "/", "")</f>
        <v/>
      </c>
    </row>
    <row r="53" ht="27.75" customHeight="1" s="69" thickBot="1">
      <c r="A53" s="19" t="n">
        <v>50</v>
      </c>
      <c r="B53" s="20" t="inlineStr">
        <is>
          <t>ə/o</t>
        </is>
      </c>
      <c r="C53" s="21" t="inlineStr">
        <is>
          <t>o</t>
        </is>
      </c>
      <c r="D53" s="19" t="inlineStr">
        <is>
          <t>o</t>
        </is>
      </c>
      <c r="E53" s="19" t="inlineStr">
        <is>
          <t>or</t>
        </is>
      </c>
      <c r="F53" s="19" t="inlineStr">
        <is>
          <t>o</t>
        </is>
      </c>
      <c r="G53" s="22" t="inlineStr">
        <is>
          <t>o</t>
        </is>
      </c>
      <c r="H53" s="23" t="inlineStr">
        <is>
          <t>高舒</t>
        </is>
      </c>
      <c r="I53" s="19" t="inlineStr">
        <is>
          <t>ㄜ</t>
        </is>
      </c>
      <c r="J53" s="19" t="n"/>
      <c r="K53" s="23">
        <f>LEN(C53)</f>
        <v/>
      </c>
      <c r="L53" s="24" t="n"/>
      <c r="M53" s="19">
        <f>E53</f>
        <v/>
      </c>
      <c r="N53" s="19">
        <f>I53</f>
        <v/>
      </c>
      <c r="P53" s="3">
        <f>_xlfn.CONCAT(M53, "(\d)")</f>
        <v/>
      </c>
      <c r="Q53" s="5" t="inlineStr">
        <is>
          <t>i</t>
        </is>
      </c>
      <c r="R53" s="5">
        <f>IFERROR( IF(Q53="", "", SEARCH(Q53, $M53)), "")</f>
        <v/>
      </c>
      <c r="S53" s="3">
        <f>IFERROR( _xlfn.CONCAT(LEFT(M53,R53-1), "》", MID(M53,R53,1), "${1}", RIGHT(M53, LEN(M53)-R53)), "" )</f>
        <v/>
      </c>
      <c r="T53" s="25" t="n"/>
      <c r="U53" s="26">
        <f>IF(AND(N53&lt;&gt;"", M53&lt;&gt;""), "    - xform/》" &amp; P53 &amp; "/" &amp; S53 &amp; "/", "")</f>
        <v/>
      </c>
    </row>
    <row r="54" ht="27.75" customHeight="1" s="69" thickBot="1">
      <c r="A54" s="19" t="n">
        <v>51</v>
      </c>
      <c r="B54" s="20" t="inlineStr">
        <is>
          <t>ɔ</t>
        </is>
      </c>
      <c r="C54" s="21" t="inlineStr">
        <is>
          <t>oo</t>
        </is>
      </c>
      <c r="D54" s="19" t="inlineStr">
        <is>
          <t>oo</t>
        </is>
      </c>
      <c r="E54" s="19" t="inlineStr">
        <is>
          <t>oo</t>
        </is>
      </c>
      <c r="F54" s="19" t="inlineStr">
        <is>
          <t>oo</t>
        </is>
      </c>
      <c r="G54" s="22" t="inlineStr">
        <is>
          <t>o͘</t>
        </is>
      </c>
      <c r="H54" s="23" t="inlineStr">
        <is>
          <t>沽舒</t>
        </is>
      </c>
      <c r="I54" s="19" t="inlineStr">
        <is>
          <t>ㆦ</t>
        </is>
      </c>
      <c r="J54" s="19" t="n"/>
      <c r="K54" s="23">
        <f>LEN(C54)</f>
        <v/>
      </c>
      <c r="L54" s="24" t="n"/>
      <c r="M54" s="19">
        <f>E54</f>
        <v/>
      </c>
      <c r="N54" s="19">
        <f>I54</f>
        <v/>
      </c>
      <c r="P54" s="3">
        <f>_xlfn.CONCAT(M54, "(\d)")</f>
        <v/>
      </c>
      <c r="Q54" s="5" t="inlineStr">
        <is>
          <t>e</t>
        </is>
      </c>
      <c r="R54" s="5">
        <f>IFERROR( IF(Q54="", "", SEARCH(Q54, $M54)), "")</f>
        <v/>
      </c>
      <c r="S54" s="3">
        <f>IFERROR( _xlfn.CONCAT(LEFT(M54,R54-1), "》", MID(M54,R54,1), "${1}", RIGHT(M54, LEN(M54)-R54)), "" )</f>
        <v/>
      </c>
      <c r="T54" s="25" t="n"/>
      <c r="U54" s="26">
        <f>IF(AND(N54&lt;&gt;"", M54&lt;&gt;""), "    - xform/》" &amp; P54 &amp; "/" &amp; S54 &amp; "/", "")</f>
        <v/>
      </c>
    </row>
    <row r="55" ht="27.75" customHeight="1" s="69" thickBot="1">
      <c r="A55" s="19" t="n">
        <v>52</v>
      </c>
      <c r="B55" s="20" t="inlineStr">
        <is>
          <t>ɔ̃</t>
        </is>
      </c>
      <c r="C55" s="21" t="inlineStr">
        <is>
          <t>onn</t>
        </is>
      </c>
      <c r="D55" s="19" t="inlineStr">
        <is>
          <t>onn</t>
        </is>
      </c>
      <c r="E55" s="19" t="inlineStr">
        <is>
          <t>oonn</t>
        </is>
      </c>
      <c r="F55" s="19" t="inlineStr">
        <is>
          <t>noo</t>
        </is>
      </c>
      <c r="G55" s="22" t="inlineStr">
        <is>
          <t>oⁿ</t>
        </is>
      </c>
      <c r="H55" s="23" t="inlineStr">
        <is>
          <t>姑舒</t>
        </is>
      </c>
      <c r="I55" s="19" t="inlineStr">
        <is>
          <t>ㆧ</t>
        </is>
      </c>
      <c r="J55" s="19" t="n"/>
      <c r="K55" s="23">
        <f>LEN(C55)</f>
        <v/>
      </c>
      <c r="L55" s="24" t="n"/>
      <c r="M55" s="19">
        <f>E55</f>
        <v/>
      </c>
      <c r="N55" s="19">
        <f>I55</f>
        <v/>
      </c>
      <c r="P55" s="3">
        <f>_xlfn.CONCAT(M55, "(\d)")</f>
        <v/>
      </c>
      <c r="Q55" s="5" t="inlineStr">
        <is>
          <t>e</t>
        </is>
      </c>
      <c r="R55" s="5">
        <f>IFERROR( IF(Q55="", "", SEARCH(Q55, $M55)), "")</f>
        <v/>
      </c>
      <c r="S55" s="3">
        <f>IFERROR( _xlfn.CONCAT(LEFT(M55,R55-1), "》", MID(M55,R55,1), "${1}", RIGHT(M55, LEN(M55)-R55)), "" )</f>
        <v/>
      </c>
      <c r="T55" s="25" t="n"/>
      <c r="U55" s="26">
        <f>IF(AND(N55&lt;&gt;"", M55&lt;&gt;""), "    - xform/》" &amp; P55 &amp; "/" &amp; S55 &amp; "/", "")</f>
        <v/>
      </c>
    </row>
    <row r="56" ht="27.75" customHeight="1" s="69" thickBot="1">
      <c r="A56" s="19" t="n">
        <v>53</v>
      </c>
      <c r="B56" s="20" t="inlineStr">
        <is>
          <t>əʔ/oʔ</t>
        </is>
      </c>
      <c r="C56" s="21" t="inlineStr">
        <is>
          <t>oh</t>
        </is>
      </c>
      <c r="D56" s="19" t="inlineStr">
        <is>
          <t>oh</t>
        </is>
      </c>
      <c r="E56" s="19" t="inlineStr">
        <is>
          <t>orh</t>
        </is>
      </c>
      <c r="F56" s="19" t="inlineStr">
        <is>
          <t>oh</t>
        </is>
      </c>
      <c r="G56" s="22" t="inlineStr">
        <is>
          <t>oh</t>
        </is>
      </c>
      <c r="H56" s="23" t="inlineStr">
        <is>
          <t>高促</t>
        </is>
      </c>
      <c r="I56" s="19" t="inlineStr">
        <is>
          <t>ㄜㆷ</t>
        </is>
      </c>
      <c r="J56" s="19" t="n"/>
      <c r="K56" s="23">
        <f>LEN(C56)</f>
        <v/>
      </c>
      <c r="L56" s="24" t="n"/>
      <c r="M56" s="19">
        <f>E56</f>
        <v/>
      </c>
      <c r="N56" s="19">
        <f>I56</f>
        <v/>
      </c>
      <c r="P56" s="3">
        <f>_xlfn.CONCAT(M56, "(\d)")</f>
        <v/>
      </c>
      <c r="Q56" s="5" t="inlineStr">
        <is>
          <t>a</t>
        </is>
      </c>
      <c r="R56" s="5">
        <f>IFERROR( IF(Q56="", "", SEARCH(Q56, $M56)), "")</f>
        <v/>
      </c>
      <c r="S56" s="3">
        <f>IFERROR( _xlfn.CONCAT(LEFT(M56,R56-1), "》", MID(M56,R56,1), "${1}", RIGHT(M56, LEN(M56)-R56)), "" )</f>
        <v/>
      </c>
      <c r="T56" s="25" t="n"/>
      <c r="U56" s="26">
        <f>IF(AND(N56&lt;&gt;"", M56&lt;&gt;""), "    - xform/》" &amp; P56 &amp; "/" &amp; S56 &amp; "/", "")</f>
        <v/>
      </c>
    </row>
    <row r="57" ht="30.75" customHeight="1" s="69" thickBot="1">
      <c r="A57" s="19" t="n">
        <v>54</v>
      </c>
      <c r="B57" s="20" t="inlineStr">
        <is>
          <t>ɔʔ</t>
        </is>
      </c>
      <c r="C57" s="21" t="inlineStr">
        <is>
          <t>ooh</t>
        </is>
      </c>
      <c r="D57" s="31" t="inlineStr">
        <is>
          <t>ooh</t>
        </is>
      </c>
      <c r="E57" s="31" t="inlineStr">
        <is>
          <t>ooh</t>
        </is>
      </c>
      <c r="F57" s="31" t="inlineStr">
        <is>
          <t>ooh</t>
        </is>
      </c>
      <c r="G57" s="31">
        <f>_xlfn.CONCAT("o", _xlfn.UNICHAR(HEX2DEC(RIGHT("U+0358",4))), "h")</f>
        <v/>
      </c>
      <c r="H57" s="32" t="inlineStr">
        <is>
          <t>沽促</t>
        </is>
      </c>
      <c r="I57" s="34" t="inlineStr">
        <is>
          <t>ㆦㆷ</t>
        </is>
      </c>
      <c r="J57" s="19" t="n"/>
      <c r="K57" s="23">
        <f>LEN(C57)</f>
        <v/>
      </c>
      <c r="L57" s="24" t="n"/>
      <c r="M57" s="19">
        <f>E57</f>
        <v/>
      </c>
      <c r="N57" s="19">
        <f>I57</f>
        <v/>
      </c>
      <c r="P57" s="3">
        <f>_xlfn.CONCAT(M57, "(\d)")</f>
        <v/>
      </c>
      <c r="Q57" s="5" t="inlineStr">
        <is>
          <t>a</t>
        </is>
      </c>
      <c r="R57" s="5">
        <f>IFERROR( IF(Q57="", "", SEARCH(Q57, $M57)), "")</f>
        <v/>
      </c>
      <c r="S57" s="3">
        <f>IFERROR( _xlfn.CONCAT(LEFT(M57,R57-1), "》", MID(M57,R57,1), "${1}", RIGHT(M57, LEN(M57)-R57)), "" )</f>
        <v/>
      </c>
      <c r="T57" s="25" t="n"/>
      <c r="U57" s="26">
        <f>IF(AND(N57&lt;&gt;"", M57&lt;&gt;""), "    - xform/》" &amp; P57 &amp; "/" &amp; S57 &amp; "/", "")</f>
        <v/>
      </c>
    </row>
    <row r="58" ht="27.75" customHeight="1" s="69" thickBot="1">
      <c r="A58" s="19" t="n">
        <v>55</v>
      </c>
      <c r="B58" s="20" t="inlineStr">
        <is>
          <t>ɔ̃ʔ</t>
        </is>
      </c>
      <c r="C58" s="21" t="inlineStr">
        <is>
          <t>onnh</t>
        </is>
      </c>
      <c r="D58" s="19" t="inlineStr">
        <is>
          <t>ohnn</t>
        </is>
      </c>
      <c r="E58" s="19" t="inlineStr">
        <is>
          <t>onnh</t>
        </is>
      </c>
      <c r="F58" s="19" t="inlineStr">
        <is>
          <t>niuh</t>
        </is>
      </c>
      <c r="G58" s="22" t="inlineStr">
        <is>
          <t>ohⁿ</t>
        </is>
      </c>
      <c r="H58" s="23" t="inlineStr">
        <is>
          <t>扛促</t>
        </is>
      </c>
      <c r="I58" s="19" t="inlineStr">
        <is>
          <t>ㆧㆷ</t>
        </is>
      </c>
      <c r="J58" s="29" t="inlineStr">
        <is>
          <t>韻-鼻</t>
        </is>
      </c>
      <c r="K58" s="23">
        <f>LEN(C58)</f>
        <v/>
      </c>
      <c r="L58" s="24" t="n"/>
      <c r="M58" s="19">
        <f>E58</f>
        <v/>
      </c>
      <c r="N58" s="19">
        <f>I58</f>
        <v/>
      </c>
      <c r="P58" s="3">
        <f>_xlfn.CONCAT(M58, "(\d)")</f>
        <v/>
      </c>
      <c r="Q58" s="5" t="inlineStr">
        <is>
          <t>a</t>
        </is>
      </c>
      <c r="R58" s="5">
        <f>IFERROR( IF(Q58="", "", SEARCH(Q58, $M58)), "")</f>
        <v/>
      </c>
      <c r="S58" s="3">
        <f>IFERROR( _xlfn.CONCAT(LEFT(M58,R58-1), "》", MID(M58,R58,1), "${1}", RIGHT(M58, LEN(M58)-R58)), "" )</f>
        <v/>
      </c>
      <c r="T58" s="25" t="n"/>
      <c r="U58" s="26">
        <f>IF(AND(N58&lt;&gt;"", M58&lt;&gt;""), "    - xform/》" &amp; P58 &amp; "/" &amp; S58 &amp; "/", "")</f>
        <v/>
      </c>
    </row>
    <row r="59" ht="27.75" customHeight="1" s="69" thickBot="1">
      <c r="A59" s="19" t="n">
        <v>56</v>
      </c>
      <c r="B59" s="20" t="inlineStr">
        <is>
          <t>ɔm</t>
        </is>
      </c>
      <c r="C59" s="21" t="inlineStr">
        <is>
          <t>om</t>
        </is>
      </c>
      <c r="D59" s="19" t="inlineStr">
        <is>
          <t>om</t>
        </is>
      </c>
      <c r="E59" s="19" t="inlineStr">
        <is>
          <t>oom</t>
        </is>
      </c>
      <c r="F59" s="19" t="inlineStr">
        <is>
          <t>om</t>
        </is>
      </c>
      <c r="G59" s="22" t="inlineStr">
        <is>
          <t>om</t>
        </is>
      </c>
      <c r="H59" s="23" t="inlineStr">
        <is>
          <t>箴舒</t>
        </is>
      </c>
      <c r="I59" s="19" t="inlineStr">
        <is>
          <t>ㆱ</t>
        </is>
      </c>
      <c r="J59" s="19" t="n"/>
      <c r="K59" s="23">
        <f>LEN(C59)</f>
        <v/>
      </c>
      <c r="L59" s="24" t="n"/>
      <c r="M59" s="19">
        <f>E59</f>
        <v/>
      </c>
      <c r="N59" s="19">
        <f>I59</f>
        <v/>
      </c>
      <c r="P59" s="3">
        <f>_xlfn.CONCAT(M59, "(\d)")</f>
        <v/>
      </c>
      <c r="Q59" s="5" t="inlineStr">
        <is>
          <t>a</t>
        </is>
      </c>
      <c r="R59" s="5">
        <f>IFERROR( IF(Q59="", "", SEARCH(Q59, $M59)), "")</f>
        <v/>
      </c>
      <c r="S59" s="3">
        <f>IFERROR( _xlfn.CONCAT(LEFT(M59,R59-1), "》", MID(M59,R59,1), "${1}", RIGHT(M59, LEN(M59)-R59)), "" )</f>
        <v/>
      </c>
      <c r="T59" s="25" t="n"/>
      <c r="U59" s="26">
        <f>IF(AND(N59&lt;&gt;"", M59&lt;&gt;""), "    - xform/》" &amp; P59 &amp; "/" &amp; S59 &amp; "/", "")</f>
        <v/>
      </c>
    </row>
    <row r="60" ht="27.75" customHeight="1" s="69" thickBot="1">
      <c r="A60" s="19" t="n">
        <v>57</v>
      </c>
      <c r="B60" s="20" t="inlineStr">
        <is>
          <t>ɔŋ</t>
        </is>
      </c>
      <c r="C60" s="21" t="inlineStr">
        <is>
          <t>ong</t>
        </is>
      </c>
      <c r="D60" s="19" t="inlineStr">
        <is>
          <t>ong</t>
        </is>
      </c>
      <c r="E60" s="19" t="inlineStr">
        <is>
          <t>ong</t>
        </is>
      </c>
      <c r="F60" s="19" t="inlineStr">
        <is>
          <t>ong</t>
        </is>
      </c>
      <c r="G60" s="22" t="inlineStr">
        <is>
          <t>ong</t>
        </is>
      </c>
      <c r="H60" s="23" t="inlineStr">
        <is>
          <t>公舒</t>
        </is>
      </c>
      <c r="I60" s="19" t="inlineStr">
        <is>
          <t>ㆲ</t>
        </is>
      </c>
      <c r="J60" s="19" t="n"/>
      <c r="K60" s="23">
        <f>LEN(C60)</f>
        <v/>
      </c>
      <c r="L60" s="24" t="n"/>
      <c r="M60" s="19">
        <f>E60</f>
        <v/>
      </c>
      <c r="N60" s="19">
        <f>I60</f>
        <v/>
      </c>
      <c r="P60" s="3">
        <f>_xlfn.CONCAT(M60, "(\d)")</f>
        <v/>
      </c>
      <c r="Q60" s="5" t="inlineStr">
        <is>
          <t>a</t>
        </is>
      </c>
      <c r="R60" s="5">
        <f>IFERROR( IF(Q60="", "", SEARCH(Q60, $M60)), "")</f>
        <v/>
      </c>
      <c r="S60" s="3">
        <f>IFERROR( _xlfn.CONCAT(LEFT(M60,R60-1), "》", MID(M60,R60,1), "${1}", RIGHT(M60, LEN(M60)-R60)), "" )</f>
        <v/>
      </c>
      <c r="T60" s="25" t="n"/>
      <c r="U60" s="26">
        <f>IF(AND(N60&lt;&gt;"", M60&lt;&gt;""), "    - xform/》" &amp; P60 &amp; "/" &amp; S60 &amp; "/", "")</f>
        <v/>
      </c>
    </row>
    <row r="61" ht="27.75" customHeight="1" s="69" thickBot="1">
      <c r="A61" s="19" t="n">
        <v>58</v>
      </c>
      <c r="B61" s="20" t="inlineStr">
        <is>
          <t>ɔp̚</t>
        </is>
      </c>
      <c r="C61" s="21" t="inlineStr">
        <is>
          <t>op</t>
        </is>
      </c>
      <c r="D61" s="19" t="inlineStr">
        <is>
          <t>op</t>
        </is>
      </c>
      <c r="E61" s="19" t="inlineStr">
        <is>
          <t>oop</t>
        </is>
      </c>
      <c r="F61" s="19" t="inlineStr">
        <is>
          <t>op</t>
        </is>
      </c>
      <c r="G61" s="22" t="inlineStr">
        <is>
          <t>op</t>
        </is>
      </c>
      <c r="H61" s="23" t="inlineStr">
        <is>
          <t>箴促</t>
        </is>
      </c>
      <c r="I61" s="19" t="inlineStr">
        <is>
          <t>ㆦㆴ</t>
        </is>
      </c>
      <c r="J61" s="19" t="n"/>
      <c r="K61" s="23">
        <f>LEN(C61)</f>
        <v/>
      </c>
      <c r="L61" s="24" t="n"/>
      <c r="M61" s="19">
        <f>E61</f>
        <v/>
      </c>
      <c r="N61" s="19">
        <f>I61</f>
        <v/>
      </c>
      <c r="P61" s="3">
        <f>_xlfn.CONCAT(M61, "(\d)")</f>
        <v/>
      </c>
      <c r="Q61" s="5" t="inlineStr">
        <is>
          <t>a</t>
        </is>
      </c>
      <c r="R61" s="5">
        <f>IFERROR( IF(Q61="", "", SEARCH(Q61, $M61)), "")</f>
        <v/>
      </c>
      <c r="S61" s="3">
        <f>IFERROR( _xlfn.CONCAT(LEFT(M61,R61-1), "》", MID(M61,R61,1), "${1}", RIGHT(M61, LEN(M61)-R61)), "" )</f>
        <v/>
      </c>
      <c r="T61" s="25" t="n"/>
      <c r="U61" s="26">
        <f>IF(AND(N61&lt;&gt;"", M61&lt;&gt;""), "    - xform/》" &amp; P61 &amp; "/" &amp; S61 &amp; "/", "")</f>
        <v/>
      </c>
    </row>
    <row r="62" ht="27.75" customHeight="1" s="69" thickBot="1">
      <c r="A62" s="19" t="n">
        <v>59</v>
      </c>
      <c r="B62" s="20" t="inlineStr">
        <is>
          <t>ɔk̚</t>
        </is>
      </c>
      <c r="C62" s="21" t="inlineStr">
        <is>
          <t>ok</t>
        </is>
      </c>
      <c r="D62" s="19" t="inlineStr">
        <is>
          <t>ok</t>
        </is>
      </c>
      <c r="E62" s="19" t="inlineStr">
        <is>
          <t>ok</t>
        </is>
      </c>
      <c r="F62" s="19" t="inlineStr">
        <is>
          <t>ok</t>
        </is>
      </c>
      <c r="G62" s="22" t="inlineStr">
        <is>
          <t>ok</t>
        </is>
      </c>
      <c r="H62" s="23" t="inlineStr">
        <is>
          <t>公促</t>
        </is>
      </c>
      <c r="I62" s="19" t="inlineStr">
        <is>
          <t>ㆦㆻ</t>
        </is>
      </c>
      <c r="J62" s="19" t="n"/>
      <c r="K62" s="23">
        <f>LEN(C62)</f>
        <v/>
      </c>
      <c r="L62" s="24" t="n"/>
      <c r="M62" s="19">
        <f>E62</f>
        <v/>
      </c>
      <c r="N62" s="19">
        <f>I62</f>
        <v/>
      </c>
      <c r="P62" s="3">
        <f>_xlfn.CONCAT(M62, "(\d)")</f>
        <v/>
      </c>
      <c r="Q62" s="5" t="inlineStr">
        <is>
          <t>a</t>
        </is>
      </c>
      <c r="R62" s="5">
        <f>IFERROR( IF(Q62="", "", SEARCH(Q62, $M62)), "")</f>
        <v/>
      </c>
      <c r="S62" s="3">
        <f>IFERROR( _xlfn.CONCAT(LEFT(M62,R62-1), "》", MID(M62,R62,1), "${1}", RIGHT(M62, LEN(M62)-R62)), "" )</f>
        <v/>
      </c>
      <c r="T62" s="25" t="n"/>
      <c r="U62" s="26">
        <f>IF(AND(N62&lt;&gt;"", M62&lt;&gt;""), "    - xform/》" &amp; P62 &amp; "/" &amp; S62 &amp; "/", "")</f>
        <v/>
      </c>
    </row>
    <row r="63" ht="27.75" customHeight="1" s="69" thickBot="1">
      <c r="A63" s="19" t="n">
        <v>60</v>
      </c>
      <c r="B63" s="20" t="inlineStr">
        <is>
          <t>u</t>
        </is>
      </c>
      <c r="C63" s="21" t="inlineStr">
        <is>
          <t>u</t>
        </is>
      </c>
      <c r="D63" s="19" t="inlineStr">
        <is>
          <t>u</t>
        </is>
      </c>
      <c r="E63" s="19" t="inlineStr">
        <is>
          <t>u</t>
        </is>
      </c>
      <c r="F63" s="19" t="inlineStr">
        <is>
          <t>u</t>
        </is>
      </c>
      <c r="G63" s="22" t="inlineStr">
        <is>
          <t>u</t>
        </is>
      </c>
      <c r="H63" s="23" t="inlineStr">
        <is>
          <t>艍舒</t>
        </is>
      </c>
      <c r="I63" s="19" t="inlineStr">
        <is>
          <t>ㄨ</t>
        </is>
      </c>
      <c r="J63" s="19" t="n"/>
      <c r="K63" s="23">
        <f>LEN(C63)</f>
        <v/>
      </c>
      <c r="L63" s="24" t="n"/>
      <c r="M63" s="19">
        <f>E63</f>
        <v/>
      </c>
      <c r="N63" s="19">
        <f>I63</f>
        <v/>
      </c>
      <c r="P63" s="3">
        <f>_xlfn.CONCAT(M63, "(\d)")</f>
        <v/>
      </c>
      <c r="Q63" s="5" t="inlineStr">
        <is>
          <t>a</t>
        </is>
      </c>
      <c r="R63" s="5">
        <f>IFERROR( IF(Q63="", "", SEARCH(Q63, $M63)), "")</f>
        <v/>
      </c>
      <c r="S63" s="3">
        <f>IFERROR( _xlfn.CONCAT(LEFT(M63,R63-1), "》", MID(M63,R63,1), "${1}", RIGHT(M63, LEN(M63)-R63)), "" )</f>
        <v/>
      </c>
      <c r="T63" s="25" t="n"/>
      <c r="U63" s="26">
        <f>IF(AND(N63&lt;&gt;"", M63&lt;&gt;""), "    - xform/》" &amp; P63 &amp; "/" &amp; S63 &amp; "/", "")</f>
        <v/>
      </c>
    </row>
    <row r="64" ht="27.75" customHeight="1" s="69" thickBot="1">
      <c r="A64" s="19" t="n">
        <v>61</v>
      </c>
      <c r="B64" s="20" t="inlineStr">
        <is>
          <t>uʔ</t>
        </is>
      </c>
      <c r="C64" s="21" t="inlineStr">
        <is>
          <t>uh</t>
        </is>
      </c>
      <c r="D64" s="19" t="inlineStr">
        <is>
          <t>uh</t>
        </is>
      </c>
      <c r="E64" s="19" t="inlineStr">
        <is>
          <t>uh</t>
        </is>
      </c>
      <c r="F64" s="19" t="inlineStr">
        <is>
          <t>uh</t>
        </is>
      </c>
      <c r="G64" s="22" t="inlineStr">
        <is>
          <t>uh</t>
        </is>
      </c>
      <c r="H64" s="23" t="inlineStr">
        <is>
          <t>艍促</t>
        </is>
      </c>
      <c r="I64" s="19" t="inlineStr">
        <is>
          <t>ㄨㆷ</t>
        </is>
      </c>
      <c r="J64" s="19" t="n"/>
      <c r="K64" s="23">
        <f>LEN(C64)</f>
        <v/>
      </c>
      <c r="L64" s="24" t="n"/>
      <c r="M64" s="19">
        <f>E64</f>
        <v/>
      </c>
      <c r="N64" s="19">
        <f>I64</f>
        <v/>
      </c>
      <c r="P64" s="3">
        <f>_xlfn.CONCAT(M64, "(\d)")</f>
        <v/>
      </c>
      <c r="Q64" s="5" t="inlineStr">
        <is>
          <t>e</t>
        </is>
      </c>
      <c r="R64" s="5">
        <f>IFERROR( IF(Q64="", "", SEARCH(Q64, $M64)), "")</f>
        <v/>
      </c>
      <c r="S64" s="3">
        <f>IFERROR( _xlfn.CONCAT(LEFT(M64,R64-1), "》", MID(M64,R64,1), "${1}", RIGHT(M64, LEN(M64)-R64)), "" )</f>
        <v/>
      </c>
      <c r="T64" s="25" t="n"/>
      <c r="U64" s="26">
        <f>IF(AND(N64&lt;&gt;"", M64&lt;&gt;""), "    - xform/》" &amp; P64 &amp; "/" &amp; S64 &amp; "/", "")</f>
        <v/>
      </c>
    </row>
    <row r="65" ht="27.75" customHeight="1" s="69" thickBot="1">
      <c r="A65" s="19" t="n">
        <v>62</v>
      </c>
      <c r="B65" s="20" t="inlineStr">
        <is>
          <t>un</t>
        </is>
      </c>
      <c r="C65" s="21" t="inlineStr">
        <is>
          <t>un</t>
        </is>
      </c>
      <c r="D65" s="19" t="inlineStr">
        <is>
          <t>un</t>
        </is>
      </c>
      <c r="E65" s="19" t="inlineStr">
        <is>
          <t>un</t>
        </is>
      </c>
      <c r="F65" s="19" t="inlineStr">
        <is>
          <t>un</t>
        </is>
      </c>
      <c r="G65" s="22" t="inlineStr">
        <is>
          <t>un</t>
        </is>
      </c>
      <c r="H65" s="23" t="inlineStr">
        <is>
          <t>君舒</t>
        </is>
      </c>
      <c r="I65" s="19" t="inlineStr">
        <is>
          <t>ㄨㄣ</t>
        </is>
      </c>
      <c r="J65" s="19" t="n"/>
      <c r="K65" s="23">
        <f>LEN(C65)</f>
        <v/>
      </c>
      <c r="L65" s="24" t="n"/>
      <c r="M65" s="19">
        <f>E65</f>
        <v/>
      </c>
      <c r="N65" s="19">
        <f>I65</f>
        <v/>
      </c>
      <c r="P65" s="3">
        <f>_xlfn.CONCAT(M65, "(\d)")</f>
        <v/>
      </c>
      <c r="Q65" s="5" t="inlineStr">
        <is>
          <t>i</t>
        </is>
      </c>
      <c r="R65" s="5">
        <f>IFERROR( IF(Q65="", "", SEARCH(Q65, $M65)), "")</f>
        <v/>
      </c>
      <c r="S65" s="3">
        <f>IFERROR( _xlfn.CONCAT(LEFT(M65,R65-1), "》", MID(M65,R65,1), "${1}", RIGHT(M65, LEN(M65)-R65)), "" )</f>
        <v/>
      </c>
      <c r="T65" s="25" t="n"/>
      <c r="U65" s="26">
        <f>IF(AND(N65&lt;&gt;"", M65&lt;&gt;""), "    - xform/》" &amp; P65 &amp; "/" &amp; S65 &amp; "/", "")</f>
        <v/>
      </c>
    </row>
    <row r="66" ht="27.75" customHeight="1" s="69" thickBot="1">
      <c r="A66" s="19" t="n">
        <v>63</v>
      </c>
      <c r="B66" s="20" t="inlineStr">
        <is>
          <t>ut̚</t>
        </is>
      </c>
      <c r="C66" s="21" t="inlineStr">
        <is>
          <t>ut</t>
        </is>
      </c>
      <c r="D66" s="19" t="inlineStr">
        <is>
          <t>ut</t>
        </is>
      </c>
      <c r="E66" s="19" t="inlineStr">
        <is>
          <t>ut</t>
        </is>
      </c>
      <c r="F66" s="19" t="inlineStr">
        <is>
          <t>ut</t>
        </is>
      </c>
      <c r="G66" s="22" t="inlineStr">
        <is>
          <t>ut</t>
        </is>
      </c>
      <c r="H66" s="23" t="inlineStr">
        <is>
          <t>君促</t>
        </is>
      </c>
      <c r="I66" s="19" t="inlineStr">
        <is>
          <t>ㄨㆵ</t>
        </is>
      </c>
      <c r="J66" s="19" t="n"/>
      <c r="K66" s="23">
        <f>LEN(C66)</f>
        <v/>
      </c>
      <c r="L66" s="24" t="n"/>
      <c r="M66" s="19">
        <f>E66</f>
        <v/>
      </c>
      <c r="N66" s="19">
        <f>I66</f>
        <v/>
      </c>
      <c r="P66" s="3">
        <f>_xlfn.CONCAT(M66, "(\d)")</f>
        <v/>
      </c>
      <c r="Q66" s="5" t="inlineStr">
        <is>
          <t>a</t>
        </is>
      </c>
      <c r="R66" s="5">
        <f>IFERROR( IF(Q66="", "", SEARCH(Q66, $M66)), "")</f>
        <v/>
      </c>
      <c r="S66" s="3">
        <f>IFERROR( _xlfn.CONCAT(LEFT(M66,R66-1), "》", MID(M66,R66,1), "${1}", RIGHT(M66, LEN(M66)-R66)), "" )</f>
        <v/>
      </c>
      <c r="T66" s="25" t="n"/>
      <c r="U66" s="26">
        <f>IF(AND(N66&lt;&gt;"", M66&lt;&gt;""), "    - xform/》" &amp; P66 &amp; "/" &amp; S66 &amp; "/", "")</f>
        <v/>
      </c>
    </row>
    <row r="67" ht="27.75" customHeight="1" s="69" thickBot="1">
      <c r="A67" s="19" t="n">
        <v>64</v>
      </c>
      <c r="B67" s="20" t="inlineStr">
        <is>
          <t>ua</t>
        </is>
      </c>
      <c r="C67" s="21" t="inlineStr">
        <is>
          <t>ua</t>
        </is>
      </c>
      <c r="D67" s="19" t="inlineStr">
        <is>
          <t>ua</t>
        </is>
      </c>
      <c r="E67" s="19" t="inlineStr">
        <is>
          <t>ua</t>
        </is>
      </c>
      <c r="F67" s="19" t="inlineStr">
        <is>
          <t>ua</t>
        </is>
      </c>
      <c r="G67" s="22" t="inlineStr">
        <is>
          <t>oa</t>
        </is>
      </c>
      <c r="H67" s="23" t="inlineStr">
        <is>
          <t>瓜舒</t>
        </is>
      </c>
      <c r="I67" s="19" t="inlineStr">
        <is>
          <t>ㄨㄚ</t>
        </is>
      </c>
      <c r="J67" s="19" t="n"/>
      <c r="K67" s="23">
        <f>LEN(C67)</f>
        <v/>
      </c>
      <c r="L67" s="24" t="n"/>
      <c r="M67" s="19">
        <f>E67</f>
        <v/>
      </c>
      <c r="N67" s="19">
        <f>I67</f>
        <v/>
      </c>
      <c r="P67" s="3">
        <f>_xlfn.CONCAT(M67, "(\d)")</f>
        <v/>
      </c>
      <c r="Q67" s="5" t="inlineStr">
        <is>
          <t>e</t>
        </is>
      </c>
      <c r="R67" s="5">
        <f>IFERROR( IF(Q67="", "", SEARCH(Q67, $M67)), "")</f>
        <v/>
      </c>
      <c r="S67" s="3">
        <f>IFERROR( _xlfn.CONCAT(LEFT(M67,R67-1), "》", MID(M67,R67,1), "${1}", RIGHT(M67, LEN(M67)-R67)), "" )</f>
        <v/>
      </c>
      <c r="T67" s="25" t="n"/>
      <c r="U67" s="26">
        <f>IF(AND(N67&lt;&gt;"", M67&lt;&gt;""), "    - xform/》" &amp; P67 &amp; "/" &amp; S67 &amp; "/", "")</f>
        <v/>
      </c>
    </row>
    <row r="68" ht="27.75" customHeight="1" s="69" thickBot="1">
      <c r="A68" s="19" t="n">
        <v>65</v>
      </c>
      <c r="B68" s="20" t="inlineStr">
        <is>
          <t>uã</t>
        </is>
      </c>
      <c r="C68" s="21" t="inlineStr">
        <is>
          <t>uann</t>
        </is>
      </c>
      <c r="D68" s="19" t="inlineStr">
        <is>
          <t>uann</t>
        </is>
      </c>
      <c r="E68" s="19" t="inlineStr">
        <is>
          <t>uann</t>
        </is>
      </c>
      <c r="F68" s="19" t="inlineStr">
        <is>
          <t>nua</t>
        </is>
      </c>
      <c r="G68" s="22" t="inlineStr">
        <is>
          <t>oaⁿ</t>
        </is>
      </c>
      <c r="H68" s="23" t="inlineStr">
        <is>
          <t>官舒</t>
        </is>
      </c>
      <c r="I68" s="19" t="inlineStr">
        <is>
          <t>ㄨㆩ</t>
        </is>
      </c>
      <c r="J68" s="19" t="n"/>
      <c r="K68" s="23">
        <f>LEN(C68)</f>
        <v/>
      </c>
      <c r="L68" s="24" t="n"/>
      <c r="M68" s="19">
        <f>E68</f>
        <v/>
      </c>
      <c r="N68" s="19">
        <f>I68</f>
        <v/>
      </c>
      <c r="P68" s="3">
        <f>_xlfn.CONCAT(M68, "(\d)")</f>
        <v/>
      </c>
      <c r="Q68" s="5" t="inlineStr">
        <is>
          <t>i</t>
        </is>
      </c>
      <c r="R68" s="5">
        <f>IFERROR( IF(Q68="", "", SEARCH(Q68, $M68)), "")</f>
        <v/>
      </c>
      <c r="S68" s="3">
        <f>IFERROR( _xlfn.CONCAT(LEFT(M68,R68-1), "》", MID(M68,R68,1), "${1}", RIGHT(M68, LEN(M68)-R68)), "" )</f>
        <v/>
      </c>
      <c r="T68" s="25" t="n"/>
      <c r="U68" s="26">
        <f>IF(AND(N68&lt;&gt;"", M68&lt;&gt;""), "    - xform/》" &amp; P68 &amp; "/" &amp; S68 &amp; "/", "")</f>
        <v/>
      </c>
    </row>
    <row r="69" ht="27.75" customHeight="1" s="69" thickBot="1">
      <c r="A69" s="19" t="n">
        <v>66</v>
      </c>
      <c r="B69" s="20" t="inlineStr">
        <is>
          <t>uaʔ</t>
        </is>
      </c>
      <c r="C69" s="21" t="inlineStr">
        <is>
          <t>uah</t>
        </is>
      </c>
      <c r="D69" s="19" t="inlineStr">
        <is>
          <t>uah</t>
        </is>
      </c>
      <c r="E69" s="19" t="inlineStr">
        <is>
          <t>uah</t>
        </is>
      </c>
      <c r="F69" s="19" t="inlineStr">
        <is>
          <t>uah</t>
        </is>
      </c>
      <c r="G69" s="22" t="inlineStr">
        <is>
          <t>oah</t>
        </is>
      </c>
      <c r="H69" s="23" t="inlineStr">
        <is>
          <t>瓜促</t>
        </is>
      </c>
      <c r="I69" s="19" t="inlineStr">
        <is>
          <t>ㄨㄚㆷ</t>
        </is>
      </c>
      <c r="J69" s="19" t="n"/>
      <c r="K69" s="23">
        <f>LEN(C69)</f>
        <v/>
      </c>
      <c r="L69" s="24" t="n"/>
      <c r="M69" s="19">
        <f>E69</f>
        <v/>
      </c>
      <c r="N69" s="19">
        <f>I69</f>
        <v/>
      </c>
      <c r="P69" s="3">
        <f>_xlfn.CONCAT(M69, "(\d)")</f>
        <v/>
      </c>
      <c r="Q69" s="5" t="inlineStr">
        <is>
          <t>i</t>
        </is>
      </c>
      <c r="R69" s="5">
        <f>IFERROR( IF(Q69="", "", SEARCH(Q69, $M69)), "")</f>
        <v/>
      </c>
      <c r="S69" s="3">
        <f>IFERROR( _xlfn.CONCAT(LEFT(M69,R69-1), "》", MID(M69,R69,1), "${1}", RIGHT(M69, LEN(M69)-R69)), "" )</f>
        <v/>
      </c>
      <c r="T69" s="25" t="n"/>
      <c r="U69" s="26">
        <f>IF(AND(N69&lt;&gt;"", M69&lt;&gt;""), "    - xform/》" &amp; P69 &amp;  "/"  &amp; S69 &amp;  "/", "")</f>
        <v/>
      </c>
    </row>
    <row r="70" ht="27.75" customHeight="1" s="69" thickBot="1">
      <c r="A70" s="19" t="n">
        <v>67</v>
      </c>
      <c r="B70" s="20" t="inlineStr">
        <is>
          <t>uan</t>
        </is>
      </c>
      <c r="C70" s="21" t="inlineStr">
        <is>
          <t>uan</t>
        </is>
      </c>
      <c r="D70" s="19" t="inlineStr">
        <is>
          <t>uan</t>
        </is>
      </c>
      <c r="E70" s="19" t="inlineStr">
        <is>
          <t>uan</t>
        </is>
      </c>
      <c r="F70" s="19" t="inlineStr">
        <is>
          <t>uan</t>
        </is>
      </c>
      <c r="G70" s="22" t="inlineStr">
        <is>
          <t>oan</t>
        </is>
      </c>
      <c r="H70" s="23" t="inlineStr">
        <is>
          <t>觀舒</t>
        </is>
      </c>
      <c r="I70" s="19" t="inlineStr">
        <is>
          <t>ㄨㄢ</t>
        </is>
      </c>
      <c r="J70" s="19" t="n"/>
      <c r="K70" s="23">
        <f>LEN(C70)</f>
        <v/>
      </c>
      <c r="L70" s="24" t="n"/>
      <c r="M70" s="19">
        <f>E70</f>
        <v/>
      </c>
      <c r="N70" s="19">
        <f>I70</f>
        <v/>
      </c>
      <c r="P70" s="3">
        <f>_xlfn.CONCAT(M70, "(\d)")</f>
        <v/>
      </c>
      <c r="Q70" s="5" t="inlineStr">
        <is>
          <t>i</t>
        </is>
      </c>
      <c r="R70" s="5">
        <f>IFERROR( IF(Q70="", "", SEARCH(Q70, $M70)), "")</f>
        <v/>
      </c>
      <c r="S70" s="3">
        <f>IFERROR( _xlfn.CONCAT(LEFT(M70,R70-1), "》", MID(M70,R70,1), "${1}", RIGHT(M70, LEN(M70)-R70)), "" )</f>
        <v/>
      </c>
      <c r="T70" s="25" t="n"/>
      <c r="U70" s="26">
        <f>IF(AND(N70&lt;&gt;"", M70&lt;&gt;""), "    - xform/》" &amp; P70 &amp; "/" &amp; S70 &amp; "/", "")</f>
        <v/>
      </c>
    </row>
    <row r="71" ht="27.75" customHeight="1" s="69" thickBot="1">
      <c r="A71" s="19" t="n">
        <v>68</v>
      </c>
      <c r="B71" s="20" t="inlineStr">
        <is>
          <t>uaŋ</t>
        </is>
      </c>
      <c r="C71" s="21" t="inlineStr">
        <is>
          <t>uang</t>
        </is>
      </c>
      <c r="D71" s="19" t="inlineStr">
        <is>
          <t>uang</t>
        </is>
      </c>
      <c r="E71" s="19" t="inlineStr">
        <is>
          <t>uang</t>
        </is>
      </c>
      <c r="F71" s="19" t="inlineStr">
        <is>
          <t>uang</t>
        </is>
      </c>
      <c r="G71" s="22" t="inlineStr">
        <is>
          <t>oang</t>
        </is>
      </c>
      <c r="H71" s="23" t="inlineStr">
        <is>
          <t>光舒</t>
        </is>
      </c>
      <c r="I71" s="19" t="inlineStr">
        <is>
          <t>ㄨㄤ</t>
        </is>
      </c>
      <c r="J71" s="19" t="n"/>
      <c r="K71" s="23">
        <f>LEN(C71)</f>
        <v/>
      </c>
      <c r="L71" s="24" t="n"/>
      <c r="M71" s="19">
        <f>E71</f>
        <v/>
      </c>
      <c r="N71" s="19">
        <f>I71</f>
        <v/>
      </c>
      <c r="P71" s="3">
        <f>_xlfn.CONCAT(M71, "(\d)")</f>
        <v/>
      </c>
      <c r="Q71" s="5" t="inlineStr">
        <is>
          <t>i</t>
        </is>
      </c>
      <c r="R71" s="5">
        <f>IFERROR( IF(Q71="", "", SEARCH(Q71, $M71)), "")</f>
        <v/>
      </c>
      <c r="S71" s="3">
        <f>IFERROR( _xlfn.CONCAT(LEFT(M71,R71-1), "》", MID(M71,R71,1), "${1}", RIGHT(M71, LEN(M71)-R71)), "" )</f>
        <v/>
      </c>
      <c r="T71" s="25" t="n"/>
      <c r="U71" s="26">
        <f>IF(AND(N71&lt;&gt;"", M71&lt;&gt;""), "    - xform/》" &amp; P71 &amp; "/" &amp; S71 &amp; "/", "")</f>
        <v/>
      </c>
    </row>
    <row r="72" ht="27.75" customHeight="1" s="69" thickBot="1">
      <c r="A72" s="19" t="n">
        <v>69</v>
      </c>
      <c r="B72" s="20" t="inlineStr">
        <is>
          <t>uat̚</t>
        </is>
      </c>
      <c r="C72" s="21" t="inlineStr">
        <is>
          <t>uat</t>
        </is>
      </c>
      <c r="D72" s="19" t="inlineStr">
        <is>
          <t>uat</t>
        </is>
      </c>
      <c r="E72" s="19" t="inlineStr">
        <is>
          <t>uat</t>
        </is>
      </c>
      <c r="F72" s="19" t="inlineStr">
        <is>
          <t>uat</t>
        </is>
      </c>
      <c r="G72" s="22" t="inlineStr">
        <is>
          <t>oat</t>
        </is>
      </c>
      <c r="H72" s="23" t="inlineStr">
        <is>
          <t>觀促</t>
        </is>
      </c>
      <c r="I72" s="19" t="inlineStr">
        <is>
          <t>ㄨㄚㆵ</t>
        </is>
      </c>
      <c r="J72" s="19" t="n"/>
      <c r="K72" s="23">
        <f>LEN(C72)</f>
        <v/>
      </c>
      <c r="L72" s="24" t="n"/>
      <c r="M72" s="19">
        <f>E72</f>
        <v/>
      </c>
      <c r="N72" s="19">
        <f>I72</f>
        <v/>
      </c>
      <c r="P72" s="3">
        <f>_xlfn.CONCAT(M72, "(\d)")</f>
        <v/>
      </c>
      <c r="Q72" s="5" t="inlineStr">
        <is>
          <t>i</t>
        </is>
      </c>
      <c r="R72" s="5">
        <f>IFERROR( IF(Q72="", "", SEARCH(Q72, $M72)), "")</f>
        <v/>
      </c>
      <c r="S72" s="3">
        <f>IFERROR( _xlfn.CONCAT(LEFT(M72,R72-1), "》", MID(M72,R72,1), "${1}", RIGHT(M72, LEN(M72)-R72)), "" )</f>
        <v/>
      </c>
      <c r="T72" s="25" t="n"/>
      <c r="U72" s="26">
        <f>IF(AND(N72&lt;&gt;"", M72&lt;&gt;""), "    - xform/》" &amp; P72 &amp; "/" &amp; S72 &amp; "/", "")</f>
        <v/>
      </c>
    </row>
    <row r="73" ht="27.75" customHeight="1" s="69" thickBot="1">
      <c r="A73" s="19" t="n">
        <v>70</v>
      </c>
      <c r="B73" s="20" t="inlineStr">
        <is>
          <t>uai</t>
        </is>
      </c>
      <c r="C73" s="21" t="inlineStr">
        <is>
          <t>uai</t>
        </is>
      </c>
      <c r="D73" s="19" t="inlineStr">
        <is>
          <t>uai</t>
        </is>
      </c>
      <c r="E73" s="19" t="inlineStr">
        <is>
          <t>uai</t>
        </is>
      </c>
      <c r="F73" s="19" t="inlineStr">
        <is>
          <t>uai</t>
        </is>
      </c>
      <c r="G73" s="22" t="inlineStr">
        <is>
          <t>oai</t>
        </is>
      </c>
      <c r="H73" s="23" t="inlineStr">
        <is>
          <t>乖舒</t>
        </is>
      </c>
      <c r="I73" s="19" t="inlineStr">
        <is>
          <t>ㄨㄞ</t>
        </is>
      </c>
      <c r="J73" s="19" t="n"/>
      <c r="K73" s="23">
        <f>LEN(C73)</f>
        <v/>
      </c>
      <c r="L73" s="24" t="n"/>
      <c r="M73" s="19">
        <f>E73</f>
        <v/>
      </c>
      <c r="N73" s="19">
        <f>I73</f>
        <v/>
      </c>
      <c r="P73" s="3">
        <f>_xlfn.CONCAT(M73, "(\d)")</f>
        <v/>
      </c>
      <c r="Q73" s="5" t="inlineStr">
        <is>
          <t>i</t>
        </is>
      </c>
      <c r="R73" s="5">
        <f>IFERROR( IF(Q73="", "", SEARCH(Q73, $M73)), "")</f>
        <v/>
      </c>
      <c r="S73" s="3">
        <f>IFERROR( _xlfn.CONCAT(LEFT(M73,R73-1), "》", MID(M73,R73,1), "${1}", RIGHT(M73, LEN(M73)-R73)), "" )</f>
        <v/>
      </c>
      <c r="T73" s="25" t="n"/>
      <c r="U73" s="26">
        <f>IF(AND(N73&lt;&gt;"", M73&lt;&gt;""), "    - xform/》" &amp; P73 &amp; "/" &amp; S73 &amp; "/", "")</f>
        <v/>
      </c>
    </row>
    <row r="74" ht="27.75" customHeight="1" s="69" thickBot="1">
      <c r="A74" s="19" t="n">
        <v>71</v>
      </c>
      <c r="B74" s="20" t="inlineStr">
        <is>
          <t>uãi</t>
        </is>
      </c>
      <c r="C74" s="21" t="inlineStr">
        <is>
          <t>uainn</t>
        </is>
      </c>
      <c r="D74" s="19" t="inlineStr">
        <is>
          <t>uainn</t>
        </is>
      </c>
      <c r="E74" s="19" t="inlineStr">
        <is>
          <t>uainn</t>
        </is>
      </c>
      <c r="F74" s="19" t="inlineStr">
        <is>
          <t>nuai</t>
        </is>
      </c>
      <c r="G74" s="22" t="inlineStr">
        <is>
          <t>oaiⁿ</t>
        </is>
      </c>
      <c r="H74" s="23" t="inlineStr">
        <is>
          <t>閂舒</t>
        </is>
      </c>
      <c r="I74" s="19" t="inlineStr">
        <is>
          <t>ㄨㆮ</t>
        </is>
      </c>
      <c r="J74" s="29" t="inlineStr">
        <is>
          <t>韻-鼻</t>
        </is>
      </c>
      <c r="K74" s="23">
        <f>LEN(C74)</f>
        <v/>
      </c>
      <c r="L74" s="24" t="n"/>
      <c r="M74" s="19">
        <f>E74</f>
        <v/>
      </c>
      <c r="N74" s="19">
        <f>I74</f>
        <v/>
      </c>
      <c r="P74" s="3">
        <f>_xlfn.CONCAT(M74, "(\d)")</f>
        <v/>
      </c>
      <c r="Q74" s="5" t="inlineStr">
        <is>
          <t>i</t>
        </is>
      </c>
      <c r="R74" s="5">
        <f>IFERROR( IF(Q74="", "", SEARCH(Q74, $M74)), "")</f>
        <v/>
      </c>
      <c r="S74" s="3">
        <f>IFERROR( _xlfn.CONCAT(LEFT(M74,R74-1), "》", MID(M74,R74,1), "${1}", RIGHT(M74, LEN(M74)-R74)), "" )</f>
        <v/>
      </c>
      <c r="T74" s="25" t="n"/>
      <c r="U74" s="26">
        <f>IF(AND(N74&lt;&gt;"", M74&lt;&gt;""), "    - xform/》" &amp; P74 &amp; "/" &amp; S74 &amp; "/", "")</f>
        <v/>
      </c>
    </row>
    <row r="75" ht="27.75" customHeight="1" s="69" thickBot="1">
      <c r="A75" s="19" t="n">
        <v>72</v>
      </c>
      <c r="B75" s="20" t="inlineStr">
        <is>
          <t>uaiʔ</t>
        </is>
      </c>
      <c r="C75" s="21" t="inlineStr">
        <is>
          <t>uaih</t>
        </is>
      </c>
      <c r="D75" s="19" t="inlineStr">
        <is>
          <t>uaih</t>
        </is>
      </c>
      <c r="E75" s="19" t="inlineStr">
        <is>
          <t>uaih</t>
        </is>
      </c>
      <c r="F75" s="19" t="inlineStr">
        <is>
          <t>uaih</t>
        </is>
      </c>
      <c r="G75" s="22" t="inlineStr">
        <is>
          <t>oaih</t>
        </is>
      </c>
      <c r="H75" s="23" t="inlineStr">
        <is>
          <t>乖促</t>
        </is>
      </c>
      <c r="I75" s="19" t="inlineStr">
        <is>
          <t>ㄨㄞㆷ</t>
        </is>
      </c>
      <c r="J75" s="19" t="n"/>
      <c r="K75" s="23">
        <f>LEN(C75)</f>
        <v/>
      </c>
      <c r="L75" s="24" t="n"/>
      <c r="M75" s="19">
        <f>E75</f>
        <v/>
      </c>
      <c r="N75" s="19">
        <f>I75</f>
        <v/>
      </c>
      <c r="P75" s="3">
        <f>_xlfn.CONCAT(M75, "(\d)")</f>
        <v/>
      </c>
      <c r="Q75" s="5" t="inlineStr">
        <is>
          <t>i</t>
        </is>
      </c>
      <c r="R75" s="5">
        <f>IFERROR( IF(Q75="", "", SEARCH(Q75, $M75)), "")</f>
        <v/>
      </c>
      <c r="S75" s="3">
        <f>IFERROR( _xlfn.CONCAT(LEFT(M75,R75-1), "》", MID(M75,R75,1), "${1}", RIGHT(M75, LEN(M75)-R75)), "" )</f>
        <v/>
      </c>
      <c r="T75" s="25" t="n"/>
      <c r="U75" s="26">
        <f>IF(AND(N75&lt;&gt;"", M75&lt;&gt;""), "    - xform/》" &amp; P75 &amp; "/" &amp; S75 &amp; "/", "")</f>
        <v/>
      </c>
    </row>
    <row r="76" ht="27.75" customHeight="1" s="69" thickBot="1">
      <c r="A76" s="19" t="n">
        <v>73</v>
      </c>
      <c r="B76" s="20" t="inlineStr">
        <is>
          <t>uãiʔ</t>
        </is>
      </c>
      <c r="C76" s="21" t="inlineStr">
        <is>
          <t>uainnh</t>
        </is>
      </c>
      <c r="D76" s="19" t="inlineStr">
        <is>
          <t>uaihnn</t>
        </is>
      </c>
      <c r="E76" s="19" t="inlineStr">
        <is>
          <t>uainnh</t>
        </is>
      </c>
      <c r="F76" s="31" t="inlineStr">
        <is>
          <t>uainnh</t>
        </is>
      </c>
      <c r="G76" s="22" t="inlineStr">
        <is>
          <t>oaihⁿ</t>
        </is>
      </c>
      <c r="H76" s="23" t="inlineStr">
        <is>
          <t>閂促</t>
        </is>
      </c>
      <c r="I76" s="19" t="inlineStr">
        <is>
          <t>ㄨㆮㆷ</t>
        </is>
      </c>
      <c r="J76" s="29" t="inlineStr">
        <is>
          <t>韻-鼻</t>
        </is>
      </c>
      <c r="K76" s="23">
        <f>LEN(C76)</f>
        <v/>
      </c>
      <c r="L76" s="24" t="n"/>
      <c r="M76" s="19">
        <f>E76</f>
        <v/>
      </c>
      <c r="N76" s="19">
        <f>I76</f>
        <v/>
      </c>
      <c r="P76" s="3">
        <f>_xlfn.CONCAT(M76, "(\d)")</f>
        <v/>
      </c>
      <c r="Q76" s="5" t="inlineStr">
        <is>
          <t>m</t>
        </is>
      </c>
      <c r="R76" s="5">
        <f>IFERROR( IF(Q76="", "", SEARCH(Q76, $M76)), "")</f>
        <v/>
      </c>
      <c r="S76" s="3">
        <f>IFERROR( _xlfn.CONCAT(LEFT(M76,R76-1), "》", MID(M76,R76,1), "${1}", RIGHT(M76, LEN(M76)-R76)), "" )</f>
        <v/>
      </c>
      <c r="T76" s="25" t="n"/>
      <c r="U76" s="26">
        <f>IF(AND(N76&lt;&gt;"", M76&lt;&gt;""), "    - xform/》" &amp; P76 &amp; "/" &amp; S76 &amp; "/", "")</f>
        <v/>
      </c>
    </row>
    <row r="77" ht="27.75" customHeight="1" s="69" thickBot="1">
      <c r="A77" s="19" t="n">
        <v>74</v>
      </c>
      <c r="B77" s="20" t="inlineStr">
        <is>
          <t>ue</t>
        </is>
      </c>
      <c r="C77" s="21" t="inlineStr">
        <is>
          <t>ue</t>
        </is>
      </c>
      <c r="D77" s="19" t="inlineStr">
        <is>
          <t>ue</t>
        </is>
      </c>
      <c r="E77" s="19" t="inlineStr">
        <is>
          <t>ue</t>
        </is>
      </c>
      <c r="F77" s="19" t="inlineStr">
        <is>
          <t>ue</t>
        </is>
      </c>
      <c r="G77" s="22" t="inlineStr">
        <is>
          <t>oe</t>
        </is>
      </c>
      <c r="H77" s="23" t="inlineStr">
        <is>
          <t>檜舒</t>
        </is>
      </c>
      <c r="I77" s="19" t="inlineStr">
        <is>
          <t>ㄨㆤ</t>
        </is>
      </c>
      <c r="J77" s="19" t="n"/>
      <c r="K77" s="23">
        <f>LEN(C77)</f>
        <v/>
      </c>
      <c r="L77" s="24" t="n"/>
      <c r="M77" s="19">
        <f>E77</f>
        <v/>
      </c>
      <c r="N77" s="19">
        <f>I77</f>
        <v/>
      </c>
      <c r="P77" s="3">
        <f>_xlfn.CONCAT(M77, "(\d)")</f>
        <v/>
      </c>
      <c r="Q77" s="5" t="inlineStr">
        <is>
          <t>n</t>
        </is>
      </c>
      <c r="R77" s="5">
        <f>IFERROR( IF(Q77="", "", SEARCH(Q77, $M77)), "")</f>
        <v/>
      </c>
      <c r="S77" s="3">
        <f>IFERROR( _xlfn.CONCAT(LEFT(M77,R77-1), "》", MID(M77,R77,1), "${1}", RIGHT(M77, LEN(M77)-R77)), "" )</f>
        <v/>
      </c>
      <c r="T77" s="25" t="n"/>
      <c r="U77" s="26">
        <f>IF(AND(N77&lt;&gt;"", M77&lt;&gt;""), "    - xform/》" &amp; P77 &amp; "/" &amp; S77 &amp; "/", "")</f>
        <v/>
      </c>
    </row>
    <row r="78" ht="27.75" customHeight="1" s="69" thickBot="1">
      <c r="A78" s="19" t="n">
        <v>75</v>
      </c>
      <c r="B78" s="20" t="inlineStr">
        <is>
          <t>ueʔ</t>
        </is>
      </c>
      <c r="C78" s="21" t="inlineStr">
        <is>
          <t>ueh</t>
        </is>
      </c>
      <c r="D78" s="19" t="inlineStr">
        <is>
          <t>ueh</t>
        </is>
      </c>
      <c r="E78" s="19" t="inlineStr">
        <is>
          <t>ueh</t>
        </is>
      </c>
      <c r="F78" s="19" t="inlineStr">
        <is>
          <t>ueh</t>
        </is>
      </c>
      <c r="G78" s="22" t="inlineStr">
        <is>
          <t>oeh</t>
        </is>
      </c>
      <c r="H78" s="23" t="inlineStr">
        <is>
          <t>檜促</t>
        </is>
      </c>
      <c r="I78" s="19" t="inlineStr">
        <is>
          <t>ㄨㆤㆷ</t>
        </is>
      </c>
      <c r="J78" s="19" t="n"/>
      <c r="K78" s="23">
        <f>LEN(C78)</f>
        <v/>
      </c>
      <c r="L78" s="24" t="n"/>
      <c r="M78" s="19">
        <f>E78</f>
        <v/>
      </c>
      <c r="N78" s="19">
        <f>I78</f>
        <v/>
      </c>
      <c r="P78" s="3">
        <f>_xlfn.CONCAT(M78, "(\d)")</f>
        <v/>
      </c>
      <c r="Q78" s="5" t="inlineStr">
        <is>
          <t>o</t>
        </is>
      </c>
      <c r="R78" s="5">
        <f>IFERROR( IF(Q78="", "", SEARCH(Q78, $M78)), "")</f>
        <v/>
      </c>
      <c r="S78" s="3">
        <f>IFERROR( _xlfn.CONCAT(LEFT(M78,R78-1), "》", MID(M78,R78,1), "${1}", RIGHT(M78, LEN(M78)-R78)), "" )</f>
        <v/>
      </c>
      <c r="T78" s="25" t="n"/>
      <c r="U78" s="26">
        <f>IF(AND(N78&lt;&gt;"", M78&lt;&gt;""), "    - xform/》" &amp; P78 &amp; "/" &amp; S78 &amp; "/", "")</f>
        <v/>
      </c>
    </row>
    <row r="79" ht="27.75" customHeight="1" s="69" thickBot="1">
      <c r="A79" s="19" t="n">
        <v>76</v>
      </c>
      <c r="B79" s="20" t="inlineStr">
        <is>
          <t>ui</t>
        </is>
      </c>
      <c r="C79" s="21" t="inlineStr">
        <is>
          <t>ui</t>
        </is>
      </c>
      <c r="D79" s="19" t="inlineStr">
        <is>
          <t>ui</t>
        </is>
      </c>
      <c r="E79" s="19" t="inlineStr">
        <is>
          <t>ui</t>
        </is>
      </c>
      <c r="F79" s="19" t="inlineStr">
        <is>
          <t>ui</t>
        </is>
      </c>
      <c r="G79" s="22" t="inlineStr">
        <is>
          <t>ui</t>
        </is>
      </c>
      <c r="H79" s="23" t="inlineStr">
        <is>
          <t>規舒</t>
        </is>
      </c>
      <c r="I79" s="19" t="inlineStr">
        <is>
          <t>ㄨㄧ</t>
        </is>
      </c>
      <c r="J79" s="19" t="n"/>
      <c r="K79" s="23">
        <f>LEN(C79)</f>
        <v/>
      </c>
      <c r="L79" s="24" t="n"/>
      <c r="M79" s="19">
        <f>E79</f>
        <v/>
      </c>
      <c r="N79" s="19">
        <f>I79</f>
        <v/>
      </c>
      <c r="P79" s="3">
        <f>_xlfn.CONCAT(M79, "(\d)")</f>
        <v/>
      </c>
      <c r="Q79" s="5" t="inlineStr">
        <is>
          <t>o</t>
        </is>
      </c>
      <c r="R79" s="5">
        <f>IFERROR( IF(Q79="", "", SEARCH(Q79, $M79)), "")</f>
        <v/>
      </c>
      <c r="S79" s="3">
        <f>IFERROR( _xlfn.CONCAT(LEFT(M79,R79-1), "》", MID(M79,R79,1), "${1}", RIGHT(M79, LEN(M79)-R79)), "" )</f>
        <v/>
      </c>
      <c r="T79" s="25" t="n"/>
      <c r="U79" s="26">
        <f>IF(AND(N79&lt;&gt;"", M79&lt;&gt;""), "    - xform/》" &amp; P79 &amp; "/" &amp; S79 &amp; "/", "")</f>
        <v/>
      </c>
    </row>
    <row r="80" ht="27.75" customHeight="1" s="69" thickBot="1">
      <c r="A80" s="19" t="n">
        <v>77</v>
      </c>
      <c r="B80" s="20" t="inlineStr">
        <is>
          <t>uĩ</t>
        </is>
      </c>
      <c r="C80" s="21" t="inlineStr">
        <is>
          <t>uinn</t>
        </is>
      </c>
      <c r="D80" s="19" t="inlineStr">
        <is>
          <t>uinn</t>
        </is>
      </c>
      <c r="E80" s="19" t="inlineStr">
        <is>
          <t>uinn</t>
        </is>
      </c>
      <c r="F80" s="19" t="inlineStr">
        <is>
          <t>nui</t>
        </is>
      </c>
      <c r="G80" s="22" t="inlineStr">
        <is>
          <t>uiⁿ</t>
        </is>
      </c>
      <c r="H80" s="23" t="inlineStr">
        <is>
          <t>褌舒</t>
        </is>
      </c>
      <c r="I80" s="19" t="inlineStr">
        <is>
          <t>ㄨㆪ</t>
        </is>
      </c>
      <c r="J80" s="19" t="n"/>
      <c r="K80" s="23">
        <f>LEN(C80)</f>
        <v/>
      </c>
      <c r="L80" s="24" t="n"/>
      <c r="M80" s="19">
        <f>E80</f>
        <v/>
      </c>
      <c r="N80" s="19">
        <f>I80</f>
        <v/>
      </c>
      <c r="P80" s="3">
        <f>_xlfn.CONCAT(M80, "(\d)")</f>
        <v/>
      </c>
      <c r="Q80" s="5" t="inlineStr">
        <is>
          <t>o</t>
        </is>
      </c>
      <c r="R80" s="5">
        <f>IFERROR( IF(Q80="", "", SEARCH(Q80, $M80)), "")</f>
        <v/>
      </c>
      <c r="S80" s="3">
        <f>IFERROR( _xlfn.CONCAT(LEFT(M80,R80-1), "》", MID(M80,R80,1), "${1}", RIGHT(M80, LEN(M80)-R80)), "" )</f>
        <v/>
      </c>
      <c r="T80" s="25" t="n"/>
      <c r="U80" s="26">
        <f>IF(AND(N80&lt;&gt;"", M80&lt;&gt;""), "    - xform/》" &amp; P80 &amp; "/" &amp; S80 &amp; "/", "")</f>
        <v/>
      </c>
    </row>
    <row r="81" ht="27.75" customHeight="1" s="69" thickBot="1">
      <c r="A81" s="19" t="n">
        <v>78</v>
      </c>
      <c r="B81" s="20" t="inlineStr">
        <is>
          <t>uiʔ</t>
        </is>
      </c>
      <c r="C81" s="21" t="inlineStr">
        <is>
          <t>uih</t>
        </is>
      </c>
      <c r="D81" s="31" t="inlineStr">
        <is>
          <t>uih</t>
        </is>
      </c>
      <c r="E81" s="31" t="inlineStr">
        <is>
          <t>uih</t>
        </is>
      </c>
      <c r="F81" s="31" t="inlineStr">
        <is>
          <t>uih</t>
        </is>
      </c>
      <c r="G81" s="31" t="inlineStr">
        <is>
          <t>uih</t>
        </is>
      </c>
      <c r="H81" s="35" t="inlineStr">
        <is>
          <t>褌促</t>
        </is>
      </c>
      <c r="I81" s="33" t="inlineStr">
        <is>
          <t>ㄨㄧㆷ</t>
        </is>
      </c>
      <c r="J81" s="29" t="inlineStr">
        <is>
          <t>韻-鼻</t>
        </is>
      </c>
      <c r="K81" s="23">
        <f>LEN(C81)</f>
        <v/>
      </c>
      <c r="L81" s="24" t="n"/>
      <c r="M81" s="19">
        <f>E81</f>
        <v/>
      </c>
      <c r="N81" s="19">
        <f>I81</f>
        <v/>
      </c>
      <c r="P81" s="3">
        <f>_xlfn.CONCAT(M81, "(\d)")</f>
        <v/>
      </c>
      <c r="Q81" s="5" t="inlineStr">
        <is>
          <t>o</t>
        </is>
      </c>
      <c r="R81" s="5">
        <f>IFERROR( IF(Q81="", "", SEARCH(Q81, $M81)), "")</f>
        <v/>
      </c>
      <c r="S81" s="3">
        <f>IFERROR( _xlfn.CONCAT(LEFT(M81,R81-1), "》", MID(M81,R81,1), "${1}", RIGHT(M81, LEN(M81)-R81)), "" )</f>
        <v/>
      </c>
      <c r="T81" s="25" t="n"/>
      <c r="U81" s="26">
        <f>IF(AND(N81&lt;&gt;"", M81&lt;&gt;""), "    - xform/》" &amp; P81 &amp; "/" &amp; S81 &amp; "/", "")</f>
        <v/>
      </c>
    </row>
    <row r="82" ht="27.75" customHeight="1" s="69" thickBot="1">
      <c r="A82" s="19" t="n">
        <v>79</v>
      </c>
      <c r="B82" s="20" t="inlineStr">
        <is>
          <t>m̩</t>
        </is>
      </c>
      <c r="C82" s="21" t="inlineStr">
        <is>
          <t>m</t>
        </is>
      </c>
      <c r="D82" s="19" t="inlineStr">
        <is>
          <t>m</t>
        </is>
      </c>
      <c r="E82" s="19" t="inlineStr">
        <is>
          <t>m</t>
        </is>
      </c>
      <c r="F82" s="19" t="inlineStr">
        <is>
          <t>m</t>
        </is>
      </c>
      <c r="G82" s="22" t="inlineStr">
        <is>
          <t>m</t>
        </is>
      </c>
      <c r="H82" s="23" t="inlineStr">
        <is>
          <t>姆舒</t>
        </is>
      </c>
      <c r="I82" s="19" t="inlineStr">
        <is>
          <t>ㆬ</t>
        </is>
      </c>
      <c r="J82" s="19" t="n"/>
      <c r="K82" s="23">
        <f>LEN(C82)</f>
        <v/>
      </c>
      <c r="L82" s="24" t="n"/>
      <c r="M82" s="19">
        <f>E82</f>
        <v/>
      </c>
      <c r="N82" s="19">
        <f>I82</f>
        <v/>
      </c>
      <c r="P82" s="3">
        <f>_xlfn.CONCAT(M82, "(\d)")</f>
        <v/>
      </c>
      <c r="Q82" s="5" t="inlineStr">
        <is>
          <t>u</t>
        </is>
      </c>
      <c r="R82" s="5">
        <f>IFERROR( IF(Q82="", "", SEARCH(Q82, $M82)), "")</f>
        <v/>
      </c>
      <c r="S82" s="3">
        <f>IFERROR( _xlfn.CONCAT(LEFT(M82,R82-1), "》", MID(M82,R82,1), "${1}", RIGHT(M82, LEN(M82)-R82)), "" )</f>
        <v/>
      </c>
      <c r="T82" s="25" t="n"/>
      <c r="U82" s="26">
        <f>IF(AND(N82&lt;&gt;"", M82&lt;&gt;""), "    - xform/》" &amp; P82 &amp; "/" &amp; S82 &amp; "/", "")</f>
        <v/>
      </c>
    </row>
    <row r="83" ht="27.75" customHeight="1" s="69" thickBot="1">
      <c r="A83" s="19" t="n">
        <v>80</v>
      </c>
      <c r="B83" s="20" t="inlineStr">
        <is>
          <t>m̩ʔ</t>
        </is>
      </c>
      <c r="C83" s="21" t="inlineStr">
        <is>
          <t>mh</t>
        </is>
      </c>
      <c r="D83" s="31" t="inlineStr">
        <is>
          <t>mh</t>
        </is>
      </c>
      <c r="E83" s="31" t="inlineStr">
        <is>
          <t>mh</t>
        </is>
      </c>
      <c r="F83" s="31" t="inlineStr">
        <is>
          <t>mh</t>
        </is>
      </c>
      <c r="G83" s="31" t="inlineStr">
        <is>
          <t>mh</t>
        </is>
      </c>
      <c r="H83" s="35" t="inlineStr">
        <is>
          <t>姆促</t>
        </is>
      </c>
      <c r="I83" s="34" t="inlineStr">
        <is>
          <t>ㆬㆷ</t>
        </is>
      </c>
      <c r="J83" s="19" t="n"/>
      <c r="K83" s="23">
        <f>LEN(C83)</f>
        <v/>
      </c>
      <c r="L83" s="24" t="n"/>
      <c r="M83" s="19">
        <f>E83</f>
        <v/>
      </c>
      <c r="N83" s="19">
        <f>I83</f>
        <v/>
      </c>
      <c r="P83" s="3">
        <f>_xlfn.CONCAT(M83, "(\d)")</f>
        <v/>
      </c>
      <c r="Q83" s="5" t="inlineStr">
        <is>
          <t>u</t>
        </is>
      </c>
      <c r="R83" s="5">
        <f>IFERROR( IF(Q83="", "", SEARCH(Q83, $M83)), "")</f>
        <v/>
      </c>
      <c r="S83" s="3">
        <f>IFERROR( _xlfn.CONCAT(LEFT(M83,R83-1), "》", MID(M83,R83,1), "${1}", RIGHT(M83, LEN(M83)-R83)), "" )</f>
        <v/>
      </c>
      <c r="T83" s="25" t="n"/>
      <c r="U83" s="26">
        <f>IF(AND(N83&lt;&gt;"", M83&lt;&gt;""), "    - xform/》" &amp; P83 &amp; "/" &amp; S83 &amp; "/", "")</f>
        <v/>
      </c>
    </row>
    <row r="84" ht="27.75" customHeight="1" s="69" thickBot="1">
      <c r="A84" s="19" t="n">
        <v>81</v>
      </c>
      <c r="B84" s="20" t="inlineStr">
        <is>
          <t>ŋ̍</t>
        </is>
      </c>
      <c r="C84" s="21" t="inlineStr">
        <is>
          <t>ng</t>
        </is>
      </c>
      <c r="D84" s="19" t="inlineStr">
        <is>
          <t>ng</t>
        </is>
      </c>
      <c r="E84" s="19" t="inlineStr">
        <is>
          <t>ng</t>
        </is>
      </c>
      <c r="F84" s="19" t="inlineStr">
        <is>
          <t>ng</t>
        </is>
      </c>
      <c r="G84" s="22" t="inlineStr">
        <is>
          <t>ng</t>
        </is>
      </c>
      <c r="H84" s="23" t="inlineStr">
        <is>
          <t>鋼舒</t>
        </is>
      </c>
      <c r="I84" s="19" t="inlineStr">
        <is>
          <t>ㆭ</t>
        </is>
      </c>
      <c r="J84" s="19" t="n"/>
      <c r="K84" s="23">
        <f>LEN(C84)</f>
        <v/>
      </c>
      <c r="L84" s="24" t="n"/>
      <c r="M84" s="19">
        <f>E84</f>
        <v/>
      </c>
      <c r="N84" s="19">
        <f>I84</f>
        <v/>
      </c>
      <c r="P84" s="3">
        <f>_xlfn.CONCAT(M84, "(\d)")</f>
        <v/>
      </c>
      <c r="Q84" s="5" t="inlineStr">
        <is>
          <t>u</t>
        </is>
      </c>
      <c r="R84" s="5">
        <f>IFERROR( IF(Q84="", "", SEARCH(Q84, $M84)), "")</f>
        <v/>
      </c>
      <c r="S84" s="3">
        <f>IFERROR( _xlfn.CONCAT(LEFT(M84,R84-1), "》", MID(M84,R84,1), "${1}", RIGHT(M84, LEN(M84)-R84)), "" )</f>
        <v/>
      </c>
      <c r="T84" s="25" t="n"/>
      <c r="U84" s="26">
        <f>IF(AND(N84&lt;&gt;"", M84&lt;&gt;""), "    - xform/》" &amp; P84 &amp; "/" &amp; S84 &amp; "/", "")</f>
        <v/>
      </c>
    </row>
    <row r="85" ht="27.75" customHeight="1" s="69" thickBot="1">
      <c r="A85" s="19" t="n">
        <v>82</v>
      </c>
      <c r="B85" s="20" t="inlineStr">
        <is>
          <t>ŋ̍ʔ</t>
        </is>
      </c>
      <c r="C85" s="21" t="inlineStr">
        <is>
          <t>ngh</t>
        </is>
      </c>
      <c r="D85" s="31" t="inlineStr">
        <is>
          <t>ngh</t>
        </is>
      </c>
      <c r="E85" s="31" t="inlineStr">
        <is>
          <t>ngh</t>
        </is>
      </c>
      <c r="F85" s="31" t="inlineStr">
        <is>
          <t>ngh</t>
        </is>
      </c>
      <c r="G85" s="31" t="inlineStr">
        <is>
          <t>ngh</t>
        </is>
      </c>
      <c r="H85" s="35" t="inlineStr">
        <is>
          <t>鋼促</t>
        </is>
      </c>
      <c r="I85" s="34" t="inlineStr">
        <is>
          <t>ㆭㆷ</t>
        </is>
      </c>
      <c r="J85" s="19" t="n"/>
      <c r="K85" s="23">
        <f>LEN(C85)</f>
        <v/>
      </c>
      <c r="L85" s="24" t="n"/>
      <c r="M85" s="19">
        <f>E85</f>
        <v/>
      </c>
      <c r="N85" s="19">
        <f>I85</f>
        <v/>
      </c>
      <c r="P85" s="3">
        <f>_xlfn.CONCAT(M85, "(\d)")</f>
        <v/>
      </c>
      <c r="Q85" s="5" t="inlineStr">
        <is>
          <t>u</t>
        </is>
      </c>
      <c r="R85" s="5">
        <f>IFERROR( IF(Q85="", "", SEARCH(Q85, $M85)), "")</f>
        <v/>
      </c>
      <c r="S85" s="3">
        <f>IFERROR( _xlfn.CONCAT(LEFT(M85,R85-1), "》", MID(M85,R85,1), "${1}", RIGHT(M85, LEN(M85)-R85)), "" )</f>
        <v/>
      </c>
      <c r="T85" s="25" t="n"/>
      <c r="U85" s="26">
        <f>IF(AND(N85&lt;&gt;"", M85&lt;&gt;""), "    - xform/》" &amp; P85 &amp; "/" &amp; S85 &amp; "/", "")</f>
        <v/>
      </c>
    </row>
    <row r="86" ht="27" customHeight="1" s="69" thickBot="1"/>
    <row r="87" ht="48.75" customHeight="1" s="69" thickBot="1">
      <c r="B87" s="11" t="inlineStr">
        <is>
          <t>Unicode 編碼</t>
        </is>
      </c>
      <c r="C87" s="11" t="inlineStr">
        <is>
          <t>實例</t>
        </is>
      </c>
      <c r="D87" s="11" t="inlineStr">
        <is>
          <t>實例</t>
        </is>
      </c>
    </row>
    <row r="88" ht="27.75" customHeight="1" s="69" thickBot="1">
      <c r="B88" s="19" t="inlineStr">
        <is>
          <t>U+0303</t>
        </is>
      </c>
      <c r="C88" s="19">
        <f>HEX2DEC(VALUE(RIGHT(B88,4)))</f>
        <v/>
      </c>
      <c r="D88" s="19">
        <f>_xlfn.CONCAT("a", _xlfn.UNICHAR(HEX2DEC(RIGHT(B88,4))))</f>
        <v/>
      </c>
    </row>
    <row r="89" ht="27.75" customHeight="1" s="69" thickBot="1">
      <c r="B89" s="19" t="inlineStr">
        <is>
          <t>U+0294</t>
        </is>
      </c>
      <c r="C89" s="19">
        <f>HEX2DEC(VALUE(RIGHT(B89,4)))</f>
        <v/>
      </c>
      <c r="D89" s="19">
        <f>_xlfn.CONCAT("a", _xlfn.UNICHAR(HEX2DEC(RIGHT(B89,4))))</f>
        <v/>
      </c>
    </row>
    <row r="90" ht="27" customHeight="1" s="69" thickBot="1"/>
    <row r="91" ht="27" customHeight="1" s="69" thickBot="1">
      <c r="B91" s="11" t="inlineStr">
        <is>
          <t>U+0856</t>
        </is>
      </c>
      <c r="C91" s="11">
        <f>HEX2DEC(VALUE(RIGHT(B91,4)))</f>
        <v/>
      </c>
      <c r="D91" s="11">
        <f>_xlfn.CONCAT("o", _xlfn.UNICHAR( RIGHT(B91,4)))</f>
        <v/>
      </c>
    </row>
    <row r="92" ht="27" customHeight="1" s="69" thickBot="1">
      <c r="B92" s="11" t="inlineStr">
        <is>
          <t>o͘</t>
        </is>
      </c>
      <c r="C92" s="11">
        <f>_xlfn.UNICODE( RIGHT(B92,1) )</f>
        <v/>
      </c>
      <c r="D92" s="11">
        <f>_xlfn.CONCAT("o", _xlfn.UNICHAR(C92))</f>
        <v/>
      </c>
    </row>
    <row r="93" ht="27" customHeight="1" s="69" thickBot="1"/>
    <row r="94" ht="27" customHeight="1" s="69" thickBot="1">
      <c r="B94" s="11" t="inlineStr">
        <is>
          <t>[əŋ]</t>
        </is>
      </c>
      <c r="C94" s="11" t="inlineStr">
        <is>
          <t>ㄥ</t>
        </is>
      </c>
    </row>
    <row r="95" ht="27" customHeight="1" s="69" thickBot="1">
      <c r="B95" s="11" t="inlineStr">
        <is>
          <t>[ŋ̍]</t>
        </is>
      </c>
      <c r="C95" s="11" t="inlineStr">
        <is>
          <t>ㆭ</t>
        </is>
      </c>
    </row>
    <row r="97">
      <c r="A97" s="1">
        <f>"(""" &amp; _xlfn.TEXTJOIN(""",""",TRUE,F4:F85) &amp; """)"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正中 居</dc:creator>
  <dcterms:created xsi:type="dcterms:W3CDTF">2026-05-08T04:09:33Z</dcterms:created>
  <dcterms:modified xsi:type="dcterms:W3CDTF">2026-05-25T09:17:40Z</dcterms:modified>
  <cp:lastModifiedBy>正中 居</cp:lastModifiedBy>
</cp:coreProperties>
</file>